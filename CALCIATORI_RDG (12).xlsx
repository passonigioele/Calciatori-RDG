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3E7A4182-FD87-4FE0-BDAE-D3BC60C322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Players!$A$1:$O$27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6" l="1" a="1"/>
  <c r="B32" i="6" s="1"/>
  <c r="C32" i="6" a="1"/>
  <c r="C32" i="6" s="1"/>
  <c r="D32" i="6" a="1"/>
  <c r="D32" i="6" s="1"/>
  <c r="E32" i="6" a="1"/>
  <c r="E32" i="6" s="1"/>
  <c r="F32" i="6" a="1"/>
  <c r="F32" i="6" s="1"/>
  <c r="G32" i="6" a="1"/>
  <c r="G32" i="6" s="1"/>
  <c r="H32" i="6" a="1"/>
  <c r="H32" i="6" s="1"/>
  <c r="I32" i="6" a="1"/>
  <c r="I32" i="6" s="1"/>
  <c r="J32" i="6" a="1"/>
  <c r="J32" i="6" s="1"/>
  <c r="K32" i="6" a="1"/>
  <c r="K32" i="6" s="1"/>
  <c r="L32" i="6" a="1"/>
  <c r="L32" i="6" s="1"/>
  <c r="M32" i="6" a="1"/>
  <c r="M32" i="6" s="1"/>
  <c r="N32" i="6" a="1"/>
  <c r="N32" i="6" s="1"/>
  <c r="O32" i="6" a="1"/>
  <c r="O32" i="6" s="1"/>
  <c r="P32" i="6" a="1"/>
  <c r="P32" i="6" s="1"/>
  <c r="Q32" i="6" a="1"/>
  <c r="Q32" i="6" s="1"/>
  <c r="R32" i="6" a="1"/>
  <c r="R32" i="6" s="1"/>
  <c r="S32" i="6" a="1"/>
  <c r="S32" i="6" s="1"/>
  <c r="T32" i="6" a="1"/>
  <c r="T32" i="6" s="1"/>
  <c r="U32" i="6" a="1"/>
  <c r="U32" i="6" s="1"/>
  <c r="V32" i="6" a="1"/>
  <c r="V32" i="6" s="1"/>
  <c r="W32" i="6" a="1"/>
  <c r="W32" i="6" s="1"/>
  <c r="X32" i="6" a="1"/>
  <c r="X32" i="6" s="1"/>
  <c r="Y32" i="6" a="1"/>
  <c r="Y32" i="6" s="1"/>
  <c r="Z32" i="6" a="1"/>
  <c r="Z32" i="6" s="1"/>
  <c r="AA32" i="6" a="1"/>
  <c r="AA32" i="6" s="1"/>
  <c r="AB32" i="6" a="1"/>
  <c r="AB32" i="6" s="1"/>
  <c r="AC32" i="6" a="1"/>
  <c r="AC32" i="6" s="1"/>
  <c r="AD32" i="6" a="1"/>
  <c r="AD32" i="6" s="1"/>
  <c r="AE32" i="6" a="1"/>
  <c r="AE32" i="6" s="1"/>
  <c r="D3" i="6" a="1"/>
  <c r="D3" i="6"/>
  <c r="E3" i="6" a="1"/>
  <c r="E3" i="6"/>
  <c r="F3" i="6" a="1"/>
  <c r="F3" i="6"/>
  <c r="G3" i="6" a="1"/>
  <c r="G3" i="6"/>
  <c r="H3" i="6" a="1"/>
  <c r="H3" i="6"/>
  <c r="I3" i="6" a="1"/>
  <c r="I3" i="6"/>
  <c r="J3" i="6" a="1"/>
  <c r="J3" i="6"/>
  <c r="K3" i="6" a="1"/>
  <c r="K3" i="6"/>
  <c r="L3" i="6" a="1"/>
  <c r="L3" i="6"/>
  <c r="M3" i="6" a="1"/>
  <c r="M3" i="6"/>
  <c r="N3" i="6" a="1"/>
  <c r="N3" i="6"/>
  <c r="O3" i="6" a="1"/>
  <c r="O3" i="6"/>
  <c r="P3" i="6" a="1"/>
  <c r="P3" i="6"/>
  <c r="Q3" i="6" a="1"/>
  <c r="Q3" i="6"/>
  <c r="R3" i="6" a="1"/>
  <c r="R3" i="6"/>
  <c r="S3" i="6" a="1"/>
  <c r="S3" i="6"/>
  <c r="T3" i="6" a="1"/>
  <c r="T3" i="6"/>
  <c r="U3" i="6" a="1"/>
  <c r="U3" i="6"/>
  <c r="V3" i="6" a="1"/>
  <c r="V3" i="6"/>
  <c r="W3" i="6" a="1"/>
  <c r="W3" i="6"/>
  <c r="X3" i="6" a="1"/>
  <c r="X3" i="6"/>
  <c r="Y3" i="6" a="1"/>
  <c r="Y3" i="6"/>
  <c r="Z3" i="6" a="1"/>
  <c r="Z3" i="6"/>
  <c r="AA3" i="6" a="1"/>
  <c r="AA3" i="6"/>
  <c r="AB3" i="6" a="1"/>
  <c r="AB3" i="6"/>
  <c r="AC3" i="6" a="1"/>
  <c r="AC3" i="6"/>
  <c r="AD3" i="6" a="1"/>
  <c r="AD3" i="6"/>
  <c r="AE3" i="6" a="1"/>
  <c r="AE3" i="6"/>
  <c r="AF3" i="6" a="1"/>
  <c r="AF3" i="6"/>
  <c r="C4" i="6" a="1"/>
  <c r="C4" i="6"/>
  <c r="E4" i="6" a="1"/>
  <c r="E4" i="6"/>
  <c r="F4" i="6" a="1"/>
  <c r="F4" i="6"/>
  <c r="G4" i="6" a="1"/>
  <c r="G4" i="6"/>
  <c r="H4" i="6" a="1"/>
  <c r="H4" i="6"/>
  <c r="I4" i="6" a="1"/>
  <c r="I4" i="6"/>
  <c r="J4" i="6" a="1"/>
  <c r="J4" i="6"/>
  <c r="K4" i="6" a="1"/>
  <c r="K4" i="6"/>
  <c r="L4" i="6" a="1"/>
  <c r="L4" i="6"/>
  <c r="M4" i="6" a="1"/>
  <c r="M4" i="6"/>
  <c r="N4" i="6" a="1"/>
  <c r="N4" i="6"/>
  <c r="O4" i="6" a="1"/>
  <c r="O4" i="6"/>
  <c r="P4" i="6" a="1"/>
  <c r="P4" i="6"/>
  <c r="Q4" i="6" a="1"/>
  <c r="Q4" i="6"/>
  <c r="R4" i="6" a="1"/>
  <c r="R4" i="6"/>
  <c r="S4" i="6" a="1"/>
  <c r="S4" i="6"/>
  <c r="T4" i="6" a="1"/>
  <c r="T4" i="6"/>
  <c r="U4" i="6" a="1"/>
  <c r="U4" i="6"/>
  <c r="V4" i="6" a="1"/>
  <c r="V4" i="6"/>
  <c r="W4" i="6" a="1"/>
  <c r="W4" i="6"/>
  <c r="X4" i="6" a="1"/>
  <c r="X4" i="6"/>
  <c r="Y4" i="6" a="1"/>
  <c r="Y4" i="6"/>
  <c r="Z4" i="6" a="1"/>
  <c r="Z4" i="6"/>
  <c r="AA4" i="6" a="1"/>
  <c r="AA4" i="6"/>
  <c r="AB4" i="6" a="1"/>
  <c r="AB4" i="6"/>
  <c r="AC4" i="6" a="1"/>
  <c r="AC4" i="6"/>
  <c r="AD4" i="6" a="1"/>
  <c r="AD4" i="6"/>
  <c r="AE4" i="6" a="1"/>
  <c r="AE4" i="6"/>
  <c r="AF4" i="6" a="1"/>
  <c r="AF4" i="6"/>
  <c r="C5" i="6" a="1"/>
  <c r="C5" i="6"/>
  <c r="D5" i="6" a="1"/>
  <c r="D5" i="6"/>
  <c r="F5" i="6" a="1"/>
  <c r="F5" i="6"/>
  <c r="G5" i="6" a="1"/>
  <c r="G5" i="6"/>
  <c r="H5" i="6" a="1"/>
  <c r="H5" i="6"/>
  <c r="I5" i="6" a="1"/>
  <c r="I5" i="6"/>
  <c r="J5" i="6" a="1"/>
  <c r="J5" i="6"/>
  <c r="K5" i="6" a="1"/>
  <c r="K5" i="6"/>
  <c r="L5" i="6" a="1"/>
  <c r="L5" i="6"/>
  <c r="M5" i="6" a="1"/>
  <c r="M5" i="6"/>
  <c r="N5" i="6" a="1"/>
  <c r="N5" i="6"/>
  <c r="O5" i="6" a="1"/>
  <c r="O5" i="6"/>
  <c r="P5" i="6" a="1"/>
  <c r="P5" i="6"/>
  <c r="Q5" i="6" a="1"/>
  <c r="Q5" i="6"/>
  <c r="R5" i="6" a="1"/>
  <c r="R5" i="6"/>
  <c r="S5" i="6" a="1"/>
  <c r="S5" i="6"/>
  <c r="T5" i="6" a="1"/>
  <c r="T5" i="6"/>
  <c r="U5" i="6" a="1"/>
  <c r="U5" i="6"/>
  <c r="V5" i="6" a="1"/>
  <c r="V5" i="6"/>
  <c r="W5" i="6" a="1"/>
  <c r="W5" i="6"/>
  <c r="X5" i="6" a="1"/>
  <c r="X5" i="6"/>
  <c r="Y5" i="6" a="1"/>
  <c r="Y5" i="6"/>
  <c r="Z5" i="6" a="1"/>
  <c r="Z5" i="6"/>
  <c r="AA5" i="6" a="1"/>
  <c r="AA5" i="6"/>
  <c r="AB5" i="6" a="1"/>
  <c r="AB5" i="6"/>
  <c r="AC5" i="6" a="1"/>
  <c r="AC5" i="6"/>
  <c r="AD5" i="6" a="1"/>
  <c r="AD5" i="6"/>
  <c r="AE5" i="6" a="1"/>
  <c r="AE5" i="6"/>
  <c r="AF5" i="6" a="1"/>
  <c r="AF5" i="6"/>
  <c r="C6" i="6" a="1"/>
  <c r="C6" i="6"/>
  <c r="D6" i="6" a="1"/>
  <c r="D6" i="6"/>
  <c r="E6" i="6" a="1"/>
  <c r="E6" i="6"/>
  <c r="G6" i="6" a="1"/>
  <c r="G6" i="6"/>
  <c r="H6" i="6" a="1"/>
  <c r="H6" i="6"/>
  <c r="I6" i="6" a="1"/>
  <c r="I6" i="6"/>
  <c r="J6" i="6" a="1"/>
  <c r="J6" i="6"/>
  <c r="K6" i="6" a="1"/>
  <c r="K6" i="6"/>
  <c r="L6" i="6" a="1"/>
  <c r="L6" i="6"/>
  <c r="M6" i="6" a="1"/>
  <c r="M6" i="6"/>
  <c r="N6" i="6" a="1"/>
  <c r="N6" i="6"/>
  <c r="O6" i="6" a="1"/>
  <c r="O6" i="6"/>
  <c r="P6" i="6" a="1"/>
  <c r="P6" i="6"/>
  <c r="Q6" i="6" a="1"/>
  <c r="Q6" i="6"/>
  <c r="R6" i="6" a="1"/>
  <c r="R6" i="6"/>
  <c r="S6" i="6" a="1"/>
  <c r="S6" i="6"/>
  <c r="T6" i="6" a="1"/>
  <c r="T6" i="6"/>
  <c r="U6" i="6" a="1"/>
  <c r="U6" i="6"/>
  <c r="V6" i="6" a="1"/>
  <c r="V6" i="6"/>
  <c r="W6" i="6" a="1"/>
  <c r="W6" i="6"/>
  <c r="X6" i="6" a="1"/>
  <c r="X6" i="6"/>
  <c r="Y6" i="6" a="1"/>
  <c r="Y6" i="6"/>
  <c r="Z6" i="6" a="1"/>
  <c r="Z6" i="6"/>
  <c r="AA6" i="6" a="1"/>
  <c r="AA6" i="6"/>
  <c r="AB6" i="6" a="1"/>
  <c r="AB6" i="6"/>
  <c r="AC6" i="6" a="1"/>
  <c r="AC6" i="6"/>
  <c r="AD6" i="6" a="1"/>
  <c r="AD6" i="6"/>
  <c r="AE6" i="6" a="1"/>
  <c r="AE6" i="6"/>
  <c r="AF6" i="6" a="1"/>
  <c r="AF6" i="6"/>
  <c r="C7" i="6" a="1"/>
  <c r="C7" i="6"/>
  <c r="D7" i="6" a="1"/>
  <c r="D7" i="6"/>
  <c r="E7" i="6" a="1"/>
  <c r="E7" i="6"/>
  <c r="F7" i="6" a="1"/>
  <c r="F7" i="6"/>
  <c r="H7" i="6" a="1"/>
  <c r="H7" i="6"/>
  <c r="I7" i="6" a="1"/>
  <c r="I7" i="6"/>
  <c r="J7" i="6" a="1"/>
  <c r="J7" i="6"/>
  <c r="K7" i="6" a="1"/>
  <c r="K7" i="6"/>
  <c r="L7" i="6" a="1"/>
  <c r="L7" i="6"/>
  <c r="M7" i="6" a="1"/>
  <c r="M7" i="6"/>
  <c r="N7" i="6" a="1"/>
  <c r="N7" i="6"/>
  <c r="O7" i="6" a="1"/>
  <c r="O7" i="6"/>
  <c r="P7" i="6" a="1"/>
  <c r="P7" i="6"/>
  <c r="Q7" i="6" a="1"/>
  <c r="Q7" i="6"/>
  <c r="R7" i="6" a="1"/>
  <c r="R7" i="6"/>
  <c r="S7" i="6" a="1"/>
  <c r="S7" i="6"/>
  <c r="T7" i="6" a="1"/>
  <c r="T7" i="6"/>
  <c r="U7" i="6" a="1"/>
  <c r="U7" i="6"/>
  <c r="V7" i="6" a="1"/>
  <c r="V7" i="6"/>
  <c r="W7" i="6" a="1"/>
  <c r="W7" i="6"/>
  <c r="X7" i="6" a="1"/>
  <c r="X7" i="6"/>
  <c r="Y7" i="6" a="1"/>
  <c r="Y7" i="6"/>
  <c r="Z7" i="6" a="1"/>
  <c r="Z7" i="6"/>
  <c r="AA7" i="6" a="1"/>
  <c r="AA7" i="6"/>
  <c r="AB7" i="6" a="1"/>
  <c r="AB7" i="6"/>
  <c r="AC7" i="6" a="1"/>
  <c r="AC7" i="6"/>
  <c r="AD7" i="6" a="1"/>
  <c r="AD7" i="6"/>
  <c r="AE7" i="6" a="1"/>
  <c r="AE7" i="6"/>
  <c r="AF7" i="6" a="1"/>
  <c r="AF7" i="6"/>
  <c r="C8" i="6" a="1"/>
  <c r="C8" i="6"/>
  <c r="D8" i="6" a="1"/>
  <c r="D8" i="6"/>
  <c r="E8" i="6" a="1"/>
  <c r="E8" i="6"/>
  <c r="F8" i="6" a="1"/>
  <c r="F8" i="6"/>
  <c r="G8" i="6" a="1"/>
  <c r="G8" i="6"/>
  <c r="I8" i="6" a="1"/>
  <c r="I8" i="6"/>
  <c r="J8" i="6" a="1"/>
  <c r="J8" i="6"/>
  <c r="K8" i="6" a="1"/>
  <c r="K8" i="6"/>
  <c r="L8" i="6" a="1"/>
  <c r="L8" i="6"/>
  <c r="M8" i="6" a="1"/>
  <c r="M8" i="6"/>
  <c r="N8" i="6" a="1"/>
  <c r="N8" i="6"/>
  <c r="O8" i="6" a="1"/>
  <c r="O8" i="6"/>
  <c r="P8" i="6" a="1"/>
  <c r="P8" i="6"/>
  <c r="Q8" i="6" a="1"/>
  <c r="Q8" i="6"/>
  <c r="R8" i="6" a="1"/>
  <c r="R8" i="6"/>
  <c r="S8" i="6" a="1"/>
  <c r="S8" i="6"/>
  <c r="T8" i="6" a="1"/>
  <c r="T8" i="6"/>
  <c r="U8" i="6" a="1"/>
  <c r="U8" i="6"/>
  <c r="V8" i="6" a="1"/>
  <c r="V8" i="6"/>
  <c r="W8" i="6" a="1"/>
  <c r="W8" i="6"/>
  <c r="X8" i="6" a="1"/>
  <c r="X8" i="6"/>
  <c r="Y8" i="6" a="1"/>
  <c r="Y8" i="6"/>
  <c r="Z8" i="6" a="1"/>
  <c r="Z8" i="6"/>
  <c r="AA8" i="6" a="1"/>
  <c r="AA8" i="6"/>
  <c r="AB8" i="6" a="1"/>
  <c r="AB8" i="6"/>
  <c r="AC8" i="6" a="1"/>
  <c r="AC8" i="6"/>
  <c r="AD8" i="6" a="1"/>
  <c r="AD8" i="6"/>
  <c r="AE8" i="6" a="1"/>
  <c r="AE8" i="6"/>
  <c r="AF8" i="6" a="1"/>
  <c r="AF8" i="6"/>
  <c r="C9" i="6" a="1"/>
  <c r="C9" i="6"/>
  <c r="D9" i="6" a="1"/>
  <c r="D9" i="6"/>
  <c r="E9" i="6" a="1"/>
  <c r="E9" i="6"/>
  <c r="F9" i="6" a="1"/>
  <c r="F9" i="6"/>
  <c r="G9" i="6" a="1"/>
  <c r="G9" i="6"/>
  <c r="H9" i="6" a="1"/>
  <c r="H9" i="6"/>
  <c r="J9" i="6" a="1"/>
  <c r="J9" i="6"/>
  <c r="K9" i="6" a="1"/>
  <c r="K9" i="6"/>
  <c r="L9" i="6" a="1"/>
  <c r="L9" i="6"/>
  <c r="M9" i="6" a="1"/>
  <c r="M9" i="6"/>
  <c r="N9" i="6" a="1"/>
  <c r="N9" i="6"/>
  <c r="O9" i="6" a="1"/>
  <c r="O9" i="6"/>
  <c r="P9" i="6" a="1"/>
  <c r="P9" i="6"/>
  <c r="Q9" i="6" a="1"/>
  <c r="Q9" i="6"/>
  <c r="R9" i="6" a="1"/>
  <c r="R9" i="6"/>
  <c r="S9" i="6" a="1"/>
  <c r="S9" i="6"/>
  <c r="T9" i="6" a="1"/>
  <c r="T9" i="6"/>
  <c r="U9" i="6" a="1"/>
  <c r="U9" i="6"/>
  <c r="V9" i="6" a="1"/>
  <c r="V9" i="6"/>
  <c r="W9" i="6" a="1"/>
  <c r="W9" i="6"/>
  <c r="X9" i="6" a="1"/>
  <c r="X9" i="6"/>
  <c r="Y9" i="6" a="1"/>
  <c r="Y9" i="6"/>
  <c r="Z9" i="6" a="1"/>
  <c r="Z9" i="6"/>
  <c r="AA9" i="6" a="1"/>
  <c r="AA9" i="6"/>
  <c r="AB9" i="6" a="1"/>
  <c r="AB9" i="6"/>
  <c r="AC9" i="6" a="1"/>
  <c r="AC9" i="6"/>
  <c r="AD9" i="6" a="1"/>
  <c r="AD9" i="6"/>
  <c r="AE9" i="6" a="1"/>
  <c r="AE9" i="6"/>
  <c r="AF9" i="6" a="1"/>
  <c r="AF9" i="6"/>
  <c r="C10" i="6" a="1"/>
  <c r="C10" i="6"/>
  <c r="D10" i="6" a="1"/>
  <c r="D10" i="6"/>
  <c r="E10" i="6" a="1"/>
  <c r="E10" i="6"/>
  <c r="F10" i="6" a="1"/>
  <c r="F10" i="6"/>
  <c r="G10" i="6" a="1"/>
  <c r="G10" i="6"/>
  <c r="H10" i="6" a="1"/>
  <c r="H10" i="6"/>
  <c r="I10" i="6" a="1"/>
  <c r="I10" i="6"/>
  <c r="K10" i="6" a="1"/>
  <c r="K10" i="6"/>
  <c r="L10" i="6" a="1"/>
  <c r="L10" i="6"/>
  <c r="M10" i="6" a="1"/>
  <c r="M10" i="6"/>
  <c r="N10" i="6" a="1"/>
  <c r="N10" i="6"/>
  <c r="O10" i="6" a="1"/>
  <c r="O10" i="6"/>
  <c r="P10" i="6" a="1"/>
  <c r="P10" i="6"/>
  <c r="Q10" i="6" a="1"/>
  <c r="Q10" i="6"/>
  <c r="R10" i="6" a="1"/>
  <c r="R10" i="6"/>
  <c r="S10" i="6" a="1"/>
  <c r="S10" i="6"/>
  <c r="T10" i="6" a="1"/>
  <c r="T10" i="6"/>
  <c r="U10" i="6" a="1"/>
  <c r="U10" i="6"/>
  <c r="V10" i="6" a="1"/>
  <c r="V10" i="6"/>
  <c r="W10" i="6" a="1"/>
  <c r="W10" i="6"/>
  <c r="X10" i="6" a="1"/>
  <c r="X10" i="6"/>
  <c r="Y10" i="6" a="1"/>
  <c r="Y10" i="6"/>
  <c r="Z10" i="6" a="1"/>
  <c r="Z10" i="6"/>
  <c r="AA10" i="6" a="1"/>
  <c r="AA10" i="6"/>
  <c r="AB10" i="6" a="1"/>
  <c r="AB10" i="6"/>
  <c r="AC10" i="6" a="1"/>
  <c r="AC10" i="6"/>
  <c r="AD10" i="6" a="1"/>
  <c r="AD10" i="6"/>
  <c r="AE10" i="6" a="1"/>
  <c r="AE10" i="6"/>
  <c r="AF10" i="6" a="1"/>
  <c r="AF10" i="6"/>
  <c r="C11" i="6" a="1"/>
  <c r="C11" i="6"/>
  <c r="D11" i="6" a="1"/>
  <c r="D11" i="6"/>
  <c r="E11" i="6" a="1"/>
  <c r="E11" i="6"/>
  <c r="F11" i="6" a="1"/>
  <c r="F11" i="6"/>
  <c r="G11" i="6" a="1"/>
  <c r="G11" i="6"/>
  <c r="H11" i="6" a="1"/>
  <c r="H11" i="6"/>
  <c r="I11" i="6" a="1"/>
  <c r="I11" i="6"/>
  <c r="J11" i="6" a="1"/>
  <c r="J11" i="6"/>
  <c r="L11" i="6" a="1"/>
  <c r="L11" i="6"/>
  <c r="M11" i="6" a="1"/>
  <c r="M11" i="6"/>
  <c r="N11" i="6" a="1"/>
  <c r="N11" i="6"/>
  <c r="O11" i="6" a="1"/>
  <c r="O11" i="6"/>
  <c r="P11" i="6" a="1"/>
  <c r="P11" i="6"/>
  <c r="Q11" i="6" a="1"/>
  <c r="Q11" i="6"/>
  <c r="R11" i="6" a="1"/>
  <c r="R11" i="6"/>
  <c r="S11" i="6" a="1"/>
  <c r="S11" i="6"/>
  <c r="T11" i="6" a="1"/>
  <c r="T11" i="6"/>
  <c r="U11" i="6" a="1"/>
  <c r="U11" i="6"/>
  <c r="V11" i="6" a="1"/>
  <c r="V11" i="6"/>
  <c r="W11" i="6" a="1"/>
  <c r="W11" i="6"/>
  <c r="X11" i="6" a="1"/>
  <c r="X11" i="6"/>
  <c r="Y11" i="6" a="1"/>
  <c r="Y11" i="6"/>
  <c r="Z11" i="6" a="1"/>
  <c r="Z11" i="6"/>
  <c r="AA11" i="6" a="1"/>
  <c r="AA11" i="6"/>
  <c r="AB11" i="6" a="1"/>
  <c r="AB11" i="6"/>
  <c r="AC11" i="6" a="1"/>
  <c r="AC11" i="6"/>
  <c r="AD11" i="6" a="1"/>
  <c r="AD11" i="6"/>
  <c r="AE11" i="6" a="1"/>
  <c r="AE11" i="6"/>
  <c r="AF11" i="6" a="1"/>
  <c r="AF11" i="6"/>
  <c r="C12" i="6" a="1"/>
  <c r="C12" i="6"/>
  <c r="D12" i="6" a="1"/>
  <c r="D12" i="6"/>
  <c r="E12" i="6" a="1"/>
  <c r="E12" i="6"/>
  <c r="F12" i="6" a="1"/>
  <c r="F12" i="6"/>
  <c r="G12" i="6" a="1"/>
  <c r="G12" i="6"/>
  <c r="H12" i="6" a="1"/>
  <c r="H12" i="6"/>
  <c r="I12" i="6" a="1"/>
  <c r="I12" i="6"/>
  <c r="J12" i="6" a="1"/>
  <c r="J12" i="6"/>
  <c r="K12" i="6" a="1"/>
  <c r="K12" i="6"/>
  <c r="M12" i="6" a="1"/>
  <c r="M12" i="6"/>
  <c r="N12" i="6" a="1"/>
  <c r="N12" i="6"/>
  <c r="O12" i="6" a="1"/>
  <c r="O12" i="6"/>
  <c r="P12" i="6" a="1"/>
  <c r="P12" i="6"/>
  <c r="Q12" i="6" a="1"/>
  <c r="Q12" i="6"/>
  <c r="R12" i="6" a="1"/>
  <c r="R12" i="6"/>
  <c r="S12" i="6" a="1"/>
  <c r="S12" i="6"/>
  <c r="T12" i="6" a="1"/>
  <c r="T12" i="6"/>
  <c r="U12" i="6" a="1"/>
  <c r="U12" i="6"/>
  <c r="V12" i="6" a="1"/>
  <c r="V12" i="6"/>
  <c r="W12" i="6" a="1"/>
  <c r="W12" i="6"/>
  <c r="X12" i="6" a="1"/>
  <c r="X12" i="6"/>
  <c r="Y12" i="6" a="1"/>
  <c r="Y12" i="6"/>
  <c r="Z12" i="6" a="1"/>
  <c r="Z12" i="6"/>
  <c r="AA12" i="6" a="1"/>
  <c r="AA12" i="6"/>
  <c r="AB12" i="6" a="1"/>
  <c r="AB12" i="6"/>
  <c r="AC12" i="6" a="1"/>
  <c r="AC12" i="6"/>
  <c r="AD12" i="6" a="1"/>
  <c r="AD12" i="6"/>
  <c r="AE12" i="6" a="1"/>
  <c r="AE12" i="6"/>
  <c r="AF12" i="6" a="1"/>
  <c r="AF12" i="6"/>
  <c r="C13" i="6" a="1"/>
  <c r="C13" i="6"/>
  <c r="D13" i="6" a="1"/>
  <c r="D13" i="6"/>
  <c r="E13" i="6" a="1"/>
  <c r="E13" i="6"/>
  <c r="F13" i="6" a="1"/>
  <c r="F13" i="6"/>
  <c r="G13" i="6" a="1"/>
  <c r="G13" i="6"/>
  <c r="H13" i="6" a="1"/>
  <c r="H13" i="6"/>
  <c r="I13" i="6" a="1"/>
  <c r="I13" i="6"/>
  <c r="J13" i="6" a="1"/>
  <c r="J13" i="6"/>
  <c r="K13" i="6" a="1"/>
  <c r="K13" i="6"/>
  <c r="L13" i="6" a="1"/>
  <c r="L13" i="6"/>
  <c r="N13" i="6" a="1"/>
  <c r="N13" i="6"/>
  <c r="O13" i="6" a="1"/>
  <c r="O13" i="6"/>
  <c r="P13" i="6" a="1"/>
  <c r="P13" i="6"/>
  <c r="Q13" i="6" a="1"/>
  <c r="Q13" i="6"/>
  <c r="R13" i="6" a="1"/>
  <c r="R13" i="6"/>
  <c r="S13" i="6" a="1"/>
  <c r="S13" i="6"/>
  <c r="T13" i="6" a="1"/>
  <c r="T13" i="6"/>
  <c r="U13" i="6" a="1"/>
  <c r="U13" i="6"/>
  <c r="V13" i="6" a="1"/>
  <c r="V13" i="6"/>
  <c r="W13" i="6" a="1"/>
  <c r="W13" i="6"/>
  <c r="X13" i="6" a="1"/>
  <c r="X13" i="6"/>
  <c r="Y13" i="6" a="1"/>
  <c r="Y13" i="6"/>
  <c r="Z13" i="6" a="1"/>
  <c r="Z13" i="6"/>
  <c r="AA13" i="6" a="1"/>
  <c r="AA13" i="6"/>
  <c r="AB13" i="6" a="1"/>
  <c r="AB13" i="6"/>
  <c r="AC13" i="6" a="1"/>
  <c r="AC13" i="6"/>
  <c r="AD13" i="6" a="1"/>
  <c r="AD13" i="6"/>
  <c r="AE13" i="6" a="1"/>
  <c r="AE13" i="6"/>
  <c r="AF13" i="6" a="1"/>
  <c r="AF13" i="6"/>
  <c r="C14" i="6" a="1"/>
  <c r="C14" i="6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M14" i="6" a="1"/>
  <c r="M14" i="6"/>
  <c r="O14" i="6" a="1"/>
  <c r="O14" i="6"/>
  <c r="P14" i="6" a="1"/>
  <c r="P14" i="6"/>
  <c r="Q14" i="6" a="1"/>
  <c r="Q14" i="6"/>
  <c r="R14" i="6" a="1"/>
  <c r="R14" i="6"/>
  <c r="S14" i="6" a="1"/>
  <c r="S14" i="6"/>
  <c r="T14" i="6" a="1"/>
  <c r="T14" i="6"/>
  <c r="U14" i="6" a="1"/>
  <c r="U14" i="6"/>
  <c r="V14" i="6" a="1"/>
  <c r="V14" i="6"/>
  <c r="W14" i="6" a="1"/>
  <c r="W14" i="6"/>
  <c r="X14" i="6" a="1"/>
  <c r="X14" i="6"/>
  <c r="Y14" i="6" a="1"/>
  <c r="Y14" i="6"/>
  <c r="Z14" i="6" a="1"/>
  <c r="Z14" i="6"/>
  <c r="AA14" i="6" a="1"/>
  <c r="AA14" i="6"/>
  <c r="AB14" i="6" a="1"/>
  <c r="AB14" i="6"/>
  <c r="AC14" i="6" a="1"/>
  <c r="AC14" i="6"/>
  <c r="AD14" i="6" a="1"/>
  <c r="AD14" i="6"/>
  <c r="AE14" i="6" a="1"/>
  <c r="AE14" i="6"/>
  <c r="AF14" i="6" a="1"/>
  <c r="AF14" i="6"/>
  <c r="C15" i="6" a="1"/>
  <c r="C15" i="6"/>
  <c r="D15" i="6" a="1"/>
  <c r="D15" i="6"/>
  <c r="E15" i="6" a="1"/>
  <c r="E15" i="6"/>
  <c r="F15" i="6" a="1"/>
  <c r="F15" i="6"/>
  <c r="G15" i="6" a="1"/>
  <c r="G15" i="6"/>
  <c r="H15" i="6" a="1"/>
  <c r="H15" i="6"/>
  <c r="I15" i="6" a="1"/>
  <c r="I15" i="6"/>
  <c r="J15" i="6" a="1"/>
  <c r="J15" i="6"/>
  <c r="K15" i="6" a="1"/>
  <c r="K15" i="6"/>
  <c r="L15" i="6" a="1"/>
  <c r="L15" i="6"/>
  <c r="M15" i="6" a="1"/>
  <c r="M15" i="6"/>
  <c r="N15" i="6" a="1"/>
  <c r="N15" i="6"/>
  <c r="P15" i="6" a="1"/>
  <c r="P15" i="6"/>
  <c r="Q15" i="6" a="1"/>
  <c r="Q15" i="6"/>
  <c r="R15" i="6" a="1"/>
  <c r="R15" i="6"/>
  <c r="S15" i="6" a="1"/>
  <c r="S15" i="6"/>
  <c r="T15" i="6" a="1"/>
  <c r="T15" i="6"/>
  <c r="U15" i="6" a="1"/>
  <c r="U15" i="6"/>
  <c r="V15" i="6" a="1"/>
  <c r="V15" i="6"/>
  <c r="W15" i="6" a="1"/>
  <c r="W15" i="6"/>
  <c r="X15" i="6" a="1"/>
  <c r="X15" i="6"/>
  <c r="Y15" i="6" a="1"/>
  <c r="Y15" i="6"/>
  <c r="Z15" i="6" a="1"/>
  <c r="Z15" i="6"/>
  <c r="AA15" i="6" a="1"/>
  <c r="AA15" i="6"/>
  <c r="AB15" i="6" a="1"/>
  <c r="AB15" i="6"/>
  <c r="AC15" i="6" a="1"/>
  <c r="AC15" i="6"/>
  <c r="AD15" i="6" a="1"/>
  <c r="AD15" i="6"/>
  <c r="AE15" i="6" a="1"/>
  <c r="AE15" i="6" s="1"/>
  <c r="AF15" i="6" a="1"/>
  <c r="AF15" i="6" s="1"/>
  <c r="C16" i="6" a="1"/>
  <c r="C16" i="6" s="1"/>
  <c r="D16" i="6" a="1"/>
  <c r="D16" i="6" s="1"/>
  <c r="E16" i="6" a="1"/>
  <c r="E16" i="6" s="1"/>
  <c r="F16" i="6" a="1"/>
  <c r="F16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M16" i="6" a="1"/>
  <c r="M16" i="6" s="1"/>
  <c r="N16" i="6" a="1"/>
  <c r="N16" i="6" s="1"/>
  <c r="O16" i="6" a="1"/>
  <c r="O16" i="6" s="1"/>
  <c r="Q16" i="6" a="1"/>
  <c r="Q16" i="6" s="1"/>
  <c r="R16" i="6" a="1"/>
  <c r="R16" i="6" s="1"/>
  <c r="S16" i="6" a="1"/>
  <c r="S16" i="6" s="1"/>
  <c r="T16" i="6" a="1"/>
  <c r="T16" i="6" s="1"/>
  <c r="U16" i="6" a="1"/>
  <c r="U16" i="6" s="1"/>
  <c r="V16" i="6" a="1"/>
  <c r="V16" i="6" s="1"/>
  <c r="W16" i="6" a="1"/>
  <c r="W16" i="6" s="1"/>
  <c r="X16" i="6" a="1"/>
  <c r="X16" i="6" s="1"/>
  <c r="Y16" i="6" a="1"/>
  <c r="Y16" i="6" s="1"/>
  <c r="Z16" i="6" a="1"/>
  <c r="Z16" i="6" s="1"/>
  <c r="AA16" i="6" a="1"/>
  <c r="AA16" i="6" s="1"/>
  <c r="AB16" i="6" a="1"/>
  <c r="AB16" i="6" s="1"/>
  <c r="AC16" i="6" a="1"/>
  <c r="AC16" i="6" s="1"/>
  <c r="AD16" i="6" a="1"/>
  <c r="AD16" i="6" s="1"/>
  <c r="AE16" i="6" a="1"/>
  <c r="AE16" i="6" s="1"/>
  <c r="AF16" i="6" a="1"/>
  <c r="AF16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M17" i="6" a="1"/>
  <c r="M17" i="6" s="1"/>
  <c r="N17" i="6" a="1"/>
  <c r="N17" i="6" s="1"/>
  <c r="O17" i="6" a="1"/>
  <c r="O17" i="6" s="1"/>
  <c r="P17" i="6" a="1"/>
  <c r="P17" i="6" s="1"/>
  <c r="R17" i="6" a="1"/>
  <c r="R17" i="6" s="1"/>
  <c r="S17" i="6" a="1"/>
  <c r="S17" i="6" s="1"/>
  <c r="T17" i="6" a="1"/>
  <c r="T17" i="6" s="1"/>
  <c r="U17" i="6" a="1"/>
  <c r="U17" i="6" s="1"/>
  <c r="V17" i="6" a="1"/>
  <c r="V17" i="6" s="1"/>
  <c r="W17" i="6" a="1"/>
  <c r="W17" i="6" s="1"/>
  <c r="X17" i="6" a="1"/>
  <c r="X17" i="6" s="1"/>
  <c r="Y17" i="6" a="1"/>
  <c r="Y17" i="6" s="1"/>
  <c r="Z17" i="6" a="1"/>
  <c r="Z17" i="6" s="1"/>
  <c r="AA17" i="6" a="1"/>
  <c r="AA17" i="6" s="1"/>
  <c r="AB17" i="6" a="1"/>
  <c r="AB17" i="6" s="1"/>
  <c r="AC17" i="6" a="1"/>
  <c r="AC17" i="6" s="1"/>
  <c r="AD17" i="6" a="1"/>
  <c r="AD17" i="6" s="1"/>
  <c r="AE17" i="6" a="1"/>
  <c r="AE17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/>
  <c r="H18" i="6" a="1"/>
  <c r="H18" i="6"/>
  <c r="I18" i="6" a="1"/>
  <c r="I18" i="6"/>
  <c r="J18" i="6" a="1"/>
  <c r="J18" i="6"/>
  <c r="K18" i="6" a="1"/>
  <c r="K18" i="6"/>
  <c r="L18" i="6" a="1"/>
  <c r="L18" i="6"/>
  <c r="M18" i="6" a="1"/>
  <c r="M18" i="6"/>
  <c r="N18" i="6" a="1"/>
  <c r="N18" i="6"/>
  <c r="O18" i="6" a="1"/>
  <c r="O18" i="6"/>
  <c r="P18" i="6" a="1"/>
  <c r="P18" i="6"/>
  <c r="Q18" i="6" a="1"/>
  <c r="Q18" i="6"/>
  <c r="S18" i="6" a="1"/>
  <c r="S18" i="6"/>
  <c r="T18" i="6" a="1"/>
  <c r="T18" i="6"/>
  <c r="U18" i="6" a="1"/>
  <c r="U18" i="6"/>
  <c r="V18" i="6" a="1"/>
  <c r="V18" i="6"/>
  <c r="W18" i="6" a="1"/>
  <c r="W18" i="6"/>
  <c r="X18" i="6" a="1"/>
  <c r="X18" i="6"/>
  <c r="Y18" i="6" a="1"/>
  <c r="Y18" i="6"/>
  <c r="Z18" i="6" a="1"/>
  <c r="Z18" i="6"/>
  <c r="AA18" i="6" a="1"/>
  <c r="AA18" i="6"/>
  <c r="AB18" i="6" a="1"/>
  <c r="AB18" i="6"/>
  <c r="AC18" i="6" a="1"/>
  <c r="AC18" i="6"/>
  <c r="AD18" i="6" a="1"/>
  <c r="AD18" i="6"/>
  <c r="AE18" i="6" a="1"/>
  <c r="AE18" i="6"/>
  <c r="AF18" i="6" a="1"/>
  <c r="AF18" i="6"/>
  <c r="C19" i="6" a="1"/>
  <c r="C19" i="6"/>
  <c r="D19" i="6" a="1"/>
  <c r="D19" i="6"/>
  <c r="E19" i="6" a="1"/>
  <c r="E19" i="6"/>
  <c r="F19" i="6" a="1"/>
  <c r="F19" i="6"/>
  <c r="G19" i="6" a="1"/>
  <c r="G19" i="6"/>
  <c r="H19" i="6" a="1"/>
  <c r="H19" i="6"/>
  <c r="I19" i="6" a="1"/>
  <c r="I19" i="6"/>
  <c r="J19" i="6" a="1"/>
  <c r="J19" i="6"/>
  <c r="K19" i="6" a="1"/>
  <c r="K19" i="6"/>
  <c r="L19" i="6" a="1"/>
  <c r="L19" i="6"/>
  <c r="M19" i="6" a="1"/>
  <c r="M19" i="6"/>
  <c r="N19" i="6" a="1"/>
  <c r="N19" i="6"/>
  <c r="O19" i="6" a="1"/>
  <c r="O19" i="6"/>
  <c r="P19" i="6" a="1"/>
  <c r="P19" i="6"/>
  <c r="Q19" i="6" a="1"/>
  <c r="Q19" i="6"/>
  <c r="R19" i="6" a="1"/>
  <c r="R19" i="6"/>
  <c r="T19" i="6" a="1"/>
  <c r="T19" i="6"/>
  <c r="U19" i="6" a="1"/>
  <c r="U19" i="6"/>
  <c r="V19" i="6" a="1"/>
  <c r="V19" i="6"/>
  <c r="W19" i="6" a="1"/>
  <c r="W19" i="6"/>
  <c r="X19" i="6" a="1"/>
  <c r="X19" i="6"/>
  <c r="Y19" i="6" a="1"/>
  <c r="Y19" i="6"/>
  <c r="Z19" i="6" a="1"/>
  <c r="Z19" i="6"/>
  <c r="AA19" i="6" a="1"/>
  <c r="AA19" i="6"/>
  <c r="AB19" i="6" a="1"/>
  <c r="AB19" i="6"/>
  <c r="AC19" i="6" a="1"/>
  <c r="AC19" i="6"/>
  <c r="AD19" i="6" a="1"/>
  <c r="AD19" i="6"/>
  <c r="AE19" i="6" a="1"/>
  <c r="AE19" i="6"/>
  <c r="AF19" i="6" a="1"/>
  <c r="AF19" i="6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H20" i="6" a="1"/>
  <c r="H20" i="6" s="1"/>
  <c r="I20" i="6" a="1"/>
  <c r="I20" i="6" s="1"/>
  <c r="J20" i="6" a="1"/>
  <c r="J20" i="6" s="1"/>
  <c r="K20" i="6" a="1"/>
  <c r="K20" i="6" s="1"/>
  <c r="L20" i="6" a="1"/>
  <c r="L20" i="6" s="1"/>
  <c r="M20" i="6" a="1"/>
  <c r="M20" i="6" s="1"/>
  <c r="N20" i="6" a="1"/>
  <c r="N20" i="6" s="1"/>
  <c r="O20" i="6" a="1"/>
  <c r="O20" i="6" s="1"/>
  <c r="P20" i="6" a="1"/>
  <c r="P20" i="6" s="1"/>
  <c r="Q20" i="6" a="1"/>
  <c r="Q20" i="6" s="1"/>
  <c r="R20" i="6" a="1"/>
  <c r="R20" i="6" s="1"/>
  <c r="S20" i="6" a="1"/>
  <c r="S20" i="6" s="1"/>
  <c r="U20" i="6" a="1"/>
  <c r="U20" i="6" s="1"/>
  <c r="V20" i="6" a="1"/>
  <c r="V20" i="6" s="1"/>
  <c r="W20" i="6" a="1"/>
  <c r="W20" i="6" s="1"/>
  <c r="X20" i="6" a="1"/>
  <c r="X20" i="6" s="1"/>
  <c r="Y20" i="6" a="1"/>
  <c r="Y20" i="6" s="1"/>
  <c r="Z20" i="6" a="1"/>
  <c r="Z20" i="6" s="1"/>
  <c r="AA20" i="6" a="1"/>
  <c r="AA20" i="6" s="1"/>
  <c r="AB20" i="6" a="1"/>
  <c r="AB20" i="6" s="1"/>
  <c r="AC20" i="6" a="1"/>
  <c r="AC20" i="6" s="1"/>
  <c r="AD20" i="6" a="1"/>
  <c r="AD20" i="6" s="1"/>
  <c r="AE20" i="6" a="1"/>
  <c r="AE20" i="6" s="1"/>
  <c r="AF20" i="6" a="1"/>
  <c r="AF20" i="6" s="1"/>
  <c r="C21" i="6" a="1"/>
  <c r="C21" i="6" s="1"/>
  <c r="D21" i="6" a="1"/>
  <c r="D21" i="6" s="1"/>
  <c r="E21" i="6" a="1"/>
  <c r="E21" i="6" s="1"/>
  <c r="F21" i="6" a="1"/>
  <c r="F21" i="6" s="1"/>
  <c r="G21" i="6" a="1"/>
  <c r="G21" i="6" s="1"/>
  <c r="H21" i="6" a="1"/>
  <c r="H21" i="6" s="1"/>
  <c r="I21" i="6" a="1"/>
  <c r="I21" i="6" s="1"/>
  <c r="J21" i="6" a="1"/>
  <c r="J21" i="6" s="1"/>
  <c r="K21" i="6" a="1"/>
  <c r="K21" i="6" s="1"/>
  <c r="L21" i="6" a="1"/>
  <c r="L21" i="6" s="1"/>
  <c r="M21" i="6" a="1"/>
  <c r="M21" i="6" s="1"/>
  <c r="N21" i="6" a="1"/>
  <c r="N21" i="6" s="1"/>
  <c r="O21" i="6" a="1"/>
  <c r="O21" i="6" s="1"/>
  <c r="P21" i="6" a="1"/>
  <c r="P21" i="6" s="1"/>
  <c r="Q21" i="6" a="1"/>
  <c r="Q21" i="6" s="1"/>
  <c r="R21" i="6" a="1"/>
  <c r="R21" i="6" s="1"/>
  <c r="S21" i="6" a="1"/>
  <c r="S21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/>
  <c r="AE21" i="6" a="1"/>
  <c r="AE21" i="6"/>
  <c r="AF21" i="6" a="1"/>
  <c r="AF21" i="6"/>
  <c r="C22" i="6" a="1"/>
  <c r="C22" i="6"/>
  <c r="D22" i="6" a="1"/>
  <c r="D22" i="6"/>
  <c r="E22" i="6" a="1"/>
  <c r="E22" i="6"/>
  <c r="F22" i="6" a="1"/>
  <c r="F22" i="6"/>
  <c r="G22" i="6" a="1"/>
  <c r="G22" i="6"/>
  <c r="H22" i="6" a="1"/>
  <c r="H22" i="6"/>
  <c r="I22" i="6" a="1"/>
  <c r="I22" i="6"/>
  <c r="J22" i="6" a="1"/>
  <c r="J22" i="6"/>
  <c r="K22" i="6" a="1"/>
  <c r="K22" i="6"/>
  <c r="L22" i="6" a="1"/>
  <c r="L22" i="6"/>
  <c r="M22" i="6" a="1"/>
  <c r="M22" i="6"/>
  <c r="N22" i="6" a="1"/>
  <c r="N22" i="6"/>
  <c r="O22" i="6" a="1"/>
  <c r="O22" i="6"/>
  <c r="P22" i="6" a="1"/>
  <c r="P22" i="6"/>
  <c r="Q22" i="6" a="1"/>
  <c r="Q22" i="6"/>
  <c r="R22" i="6" a="1"/>
  <c r="R22" i="6"/>
  <c r="S22" i="6" a="1"/>
  <c r="S22" i="6"/>
  <c r="T22" i="6" a="1"/>
  <c r="T22" i="6"/>
  <c r="U22" i="6" a="1"/>
  <c r="U22" i="6"/>
  <c r="W22" i="6" a="1"/>
  <c r="W22" i="6"/>
  <c r="X22" i="6" a="1"/>
  <c r="X22" i="6"/>
  <c r="Y22" i="6" a="1"/>
  <c r="Y22" i="6"/>
  <c r="Z22" i="6" a="1"/>
  <c r="Z22" i="6"/>
  <c r="AA22" i="6" a="1"/>
  <c r="AA22" i="6"/>
  <c r="AB22" i="6" a="1"/>
  <c r="AB22" i="6"/>
  <c r="AC22" i="6" a="1"/>
  <c r="AC22" i="6"/>
  <c r="AD22" i="6" a="1"/>
  <c r="AD22" i="6"/>
  <c r="AE22" i="6" a="1"/>
  <c r="AE22" i="6"/>
  <c r="AF22" i="6" a="1"/>
  <c r="AF22" i="6"/>
  <c r="C23" i="6" a="1"/>
  <c r="C23" i="6"/>
  <c r="D23" i="6" a="1"/>
  <c r="D23" i="6"/>
  <c r="E23" i="6" a="1"/>
  <c r="E23" i="6"/>
  <c r="F23" i="6" a="1"/>
  <c r="F23" i="6"/>
  <c r="G23" i="6" a="1"/>
  <c r="G23" i="6"/>
  <c r="H23" i="6" a="1"/>
  <c r="H23" i="6"/>
  <c r="I23" i="6" a="1"/>
  <c r="I23" i="6"/>
  <c r="J23" i="6" a="1"/>
  <c r="J23" i="6"/>
  <c r="K23" i="6" a="1"/>
  <c r="K23" i="6"/>
  <c r="L23" i="6" a="1"/>
  <c r="L23" i="6"/>
  <c r="M23" i="6" a="1"/>
  <c r="M23" i="6"/>
  <c r="N23" i="6" a="1"/>
  <c r="N23" i="6"/>
  <c r="O23" i="6" a="1"/>
  <c r="O23" i="6"/>
  <c r="P23" i="6" a="1"/>
  <c r="P23" i="6"/>
  <c r="Q23" i="6" a="1"/>
  <c r="Q23" i="6"/>
  <c r="R23" i="6" a="1"/>
  <c r="R23" i="6"/>
  <c r="S23" i="6" a="1"/>
  <c r="S23" i="6"/>
  <c r="T23" i="6" a="1"/>
  <c r="T23" i="6"/>
  <c r="U23" i="6" a="1"/>
  <c r="U23" i="6"/>
  <c r="V23" i="6" a="1"/>
  <c r="V23" i="6"/>
  <c r="X23" i="6" a="1"/>
  <c r="X23" i="6"/>
  <c r="Y23" i="6" a="1"/>
  <c r="Y23" i="6"/>
  <c r="Z23" i="6" a="1"/>
  <c r="Z23" i="6"/>
  <c r="AA23" i="6" a="1"/>
  <c r="AA23" i="6"/>
  <c r="AB23" i="6" a="1"/>
  <c r="AB23" i="6"/>
  <c r="AC23" i="6" a="1"/>
  <c r="AC23" i="6"/>
  <c r="AD23" i="6" a="1"/>
  <c r="AD23" i="6"/>
  <c r="AE23" i="6" a="1"/>
  <c r="AE23" i="6"/>
  <c r="AF23" i="6" a="1"/>
  <c r="AF23" i="6"/>
  <c r="C24" i="6" a="1"/>
  <c r="C24" i="6" s="1"/>
  <c r="D24" i="6" a="1"/>
  <c r="D24" i="6" s="1"/>
  <c r="E24" i="6" a="1"/>
  <c r="E24" i="6" s="1"/>
  <c r="F24" i="6" a="1"/>
  <c r="F24" i="6" s="1"/>
  <c r="G24" i="6" a="1"/>
  <c r="G24" i="6" s="1"/>
  <c r="H24" i="6" a="1"/>
  <c r="H24" i="6" s="1"/>
  <c r="I24" i="6" a="1"/>
  <c r="I24" i="6" s="1"/>
  <c r="J24" i="6" a="1"/>
  <c r="J24" i="6" s="1"/>
  <c r="K24" i="6" a="1"/>
  <c r="K24" i="6" s="1"/>
  <c r="L24" i="6" a="1"/>
  <c r="L24" i="6" s="1"/>
  <c r="M24" i="6" a="1"/>
  <c r="M24" i="6" s="1"/>
  <c r="N24" i="6" a="1"/>
  <c r="N24" i="6" s="1"/>
  <c r="O24" i="6" a="1"/>
  <c r="O24" i="6" s="1"/>
  <c r="P24" i="6" a="1"/>
  <c r="P24" i="6" s="1"/>
  <c r="Q24" i="6" a="1"/>
  <c r="Q24" i="6" s="1"/>
  <c r="R24" i="6" a="1"/>
  <c r="R24" i="6" s="1"/>
  <c r="S24" i="6" a="1"/>
  <c r="S24" i="6" s="1"/>
  <c r="T24" i="6" a="1"/>
  <c r="T24" i="6" s="1"/>
  <c r="U24" i="6" a="1"/>
  <c r="U24" i="6" s="1"/>
  <c r="V24" i="6" a="1"/>
  <c r="V24" i="6" s="1"/>
  <c r="W24" i="6" a="1"/>
  <c r="W24" i="6" s="1"/>
  <c r="Y24" i="6" a="1"/>
  <c r="Y24" i="6" s="1"/>
  <c r="Z24" i="6" a="1"/>
  <c r="Z24" i="6" s="1"/>
  <c r="AA24" i="6" a="1"/>
  <c r="AA24" i="6" s="1"/>
  <c r="AB24" i="6" a="1"/>
  <c r="AB24" i="6" s="1"/>
  <c r="AC24" i="6" a="1"/>
  <c r="AC24" i="6" s="1"/>
  <c r="AD24" i="6" a="1"/>
  <c r="AD24" i="6" s="1"/>
  <c r="AE24" i="6" a="1"/>
  <c r="AE24" i="6" s="1"/>
  <c r="AF24" i="6" a="1"/>
  <c r="AF24" i="6" s="1"/>
  <c r="C25" i="6" a="1"/>
  <c r="C25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/>
  <c r="X25" i="6" a="1"/>
  <c r="X25" i="6"/>
  <c r="Z25" i="6" a="1"/>
  <c r="Z25" i="6"/>
  <c r="AA25" i="6" a="1"/>
  <c r="AA25" i="6"/>
  <c r="AB25" i="6" a="1"/>
  <c r="AB25" i="6"/>
  <c r="AC25" i="6" a="1"/>
  <c r="AC25" i="6"/>
  <c r="AD25" i="6" a="1"/>
  <c r="AD25" i="6"/>
  <c r="AE25" i="6" a="1"/>
  <c r="AE25" i="6"/>
  <c r="AF25" i="6" a="1"/>
  <c r="AF25" i="6"/>
  <c r="C26" i="6" a="1"/>
  <c r="C26" i="6"/>
  <c r="D26" i="6" a="1"/>
  <c r="D26" i="6"/>
  <c r="E26" i="6" a="1"/>
  <c r="E26" i="6"/>
  <c r="F26" i="6" a="1"/>
  <c r="F26" i="6"/>
  <c r="G26" i="6" a="1"/>
  <c r="G26" i="6"/>
  <c r="H26" i="6" a="1"/>
  <c r="H26" i="6"/>
  <c r="I26" i="6" a="1"/>
  <c r="I26" i="6"/>
  <c r="J26" i="6" a="1"/>
  <c r="J26" i="6"/>
  <c r="K26" i="6" a="1"/>
  <c r="K26" i="6"/>
  <c r="L26" i="6" a="1"/>
  <c r="L26" i="6"/>
  <c r="M26" i="6" a="1"/>
  <c r="M26" i="6"/>
  <c r="N26" i="6" a="1"/>
  <c r="N26" i="6"/>
  <c r="O26" i="6" a="1"/>
  <c r="O26" i="6"/>
  <c r="P26" i="6" a="1"/>
  <c r="P26" i="6"/>
  <c r="Q26" i="6" a="1"/>
  <c r="Q26" i="6"/>
  <c r="R26" i="6" a="1"/>
  <c r="R26" i="6"/>
  <c r="S26" i="6" a="1"/>
  <c r="S26" i="6"/>
  <c r="T26" i="6" a="1"/>
  <c r="T26" i="6"/>
  <c r="U26" i="6" a="1"/>
  <c r="U26" i="6"/>
  <c r="V26" i="6" a="1"/>
  <c r="V26" i="6"/>
  <c r="W26" i="6" a="1"/>
  <c r="W26" i="6"/>
  <c r="X26" i="6" a="1"/>
  <c r="X26" i="6"/>
  <c r="Y26" i="6" a="1"/>
  <c r="Y26" i="6"/>
  <c r="AA26" i="6" a="1"/>
  <c r="AA26" i="6"/>
  <c r="AB26" i="6" a="1"/>
  <c r="AB26" i="6"/>
  <c r="AC26" i="6" a="1"/>
  <c r="AC26" i="6"/>
  <c r="AD26" i="6" a="1"/>
  <c r="AD26" i="6"/>
  <c r="AE26" i="6" a="1"/>
  <c r="AE26" i="6"/>
  <c r="AF26" i="6" a="1"/>
  <c r="AF26" i="6"/>
  <c r="C27" i="6" a="1"/>
  <c r="C27" i="6"/>
  <c r="D27" i="6" a="1"/>
  <c r="D27" i="6"/>
  <c r="E27" i="6" a="1"/>
  <c r="E27" i="6"/>
  <c r="F27" i="6" a="1"/>
  <c r="F27" i="6"/>
  <c r="G27" i="6" a="1"/>
  <c r="G27" i="6"/>
  <c r="H27" i="6" a="1"/>
  <c r="H27" i="6"/>
  <c r="I27" i="6" a="1"/>
  <c r="I27" i="6"/>
  <c r="J27" i="6" a="1"/>
  <c r="J27" i="6"/>
  <c r="K27" i="6" a="1"/>
  <c r="K27" i="6"/>
  <c r="L27" i="6" a="1"/>
  <c r="L27" i="6"/>
  <c r="M27" i="6" a="1"/>
  <c r="M27" i="6"/>
  <c r="N27" i="6" a="1"/>
  <c r="N27" i="6"/>
  <c r="O27" i="6" a="1"/>
  <c r="O27" i="6"/>
  <c r="P27" i="6" a="1"/>
  <c r="P27" i="6"/>
  <c r="Q27" i="6" a="1"/>
  <c r="Q27" i="6"/>
  <c r="R27" i="6" a="1"/>
  <c r="R27" i="6"/>
  <c r="S27" i="6" a="1"/>
  <c r="S27" i="6"/>
  <c r="T27" i="6" a="1"/>
  <c r="T27" i="6"/>
  <c r="U27" i="6" a="1"/>
  <c r="U27" i="6"/>
  <c r="V27" i="6" a="1"/>
  <c r="V27" i="6"/>
  <c r="W27" i="6" a="1"/>
  <c r="W27" i="6"/>
  <c r="X27" i="6" a="1"/>
  <c r="X27" i="6"/>
  <c r="Y27" i="6" a="1"/>
  <c r="Y27" i="6"/>
  <c r="Z27" i="6" a="1"/>
  <c r="Z27" i="6"/>
  <c r="AB27" i="6" a="1"/>
  <c r="AB27" i="6"/>
  <c r="AC27" i="6" a="1"/>
  <c r="AC27" i="6"/>
  <c r="AD27" i="6" a="1"/>
  <c r="AD27" i="6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G28" i="6" a="1"/>
  <c r="G28" i="6" s="1"/>
  <c r="H28" i="6" a="1"/>
  <c r="H28" i="6" s="1"/>
  <c r="I28" i="6" a="1"/>
  <c r="I28" i="6" s="1"/>
  <c r="J28" i="6" a="1"/>
  <c r="J28" i="6" s="1"/>
  <c r="K28" i="6" a="1"/>
  <c r="K28" i="6" s="1"/>
  <c r="L28" i="6" a="1"/>
  <c r="L28" i="6" s="1"/>
  <c r="M28" i="6" a="1"/>
  <c r="M28" i="6" s="1"/>
  <c r="N28" i="6" a="1"/>
  <c r="N28" i="6" s="1"/>
  <c r="O28" i="6" a="1"/>
  <c r="O28" i="6" s="1"/>
  <c r="P28" i="6" a="1"/>
  <c r="P28" i="6" s="1"/>
  <c r="Q28" i="6" a="1"/>
  <c r="Q28" i="6" s="1"/>
  <c r="R28" i="6" a="1"/>
  <c r="R28" i="6" s="1"/>
  <c r="S28" i="6" a="1"/>
  <c r="S28" i="6" s="1"/>
  <c r="T28" i="6" a="1"/>
  <c r="T28" i="6" s="1"/>
  <c r="U28" i="6" a="1"/>
  <c r="U28" i="6" s="1"/>
  <c r="V28" i="6" a="1"/>
  <c r="V28" i="6" s="1"/>
  <c r="W28" i="6" a="1"/>
  <c r="W28" i="6" s="1"/>
  <c r="X28" i="6" a="1"/>
  <c r="X28" i="6" s="1"/>
  <c r="Y28" i="6" a="1"/>
  <c r="Y28" i="6" s="1"/>
  <c r="Z28" i="6" a="1"/>
  <c r="Z28" i="6" s="1"/>
  <c r="AA28" i="6" a="1"/>
  <c r="AA28" i="6" s="1"/>
  <c r="AC28" i="6" a="1"/>
  <c r="AC28" i="6" s="1"/>
  <c r="AD28" i="6" a="1"/>
  <c r="AD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/>
  <c r="R29" i="6" a="1"/>
  <c r="R29" i="6"/>
  <c r="S29" i="6" a="1"/>
  <c r="S29" i="6"/>
  <c r="T29" i="6" a="1"/>
  <c r="T29" i="6"/>
  <c r="U29" i="6" a="1"/>
  <c r="U29" i="6"/>
  <c r="V29" i="6" a="1"/>
  <c r="V29" i="6"/>
  <c r="W29" i="6" a="1"/>
  <c r="W29" i="6"/>
  <c r="X29" i="6" a="1"/>
  <c r="X29" i="6"/>
  <c r="Y29" i="6" a="1"/>
  <c r="Y29" i="6"/>
  <c r="Z29" i="6" a="1"/>
  <c r="Z29" i="6"/>
  <c r="AA29" i="6" a="1"/>
  <c r="AA29" i="6"/>
  <c r="AB29" i="6" a="1"/>
  <c r="AB29" i="6"/>
  <c r="AD29" i="6" a="1"/>
  <c r="AD29" i="6"/>
  <c r="AE29" i="6" a="1"/>
  <c r="AE29" i="6"/>
  <c r="AF29" i="6" a="1"/>
  <c r="AF29" i="6"/>
  <c r="C30" i="6" a="1"/>
  <c r="C30" i="6"/>
  <c r="D30" i="6" a="1"/>
  <c r="D30" i="6"/>
  <c r="E30" i="6" a="1"/>
  <c r="E30" i="6"/>
  <c r="F30" i="6" a="1"/>
  <c r="F30" i="6"/>
  <c r="G30" i="6" a="1"/>
  <c r="G30" i="6"/>
  <c r="H30" i="6" a="1"/>
  <c r="H30" i="6"/>
  <c r="I30" i="6" a="1"/>
  <c r="I30" i="6"/>
  <c r="J30" i="6" a="1"/>
  <c r="J30" i="6"/>
  <c r="K30" i="6" a="1"/>
  <c r="K30" i="6"/>
  <c r="L30" i="6" a="1"/>
  <c r="L30" i="6"/>
  <c r="M30" i="6" a="1"/>
  <c r="M30" i="6"/>
  <c r="N30" i="6" a="1"/>
  <c r="N30" i="6"/>
  <c r="O30" i="6" a="1"/>
  <c r="O30" i="6"/>
  <c r="P30" i="6" a="1"/>
  <c r="P30" i="6"/>
  <c r="Q30" i="6" a="1"/>
  <c r="Q30" i="6"/>
  <c r="R30" i="6" a="1"/>
  <c r="R30" i="6"/>
  <c r="S30" i="6" a="1"/>
  <c r="S30" i="6"/>
  <c r="T30" i="6" a="1"/>
  <c r="T30" i="6"/>
  <c r="U30" i="6" a="1"/>
  <c r="U30" i="6"/>
  <c r="V30" i="6" a="1"/>
  <c r="V30" i="6"/>
  <c r="W30" i="6" a="1"/>
  <c r="W30" i="6"/>
  <c r="X30" i="6" a="1"/>
  <c r="X30" i="6"/>
  <c r="Y30" i="6" a="1"/>
  <c r="Y30" i="6"/>
  <c r="Z30" i="6" a="1"/>
  <c r="Z30" i="6"/>
  <c r="AA30" i="6" a="1"/>
  <c r="AA30" i="6"/>
  <c r="AB30" i="6" a="1"/>
  <c r="AB30" i="6"/>
  <c r="AC30" i="6" a="1"/>
  <c r="AC30" i="6"/>
  <c r="AE30" i="6" a="1"/>
  <c r="AE30" i="6"/>
  <c r="AF30" i="6" a="1"/>
  <c r="AF30" i="6"/>
  <c r="C31" i="6" a="1"/>
  <c r="C31" i="6"/>
  <c r="D31" i="6" a="1"/>
  <c r="D31" i="6"/>
  <c r="E31" i="6" a="1"/>
  <c r="E31" i="6"/>
  <c r="F31" i="6" a="1"/>
  <c r="F31" i="6"/>
  <c r="G31" i="6" a="1"/>
  <c r="G31" i="6"/>
  <c r="H31" i="6" a="1"/>
  <c r="H31" i="6"/>
  <c r="I31" i="6" a="1"/>
  <c r="I31" i="6"/>
  <c r="J31" i="6" a="1"/>
  <c r="J31" i="6"/>
  <c r="K31" i="6" a="1"/>
  <c r="K31" i="6"/>
  <c r="L31" i="6" a="1"/>
  <c r="L31" i="6"/>
  <c r="M31" i="6" a="1"/>
  <c r="M31" i="6"/>
  <c r="N31" i="6" a="1"/>
  <c r="N31" i="6"/>
  <c r="O31" i="6" a="1"/>
  <c r="O31" i="6"/>
  <c r="P31" i="6" a="1"/>
  <c r="P31" i="6"/>
  <c r="Q31" i="6" a="1"/>
  <c r="Q31" i="6"/>
  <c r="R31" i="6" a="1"/>
  <c r="R31" i="6"/>
  <c r="S31" i="6" a="1"/>
  <c r="S31" i="6"/>
  <c r="T31" i="6" a="1"/>
  <c r="T31" i="6"/>
  <c r="U31" i="6" a="1"/>
  <c r="U31" i="6"/>
  <c r="V31" i="6" a="1"/>
  <c r="V31" i="6"/>
  <c r="W31" i="6" a="1"/>
  <c r="W31" i="6"/>
  <c r="X31" i="6" a="1"/>
  <c r="X31" i="6"/>
  <c r="Y31" i="6" a="1"/>
  <c r="Y31" i="6"/>
  <c r="Z31" i="6" a="1"/>
  <c r="Z31" i="6"/>
  <c r="AA31" i="6" a="1"/>
  <c r="AA31" i="6"/>
  <c r="AB31" i="6" a="1"/>
  <c r="AB31" i="6"/>
  <c r="AC31" i="6" a="1"/>
  <c r="AC31" i="6"/>
  <c r="AD31" i="6" a="1"/>
  <c r="AD31" i="6" s="1"/>
  <c r="AF31" i="6" a="1"/>
  <c r="AF31" i="6" s="1"/>
  <c r="D2" i="6" a="1"/>
  <c r="D2" i="6" s="1"/>
  <c r="E2" i="6" a="1"/>
  <c r="E2" i="6" s="1"/>
  <c r="F2" i="6" a="1"/>
  <c r="F2" i="6" s="1"/>
  <c r="G2" i="6" a="1"/>
  <c r="G2" i="6" s="1"/>
  <c r="H2" i="6" a="1"/>
  <c r="H2" i="6" s="1"/>
  <c r="I2" i="6" a="1"/>
  <c r="I2" i="6" s="1"/>
  <c r="J2" i="6" a="1"/>
  <c r="J2" i="6" s="1"/>
  <c r="K2" i="6" a="1"/>
  <c r="K2" i="6" s="1"/>
  <c r="L2" i="6" a="1"/>
  <c r="L2" i="6" s="1"/>
  <c r="M2" i="6" a="1"/>
  <c r="M2" i="6" s="1"/>
  <c r="N2" i="6" a="1"/>
  <c r="N2" i="6" s="1"/>
  <c r="O2" i="6" a="1"/>
  <c r="O2" i="6" s="1"/>
  <c r="P2" i="6" a="1"/>
  <c r="P2" i="6" s="1"/>
  <c r="Q2" i="6" a="1"/>
  <c r="Q2" i="6" s="1"/>
  <c r="R2" i="6" a="1"/>
  <c r="R2" i="6" s="1"/>
  <c r="S2" i="6" a="1"/>
  <c r="S2" i="6" s="1"/>
  <c r="T2" i="6" a="1"/>
  <c r="T2" i="6" s="1"/>
  <c r="U2" i="6" a="1"/>
  <c r="U2" i="6" s="1"/>
  <c r="V2" i="6" a="1"/>
  <c r="V2" i="6" s="1"/>
  <c r="W2" i="6" a="1"/>
  <c r="W2" i="6" s="1"/>
  <c r="X2" i="6" a="1"/>
  <c r="X2" i="6" s="1"/>
  <c r="Y2" i="6" a="1"/>
  <c r="Y2" i="6" s="1"/>
  <c r="Z2" i="6" a="1"/>
  <c r="Z2" i="6" s="1"/>
  <c r="AA2" i="6" a="1"/>
  <c r="AA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K36" i="3"/>
  <c r="L36" i="3" s="1"/>
  <c r="M36" i="3"/>
  <c r="N36" i="3"/>
  <c r="O36" i="3" s="1"/>
  <c r="P36" i="3"/>
  <c r="K164" i="2"/>
  <c r="K163" i="2"/>
  <c r="K162" i="2"/>
  <c r="K161" i="2"/>
  <c r="K160" i="2"/>
  <c r="K159" i="2"/>
  <c r="K158" i="2"/>
  <c r="K157" i="2"/>
  <c r="K156" i="2"/>
  <c r="K155" i="2"/>
  <c r="C35" i="3"/>
  <c r="K35" i="3"/>
  <c r="L35" i="3" s="1"/>
  <c r="M35" i="3"/>
  <c r="N35" i="3"/>
  <c r="O35" i="3" s="1"/>
  <c r="P35" i="3"/>
  <c r="A2" i="6" a="1"/>
  <c r="P34" i="3"/>
  <c r="N34" i="3"/>
  <c r="M34" i="3"/>
  <c r="K34" i="3"/>
  <c r="C34" i="3"/>
  <c r="P33" i="3"/>
  <c r="N33" i="3"/>
  <c r="M33" i="3"/>
  <c r="K33" i="3"/>
  <c r="C33" i="3"/>
  <c r="P32" i="3"/>
  <c r="N32" i="3"/>
  <c r="M32" i="3"/>
  <c r="K32" i="3"/>
  <c r="C32" i="3"/>
  <c r="P31" i="3"/>
  <c r="N31" i="3"/>
  <c r="M31" i="3"/>
  <c r="K31" i="3"/>
  <c r="C31" i="3"/>
  <c r="P30" i="3"/>
  <c r="N30" i="3"/>
  <c r="M30" i="3"/>
  <c r="K30" i="3"/>
  <c r="C30" i="3"/>
  <c r="P29" i="3"/>
  <c r="N29" i="3"/>
  <c r="M29" i="3"/>
  <c r="K29" i="3"/>
  <c r="C29" i="3"/>
  <c r="P28" i="3"/>
  <c r="N28" i="3"/>
  <c r="M28" i="3"/>
  <c r="K28" i="3"/>
  <c r="C28" i="3"/>
  <c r="P27" i="3"/>
  <c r="N27" i="3"/>
  <c r="M27" i="3"/>
  <c r="K27" i="3"/>
  <c r="C27" i="3"/>
  <c r="P26" i="3"/>
  <c r="N26" i="3"/>
  <c r="M26" i="3"/>
  <c r="K26" i="3"/>
  <c r="C26" i="3"/>
  <c r="P25" i="3"/>
  <c r="N25" i="3"/>
  <c r="M25" i="3"/>
  <c r="K25" i="3"/>
  <c r="C25" i="3"/>
  <c r="P24" i="3"/>
  <c r="N24" i="3"/>
  <c r="M24" i="3"/>
  <c r="K24" i="3"/>
  <c r="C24" i="3"/>
  <c r="P23" i="3"/>
  <c r="N23" i="3"/>
  <c r="M23" i="3"/>
  <c r="K23" i="3"/>
  <c r="C23" i="3"/>
  <c r="O23" i="3" s="1"/>
  <c r="P22" i="3"/>
  <c r="N22" i="3"/>
  <c r="M22" i="3"/>
  <c r="K22" i="3"/>
  <c r="I22" i="3"/>
  <c r="H22" i="3"/>
  <c r="G22" i="3"/>
  <c r="J22" i="3" s="1"/>
  <c r="E22" i="3"/>
  <c r="D22" i="3"/>
  <c r="C22" i="3"/>
  <c r="P21" i="3"/>
  <c r="N21" i="3"/>
  <c r="M21" i="3"/>
  <c r="K21" i="3"/>
  <c r="C21" i="3"/>
  <c r="P20" i="3"/>
  <c r="N20" i="3"/>
  <c r="M20" i="3"/>
  <c r="K20" i="3"/>
  <c r="C20" i="3"/>
  <c r="P19" i="3"/>
  <c r="N19" i="3"/>
  <c r="M19" i="3"/>
  <c r="K19" i="3"/>
  <c r="C19" i="3"/>
  <c r="P18" i="3"/>
  <c r="N18" i="3"/>
  <c r="M18" i="3"/>
  <c r="K18" i="3"/>
  <c r="C18" i="3"/>
  <c r="P17" i="3"/>
  <c r="N17" i="3"/>
  <c r="M17" i="3"/>
  <c r="K17" i="3"/>
  <c r="C17" i="3"/>
  <c r="P16" i="3"/>
  <c r="N16" i="3"/>
  <c r="M16" i="3"/>
  <c r="K16" i="3"/>
  <c r="C16" i="3"/>
  <c r="P15" i="3"/>
  <c r="N15" i="3"/>
  <c r="M15" i="3"/>
  <c r="K15" i="3"/>
  <c r="C15" i="3"/>
  <c r="P14" i="3"/>
  <c r="N14" i="3"/>
  <c r="M14" i="3"/>
  <c r="K14" i="3"/>
  <c r="I14" i="3"/>
  <c r="H14" i="3"/>
  <c r="G14" i="3"/>
  <c r="J14" i="3" s="1"/>
  <c r="E14" i="3"/>
  <c r="D14" i="3"/>
  <c r="F14" i="3" s="1"/>
  <c r="C14" i="3"/>
  <c r="P13" i="3"/>
  <c r="N13" i="3"/>
  <c r="M13" i="3"/>
  <c r="K13" i="3"/>
  <c r="I13" i="3"/>
  <c r="H13" i="3"/>
  <c r="G13" i="3"/>
  <c r="J13" i="3" s="1"/>
  <c r="E13" i="3"/>
  <c r="D13" i="3"/>
  <c r="F13" i="3" s="1"/>
  <c r="C13" i="3"/>
  <c r="O13" i="3" s="1"/>
  <c r="P12" i="3"/>
  <c r="N12" i="3"/>
  <c r="M12" i="3"/>
  <c r="K12" i="3"/>
  <c r="C12" i="3"/>
  <c r="O12" i="3" s="1"/>
  <c r="P11" i="3"/>
  <c r="N11" i="3"/>
  <c r="M11" i="3"/>
  <c r="K11" i="3"/>
  <c r="I11" i="3"/>
  <c r="H11" i="3"/>
  <c r="G11" i="3"/>
  <c r="J11" i="3" s="1"/>
  <c r="E11" i="3"/>
  <c r="D11" i="3"/>
  <c r="F11" i="3" s="1"/>
  <c r="C11" i="3"/>
  <c r="O11" i="3" s="1"/>
  <c r="P10" i="3"/>
  <c r="N10" i="3"/>
  <c r="M10" i="3"/>
  <c r="K10" i="3"/>
  <c r="C10" i="3"/>
  <c r="O10" i="3" s="1"/>
  <c r="P9" i="3"/>
  <c r="N9" i="3"/>
  <c r="M9" i="3"/>
  <c r="K9" i="3"/>
  <c r="C9" i="3"/>
  <c r="O9" i="3" s="1"/>
  <c r="P8" i="3"/>
  <c r="N8" i="3"/>
  <c r="M8" i="3"/>
  <c r="K8" i="3"/>
  <c r="C8" i="3"/>
  <c r="O8" i="3" s="1"/>
  <c r="P7" i="3"/>
  <c r="N7" i="3"/>
  <c r="M7" i="3"/>
  <c r="K7" i="3"/>
  <c r="C7" i="3"/>
  <c r="O7" i="3" s="1"/>
  <c r="P6" i="3"/>
  <c r="N6" i="3"/>
  <c r="M6" i="3"/>
  <c r="K6" i="3"/>
  <c r="C6" i="3"/>
  <c r="O6" i="3" s="1"/>
  <c r="P5" i="3"/>
  <c r="N5" i="3"/>
  <c r="M5" i="3"/>
  <c r="K5" i="3"/>
  <c r="C5" i="3"/>
  <c r="O5" i="3" s="1"/>
  <c r="P4" i="3"/>
  <c r="N4" i="3"/>
  <c r="M4" i="3"/>
  <c r="K4" i="3"/>
  <c r="C4" i="3"/>
  <c r="O4" i="3" s="1"/>
  <c r="P3" i="3"/>
  <c r="N3" i="3"/>
  <c r="M3" i="3"/>
  <c r="K3" i="3"/>
  <c r="C3" i="3"/>
  <c r="P2" i="3"/>
  <c r="N2" i="3"/>
  <c r="M2" i="3"/>
  <c r="K2" i="3"/>
  <c r="C2" i="3"/>
  <c r="K154" i="2"/>
  <c r="F154" i="2"/>
  <c r="E154" i="2"/>
  <c r="G154" i="2" s="1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G150" i="2" s="1"/>
  <c r="K149" i="2"/>
  <c r="F149" i="2"/>
  <c r="E149" i="2"/>
  <c r="K148" i="2"/>
  <c r="F148" i="2"/>
  <c r="E148" i="2"/>
  <c r="G148" i="2" s="1"/>
  <c r="K147" i="2"/>
  <c r="F147" i="2"/>
  <c r="E147" i="2"/>
  <c r="G147" i="2" s="1"/>
  <c r="K146" i="2"/>
  <c r="F146" i="2"/>
  <c r="E146" i="2"/>
  <c r="G146" i="2" s="1"/>
  <c r="K145" i="2"/>
  <c r="F145" i="2"/>
  <c r="E145" i="2"/>
  <c r="K144" i="2"/>
  <c r="F144" i="2"/>
  <c r="E144" i="2"/>
  <c r="G144" i="2" s="1"/>
  <c r="K143" i="2"/>
  <c r="F143" i="2"/>
  <c r="E143" i="2"/>
  <c r="G143" i="2" s="1"/>
  <c r="K142" i="2"/>
  <c r="F142" i="2"/>
  <c r="E142" i="2"/>
  <c r="G142" i="2" s="1"/>
  <c r="K141" i="2"/>
  <c r="F141" i="2"/>
  <c r="E141" i="2"/>
  <c r="G141" i="2" s="1"/>
  <c r="K140" i="2"/>
  <c r="F140" i="2"/>
  <c r="E140" i="2"/>
  <c r="G140" i="2" s="1"/>
  <c r="K139" i="2"/>
  <c r="F139" i="2"/>
  <c r="E139" i="2"/>
  <c r="G139" i="2" s="1"/>
  <c r="K138" i="2"/>
  <c r="F138" i="2"/>
  <c r="E138" i="2"/>
  <c r="G138" i="2" s="1"/>
  <c r="K137" i="2"/>
  <c r="F137" i="2"/>
  <c r="E137" i="2"/>
  <c r="G137" i="2" s="1"/>
  <c r="K136" i="2"/>
  <c r="F136" i="2"/>
  <c r="E136" i="2"/>
  <c r="K135" i="2"/>
  <c r="F135" i="2"/>
  <c r="E135" i="2"/>
  <c r="G135" i="2" s="1"/>
  <c r="K134" i="2"/>
  <c r="F134" i="2"/>
  <c r="E134" i="2"/>
  <c r="G134" i="2" s="1"/>
  <c r="K133" i="2"/>
  <c r="F133" i="2"/>
  <c r="E133" i="2"/>
  <c r="G133" i="2" s="1"/>
  <c r="K132" i="2"/>
  <c r="F132" i="2"/>
  <c r="E132" i="2"/>
  <c r="G132" i="2" s="1"/>
  <c r="K131" i="2"/>
  <c r="F131" i="2"/>
  <c r="E131" i="2"/>
  <c r="G131" i="2" s="1"/>
  <c r="K130" i="2"/>
  <c r="F130" i="2"/>
  <c r="E130" i="2"/>
  <c r="G130" i="2" s="1"/>
  <c r="K129" i="2"/>
  <c r="F129" i="2"/>
  <c r="E129" i="2"/>
  <c r="G129" i="2" s="1"/>
  <c r="K128" i="2"/>
  <c r="F128" i="2"/>
  <c r="E128" i="2"/>
  <c r="G128" i="2" s="1"/>
  <c r="K127" i="2"/>
  <c r="F127" i="2"/>
  <c r="E127" i="2"/>
  <c r="G127" i="2" s="1"/>
  <c r="K126" i="2"/>
  <c r="F126" i="2"/>
  <c r="E126" i="2"/>
  <c r="G126" i="2" s="1"/>
  <c r="K125" i="2"/>
  <c r="F125" i="2"/>
  <c r="E125" i="2"/>
  <c r="G125" i="2" s="1"/>
  <c r="K124" i="2"/>
  <c r="F124" i="2"/>
  <c r="E124" i="2"/>
  <c r="G124" i="2" s="1"/>
  <c r="K123" i="2"/>
  <c r="F123" i="2"/>
  <c r="E123" i="2"/>
  <c r="G123" i="2" s="1"/>
  <c r="K122" i="2"/>
  <c r="F122" i="2"/>
  <c r="E122" i="2"/>
  <c r="G122" i="2" s="1"/>
  <c r="K121" i="2"/>
  <c r="F121" i="2"/>
  <c r="E121" i="2"/>
  <c r="G121" i="2" s="1"/>
  <c r="K120" i="2"/>
  <c r="F120" i="2"/>
  <c r="E120" i="2"/>
  <c r="G120" i="2" s="1"/>
  <c r="K119" i="2"/>
  <c r="F119" i="2"/>
  <c r="E119" i="2"/>
  <c r="G119" i="2" s="1"/>
  <c r="K118" i="2"/>
  <c r="F118" i="2"/>
  <c r="E118" i="2"/>
  <c r="G118" i="2" s="1"/>
  <c r="K117" i="2"/>
  <c r="F117" i="2"/>
  <c r="E117" i="2"/>
  <c r="G117" i="2" s="1"/>
  <c r="K116" i="2"/>
  <c r="F116" i="2"/>
  <c r="E116" i="2"/>
  <c r="G116" i="2" s="1"/>
  <c r="K115" i="2"/>
  <c r="F115" i="2"/>
  <c r="E115" i="2"/>
  <c r="G115" i="2" s="1"/>
  <c r="K114" i="2"/>
  <c r="F114" i="2"/>
  <c r="E114" i="2"/>
  <c r="G114" i="2" s="1"/>
  <c r="K113" i="2"/>
  <c r="F113" i="2"/>
  <c r="E113" i="2"/>
  <c r="G113" i="2" s="1"/>
  <c r="K112" i="2"/>
  <c r="F112" i="2"/>
  <c r="E112" i="2"/>
  <c r="G112" i="2" s="1"/>
  <c r="K111" i="2"/>
  <c r="F111" i="2"/>
  <c r="E111" i="2"/>
  <c r="G111" i="2" s="1"/>
  <c r="K110" i="2"/>
  <c r="F110" i="2"/>
  <c r="E110" i="2"/>
  <c r="G110" i="2" s="1"/>
  <c r="K109" i="2"/>
  <c r="F109" i="2"/>
  <c r="E109" i="2"/>
  <c r="G109" i="2" s="1"/>
  <c r="K108" i="2"/>
  <c r="F108" i="2"/>
  <c r="E108" i="2"/>
  <c r="K107" i="2"/>
  <c r="F107" i="2"/>
  <c r="E107" i="2"/>
  <c r="G107" i="2" s="1"/>
  <c r="K106" i="2"/>
  <c r="F106" i="2"/>
  <c r="E106" i="2"/>
  <c r="G106" i="2" s="1"/>
  <c r="K105" i="2"/>
  <c r="F105" i="2"/>
  <c r="E105" i="2"/>
  <c r="G105" i="2" s="1"/>
  <c r="K104" i="2"/>
  <c r="F104" i="2"/>
  <c r="E104" i="2"/>
  <c r="G104" i="2" s="1"/>
  <c r="K103" i="2"/>
  <c r="F103" i="2"/>
  <c r="E103" i="2"/>
  <c r="G103" i="2" s="1"/>
  <c r="K102" i="2"/>
  <c r="F102" i="2"/>
  <c r="E102" i="2"/>
  <c r="G102" i="2" s="1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G98" i="2" s="1"/>
  <c r="K97" i="2"/>
  <c r="F97" i="2"/>
  <c r="E97" i="2"/>
  <c r="G97" i="2" s="1"/>
  <c r="K96" i="2"/>
  <c r="F96" i="2"/>
  <c r="E27" i="3" s="1"/>
  <c r="E96" i="2"/>
  <c r="K95" i="2"/>
  <c r="F95" i="2"/>
  <c r="E95" i="2"/>
  <c r="K94" i="2"/>
  <c r="F94" i="2"/>
  <c r="E94" i="2"/>
  <c r="G94" i="2" s="1"/>
  <c r="K93" i="2"/>
  <c r="F93" i="2"/>
  <c r="E93" i="2"/>
  <c r="G93" i="2" s="1"/>
  <c r="K92" i="2"/>
  <c r="F92" i="2"/>
  <c r="E92" i="2"/>
  <c r="K91" i="2"/>
  <c r="F91" i="2"/>
  <c r="E91" i="2"/>
  <c r="G91" i="2" s="1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G87" i="2" s="1"/>
  <c r="K86" i="2"/>
  <c r="F86" i="2"/>
  <c r="E86" i="2"/>
  <c r="G86" i="2" s="1"/>
  <c r="K85" i="2"/>
  <c r="F85" i="2"/>
  <c r="E85" i="2"/>
  <c r="G85" i="2" s="1"/>
  <c r="K84" i="2"/>
  <c r="F84" i="2"/>
  <c r="E84" i="2"/>
  <c r="K83" i="2"/>
  <c r="F83" i="2"/>
  <c r="E83" i="2"/>
  <c r="K82" i="2"/>
  <c r="F82" i="2"/>
  <c r="E82" i="2"/>
  <c r="K81" i="2"/>
  <c r="F81" i="2"/>
  <c r="E81" i="2"/>
  <c r="G81" i="2" s="1"/>
  <c r="K80" i="2"/>
  <c r="F80" i="2"/>
  <c r="E80" i="2"/>
  <c r="G80" i="2" s="1"/>
  <c r="K79" i="2"/>
  <c r="F79" i="2"/>
  <c r="E79" i="2"/>
  <c r="G79" i="2" s="1"/>
  <c r="K78" i="2"/>
  <c r="F78" i="2"/>
  <c r="E78" i="2"/>
  <c r="G78" i="2" s="1"/>
  <c r="K77" i="2"/>
  <c r="E77" i="2"/>
  <c r="G77" i="2" s="1"/>
  <c r="K76" i="2"/>
  <c r="F76" i="2"/>
  <c r="E76" i="2"/>
  <c r="K75" i="2"/>
  <c r="F75" i="2"/>
  <c r="E75" i="2"/>
  <c r="G75" i="2" s="1"/>
  <c r="K74" i="2"/>
  <c r="F74" i="2"/>
  <c r="E74" i="2"/>
  <c r="G74" i="2" s="1"/>
  <c r="K73" i="2"/>
  <c r="F73" i="2"/>
  <c r="E73" i="2"/>
  <c r="G73" i="2" s="1"/>
  <c r="K72" i="2"/>
  <c r="F72" i="2"/>
  <c r="E72" i="2"/>
  <c r="G72" i="2" s="1"/>
  <c r="K71" i="2"/>
  <c r="F71" i="2"/>
  <c r="E71" i="2"/>
  <c r="G71" i="2" s="1"/>
  <c r="K70" i="2"/>
  <c r="F70" i="2"/>
  <c r="E70" i="2"/>
  <c r="G70" i="2" s="1"/>
  <c r="K69" i="2"/>
  <c r="F69" i="2"/>
  <c r="E69" i="2"/>
  <c r="G69" i="2" s="1"/>
  <c r="K68" i="2"/>
  <c r="F68" i="2"/>
  <c r="E68" i="2"/>
  <c r="K67" i="2"/>
  <c r="F67" i="2"/>
  <c r="E67" i="2"/>
  <c r="G67" i="2" s="1"/>
  <c r="K66" i="2"/>
  <c r="F66" i="2"/>
  <c r="E66" i="2"/>
  <c r="G66" i="2" s="1"/>
  <c r="K65" i="2"/>
  <c r="F65" i="2"/>
  <c r="E65" i="2"/>
  <c r="G65" i="2" s="1"/>
  <c r="K64" i="2"/>
  <c r="F64" i="2"/>
  <c r="E64" i="2"/>
  <c r="G64" i="2" s="1"/>
  <c r="K63" i="2"/>
  <c r="F63" i="2"/>
  <c r="E63" i="2"/>
  <c r="G63" i="2" s="1"/>
  <c r="K62" i="2"/>
  <c r="F62" i="2"/>
  <c r="E62" i="2"/>
  <c r="G62" i="2" s="1"/>
  <c r="K61" i="2"/>
  <c r="F61" i="2"/>
  <c r="E61" i="2"/>
  <c r="K60" i="2"/>
  <c r="F60" i="2"/>
  <c r="E60" i="2"/>
  <c r="K59" i="2"/>
  <c r="F59" i="2"/>
  <c r="E59" i="2"/>
  <c r="G59" i="2" s="1"/>
  <c r="K58" i="2"/>
  <c r="F58" i="2"/>
  <c r="E58" i="2"/>
  <c r="K57" i="2"/>
  <c r="F57" i="2"/>
  <c r="E57" i="2"/>
  <c r="G57" i="2" s="1"/>
  <c r="K56" i="2"/>
  <c r="F56" i="2"/>
  <c r="E56" i="2"/>
  <c r="G56" i="2" s="1"/>
  <c r="K55" i="2"/>
  <c r="F55" i="2"/>
  <c r="E55" i="2"/>
  <c r="K54" i="2"/>
  <c r="F54" i="2"/>
  <c r="E54" i="2"/>
  <c r="G54" i="2" s="1"/>
  <c r="K53" i="2"/>
  <c r="F53" i="2"/>
  <c r="E53" i="2"/>
  <c r="K52" i="2"/>
  <c r="F52" i="2"/>
  <c r="E52" i="2"/>
  <c r="G52" i="2" s="1"/>
  <c r="K51" i="2"/>
  <c r="F51" i="2"/>
  <c r="E51" i="2"/>
  <c r="G51" i="2" s="1"/>
  <c r="K50" i="2"/>
  <c r="F50" i="2"/>
  <c r="E32" i="3" s="1"/>
  <c r="E50" i="2"/>
  <c r="K49" i="2"/>
  <c r="F49" i="2"/>
  <c r="E49" i="2"/>
  <c r="G49" i="2" s="1"/>
  <c r="K48" i="2"/>
  <c r="F48" i="2"/>
  <c r="E48" i="2"/>
  <c r="G48" i="2" s="1"/>
  <c r="K47" i="2"/>
  <c r="F47" i="2"/>
  <c r="E47" i="2"/>
  <c r="K46" i="2"/>
  <c r="F46" i="2"/>
  <c r="E46" i="2"/>
  <c r="G46" i="2" s="1"/>
  <c r="K45" i="2"/>
  <c r="F45" i="2"/>
  <c r="E31" i="3" s="1"/>
  <c r="E45" i="2"/>
  <c r="K44" i="2"/>
  <c r="F44" i="2"/>
  <c r="E30" i="3" s="1"/>
  <c r="E44" i="2"/>
  <c r="K43" i="2"/>
  <c r="F43" i="2"/>
  <c r="E43" i="2"/>
  <c r="G43" i="2" s="1"/>
  <c r="K42" i="2"/>
  <c r="F42" i="2"/>
  <c r="E42" i="2"/>
  <c r="G42" i="2" s="1"/>
  <c r="K41" i="2"/>
  <c r="F41" i="2"/>
  <c r="E41" i="2"/>
  <c r="G41" i="2" s="1"/>
  <c r="K40" i="2"/>
  <c r="F40" i="2"/>
  <c r="E40" i="2"/>
  <c r="K39" i="2"/>
  <c r="F39" i="2"/>
  <c r="E28" i="3" s="1"/>
  <c r="E39" i="2"/>
  <c r="K38" i="2"/>
  <c r="F38" i="2"/>
  <c r="E38" i="2"/>
  <c r="G38" i="2" s="1"/>
  <c r="K37" i="2"/>
  <c r="F37" i="2"/>
  <c r="E37" i="2"/>
  <c r="G37" i="2" s="1"/>
  <c r="K36" i="2"/>
  <c r="F36" i="2"/>
  <c r="E36" i="2"/>
  <c r="G36" i="2" s="1"/>
  <c r="K35" i="2"/>
  <c r="F35" i="2"/>
  <c r="E35" i="2"/>
  <c r="G35" i="2" s="1"/>
  <c r="K34" i="2"/>
  <c r="F34" i="2"/>
  <c r="E34" i="2"/>
  <c r="K33" i="2"/>
  <c r="F33" i="2"/>
  <c r="E33" i="2"/>
  <c r="K32" i="2"/>
  <c r="F32" i="2"/>
  <c r="E32" i="2"/>
  <c r="G32" i="2" s="1"/>
  <c r="K31" i="2"/>
  <c r="F31" i="2"/>
  <c r="E31" i="2"/>
  <c r="G31" i="2" s="1"/>
  <c r="K30" i="2"/>
  <c r="F30" i="2"/>
  <c r="E30" i="2"/>
  <c r="G30" i="2" s="1"/>
  <c r="K29" i="2"/>
  <c r="F29" i="2"/>
  <c r="E29" i="2"/>
  <c r="G29" i="2" s="1"/>
  <c r="K28" i="2"/>
  <c r="F28" i="2"/>
  <c r="E28" i="2"/>
  <c r="G28" i="2" s="1"/>
  <c r="K27" i="2"/>
  <c r="F27" i="2"/>
  <c r="E27" i="2"/>
  <c r="K26" i="2"/>
  <c r="F26" i="2"/>
  <c r="E26" i="2"/>
  <c r="G26" i="2" s="1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G22" i="2" s="1"/>
  <c r="B22" i="2"/>
  <c r="K21" i="2"/>
  <c r="F21" i="2"/>
  <c r="E21" i="2"/>
  <c r="G21" i="2" s="1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G17" i="2" s="1"/>
  <c r="B17" i="2"/>
  <c r="K16" i="2"/>
  <c r="F16" i="2"/>
  <c r="E16" i="2"/>
  <c r="B16" i="2"/>
  <c r="K15" i="2"/>
  <c r="F15" i="2"/>
  <c r="E15" i="2"/>
  <c r="B15" i="2"/>
  <c r="K14" i="2"/>
  <c r="F14" i="2"/>
  <c r="E14" i="2"/>
  <c r="G14" i="2" s="1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O15" i="3" l="1"/>
  <c r="O3" i="3"/>
  <c r="O14" i="3"/>
  <c r="O34" i="3"/>
  <c r="O30" i="3"/>
  <c r="O31" i="3"/>
  <c r="O28" i="3"/>
  <c r="O26" i="3"/>
  <c r="O24" i="3"/>
  <c r="O22" i="3"/>
  <c r="O19" i="3"/>
  <c r="O18" i="3"/>
  <c r="O2" i="3"/>
  <c r="O16" i="3"/>
  <c r="O33" i="3"/>
  <c r="O32" i="3"/>
  <c r="O29" i="3"/>
  <c r="O27" i="3"/>
  <c r="O25" i="3"/>
  <c r="O21" i="3"/>
  <c r="O17" i="3"/>
  <c r="O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4" i="3"/>
  <c r="E10" i="3"/>
  <c r="E18" i="3"/>
  <c r="F161" i="2"/>
  <c r="E16" i="3" s="1"/>
  <c r="F162" i="2"/>
  <c r="E6" i="3" s="1"/>
  <c r="F160" i="2"/>
  <c r="E3" i="3" s="1"/>
  <c r="F163" i="2"/>
  <c r="E34" i="3" s="1"/>
  <c r="E156" i="2"/>
  <c r="D17" i="3" s="1"/>
  <c r="E155" i="2"/>
  <c r="E157" i="2"/>
  <c r="D12" i="3" s="1"/>
  <c r="E158" i="2"/>
  <c r="E159" i="2"/>
  <c r="D33" i="3" s="1"/>
  <c r="F164" i="2"/>
  <c r="E26" i="3" s="1"/>
  <c r="E163" i="2"/>
  <c r="E162" i="2"/>
  <c r="E164" i="2"/>
  <c r="D26" i="3" s="1"/>
  <c r="F26" i="3" s="1"/>
  <c r="F159" i="2"/>
  <c r="E33" i="3" s="1"/>
  <c r="F33" i="3" s="1"/>
  <c r="F158" i="2"/>
  <c r="E5" i="3" s="1"/>
  <c r="F157" i="2"/>
  <c r="E12" i="3" s="1"/>
  <c r="F155" i="2"/>
  <c r="E35" i="3" s="1"/>
  <c r="F156" i="2"/>
  <c r="E17" i="3" s="1"/>
  <c r="E160" i="2"/>
  <c r="E161" i="2"/>
  <c r="D16" i="3" s="1"/>
  <c r="F16" i="3" s="1"/>
  <c r="F170" i="2"/>
  <c r="E9" i="3" s="1"/>
  <c r="F172" i="2"/>
  <c r="E8" i="3" s="1"/>
  <c r="E166" i="2"/>
  <c r="E169" i="2"/>
  <c r="F173" i="2"/>
  <c r="E24" i="3" s="1"/>
  <c r="E168" i="2"/>
  <c r="D21" i="3" s="1"/>
  <c r="E167" i="2"/>
  <c r="F171" i="2"/>
  <c r="E25" i="3" s="1"/>
  <c r="F174" i="2"/>
  <c r="E165" i="2"/>
  <c r="F166" i="2"/>
  <c r="E23" i="3" s="1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E21" i="3"/>
  <c r="E15" i="3"/>
  <c r="A2" i="6"/>
  <c r="B1" i="6" s="1" a="1"/>
  <c r="L10" i="3"/>
  <c r="L9" i="3"/>
  <c r="L8" i="3"/>
  <c r="L7" i="3"/>
  <c r="L6" i="3"/>
  <c r="L5" i="3"/>
  <c r="L4" i="3"/>
  <c r="L3" i="3"/>
  <c r="L2" i="3"/>
  <c r="L21" i="3"/>
  <c r="L20" i="3"/>
  <c r="L19" i="3"/>
  <c r="L18" i="3"/>
  <c r="L16" i="3"/>
  <c r="L15" i="3"/>
  <c r="L12" i="3"/>
  <c r="L11" i="3"/>
  <c r="L13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17" i="3"/>
  <c r="L14" i="3"/>
  <c r="G149" i="2"/>
  <c r="G90" i="2"/>
  <c r="G58" i="2"/>
  <c r="G47" i="2"/>
  <c r="G20" i="2"/>
  <c r="E2" i="3"/>
  <c r="G96" i="2"/>
  <c r="D27" i="3"/>
  <c r="F27" i="3" s="1"/>
  <c r="G84" i="2"/>
  <c r="G55" i="2"/>
  <c r="D29" i="3"/>
  <c r="F29" i="3" s="1"/>
  <c r="G40" i="2"/>
  <c r="G39" i="2"/>
  <c r="D28" i="3"/>
  <c r="F28" i="3" s="1"/>
  <c r="G34" i="2"/>
  <c r="D10" i="3"/>
  <c r="G27" i="2"/>
  <c r="D4" i="3"/>
  <c r="F4" i="3" s="1"/>
  <c r="G25" i="2"/>
  <c r="G24" i="2"/>
  <c r="G23" i="2"/>
  <c r="D19" i="3"/>
  <c r="G18" i="2"/>
  <c r="G16" i="2"/>
  <c r="D7" i="3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8" i="3" l="1"/>
  <c r="F10" i="3"/>
  <c r="G32" i="3"/>
  <c r="J32" i="3" s="1"/>
  <c r="I32" i="3"/>
  <c r="H32" i="3"/>
  <c r="H31" i="3"/>
  <c r="G31" i="3"/>
  <c r="J31" i="3" s="1"/>
  <c r="I31" i="3"/>
  <c r="G30" i="3"/>
  <c r="J30" i="3" s="1"/>
  <c r="H30" i="3"/>
  <c r="I30" i="3"/>
  <c r="G173" i="2"/>
  <c r="D24" i="3"/>
  <c r="G174" i="2"/>
  <c r="D15" i="3"/>
  <c r="G171" i="2"/>
  <c r="D25" i="3"/>
  <c r="F17" i="3"/>
  <c r="G159" i="2"/>
  <c r="F12" i="3"/>
  <c r="G161" i="2"/>
  <c r="F24" i="3"/>
  <c r="F21" i="3"/>
  <c r="F7" i="3"/>
  <c r="F19" i="3"/>
  <c r="D35" i="3"/>
  <c r="F35" i="3" s="1"/>
  <c r="G155" i="2"/>
  <c r="D34" i="3"/>
  <c r="F34" i="3" s="1"/>
  <c r="G163" i="2"/>
  <c r="D36" i="3"/>
  <c r="F36" i="3" s="1"/>
  <c r="G169" i="2"/>
  <c r="G164" i="2"/>
  <c r="G168" i="2"/>
  <c r="G167" i="2"/>
  <c r="G165" i="2"/>
  <c r="G170" i="2"/>
  <c r="G172" i="2"/>
  <c r="F18" i="3"/>
  <c r="G156" i="2"/>
  <c r="G157" i="2"/>
  <c r="G158" i="2"/>
  <c r="D5" i="3"/>
  <c r="F5" i="3" s="1"/>
  <c r="G33" i="3"/>
  <c r="J33" i="3" s="1"/>
  <c r="H33" i="3"/>
  <c r="I33" i="3"/>
  <c r="G162" i="2"/>
  <c r="D6" i="3"/>
  <c r="F6" i="3" s="1"/>
  <c r="G160" i="2"/>
  <c r="D3" i="3"/>
  <c r="F3" i="3" s="1"/>
  <c r="G166" i="2"/>
  <c r="D23" i="3"/>
  <c r="F23" i="3" s="1"/>
  <c r="F9" i="3"/>
  <c r="F15" i="3"/>
  <c r="F2" i="3"/>
  <c r="F25" i="3"/>
  <c r="G27" i="3"/>
  <c r="J27" i="3" s="1"/>
  <c r="H27" i="3"/>
  <c r="I27" i="3"/>
  <c r="G6" i="3"/>
  <c r="J6" i="3" s="1"/>
  <c r="H6" i="3"/>
  <c r="I6" i="3"/>
  <c r="G21" i="3"/>
  <c r="J21" i="3" s="1"/>
  <c r="H21" i="3"/>
  <c r="I21" i="3"/>
  <c r="G29" i="3"/>
  <c r="J29" i="3" s="1"/>
  <c r="H29" i="3"/>
  <c r="I29" i="3"/>
  <c r="G28" i="3"/>
  <c r="J28" i="3" s="1"/>
  <c r="H28" i="3"/>
  <c r="I28" i="3"/>
  <c r="G15" i="3"/>
  <c r="J15" i="3" s="1"/>
  <c r="H15" i="3"/>
  <c r="I15" i="3"/>
  <c r="H10" i="3"/>
  <c r="I10" i="3"/>
  <c r="G10" i="3"/>
  <c r="J10" i="3" s="1"/>
  <c r="G4" i="3"/>
  <c r="J4" i="3" s="1"/>
  <c r="H4" i="3"/>
  <c r="I4" i="3"/>
  <c r="G12" i="3"/>
  <c r="J12" i="3" s="1"/>
  <c r="H12" i="3"/>
  <c r="I12" i="3"/>
  <c r="G19" i="3"/>
  <c r="J19" i="3" s="1"/>
  <c r="H19" i="3"/>
  <c r="I19" i="3"/>
  <c r="G26" i="3"/>
  <c r="J26" i="3" s="1"/>
  <c r="H26" i="3"/>
  <c r="I26" i="3"/>
  <c r="I9" i="3"/>
  <c r="G9" i="3"/>
  <c r="J9" i="3" s="1"/>
  <c r="H9" i="3"/>
  <c r="G7" i="3"/>
  <c r="J7" i="3" s="1"/>
  <c r="H7" i="3"/>
  <c r="I7" i="3"/>
  <c r="G25" i="3"/>
  <c r="J25" i="3" s="1"/>
  <c r="H25" i="3"/>
  <c r="I25" i="3"/>
  <c r="G20" i="3"/>
  <c r="J20" i="3" s="1"/>
  <c r="H20" i="3"/>
  <c r="I20" i="3"/>
  <c r="G2" i="3"/>
  <c r="J2" i="3" s="1"/>
  <c r="H2" i="3"/>
  <c r="I2" i="3"/>
  <c r="G24" i="3"/>
  <c r="J24" i="3" s="1"/>
  <c r="H24" i="3"/>
  <c r="I24" i="3"/>
  <c r="G16" i="3"/>
  <c r="J16" i="3" s="1"/>
  <c r="H16" i="3"/>
  <c r="I16" i="3"/>
  <c r="G23" i="3"/>
  <c r="J23" i="3" s="1"/>
  <c r="H23" i="3"/>
  <c r="I23" i="3"/>
  <c r="G18" i="3"/>
  <c r="J18" i="3" s="1"/>
  <c r="H18" i="3"/>
  <c r="I18" i="3"/>
  <c r="G17" i="3"/>
  <c r="J17" i="3" s="1"/>
  <c r="H17" i="3"/>
  <c r="I17" i="3"/>
  <c r="G8" i="3"/>
  <c r="J8" i="3" s="1"/>
  <c r="H8" i="3"/>
  <c r="I8" i="3"/>
  <c r="G3" i="3"/>
  <c r="J3" i="3" s="1"/>
  <c r="H3" i="3"/>
  <c r="I3" i="3"/>
  <c r="G5" i="3"/>
  <c r="J5" i="3" s="1"/>
  <c r="H5" i="3"/>
  <c r="I5" i="3"/>
  <c r="B1" i="6"/>
  <c r="I35" i="3" l="1"/>
  <c r="H35" i="3"/>
  <c r="G35" i="3"/>
  <c r="J35" i="3" s="1"/>
  <c r="G34" i="3"/>
  <c r="J34" i="3" s="1"/>
  <c r="H34" i="3"/>
  <c r="I34" i="3"/>
  <c r="I36" i="3"/>
  <c r="G36" i="3"/>
  <c r="J36" i="3" s="1"/>
  <c r="H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<sst xmlns="http://schemas.openxmlformats.org/spreadsheetml/2006/main" count="489" uniqueCount="82">
  <si>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</si>
  <si>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</si>
  <si>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</si>
  <si>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</si>
  <si>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</si>
  <si>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</si>
  <si>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</si>
  <si>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</si>
  <si>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</si>
  <si>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</si>
  <si>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</si>
  <si>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</si>
  <si>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</si>
  <si>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</si>
  <si>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</si>
  <si>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</si>
  <si>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</si>
  <si>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</si>
  <si>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</si>
  <si>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</si>
  <si>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</si>
  <si>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</si>
  <si>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</si>
  <si>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</si>
  <si>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</si>
  <si>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</si>
  <si>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</si>
  <si>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</si>
  <si>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</si>
  <si>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</si>
  <si>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</si>
  <si>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</si>
  <si>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</si>
  <si>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</si>
  <si>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</si>
  <si>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</si>
  <si>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</si>
  <si>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</si>
  <si>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</si>
  <si>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</si>
  <si>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</si>
  <si>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</si>
  <si>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</si>
  <si>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</si>
  <si>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</si>
  <si>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</si>
  <si>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</si>
  <si>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</si>
  <si>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</si>
  <si>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</si>
  <si>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</si>
  <si>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</si>
  <si>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</si>
  <si>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</si>
  <si>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</si>
  <si>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</si>
  <si>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</si>
  <si>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</si>
  <si>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</si>
  <si>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</si>
  <si>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</si>
  <si>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</si>
  <si>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</si>
  <si>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</si>
  <si>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</si>
  <si>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</si>
  <si>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</si>
  <si>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</si>
  <si>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</si>
  <si>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</si>
  <si>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</si>
  <si>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</si>
  <si>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</si>
  <si>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</si>
  <si>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</si>
  <si>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</si>
  <si>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</si>
  <si>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NA</t>
  </si>
  <si>
    <t>Giosué</t>
  </si>
  <si>
    <t>Neil</t>
  </si>
  <si>
    <t>8-9</t>
  </si>
  <si>
    <t>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</si>
</sst>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6" sqref="G16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80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81</v>
      </c>
      <c r="E15">
        <f t="shared" si="3"/>
        <v>6</v>
      </c>
      <c r="F15">
        <f t="shared" si="4"/>
        <v>6</v>
      </c>
      <c r="G15" t="s">
        <v>75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4"/>
  <sheetViews>
    <sheetView topLeftCell="A158" workbookViewId="0">
      <selection activeCell="H175" sqref="H175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7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78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79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workbookViewId="0">
      <selection activeCell="E40" sqref="E40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0" width="18" style="3" customWidth="1"/>
    <col min="11" max="12" width="13" customWidth="1"/>
    <col min="16" max="16" width="13" customWidth="1"/>
  </cols>
  <sheetData>
    <row r="1" spans="1:16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4" t="s">
        <v>37</v>
      </c>
      <c r="L1" s="4" t="s">
        <v>38</v>
      </c>
      <c r="M1" s="4" t="s">
        <v>15</v>
      </c>
      <c r="N1" s="4" t="s">
        <v>6</v>
      </c>
      <c r="O1" s="4" t="s">
        <v>39</v>
      </c>
      <c r="P1" s="4" t="s">
        <v>71</v>
      </c>
    </row>
    <row r="2" spans="1:16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 t="shared" ref="J2:J27" si="1">G2/C2</f>
        <v>0.5</v>
      </c>
      <c r="K2">
        <f>SUMIF('Team Lineups'!C:C,A2,'Team Lineups'!H:H)</f>
        <v>5</v>
      </c>
      <c r="L2">
        <f t="shared" ref="L2:L27" si="2">K2/C2</f>
        <v>2.5</v>
      </c>
      <c r="M2">
        <f>SUMIF('Team Lineups'!C:C,A2,'Team Lineups'!I:I)</f>
        <v>2</v>
      </c>
      <c r="N2">
        <f>COUNTIF(Matches!G:G,A2)</f>
        <v>2</v>
      </c>
      <c r="O2">
        <f t="shared" ref="O2:O27" si="3">N2/C2</f>
        <v>1</v>
      </c>
      <c r="P2">
        <f>SUMIF('Team Lineups'!C:C,A2,'Team Lineups'!J:J)</f>
        <v>0</v>
      </c>
    </row>
    <row r="3" spans="1:16" x14ac:dyDescent="0.35">
      <c r="A3" t="s">
        <v>18</v>
      </c>
      <c r="C3">
        <f>COUNTIF('Team Lineups'!C:C,A3)</f>
        <v>7</v>
      </c>
      <c r="D3">
        <f>SUMIF('Team Lineups'!C:C,A3,'Team Lineups'!E:E)</f>
        <v>37</v>
      </c>
      <c r="E3">
        <f>SUMIF('Team Lineups'!C:C,A3,'Team Lineups'!F:F)</f>
        <v>38</v>
      </c>
      <c r="F3">
        <f t="shared" si="0"/>
        <v>-1</v>
      </c>
      <c r="G3">
        <f>COUNTIFS('Team Lineups'!C:C,A3,'Team Lineups'!G:G,"Win")</f>
        <v>3</v>
      </c>
      <c r="H3">
        <f>COUNTIFS('Team Lineups'!C:C,A3,'Team Lineups'!G:G,"Draw")</f>
        <v>2</v>
      </c>
      <c r="I3">
        <f>COUNTIFS('Team Lineups'!C:C,A3,'Team Lineups'!G:G,"Loss")</f>
        <v>2</v>
      </c>
      <c r="J3" s="3">
        <f t="shared" si="1"/>
        <v>0.42857142857142855</v>
      </c>
      <c r="K3">
        <f>SUMIF('Team Lineups'!C:C,A3,'Team Lineups'!H:H)</f>
        <v>4</v>
      </c>
      <c r="L3">
        <f t="shared" si="2"/>
        <v>0.5714285714285714</v>
      </c>
      <c r="M3">
        <f>SUMIF('Team Lineups'!C:C,A3,'Team Lineups'!I:I)</f>
        <v>3</v>
      </c>
      <c r="N3">
        <f>COUNTIF(Matches!G:G,A3)</f>
        <v>0</v>
      </c>
      <c r="O3">
        <f t="shared" si="3"/>
        <v>0</v>
      </c>
      <c r="P3">
        <f>SUMIF('Team Lineups'!C:C,A3,'Team Lineups'!J:J)</f>
        <v>0</v>
      </c>
    </row>
    <row r="4" spans="1:16" x14ac:dyDescent="0.35">
      <c r="A4" t="s">
        <v>40</v>
      </c>
      <c r="C4">
        <f>COUNTIF('Team Lineups'!C:C,A4)</f>
        <v>6</v>
      </c>
      <c r="D4">
        <f>SUMIF('Team Lineups'!C:C,A4,'Team Lineups'!E:E)</f>
        <v>46</v>
      </c>
      <c r="E4">
        <f>SUMIF('Team Lineups'!C:C,A4,'Team Lineups'!F:F)</f>
        <v>42</v>
      </c>
      <c r="F4">
        <f t="shared" si="0"/>
        <v>4</v>
      </c>
      <c r="G4">
        <f>COUNTIFS('Team Lineups'!C:C,A4,'Team Lineups'!G:G,"Win")</f>
        <v>4</v>
      </c>
      <c r="H4">
        <f>COUNTIFS('Team Lineups'!C:C,A4,'Team Lineups'!G:G,"Draw")</f>
        <v>0</v>
      </c>
      <c r="I4">
        <f>COUNTIFS('Team Lineups'!C:C,A4,'Team Lineups'!G:G,"Loss")</f>
        <v>2</v>
      </c>
      <c r="J4" s="3">
        <f t="shared" si="1"/>
        <v>0.66666666666666663</v>
      </c>
      <c r="K4">
        <f>SUMIF('Team Lineups'!C:C,A4,'Team Lineups'!H:H)</f>
        <v>1</v>
      </c>
      <c r="L4">
        <f t="shared" si="2"/>
        <v>0.16666666666666666</v>
      </c>
      <c r="M4">
        <f>SUMIF('Team Lineups'!C:C,A4,'Team Lineups'!I:I)</f>
        <v>1</v>
      </c>
      <c r="N4">
        <f>COUNTIF(Matches!G:G,A4)</f>
        <v>0</v>
      </c>
      <c r="O4">
        <f t="shared" si="3"/>
        <v>0</v>
      </c>
      <c r="P4">
        <f>SUMIF('Team Lineups'!C:C,A4,'Team Lineups'!J:J)</f>
        <v>0</v>
      </c>
    </row>
    <row r="5" spans="1:16" x14ac:dyDescent="0.35">
      <c r="A5" t="s">
        <v>16</v>
      </c>
      <c r="C5">
        <f>COUNTIF('Team Lineups'!C:C,A5)</f>
        <v>8</v>
      </c>
      <c r="D5">
        <f>SUMIF('Team Lineups'!C:C,A5,'Team Lineups'!E:E)</f>
        <v>43</v>
      </c>
      <c r="E5">
        <f>SUMIF('Team Lineups'!C:C,A5,'Team Lineups'!F:F)</f>
        <v>59</v>
      </c>
      <c r="F5">
        <f t="shared" si="0"/>
        <v>-16</v>
      </c>
      <c r="G5">
        <f>COUNTIFS('Team Lineups'!C:C,A5,'Team Lineups'!G:G,"Win")</f>
        <v>0</v>
      </c>
      <c r="H5">
        <f>COUNTIFS('Team Lineups'!C:C,A5,'Team Lineups'!G:G,"Draw")</f>
        <v>2</v>
      </c>
      <c r="I5">
        <f>COUNTIFS('Team Lineups'!C:C,A5,'Team Lineups'!G:G,"Loss")</f>
        <v>6</v>
      </c>
      <c r="J5" s="3">
        <f t="shared" si="1"/>
        <v>0</v>
      </c>
      <c r="K5">
        <f>SUMIF('Team Lineups'!C:C,A5,'Team Lineups'!H:H)</f>
        <v>11</v>
      </c>
      <c r="L5">
        <f t="shared" si="2"/>
        <v>1.375</v>
      </c>
      <c r="M5">
        <f>SUMIF('Team Lineups'!C:C,A5,'Team Lineups'!I:I)</f>
        <v>8</v>
      </c>
      <c r="N5">
        <f>COUNTIF(Matches!G:G,A5)</f>
        <v>0</v>
      </c>
      <c r="O5">
        <f t="shared" si="3"/>
        <v>0</v>
      </c>
      <c r="P5">
        <f>SUMIF('Team Lineups'!C:C,A5,'Team Lineups'!J:J)</f>
        <v>0</v>
      </c>
    </row>
    <row r="6" spans="1:16" x14ac:dyDescent="0.35">
      <c r="A6" t="s">
        <v>41</v>
      </c>
      <c r="C6">
        <f>COUNTIF('Team Lineups'!C:C,A6)</f>
        <v>4</v>
      </c>
      <c r="D6">
        <f>SUMIF('Team Lineups'!C:C,A6,'Team Lineups'!E:E)</f>
        <v>26</v>
      </c>
      <c r="E6">
        <f>SUMIF('Team Lineups'!C:C,A6,'Team Lineups'!F:F)</f>
        <v>21</v>
      </c>
      <c r="F6">
        <f t="shared" si="0"/>
        <v>5</v>
      </c>
      <c r="G6">
        <f>COUNTIFS('Team Lineups'!C:C,A6,'Team Lineups'!G:G,"Win")</f>
        <v>3</v>
      </c>
      <c r="H6">
        <f>COUNTIFS('Team Lineups'!C:C,A6,'Team Lineups'!G:G,"Draw")</f>
        <v>1</v>
      </c>
      <c r="I6">
        <f>COUNTIFS('Team Lineups'!C:C,A6,'Team Lineups'!G:G,"Loss")</f>
        <v>0</v>
      </c>
      <c r="J6" s="3">
        <f t="shared" si="1"/>
        <v>0.75</v>
      </c>
      <c r="K6">
        <f>SUMIF('Team Lineups'!C:C,A6,'Team Lineups'!H:H)</f>
        <v>3</v>
      </c>
      <c r="L6">
        <f t="shared" si="2"/>
        <v>0.75</v>
      </c>
      <c r="M6">
        <f>SUMIF('Team Lineups'!C:C,A6,'Team Lineups'!I:I)</f>
        <v>2</v>
      </c>
      <c r="N6">
        <f>COUNTIF(Matches!G:G,A6)</f>
        <v>0</v>
      </c>
      <c r="O6">
        <f t="shared" si="3"/>
        <v>0</v>
      </c>
      <c r="P6">
        <f>SUMIF('Team Lineups'!C:C,A6,'Team Lineups'!J:J)</f>
        <v>2</v>
      </c>
    </row>
    <row r="7" spans="1:16" x14ac:dyDescent="0.35">
      <c r="A7" t="s">
        <v>42</v>
      </c>
      <c r="C7">
        <f>COUNTIF('Team Lineups'!C:C,A7)</f>
        <v>12</v>
      </c>
      <c r="D7">
        <f>SUMIF('Team Lineups'!C:C,A7,'Team Lineups'!E:E)</f>
        <v>92</v>
      </c>
      <c r="E7">
        <f>SUMIF('Team Lineups'!C:C,A7,'Team Lineups'!F:F)</f>
        <v>105</v>
      </c>
      <c r="F7">
        <f t="shared" si="0"/>
        <v>-13</v>
      </c>
      <c r="G7">
        <f>COUNTIFS('Team Lineups'!C:C,A7,'Team Lineups'!G:G,"Win")</f>
        <v>3</v>
      </c>
      <c r="H7">
        <f>COUNTIFS('Team Lineups'!C:C,A7,'Team Lineups'!G:G,"Draw")</f>
        <v>2</v>
      </c>
      <c r="I7">
        <f>COUNTIFS('Team Lineups'!C:C,A7,'Team Lineups'!G:G,"Loss")</f>
        <v>6</v>
      </c>
      <c r="J7" s="3">
        <f t="shared" si="1"/>
        <v>0.25</v>
      </c>
      <c r="K7">
        <f>SUMIF('Team Lineups'!C:C,A7,'Team Lineups'!H:H)</f>
        <v>17</v>
      </c>
      <c r="L7">
        <f t="shared" si="2"/>
        <v>1.4166666666666667</v>
      </c>
      <c r="M7">
        <f>SUMIF('Team Lineups'!C:C,A7,'Team Lineups'!I:I)</f>
        <v>11</v>
      </c>
      <c r="N7">
        <f>COUNTIF(Matches!G:G,A7)</f>
        <v>0</v>
      </c>
      <c r="O7">
        <f t="shared" si="3"/>
        <v>0</v>
      </c>
      <c r="P7">
        <f>SUMIF('Team Lineups'!C:C,A7,'Team Lineups'!J:J)</f>
        <v>0</v>
      </c>
    </row>
    <row r="8" spans="1:16" x14ac:dyDescent="0.35">
      <c r="A8" t="s">
        <v>19</v>
      </c>
      <c r="C8">
        <f>COUNTIF('Team Lineups'!C:C,A8)</f>
        <v>11</v>
      </c>
      <c r="D8">
        <f>SUMIF('Team Lineups'!C:C,A8,'Team Lineups'!E:E)</f>
        <v>86</v>
      </c>
      <c r="E8">
        <f>SUMIF('Team Lineups'!C:C,A8,'Team Lineups'!F:F)</f>
        <v>72</v>
      </c>
      <c r="F8">
        <f t="shared" si="0"/>
        <v>14</v>
      </c>
      <c r="G8">
        <f>COUNTIFS('Team Lineups'!C:C,A8,'Team Lineups'!G:G,"Win")</f>
        <v>6</v>
      </c>
      <c r="H8">
        <f>COUNTIFS('Team Lineups'!C:C,A8,'Team Lineups'!G:G,"Draw")</f>
        <v>3</v>
      </c>
      <c r="I8">
        <f>COUNTIFS('Team Lineups'!C:C,A8,'Team Lineups'!G:G,"Loss")</f>
        <v>2</v>
      </c>
      <c r="J8" s="3">
        <f t="shared" si="1"/>
        <v>0.54545454545454541</v>
      </c>
      <c r="K8">
        <f>SUMIF('Team Lineups'!C:C,A8,'Team Lineups'!H:H)</f>
        <v>26</v>
      </c>
      <c r="L8">
        <f t="shared" si="2"/>
        <v>2.3636363636363638</v>
      </c>
      <c r="M8">
        <f>SUMIF('Team Lineups'!C:C,A8,'Team Lineups'!I:I)</f>
        <v>14</v>
      </c>
      <c r="N8">
        <f>COUNTIF(Matches!G:G,A8)</f>
        <v>2</v>
      </c>
      <c r="O8">
        <f t="shared" si="3"/>
        <v>0.18181818181818182</v>
      </c>
      <c r="P8">
        <f>SUMIF('Team Lineups'!C:C,A8,'Team Lineups'!J:J)</f>
        <v>0</v>
      </c>
    </row>
    <row r="9" spans="1:16" x14ac:dyDescent="0.35">
      <c r="A9" t="s">
        <v>43</v>
      </c>
      <c r="C9">
        <f>COUNTIF('Team Lineups'!C:C,A9)</f>
        <v>8</v>
      </c>
      <c r="D9">
        <f>SUMIF('Team Lineups'!C:C,A9,'Team Lineups'!E:E)</f>
        <v>43</v>
      </c>
      <c r="E9">
        <f>SUMIF('Team Lineups'!C:C,A9,'Team Lineups'!F:F)</f>
        <v>49</v>
      </c>
      <c r="F9">
        <f t="shared" si="0"/>
        <v>-6</v>
      </c>
      <c r="G9">
        <f>COUNTIFS('Team Lineups'!C:C,A9,'Team Lineups'!G:G,"Win")</f>
        <v>2</v>
      </c>
      <c r="H9">
        <f>COUNTIFS('Team Lineups'!C:C,A9,'Team Lineups'!G:G,"Draw")</f>
        <v>2</v>
      </c>
      <c r="I9">
        <f>COUNTIFS('Team Lineups'!C:C,A9,'Team Lineups'!G:G,"Loss")</f>
        <v>4</v>
      </c>
      <c r="J9" s="3">
        <f t="shared" si="1"/>
        <v>0.25</v>
      </c>
      <c r="K9">
        <f>SUMIF('Team Lineups'!C:C,A9,'Team Lineups'!H:H)</f>
        <v>4</v>
      </c>
      <c r="L9">
        <f t="shared" si="2"/>
        <v>0.5</v>
      </c>
      <c r="M9">
        <f>SUMIF('Team Lineups'!C:C,A9,'Team Lineups'!I:I)</f>
        <v>3</v>
      </c>
      <c r="N9">
        <f>COUNTIF(Matches!G:G,A9)</f>
        <v>1</v>
      </c>
      <c r="O9">
        <f t="shared" si="3"/>
        <v>0.125</v>
      </c>
      <c r="P9">
        <f>SUMIF('Team Lineups'!C:C,A9,'Team Lineups'!J:J)</f>
        <v>0</v>
      </c>
    </row>
    <row r="10" spans="1:16" x14ac:dyDescent="0.35">
      <c r="A10" t="s">
        <v>44</v>
      </c>
      <c r="C10">
        <f>COUNTIF('Team Lineups'!C:C,A10)</f>
        <v>6</v>
      </c>
      <c r="D10">
        <f>SUMIF('Team Lineups'!C:C,A10,'Team Lineups'!E:E)</f>
        <v>35</v>
      </c>
      <c r="E10">
        <f>SUMIF('Team Lineups'!C:C,A10,'Team Lineups'!F:F)</f>
        <v>32</v>
      </c>
      <c r="F10">
        <f t="shared" si="0"/>
        <v>3</v>
      </c>
      <c r="G10">
        <f>COUNTIFS('Team Lineups'!C:C,A10,'Team Lineups'!G:G,"Win")</f>
        <v>3</v>
      </c>
      <c r="H10">
        <f>COUNTIFS('Team Lineups'!C:C,A10,'Team Lineups'!G:G,"Draw")</f>
        <v>1</v>
      </c>
      <c r="I10">
        <f>COUNTIFS('Team Lineups'!C:C,A10,'Team Lineups'!G:G,"Loss")</f>
        <v>2</v>
      </c>
      <c r="J10" s="3">
        <f t="shared" si="1"/>
        <v>0.5</v>
      </c>
      <c r="K10">
        <f>SUMIF('Team Lineups'!C:C,A10,'Team Lineups'!H:H)</f>
        <v>7</v>
      </c>
      <c r="L10">
        <f t="shared" si="2"/>
        <v>1.1666666666666667</v>
      </c>
      <c r="M10">
        <f>SUMIF('Team Lineups'!C:C,A10,'Team Lineups'!I:I)</f>
        <v>7</v>
      </c>
      <c r="N10">
        <f>COUNTIF(Matches!G:G,A10)</f>
        <v>1</v>
      </c>
      <c r="O10">
        <f t="shared" si="3"/>
        <v>0.16666666666666666</v>
      </c>
      <c r="P10">
        <f>SUMIF('Team Lineups'!C:C,A10,'Team Lineups'!J:J)</f>
        <v>0</v>
      </c>
    </row>
    <row r="11" spans="1:16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1"/>
        <v>#DIV/0!</v>
      </c>
      <c r="K11">
        <f>SUMIF('Team Lineups'!C:C,A11,'Team Lineups'!H:H)</f>
        <v>0</v>
      </c>
      <c r="L11" t="e">
        <f t="shared" si="2"/>
        <v>#DIV/0!</v>
      </c>
      <c r="M11">
        <f>SUMIF('Team Lineups'!C:C,A11,'Team Lineups'!I:I)</f>
        <v>0</v>
      </c>
      <c r="N11">
        <f>COUNTIF(Matches!G:G,A11)</f>
        <v>0</v>
      </c>
      <c r="O11" t="e">
        <f t="shared" si="3"/>
        <v>#DIV/0!</v>
      </c>
      <c r="P11">
        <f>SUMIF('Team Lineups'!C:C,A11,'Team Lineups'!J:J)</f>
        <v>0</v>
      </c>
    </row>
    <row r="12" spans="1:16" x14ac:dyDescent="0.35">
      <c r="A12" t="s">
        <v>46</v>
      </c>
      <c r="C12">
        <f>COUNTIF('Team Lineups'!C:C,A12)</f>
        <v>9</v>
      </c>
      <c r="D12">
        <f>SUMIF('Team Lineups'!C:C,A12,'Team Lineups'!E:E)</f>
        <v>66</v>
      </c>
      <c r="E12">
        <f>SUMIF('Team Lineups'!C:C,A12,'Team Lineups'!F:F)</f>
        <v>72</v>
      </c>
      <c r="F12">
        <f t="shared" si="0"/>
        <v>-6</v>
      </c>
      <c r="G12">
        <f>COUNTIFS('Team Lineups'!C:C,A12,'Team Lineups'!G:G,"Win")</f>
        <v>3</v>
      </c>
      <c r="H12">
        <f>COUNTIFS('Team Lineups'!C:C,A12,'Team Lineups'!G:G,"Draw")</f>
        <v>0</v>
      </c>
      <c r="I12">
        <f>COUNTIFS('Team Lineups'!C:C,A12,'Team Lineups'!G:G,"Loss")</f>
        <v>6</v>
      </c>
      <c r="J12" s="3">
        <f t="shared" si="1"/>
        <v>0.33333333333333331</v>
      </c>
      <c r="K12">
        <f>SUMIF('Team Lineups'!C:C,A12,'Team Lineups'!H:H)</f>
        <v>17</v>
      </c>
      <c r="L12">
        <f t="shared" si="2"/>
        <v>1.8888888888888888</v>
      </c>
      <c r="M12">
        <f>SUMIF('Team Lineups'!C:C,A12,'Team Lineups'!I:I)</f>
        <v>6</v>
      </c>
      <c r="N12">
        <f>COUNTIF(Matches!G:G,A12)</f>
        <v>1</v>
      </c>
      <c r="O12">
        <f t="shared" si="3"/>
        <v>0.1111111111111111</v>
      </c>
      <c r="P12">
        <f>SUMIF('Team Lineups'!C:C,A12,'Team Lineups'!J:J)</f>
        <v>0</v>
      </c>
    </row>
    <row r="13" spans="1:16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1"/>
        <v>#DIV/0!</v>
      </c>
      <c r="K13">
        <f>SUMIF('Team Lineups'!C:C,A13,'Team Lineups'!H:H)</f>
        <v>0</v>
      </c>
      <c r="L13" t="e">
        <f t="shared" si="2"/>
        <v>#DIV/0!</v>
      </c>
      <c r="M13">
        <f>SUMIF('Team Lineups'!C:C,A13,'Team Lineups'!I:I)</f>
        <v>0</v>
      </c>
      <c r="N13">
        <f>COUNTIF(Matches!G:G,A13)</f>
        <v>0</v>
      </c>
      <c r="O13" t="e">
        <f t="shared" si="3"/>
        <v>#DIV/0!</v>
      </c>
      <c r="P13">
        <f>SUMIF('Team Lineups'!C:C,A13,'Team Lineups'!J:J)</f>
        <v>0</v>
      </c>
    </row>
    <row r="14" spans="1:16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1"/>
        <v>#DIV/0!</v>
      </c>
      <c r="K14">
        <f>SUMIF('Team Lineups'!C:C,A14,'Team Lineups'!H:H)</f>
        <v>0</v>
      </c>
      <c r="L14" t="e">
        <f t="shared" si="2"/>
        <v>#DIV/0!</v>
      </c>
      <c r="M14">
        <f>SUMIF('Team Lineups'!C:C,A14,'Team Lineups'!I:I)</f>
        <v>0</v>
      </c>
      <c r="N14">
        <f>COUNTIF(Matches!G:G,A14)</f>
        <v>0</v>
      </c>
      <c r="O14" t="e">
        <f t="shared" si="3"/>
        <v>#DIV/0!</v>
      </c>
      <c r="P14">
        <f>SUMIF('Team Lineups'!C:C,A14,'Team Lineups'!J:J)</f>
        <v>0</v>
      </c>
    </row>
    <row r="15" spans="1:16" x14ac:dyDescent="0.35">
      <c r="A15" t="s">
        <v>49</v>
      </c>
      <c r="C15">
        <f>COUNTIF('Team Lineups'!C:C,A15)</f>
        <v>2</v>
      </c>
      <c r="D15">
        <f>SUMIF('Team Lineups'!C:C,A15,'Team Lineups'!E:E)</f>
        <v>15</v>
      </c>
      <c r="E15">
        <f>SUMIF('Team Lineups'!C:C,A15,'Team Lineups'!F:F)</f>
        <v>13</v>
      </c>
      <c r="F15">
        <f t="shared" si="0"/>
        <v>2</v>
      </c>
      <c r="G15">
        <f>COUNTIFS('Team Lineups'!C:C,A15,'Team Lineups'!G:G,"Win")</f>
        <v>1</v>
      </c>
      <c r="H15">
        <f>COUNTIFS('Team Lineups'!C:C,A15,'Team Lineups'!G:G,"Draw")</f>
        <v>1</v>
      </c>
      <c r="I15">
        <f>COUNTIFS('Team Lineups'!C:C,A15,'Team Lineups'!G:G,"Loss")</f>
        <v>0</v>
      </c>
      <c r="J15" s="3">
        <f t="shared" si="1"/>
        <v>0.5</v>
      </c>
      <c r="K15">
        <f>SUMIF('Team Lineups'!C:C,A15,'Team Lineups'!H:H)</f>
        <v>1</v>
      </c>
      <c r="L15">
        <f t="shared" si="2"/>
        <v>0.5</v>
      </c>
      <c r="M15">
        <f>SUMIF('Team Lineups'!C:C,A15,'Team Lineups'!I:I)</f>
        <v>1</v>
      </c>
      <c r="N15">
        <f>COUNTIF(Matches!G:G,A15)</f>
        <v>0</v>
      </c>
      <c r="O15">
        <f t="shared" si="3"/>
        <v>0</v>
      </c>
      <c r="P15">
        <f>SUMIF('Team Lineups'!C:C,A15,'Team Lineups'!J:J)</f>
        <v>0</v>
      </c>
    </row>
    <row r="16" spans="1:16" x14ac:dyDescent="0.35">
      <c r="A16" t="s">
        <v>24</v>
      </c>
      <c r="C16">
        <f>COUNTIF('Team Lineups'!C:C,A16)</f>
        <v>9</v>
      </c>
      <c r="D16">
        <f>SUMIF('Team Lineups'!C:C,A16,'Team Lineups'!E:E)</f>
        <v>51</v>
      </c>
      <c r="E16">
        <f>SUMIF('Team Lineups'!C:C,A16,'Team Lineups'!F:F)</f>
        <v>53</v>
      </c>
      <c r="F16">
        <f t="shared" si="0"/>
        <v>-2</v>
      </c>
      <c r="G16">
        <f>COUNTIFS('Team Lineups'!C:C,A16,'Team Lineups'!G:G,"Win")</f>
        <v>3</v>
      </c>
      <c r="H16">
        <f>COUNTIFS('Team Lineups'!C:C,A16,'Team Lineups'!G:G,"Draw")</f>
        <v>2</v>
      </c>
      <c r="I16">
        <f>COUNTIFS('Team Lineups'!C:C,A16,'Team Lineups'!G:G,"Loss")</f>
        <v>4</v>
      </c>
      <c r="J16" s="3">
        <f t="shared" si="1"/>
        <v>0.33333333333333331</v>
      </c>
      <c r="K16">
        <f>SUMIF('Team Lineups'!C:C,A16,'Team Lineups'!H:H)</f>
        <v>5</v>
      </c>
      <c r="L16">
        <f t="shared" si="2"/>
        <v>0.55555555555555558</v>
      </c>
      <c r="M16">
        <f>SUMIF('Team Lineups'!C:C,A16,'Team Lineups'!I:I)</f>
        <v>1</v>
      </c>
      <c r="N16">
        <f>COUNTIF(Matches!G:G,A16)</f>
        <v>0</v>
      </c>
      <c r="O16">
        <f t="shared" si="3"/>
        <v>0</v>
      </c>
      <c r="P16">
        <f>SUMIF('Team Lineups'!C:C,A16,'Team Lineups'!J:J)</f>
        <v>0</v>
      </c>
    </row>
    <row r="17" spans="1:16" x14ac:dyDescent="0.35">
      <c r="A17" t="s">
        <v>20</v>
      </c>
      <c r="C17">
        <f>COUNTIF('Team Lineups'!C:C,A17)</f>
        <v>9</v>
      </c>
      <c r="D17">
        <f>SUMIF('Team Lineups'!C:C,A17,'Team Lineups'!E:E)</f>
        <v>53</v>
      </c>
      <c r="E17">
        <f>SUMIF('Team Lineups'!C:C,A17,'Team Lineups'!F:F)</f>
        <v>51</v>
      </c>
      <c r="F17">
        <f t="shared" si="0"/>
        <v>2</v>
      </c>
      <c r="G17">
        <f>COUNTIFS('Team Lineups'!C:C,A17,'Team Lineups'!G:G,"Win")</f>
        <v>4</v>
      </c>
      <c r="H17">
        <f>COUNTIFS('Team Lineups'!C:C,A17,'Team Lineups'!G:G,"Draw")</f>
        <v>2</v>
      </c>
      <c r="I17">
        <f>COUNTIFS('Team Lineups'!C:C,A17,'Team Lineups'!G:G,"Loss")</f>
        <v>3</v>
      </c>
      <c r="J17" s="3">
        <f t="shared" si="1"/>
        <v>0.44444444444444442</v>
      </c>
      <c r="K17">
        <f>SUMIF('Team Lineups'!C:C,A17,'Team Lineups'!H:H)</f>
        <v>2</v>
      </c>
      <c r="L17">
        <f t="shared" si="2"/>
        <v>0.22222222222222221</v>
      </c>
      <c r="M17">
        <f>SUMIF('Team Lineups'!C:C,A17,'Team Lineups'!I:I)</f>
        <v>5</v>
      </c>
      <c r="N17">
        <f>COUNTIF(Matches!G:G,A17)</f>
        <v>0</v>
      </c>
      <c r="O17">
        <f t="shared" si="3"/>
        <v>0</v>
      </c>
      <c r="P17">
        <f>SUMIF('Team Lineups'!C:C,A17,'Team Lineups'!J:J)</f>
        <v>0</v>
      </c>
    </row>
    <row r="18" spans="1:16" x14ac:dyDescent="0.35">
      <c r="A18" t="s">
        <v>21</v>
      </c>
      <c r="C18">
        <f>COUNTIF('Team Lineups'!C:C,A18)</f>
        <v>11</v>
      </c>
      <c r="D18">
        <f>SUMIF('Team Lineups'!C:C,A18,'Team Lineups'!E:E)</f>
        <v>82</v>
      </c>
      <c r="E18">
        <f>SUMIF('Team Lineups'!C:C,A18,'Team Lineups'!F:F)</f>
        <v>83</v>
      </c>
      <c r="F18">
        <f t="shared" si="0"/>
        <v>-1</v>
      </c>
      <c r="G18">
        <f>COUNTIFS('Team Lineups'!C:C,A18,'Team Lineups'!G:G,"Win")</f>
        <v>5</v>
      </c>
      <c r="H18">
        <f>COUNTIFS('Team Lineups'!C:C,A18,'Team Lineups'!G:G,"Draw")</f>
        <v>1</v>
      </c>
      <c r="I18">
        <f>COUNTIFS('Team Lineups'!C:C,A18,'Team Lineups'!G:G,"Loss")</f>
        <v>5</v>
      </c>
      <c r="J18" s="3">
        <f t="shared" si="1"/>
        <v>0.45454545454545453</v>
      </c>
      <c r="K18">
        <f>SUMIF('Team Lineups'!C:C,A18,'Team Lineups'!H:H)</f>
        <v>8</v>
      </c>
      <c r="L18">
        <f t="shared" si="2"/>
        <v>0.72727272727272729</v>
      </c>
      <c r="M18">
        <f>SUMIF('Team Lineups'!C:C,A18,'Team Lineups'!I:I)</f>
        <v>4</v>
      </c>
      <c r="N18">
        <f>COUNTIF(Matches!G:G,A18)</f>
        <v>1</v>
      </c>
      <c r="O18">
        <f t="shared" si="3"/>
        <v>9.0909090909090912E-2</v>
      </c>
      <c r="P18">
        <f>SUMIF('Team Lineups'!C:C,A18,'Team Lineups'!J:J)</f>
        <v>0</v>
      </c>
    </row>
    <row r="19" spans="1:16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1"/>
        <v>0.75</v>
      </c>
      <c r="K19">
        <f>SUMIF('Team Lineups'!C:C,A19,'Team Lineups'!H:H)</f>
        <v>8</v>
      </c>
      <c r="L19">
        <f t="shared" si="2"/>
        <v>2</v>
      </c>
      <c r="M19">
        <f>SUMIF('Team Lineups'!C:C,A19,'Team Lineups'!I:I)</f>
        <v>1</v>
      </c>
      <c r="N19">
        <f>COUNTIF(Matches!G:G,A19)</f>
        <v>0</v>
      </c>
      <c r="O19">
        <f t="shared" si="3"/>
        <v>0</v>
      </c>
      <c r="P19">
        <f>SUMIF('Team Lineups'!C:C,A19,'Team Lineups'!J:J)</f>
        <v>0</v>
      </c>
    </row>
    <row r="20" spans="1:16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1"/>
        <v>0</v>
      </c>
      <c r="K20">
        <f>SUMIF('Team Lineups'!C:C,A20,'Team Lineups'!H:H)</f>
        <v>0</v>
      </c>
      <c r="L20">
        <f t="shared" si="2"/>
        <v>0</v>
      </c>
      <c r="M20">
        <f>SUMIF('Team Lineups'!C:C,A20,'Team Lineups'!I:I)</f>
        <v>0</v>
      </c>
      <c r="N20">
        <f>COUNTIF(Matches!G:G,A20)</f>
        <v>0</v>
      </c>
      <c r="O20">
        <f t="shared" si="3"/>
        <v>0</v>
      </c>
      <c r="P20">
        <f>SUMIF('Team Lineups'!C:C,A20,'Team Lineups'!J:J)</f>
        <v>0</v>
      </c>
    </row>
    <row r="21" spans="1:16" x14ac:dyDescent="0.35">
      <c r="A21" t="s">
        <v>51</v>
      </c>
      <c r="C21">
        <f>COUNTIF('Team Lineups'!C:C,A21)</f>
        <v>4</v>
      </c>
      <c r="D21">
        <f>SUMIF('Team Lineups'!C:C,A21,'Team Lineups'!E:E)</f>
        <v>23</v>
      </c>
      <c r="E21">
        <f>SUMIF('Team Lineups'!C:C,A21,'Team Lineups'!F:F)</f>
        <v>27</v>
      </c>
      <c r="F21">
        <f t="shared" si="0"/>
        <v>-4</v>
      </c>
      <c r="G21">
        <f>COUNTIFS('Team Lineups'!C:C,A21,'Team Lineups'!G:G,"Win")</f>
        <v>0</v>
      </c>
      <c r="H21">
        <f>COUNTIFS('Team Lineups'!C:C,A21,'Team Lineups'!G:G,"Draw")</f>
        <v>1</v>
      </c>
      <c r="I21">
        <f>COUNTIFS('Team Lineups'!C:C,A21,'Team Lineups'!G:G,"Loss")</f>
        <v>3</v>
      </c>
      <c r="J21" s="3">
        <f t="shared" si="1"/>
        <v>0</v>
      </c>
      <c r="K21">
        <f>SUMIF('Team Lineups'!C:C,A21,'Team Lineups'!H:H)</f>
        <v>2</v>
      </c>
      <c r="L21">
        <f t="shared" si="2"/>
        <v>0.5</v>
      </c>
      <c r="M21">
        <f>SUMIF('Team Lineups'!C:C,A21,'Team Lineups'!I:I)</f>
        <v>3</v>
      </c>
      <c r="N21">
        <f>COUNTIF(Matches!G:G,A21)</f>
        <v>0</v>
      </c>
      <c r="O21">
        <f t="shared" si="3"/>
        <v>0</v>
      </c>
      <c r="P21">
        <f>SUMIF('Team Lineups'!C:C,A21,'Team Lineups'!J:J)</f>
        <v>1</v>
      </c>
    </row>
    <row r="22" spans="1:16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1"/>
        <v>#DIV/0!</v>
      </c>
      <c r="K22">
        <f>SUMIF('Team Lineups'!C:C,A22,'Team Lineups'!H:H)</f>
        <v>0</v>
      </c>
      <c r="L22" t="e">
        <f t="shared" si="2"/>
        <v>#DIV/0!</v>
      </c>
      <c r="M22">
        <f>SUMIF('Team Lineups'!C:C,A22,'Team Lineups'!I:I)</f>
        <v>0</v>
      </c>
      <c r="N22">
        <f>COUNTIF(Matches!G:G,A22)</f>
        <v>0</v>
      </c>
      <c r="O22" t="e">
        <f t="shared" si="3"/>
        <v>#DIV/0!</v>
      </c>
      <c r="P22">
        <f>SUMIF('Team Lineups'!C:C,A22,'Team Lineups'!J:J)</f>
        <v>0</v>
      </c>
    </row>
    <row r="23" spans="1:16" x14ac:dyDescent="0.35">
      <c r="A23" t="s">
        <v>22</v>
      </c>
      <c r="C23">
        <f>COUNTIF('Team Lineups'!C:C,A23)</f>
        <v>10</v>
      </c>
      <c r="D23">
        <f>SUMIF('Team Lineups'!C:C,A23,'Team Lineups'!E:E)</f>
        <v>66</v>
      </c>
      <c r="E23">
        <f>SUMIF('Team Lineups'!C:C,A23,'Team Lineups'!F:F)</f>
        <v>65</v>
      </c>
      <c r="F23">
        <f t="shared" si="0"/>
        <v>1</v>
      </c>
      <c r="G23">
        <f>COUNTIFS('Team Lineups'!C:C,A23,'Team Lineups'!G:G,"Win")</f>
        <v>4</v>
      </c>
      <c r="H23">
        <f>COUNTIFS('Team Lineups'!C:C,A23,'Team Lineups'!G:G,"Draw")</f>
        <v>3</v>
      </c>
      <c r="I23">
        <f>COUNTIFS('Team Lineups'!C:C,A23,'Team Lineups'!G:G,"Loss")</f>
        <v>3</v>
      </c>
      <c r="J23" s="3">
        <f t="shared" si="1"/>
        <v>0.4</v>
      </c>
      <c r="K23">
        <f>SUMIF('Team Lineups'!C:C,A23,'Team Lineups'!H:H)</f>
        <v>12</v>
      </c>
      <c r="L23">
        <f t="shared" si="2"/>
        <v>1.2</v>
      </c>
      <c r="M23">
        <f>SUMIF('Team Lineups'!C:C,A23,'Team Lineups'!I:I)</f>
        <v>2</v>
      </c>
      <c r="N23">
        <f>COUNTIF(Matches!G:G,A23)</f>
        <v>2</v>
      </c>
      <c r="O23">
        <f t="shared" si="3"/>
        <v>0.2</v>
      </c>
      <c r="P23">
        <f>SUMIF('Team Lineups'!C:C,A23,'Team Lineups'!J:J)</f>
        <v>0</v>
      </c>
    </row>
    <row r="24" spans="1:16" x14ac:dyDescent="0.35">
      <c r="A24" t="s">
        <v>25</v>
      </c>
      <c r="C24">
        <f>COUNTIF('Team Lineups'!C:C,A24)</f>
        <v>12</v>
      </c>
      <c r="D24">
        <f>SUMIF('Team Lineups'!C:C,A24,'Team Lineups'!E:E)</f>
        <v>78</v>
      </c>
      <c r="E24">
        <f>SUMIF('Team Lineups'!C:C,A24,'Team Lineups'!F:F)</f>
        <v>76</v>
      </c>
      <c r="F24">
        <f t="shared" si="0"/>
        <v>2</v>
      </c>
      <c r="G24">
        <f>COUNTIFS('Team Lineups'!C:C,A24,'Team Lineups'!G:G,"Win")</f>
        <v>3</v>
      </c>
      <c r="H24">
        <f>COUNTIFS('Team Lineups'!C:C,A24,'Team Lineups'!G:G,"Draw")</f>
        <v>3</v>
      </c>
      <c r="I24">
        <f>COUNTIFS('Team Lineups'!C:C,A24,'Team Lineups'!G:G,"Loss")</f>
        <v>6</v>
      </c>
      <c r="J24" s="3">
        <f t="shared" si="1"/>
        <v>0.25</v>
      </c>
      <c r="K24">
        <f>SUMIF('Team Lineups'!C:C,A24,'Team Lineups'!H:H)</f>
        <v>6</v>
      </c>
      <c r="L24">
        <f t="shared" si="2"/>
        <v>0.5</v>
      </c>
      <c r="M24">
        <f>SUMIF('Team Lineups'!C:C,A24,'Team Lineups'!I:I)</f>
        <v>7</v>
      </c>
      <c r="N24">
        <f>COUNTIF(Matches!G:G,A24)</f>
        <v>0</v>
      </c>
      <c r="O24">
        <f t="shared" si="3"/>
        <v>0</v>
      </c>
      <c r="P24">
        <f>SUMIF('Team Lineups'!C:C,A24,'Team Lineups'!J:J)</f>
        <v>0</v>
      </c>
    </row>
    <row r="25" spans="1:16" x14ac:dyDescent="0.35">
      <c r="A25" t="s">
        <v>53</v>
      </c>
      <c r="C25">
        <f>COUNTIF('Team Lineups'!C:C,A25)</f>
        <v>11</v>
      </c>
      <c r="D25">
        <f>SUMIF('Team Lineups'!C:C,A25,'Team Lineups'!E:E)</f>
        <v>82</v>
      </c>
      <c r="E25">
        <f>SUMIF('Team Lineups'!C:C,A25,'Team Lineups'!F:F)</f>
        <v>74</v>
      </c>
      <c r="F25">
        <f t="shared" si="0"/>
        <v>8</v>
      </c>
      <c r="G25">
        <f>COUNTIFS('Team Lineups'!C:C,A25,'Team Lineups'!G:G,"Win")</f>
        <v>6</v>
      </c>
      <c r="H25">
        <f>COUNTIFS('Team Lineups'!C:C,A25,'Team Lineups'!G:G,"Draw")</f>
        <v>2</v>
      </c>
      <c r="I25">
        <f>COUNTIFS('Team Lineups'!C:C,A25,'Team Lineups'!G:G,"Loss")</f>
        <v>3</v>
      </c>
      <c r="J25" s="3">
        <f t="shared" si="1"/>
        <v>0.54545454545454541</v>
      </c>
      <c r="K25">
        <f>SUMIF('Team Lineups'!C:C,A25,'Team Lineups'!H:H)</f>
        <v>17</v>
      </c>
      <c r="L25">
        <f t="shared" si="2"/>
        <v>1.5454545454545454</v>
      </c>
      <c r="M25">
        <f>SUMIF('Team Lineups'!C:C,A25,'Team Lineups'!I:I)</f>
        <v>6</v>
      </c>
      <c r="N25">
        <f>COUNTIF(Matches!G:G,A25)</f>
        <v>1</v>
      </c>
      <c r="O25">
        <f t="shared" si="3"/>
        <v>9.0909090909090912E-2</v>
      </c>
      <c r="P25">
        <f>SUMIF('Team Lineups'!C:C,A25,'Team Lineups'!J:J)</f>
        <v>1</v>
      </c>
    </row>
    <row r="26" spans="1:16" x14ac:dyDescent="0.35">
      <c r="A26" t="s">
        <v>54</v>
      </c>
      <c r="C26">
        <f>COUNTIF('Team Lineups'!C:C,A26)</f>
        <v>5</v>
      </c>
      <c r="D26">
        <f>SUMIF('Team Lineups'!C:C,A26,'Team Lineups'!E:E)</f>
        <v>26</v>
      </c>
      <c r="E26">
        <f>SUMIF('Team Lineups'!C:C,A26,'Team Lineups'!F:F)</f>
        <v>28</v>
      </c>
      <c r="F26">
        <f t="shared" si="0"/>
        <v>-2</v>
      </c>
      <c r="G26">
        <f>COUNTIFS('Team Lineups'!C:C,A26,'Team Lineups'!G:G,"Win")</f>
        <v>2</v>
      </c>
      <c r="H26">
        <f>COUNTIFS('Team Lineups'!C:C,A26,'Team Lineups'!G:G,"Draw")</f>
        <v>0</v>
      </c>
      <c r="I26">
        <f>COUNTIFS('Team Lineups'!C:C,A26,'Team Lineups'!G:G,"Loss")</f>
        <v>3</v>
      </c>
      <c r="J26" s="3">
        <f t="shared" si="1"/>
        <v>0.4</v>
      </c>
      <c r="K26">
        <f>SUMIF('Team Lineups'!C:C,A26,'Team Lineups'!H:H)</f>
        <v>0</v>
      </c>
      <c r="L26">
        <f t="shared" si="2"/>
        <v>0</v>
      </c>
      <c r="M26">
        <f>SUMIF('Team Lineups'!C:C,A26,'Team Lineups'!I:I)</f>
        <v>2</v>
      </c>
      <c r="N26">
        <f>COUNTIF(Matches!G:G,A26)</f>
        <v>1</v>
      </c>
      <c r="O26">
        <f t="shared" si="3"/>
        <v>0.2</v>
      </c>
      <c r="P26">
        <f>SUMIF('Team Lineups'!C:C,A26,'Team Lineups'!J:J)</f>
        <v>0</v>
      </c>
    </row>
    <row r="27" spans="1:16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1"/>
        <v>0</v>
      </c>
      <c r="K27">
        <f>SUMIF('Team Lineups'!C:C,A27,'Team Lineups'!H:H)</f>
        <v>0</v>
      </c>
      <c r="L27">
        <f t="shared" si="2"/>
        <v>0</v>
      </c>
      <c r="M27">
        <f>SUMIF('Team Lineups'!C:C,A27,'Team Lineups'!I:I)</f>
        <v>0</v>
      </c>
      <c r="N27">
        <f>COUNTIF(Matches!G:G,A27)</f>
        <v>0</v>
      </c>
      <c r="O27">
        <f t="shared" si="3"/>
        <v>0</v>
      </c>
      <c r="P27">
        <f>SUMIF('Team Lineups'!C:C,A27,'Team Lineups'!J:J)</f>
        <v>0</v>
      </c>
    </row>
    <row r="28" spans="1:16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4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5">G28/C28</f>
        <v>1</v>
      </c>
      <c r="K28">
        <f>SUMIF('Team Lineups'!C:C,A28,'Team Lineups'!H:H)</f>
        <v>2</v>
      </c>
      <c r="L28">
        <f t="shared" ref="L28:L34" si="6">K28/C28</f>
        <v>2</v>
      </c>
      <c r="M28">
        <f>SUMIF('Team Lineups'!C:C,A28,'Team Lineups'!I:I)</f>
        <v>2</v>
      </c>
      <c r="N28">
        <f>COUNTIF(Matches!G:G,A28)</f>
        <v>0</v>
      </c>
      <c r="O28">
        <f t="shared" ref="O28:O34" si="7">N28/C28</f>
        <v>0</v>
      </c>
      <c r="P28">
        <f>SUMIF('Team Lineups'!C:C,A28,'Team Lineups'!J:J)</f>
        <v>0</v>
      </c>
    </row>
    <row r="29" spans="1:16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4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5"/>
        <v>0.6</v>
      </c>
      <c r="K29">
        <f>SUMIF('Team Lineups'!C:C,A29,'Team Lineups'!H:H)</f>
        <v>4</v>
      </c>
      <c r="L29">
        <f t="shared" si="6"/>
        <v>0.8</v>
      </c>
      <c r="M29">
        <f>SUMIF('Team Lineups'!C:C,A29,'Team Lineups'!I:I)</f>
        <v>1</v>
      </c>
      <c r="N29">
        <f>COUNTIF(Matches!G:G,A29)</f>
        <v>0</v>
      </c>
      <c r="O29">
        <f t="shared" si="7"/>
        <v>0</v>
      </c>
      <c r="P29">
        <f>SUMIF('Team Lineups'!C:C,A29,'Team Lineups'!J:J)</f>
        <v>0</v>
      </c>
    </row>
    <row r="30" spans="1:16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4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5"/>
        <v>0</v>
      </c>
      <c r="K30">
        <f>SUMIF('Team Lineups'!C:C,A30,'Team Lineups'!H:H)</f>
        <v>0</v>
      </c>
      <c r="L30">
        <f t="shared" si="6"/>
        <v>0</v>
      </c>
      <c r="M30">
        <f>SUMIF('Team Lineups'!C:C,A30,'Team Lineups'!I:I)</f>
        <v>0</v>
      </c>
      <c r="N30">
        <f>COUNTIF(Matches!G:G,A30)</f>
        <v>0</v>
      </c>
      <c r="O30">
        <f t="shared" si="7"/>
        <v>0</v>
      </c>
      <c r="P30">
        <f>SUMIF('Team Lineups'!C:C,A30,'Team Lineups'!J:J)</f>
        <v>0</v>
      </c>
    </row>
    <row r="31" spans="1:16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4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5"/>
        <v>0</v>
      </c>
      <c r="K31">
        <f>SUMIF('Team Lineups'!C:C,A31,'Team Lineups'!H:H)</f>
        <v>1</v>
      </c>
      <c r="L31">
        <f t="shared" si="6"/>
        <v>1</v>
      </c>
      <c r="M31">
        <f>SUMIF('Team Lineups'!C:C,A31,'Team Lineups'!I:I)</f>
        <v>3</v>
      </c>
      <c r="N31">
        <f>COUNTIF(Matches!G:G,A31)</f>
        <v>0</v>
      </c>
      <c r="O31">
        <f t="shared" si="7"/>
        <v>0</v>
      </c>
      <c r="P31">
        <f>SUMIF('Team Lineups'!C:C,A31,'Team Lineups'!J:J)</f>
        <v>0</v>
      </c>
    </row>
    <row r="32" spans="1:16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4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5"/>
        <v>1</v>
      </c>
      <c r="K32">
        <f>SUMIF('Team Lineups'!C:C,A32,'Team Lineups'!H:H)</f>
        <v>2</v>
      </c>
      <c r="L32">
        <f t="shared" si="6"/>
        <v>2</v>
      </c>
      <c r="M32">
        <f>SUMIF('Team Lineups'!C:C,A32,'Team Lineups'!I:I)</f>
        <v>3</v>
      </c>
      <c r="N32">
        <f>COUNTIF(Matches!G:G,A32)</f>
        <v>0</v>
      </c>
      <c r="O32">
        <f t="shared" si="7"/>
        <v>0</v>
      </c>
      <c r="P32">
        <f>SUMIF('Team Lineups'!C:C,A32,'Team Lineups'!J:J)</f>
        <v>0</v>
      </c>
    </row>
    <row r="33" spans="1:16" x14ac:dyDescent="0.35">
      <c r="A33" t="s">
        <v>66</v>
      </c>
      <c r="C33">
        <f>COUNTIF('Team Lineups'!C:C,A33)</f>
        <v>8</v>
      </c>
      <c r="D33">
        <f>SUMIF('Team Lineups'!C:C,A33,'Team Lineups'!E:E)</f>
        <v>58</v>
      </c>
      <c r="E33">
        <f>SUMIF('Team Lineups'!C:C,A33,'Team Lineups'!F:F)</f>
        <v>53</v>
      </c>
      <c r="F33">
        <f t="shared" si="4"/>
        <v>5</v>
      </c>
      <c r="G33">
        <f>COUNTIFS('Team Lineups'!C:C,A33,'Team Lineups'!G:G,"Win")</f>
        <v>5</v>
      </c>
      <c r="H33">
        <f>COUNTIFS('Team Lineups'!C:C,A33,'Team Lineups'!G:G,"Draw")</f>
        <v>1</v>
      </c>
      <c r="I33">
        <f>COUNTIFS('Team Lineups'!C:C,A33,'Team Lineups'!G:G,"Loss")</f>
        <v>2</v>
      </c>
      <c r="J33" s="3">
        <f t="shared" si="5"/>
        <v>0.625</v>
      </c>
      <c r="K33">
        <f>SUMIF('Team Lineups'!C:C,A33,'Team Lineups'!H:H)</f>
        <v>27</v>
      </c>
      <c r="L33">
        <f t="shared" si="6"/>
        <v>3.375</v>
      </c>
      <c r="M33">
        <f>SUMIF('Team Lineups'!C:C,A33,'Team Lineups'!I:I)</f>
        <v>10</v>
      </c>
      <c r="N33">
        <f>COUNTIF(Matches!G:G,A33)</f>
        <v>1</v>
      </c>
      <c r="O33">
        <f t="shared" si="7"/>
        <v>0.125</v>
      </c>
      <c r="P33">
        <f>SUMIF('Team Lineups'!C:C,A33,'Team Lineups'!J:J)</f>
        <v>0</v>
      </c>
    </row>
    <row r="34" spans="1:16" x14ac:dyDescent="0.35">
      <c r="A34" t="s">
        <v>75</v>
      </c>
      <c r="C34">
        <f>COUNTIF('Team Lineups'!C:C,A34)</f>
        <v>2</v>
      </c>
      <c r="D34">
        <f>SUMIF('Team Lineups'!C:C,A34,'Team Lineups'!E:E)</f>
        <v>13</v>
      </c>
      <c r="E34">
        <f>SUMIF('Team Lineups'!C:C,A34,'Team Lineups'!F:F)</f>
        <v>13</v>
      </c>
      <c r="F34">
        <f t="shared" si="4"/>
        <v>0</v>
      </c>
      <c r="G34">
        <f>COUNTIFS('Team Lineups'!C:C,A34,'Team Lineups'!G:G,"Win")</f>
        <v>1</v>
      </c>
      <c r="H34">
        <f>COUNTIFS('Team Lineups'!C:C,A34,'Team Lineups'!G:G,"Draw")</f>
        <v>0</v>
      </c>
      <c r="I34">
        <f>COUNTIFS('Team Lineups'!C:C,A34,'Team Lineups'!G:G,"Loss")</f>
        <v>1</v>
      </c>
      <c r="J34" s="3">
        <f t="shared" si="5"/>
        <v>0.5</v>
      </c>
      <c r="K34">
        <f>SUMIF('Team Lineups'!C:C,A34,'Team Lineups'!H:H)</f>
        <v>2</v>
      </c>
      <c r="L34">
        <f t="shared" si="6"/>
        <v>1</v>
      </c>
      <c r="M34">
        <f>SUMIF('Team Lineups'!C:C,A34,'Team Lineups'!I:I)</f>
        <v>1</v>
      </c>
      <c r="N34">
        <f>COUNTIF(Matches!G:G,A34)</f>
        <v>1</v>
      </c>
      <c r="O34">
        <f t="shared" si="7"/>
        <v>0.5</v>
      </c>
      <c r="P34">
        <f>SUMIF('Team Lineups'!C:C,A34,'Team Lineups'!J:J)</f>
        <v>0</v>
      </c>
    </row>
    <row r="35" spans="1:16" x14ac:dyDescent="0.35">
      <c r="A35" t="s">
        <v>78</v>
      </c>
      <c r="C35">
        <f>COUNTIF('Team Lineups'!C:C,A35)</f>
        <v>1</v>
      </c>
      <c r="D35">
        <f>SUMIF('Team Lineups'!C:C,A35,'Team Lineups'!E:E)</f>
        <v>8</v>
      </c>
      <c r="E35">
        <f>SUMIF('Team Lineups'!C:C,A35,'Team Lineups'!F:F)</f>
        <v>9</v>
      </c>
      <c r="F35">
        <f t="shared" ref="F35" si="8">D35-E35</f>
        <v>-1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1</v>
      </c>
      <c r="J35" s="3">
        <f t="shared" ref="J35" si="9">G35/C35</f>
        <v>0</v>
      </c>
      <c r="K35">
        <f>SUMIF('Team Lineups'!C:C,A35,'Team Lineups'!H:H)</f>
        <v>0</v>
      </c>
      <c r="L35">
        <f t="shared" ref="L35" si="10">K35/C35</f>
        <v>0</v>
      </c>
      <c r="M35">
        <f>SUMIF('Team Lineups'!C:C,A35,'Team Lineups'!I:I)</f>
        <v>2</v>
      </c>
      <c r="N35">
        <f>COUNTIF(Matches!G:G,A35)</f>
        <v>0</v>
      </c>
      <c r="O35">
        <f t="shared" ref="O35" si="11">N35/C35</f>
        <v>0</v>
      </c>
      <c r="P35">
        <f>SUMIF('Team Lineups'!C:C,A35,'Team Lineups'!J:J)</f>
        <v>0</v>
      </c>
    </row>
    <row r="36" spans="1:16" x14ac:dyDescent="0.35">
      <c r="A36" t="s">
        <v>79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2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3">G36/C36</f>
        <v>0</v>
      </c>
      <c r="K36">
        <f>SUMIF('Team Lineups'!C:C,A36,'Team Lineups'!H:H)</f>
        <v>3</v>
      </c>
      <c r="L36">
        <f t="shared" ref="L36" si="14">K36/C36</f>
        <v>3</v>
      </c>
      <c r="M36">
        <f>SUMIF('Team Lineups'!C:C,A36,'Team Lineups'!I:I)</f>
        <v>0</v>
      </c>
      <c r="N36">
        <f>COUNTIF(Matches!G:G,A36)</f>
        <v>0</v>
      </c>
      <c r="O36">
        <f t="shared" ref="O36" si="15">N36/C36</f>
        <v>0</v>
      </c>
      <c r="P36">
        <f>SUMIF('Team Lineups'!C:C,A36,'Team Lineups'!J:J)</f>
        <v>0</v>
      </c>
    </row>
  </sheetData>
  <autoFilter ref="A1:O27" xr:uid="{00000000-0001-0000-0200-000000000000}">
    <sortState xmlns:xlrd2="http://schemas.microsoft.com/office/spreadsheetml/2017/richdata2" ref="A2:O27">
      <sortCondition descending="1" ref="G2:G27"/>
      <sortCondition descending="1" ref="H2:H27"/>
      <sortCondition descending="1" ref="J2:J27"/>
      <sortCondition descending="1" ref="N2:N27"/>
      <sortCondition descending="1" ref="K2:K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33"/>
  <sheetViews>
    <sheetView topLeftCell="A16" workbookViewId="0">
      <selection activeCell="AE33" sqref="AE33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33">_xlfn.UNIQUE('Team Lineups'!C2:C500)</f>
        <v>Gioele</v>
      </c>
      <c r="B2" t="s">
        <v>77</v>
      </c>
      <c r="C2" cm="1">
        <f t="array" ref="C2">SUMPRODUCT(('Team Lineups'!$K$2:$K$2000&lt;&gt;"")*('Team Lineups'!$C$2:$C$2000=$A2)*COUNTIFS('Team Lineups'!$K$2:$K$2000,'Team Lineups'!$K$2:$K$2000,'Team Lineups'!$C$2:$C$2000,C$1))</f>
        <v>4</v>
      </c>
      <c r="D2" cm="1">
        <f t="array" ref="D2">SUMPRODUCT(('Team Lineups'!$K$2:$K$2000&lt;&gt;"")*('Team Lineups'!$C$2:$C$2000=$A2)*COUNTIFS('Team Lineups'!$K$2:$K$2000,'Team Lineups'!$K$2:$K$2000,'Team Lineups'!$C$2:$C$2000,D$1))</f>
        <v>3</v>
      </c>
      <c r="E2" cm="1">
        <f t="array" ref="E2">SUMPRODUCT(('Team Lineups'!$K$2:$K$2000&lt;&gt;"")*('Team Lineups'!$C$2:$C$2000=$A2)*COUNTIFS('Team Lineups'!$K$2:$K$2000,'Team Lineups'!$K$2:$K$2000,'Team Lineups'!$C$2:$C$2000,E$1))</f>
        <v>4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2</v>
      </c>
      <c r="H2" cm="1">
        <f t="array" ref="H2">SUMPRODUCT(('Team Lineups'!$K$2:$K$2000&lt;&gt;"")*('Team Lineups'!$C$2:$C$2000=$A2)*COUNTIFS('Team Lineups'!$K$2:$K$2000,'Team Lineups'!$K$2:$K$2000,'Team Lineups'!$C$2:$C$2000,H$1))</f>
        <v>3</v>
      </c>
      <c r="I2" cm="1">
        <f t="array" ref="I2">SUMPRODUCT(('Team Lineups'!$K$2:$K$2000&lt;&gt;"")*('Team Lineups'!$C$2:$C$2000=$A2)*COUNTIFS('Team Lineups'!$K$2:$K$2000,'Team Lineups'!$K$2:$K$2000,'Team Lineups'!$C$2:$C$2000,I$1))</f>
        <v>3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1</v>
      </c>
      <c r="M2" cm="1">
        <f t="array" ref="M2">SUMPRODUCT(('Team Lineups'!$K$2:$K$2000&lt;&gt;"")*('Team Lineups'!$C$2:$C$2000=$A2)*COUNTIFS('Team Lineups'!$K$2:$K$2000,'Team Lineups'!$K$2:$K$2000,'Team Lineups'!$C$2:$C$2000,M$1))</f>
        <v>3</v>
      </c>
      <c r="N2" cm="1">
        <f t="array" ref="N2">SUMPRODUCT(('Team Lineups'!$K$2:$K$2000&lt;&gt;"")*('Team Lineups'!$C$2:$C$2000=$A2)*COUNTIFS('Team Lineups'!$K$2:$K$2000,'Team Lineups'!$K$2:$K$2000,'Team Lineups'!$C$2:$C$2000,N$1))</f>
        <v>4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3</v>
      </c>
      <c r="R2" cm="1">
        <f t="array" ref="R2">SUMPRODUCT(('Team Lineups'!$K$2:$K$2000&lt;&gt;"")*('Team Lineups'!$C$2:$C$2000=$A2)*COUNTIFS('Team Lineups'!$K$2:$K$2000,'Team Lineups'!$K$2:$K$2000,'Team Lineups'!$C$2:$C$2000,R$1))</f>
        <v>0</v>
      </c>
      <c r="S2" cm="1">
        <f t="array" ref="S2">SUMPRODUCT(('Team Lineups'!$K$2:$K$2000&lt;&gt;"")*('Team Lineups'!$C$2:$C$2000=$A2)*COUNTIFS('Team Lineups'!$K$2:$K$2000,'Team Lineups'!$K$2:$K$2000,'Team Lineups'!$C$2:$C$2000,S$1))</f>
        <v>1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1</v>
      </c>
      <c r="AA2" cm="1">
        <f t="array" ref="AA2">SUMPRODUCT(('Team Lineups'!$K$2:$K$2000&lt;&gt;"")*('Team Lineups'!$C$2:$C$2000=$A2)*COUNTIFS('Team Lineups'!$K$2:$K$2000,'Team Lineups'!$K$2:$K$2000,'Team Lineups'!$C$2:$C$2000,AA$1))</f>
        <v>2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1</v>
      </c>
      <c r="AE2" cm="1">
        <f t="array" ref="AE2">SUMPRODUCT(('Team Lineups'!$K$2:$K$2000&lt;&gt;"")*('Team Lineups'!$C$2:$C$2000=$A2)*COUNTIFS('Team Lineups'!$K$2:$K$2000,'Team Lineups'!$K$2:$K$2000,'Team Lineups'!$C$2:$C$2000,AE$1))</f>
        <v>1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4</v>
      </c>
      <c r="C3" t="s">
        <v>77</v>
      </c>
      <c r="D3" cm="1">
        <f t="array" ref="D3">SUMPRODUCT(('Team Lineups'!$K$2:$K$2000&lt;&gt;"")*('Team Lineups'!$C$2:$C$2000=$A3)*COUNTIFS('Team Lineups'!$K$2:$K$2000,'Team Lineups'!$K$2:$K$2000,'Team Lineups'!$C$2:$C$2000,D$1))</f>
        <v>4</v>
      </c>
      <c r="E3" cm="1">
        <f t="array" ref="E3">SUMPRODUCT(('Team Lineups'!$K$2:$K$2000&lt;&gt;"")*('Team Lineups'!$C$2:$C$2000=$A3)*COUNTIFS('Team Lineups'!$K$2:$K$2000,'Team Lineups'!$K$2:$K$2000,'Team Lineups'!$C$2:$C$2000,E$1))</f>
        <v>5</v>
      </c>
      <c r="F3" cm="1">
        <f t="array" ref="F3">SUMPRODUCT(('Team Lineups'!$K$2:$K$2000&lt;&gt;"")*('Team Lineups'!$C$2:$C$2000=$A3)*COUNTIFS('Team Lineups'!$K$2:$K$2000,'Team Lineups'!$K$2:$K$2000,'Team Lineups'!$C$2:$C$2000,F$1))</f>
        <v>2</v>
      </c>
      <c r="G3" cm="1">
        <f t="array" ref="G3">SUMPRODUCT(('Team Lineups'!$K$2:$K$2000&lt;&gt;"")*('Team Lineups'!$C$2:$C$2000=$A3)*COUNTIFS('Team Lineups'!$K$2:$K$2000,'Team Lineups'!$K$2:$K$2000,'Team Lineups'!$C$2:$C$2000,G$1))</f>
        <v>2</v>
      </c>
      <c r="H3" cm="1">
        <f t="array" ref="H3">SUMPRODUCT(('Team Lineups'!$K$2:$K$2000&lt;&gt;"")*('Team Lineups'!$C$2:$C$2000=$A3)*COUNTIFS('Team Lineups'!$K$2:$K$2000,'Team Lineups'!$K$2:$K$2000,'Team Lineups'!$C$2:$C$2000,H$1))</f>
        <v>2</v>
      </c>
      <c r="I3" cm="1">
        <f t="array" ref="I3">SUMPRODUCT(('Team Lineups'!$K$2:$K$2000&lt;&gt;"")*('Team Lineups'!$C$2:$C$2000=$A3)*COUNTIFS('Team Lineups'!$K$2:$K$2000,'Team Lineups'!$K$2:$K$2000,'Team Lineups'!$C$2:$C$2000,I$1))</f>
        <v>2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3</v>
      </c>
      <c r="M3" cm="1">
        <f t="array" ref="M3">SUMPRODUCT(('Team Lineups'!$K$2:$K$2000&lt;&gt;"")*('Team Lineups'!$C$2:$C$2000=$A3)*COUNTIFS('Team Lineups'!$K$2:$K$2000,'Team Lineups'!$K$2:$K$2000,'Team Lineups'!$C$2:$C$2000,M$1))</f>
        <v>0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2</v>
      </c>
      <c r="R3" cm="1">
        <f t="array" ref="R3">SUMPRODUCT(('Team Lineups'!$K$2:$K$2000&lt;&gt;"")*('Team Lineups'!$C$2:$C$2000=$A3)*COUNTIFS('Team Lineups'!$K$2:$K$2000,'Team Lineups'!$K$2:$K$2000,'Team Lineups'!$C$2:$C$2000,R$1))</f>
        <v>0</v>
      </c>
      <c r="S3" cm="1">
        <f t="array" ref="S3">SUMPRODUCT(('Team Lineups'!$K$2:$K$2000&lt;&gt;"")*('Team Lineups'!$C$2:$C$2000=$A3)*COUNTIFS('Team Lineups'!$K$2:$K$2000,'Team Lineups'!$K$2:$K$2000,'Team Lineups'!$C$2:$C$2000,S$1))</f>
        <v>0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3</v>
      </c>
      <c r="AB3" cm="1">
        <f t="array" ref="AB3">SUMPRODUCT(('Team Lineups'!$K$2:$K$2000&lt;&gt;"")*('Team Lineups'!$C$2:$C$2000=$A3)*COUNTIFS('Team Lineups'!$K$2:$K$2000,'Team Lineups'!$K$2:$K$2000,'Team Lineups'!$C$2:$C$2000,AB$1))</f>
        <v>2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1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3</v>
      </c>
      <c r="C4" cm="1">
        <f t="array" ref="C4">SUMPRODUCT(('Team Lineups'!$K$2:$K$2000&lt;&gt;"")*('Team Lineups'!$C$2:$C$2000=$A4)*COUNTIFS('Team Lineups'!$K$2:$K$2000,'Team Lineups'!$K$2:$K$2000,'Team Lineups'!$C$2:$C$2000,C$1))</f>
        <v>4</v>
      </c>
      <c r="D4" t="s">
        <v>77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6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2</v>
      </c>
      <c r="I4" cm="1">
        <f t="array" ref="I4">SUMPRODUCT(('Team Lineups'!$K$2:$K$2000&lt;&gt;"")*('Team Lineups'!$C$2:$C$2000=$A4)*COUNTIFS('Team Lineups'!$K$2:$K$2000,'Team Lineups'!$K$2:$K$2000,'Team Lineups'!$C$2:$C$2000,I$1))</f>
        <v>4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6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5</v>
      </c>
      <c r="O4" cm="1">
        <f t="array" ref="O4">SUMPRODUCT(('Team Lineups'!$K$2:$K$2000&lt;&gt;"")*('Team Lineups'!$C$2:$C$2000=$A4)*COUNTIFS('Team Lineups'!$K$2:$K$2000,'Team Lineups'!$K$2:$K$2000,'Team Lineups'!$C$2:$C$2000,O$1))</f>
        <v>3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2</v>
      </c>
      <c r="R4" cm="1">
        <f t="array" ref="R4">SUMPRODUCT(('Team Lineups'!$K$2:$K$2000&lt;&gt;"")*('Team Lineups'!$C$2:$C$2000=$A4)*COUNTIFS('Team Lineups'!$K$2:$K$2000,'Team Lineups'!$K$2:$K$2000,'Team Lineups'!$C$2:$C$2000,R$1))</f>
        <v>2</v>
      </c>
      <c r="S4" cm="1">
        <f t="array" ref="S4">SUMPRODUCT(('Team Lineups'!$K$2:$K$2000&lt;&gt;"")*('Team Lineups'!$C$2:$C$2000=$A4)*COUNTIFS('Team Lineups'!$K$2:$K$2000,'Team Lineups'!$K$2:$K$2000,'Team Lineups'!$C$2:$C$2000,S$1))</f>
        <v>1</v>
      </c>
      <c r="T4" cm="1">
        <f t="array" ref="T4">SUMPRODUCT(('Team Lineups'!$K$2:$K$2000&lt;&gt;"")*('Team Lineups'!$C$2:$C$2000=$A4)*COUNTIFS('Team Lineups'!$K$2:$K$2000,'Team Lineups'!$K$2:$K$2000,'Team Lineups'!$C$2:$C$2000,T$1))</f>
        <v>2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1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0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4</v>
      </c>
      <c r="C5" cm="1">
        <f t="array" ref="C5">SUMPRODUCT(('Team Lineups'!$K$2:$K$2000&lt;&gt;"")*('Team Lineups'!$C$2:$C$2000=$A5)*COUNTIFS('Team Lineups'!$K$2:$K$2000,'Team Lineups'!$K$2:$K$2000,'Team Lineups'!$C$2:$C$2000,C$1))</f>
        <v>5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t="s">
        <v>77</v>
      </c>
      <c r="F5" cm="1">
        <f t="array" ref="F5">SUMPRODUCT(('Team Lineups'!$K$2:$K$2000&lt;&gt;"")*('Team Lineups'!$C$2:$C$2000=$A5)*COUNTIFS('Team Lineups'!$K$2:$K$2000,'Team Lineups'!$K$2:$K$2000,'Team Lineups'!$C$2:$C$2000,F$1))</f>
        <v>5</v>
      </c>
      <c r="G5" cm="1">
        <f t="array" ref="G5">SUMPRODUCT(('Team Lineups'!$K$2:$K$2000&lt;&gt;"")*('Team Lineups'!$C$2:$C$2000=$A5)*COUNTIFS('Team Lineups'!$K$2:$K$2000,'Team Lineups'!$K$2:$K$2000,'Team Lineups'!$C$2:$C$2000,G$1))</f>
        <v>3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2</v>
      </c>
      <c r="N5" cm="1">
        <f t="array" ref="N5">SUMPRODUCT(('Team Lineups'!$K$2:$K$2000&lt;&gt;"")*('Team Lineups'!$C$2:$C$2000=$A5)*COUNTIFS('Team Lineups'!$K$2:$K$2000,'Team Lineups'!$K$2:$K$2000,'Team Lineups'!$C$2:$C$2000,N$1))</f>
        <v>3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2</v>
      </c>
      <c r="R5" cm="1">
        <f t="array" ref="R5">SUMPRODUCT(('Team Lineups'!$K$2:$K$2000&lt;&gt;"")*('Team Lineups'!$C$2:$C$2000=$A5)*COUNTIFS('Team Lineups'!$K$2:$K$2000,'Team Lineups'!$K$2:$K$2000,'Team Lineups'!$C$2:$C$2000,R$1))</f>
        <v>1</v>
      </c>
      <c r="S5" cm="1">
        <f t="array" ref="S5">SUMPRODUCT(('Team Lineups'!$K$2:$K$2000&lt;&gt;"")*('Team Lineups'!$C$2:$C$2000=$A5)*COUNTIFS('Team Lineups'!$K$2:$K$2000,'Team Lineups'!$K$2:$K$2000,'Team Lineups'!$C$2:$C$2000,S$1))</f>
        <v>1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0</v>
      </c>
      <c r="AA5" cm="1">
        <f t="array" ref="AA5">SUMPRODUCT(('Team Lineups'!$K$2:$K$2000&lt;&gt;"")*('Team Lineups'!$C$2:$C$2000=$A5)*COUNTIFS('Team Lineups'!$K$2:$K$2000,'Team Lineups'!$K$2:$K$2000,'Team Lineups'!$C$2:$C$2000,AA$1))</f>
        <v>6</v>
      </c>
      <c r="AB5" cm="1">
        <f t="array" ref="AB5">SUMPRODUCT(('Team Lineups'!$K$2:$K$2000&lt;&gt;"")*('Team Lineups'!$C$2:$C$2000=$A5)*COUNTIFS('Team Lineups'!$K$2:$K$2000,'Team Lineups'!$K$2:$K$2000,'Team Lineups'!$C$2:$C$2000,AB$1))</f>
        <v>1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2</v>
      </c>
      <c r="D6" cm="1">
        <f t="array" ref="D6">SUMPRODUCT(('Team Lineups'!$K$2:$K$2000&lt;&gt;"")*('Team Lineups'!$C$2:$C$2000=$A6)*COUNTIFS('Team Lineups'!$K$2:$K$2000,'Team Lineups'!$K$2:$K$2000,'Team Lineups'!$C$2:$C$2000,D$1))</f>
        <v>6</v>
      </c>
      <c r="E6" cm="1">
        <f t="array" ref="E6">SUMPRODUCT(('Team Lineups'!$K$2:$K$2000&lt;&gt;"")*('Team Lineups'!$C$2:$C$2000=$A6)*COUNTIFS('Team Lineups'!$K$2:$K$2000,'Team Lineups'!$K$2:$K$2000,'Team Lineups'!$C$2:$C$2000,E$1))</f>
        <v>5</v>
      </c>
      <c r="F6" t="s">
        <v>77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2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3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3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2</v>
      </c>
      <c r="C7" cm="1">
        <f t="array" ref="C7">SUMPRODUCT(('Team Lineups'!$K$2:$K$2000&lt;&gt;"")*('Team Lineups'!$C$2:$C$2000=$A7)*COUNTIFS('Team Lineups'!$K$2:$K$2000,'Team Lineups'!$K$2:$K$2000,'Team Lineups'!$C$2:$C$2000,C$1))</f>
        <v>2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3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t="s">
        <v>77</v>
      </c>
      <c r="H7" cm="1">
        <f t="array" ref="H7">SUMPRODUCT(('Team Lineups'!$K$2:$K$2000&lt;&gt;"")*('Team Lineups'!$C$2:$C$2000=$A7)*COUNTIFS('Team Lineups'!$K$2:$K$2000,'Team Lineups'!$K$2:$K$2000,'Team Lineups'!$C$2:$C$2000,H$1))</f>
        <v>4</v>
      </c>
      <c r="I7" cm="1">
        <f t="array" ref="I7">SUMPRODUCT(('Team Lineups'!$K$2:$K$2000&lt;&gt;"")*('Team Lineups'!$C$2:$C$2000=$A7)*COUNTIFS('Team Lineups'!$K$2:$K$2000,'Team Lineups'!$K$2:$K$2000,'Team Lineups'!$C$2:$C$2000,I$1))</f>
        <v>5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3</v>
      </c>
      <c r="M7" cm="1">
        <f t="array" ref="M7">SUMPRODUCT(('Team Lineups'!$K$2:$K$2000&lt;&gt;"")*('Team Lineups'!$C$2:$C$2000=$A7)*COUNTIFS('Team Lineups'!$K$2:$K$2000,'Team Lineups'!$K$2:$K$2000,'Team Lineups'!$C$2:$C$2000,M$1))</f>
        <v>6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0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2</v>
      </c>
      <c r="R7" cm="1">
        <f t="array" ref="R7">SUMPRODUCT(('Team Lineups'!$K$2:$K$2000&lt;&gt;"")*('Team Lineups'!$C$2:$C$2000=$A7)*COUNTIFS('Team Lineups'!$K$2:$K$2000,'Team Lineups'!$K$2:$K$2000,'Team Lineups'!$C$2:$C$2000,R$1))</f>
        <v>2</v>
      </c>
      <c r="S7" cm="1">
        <f t="array" ref="S7">SUMPRODUCT(('Team Lineups'!$K$2:$K$2000&lt;&gt;"")*('Team Lineups'!$C$2:$C$2000=$A7)*COUNTIFS('Team Lineups'!$K$2:$K$2000,'Team Lineups'!$K$2:$K$2000,'Team Lineups'!$C$2:$C$2000,S$1))</f>
        <v>3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2</v>
      </c>
      <c r="AA7" cm="1">
        <f t="array" ref="AA7">SUMPRODUCT(('Team Lineups'!$K$2:$K$2000&lt;&gt;"")*('Team Lineups'!$C$2:$C$2000=$A7)*COUNTIFS('Team Lineups'!$K$2:$K$2000,'Team Lineups'!$K$2:$K$2000,'Team Lineups'!$C$2:$C$2000,AA$1))</f>
        <v>4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1</v>
      </c>
      <c r="AE7" cm="1">
        <f t="array" ref="AE7">SUMPRODUCT(('Team Lineups'!$K$2:$K$2000&lt;&gt;"")*('Team Lineups'!$C$2:$C$2000=$A7)*COUNTIFS('Team Lineups'!$K$2:$K$2000,'Team Lineups'!$K$2:$K$2000,'Team Lineups'!$C$2:$C$2000,AE$1))</f>
        <v>0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3</v>
      </c>
      <c r="C8" cm="1">
        <f t="array" ref="C8">SUMPRODUCT(('Team Lineups'!$K$2:$K$2000&lt;&gt;"")*('Team Lineups'!$C$2:$C$2000=$A8)*COUNTIFS('Team Lineups'!$K$2:$K$2000,'Team Lineups'!$K$2:$K$2000,'Team Lineups'!$C$2:$C$2000,C$1))</f>
        <v>2</v>
      </c>
      <c r="D8" cm="1">
        <f t="array" ref="D8">SUMPRODUCT(('Team Lineups'!$K$2:$K$2000&lt;&gt;"")*('Team Lineups'!$C$2:$C$2000=$A8)*COUNTIFS('Team Lineups'!$K$2:$K$2000,'Team Lineups'!$K$2:$K$2000,'Team Lineups'!$C$2:$C$2000,D$1))</f>
        <v>2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2</v>
      </c>
      <c r="G8" cm="1">
        <f t="array" ref="G8">SUMPRODUCT(('Team Lineups'!$K$2:$K$2000&lt;&gt;"")*('Team Lineups'!$C$2:$C$2000=$A8)*COUNTIFS('Team Lineups'!$K$2:$K$2000,'Team Lineups'!$K$2:$K$2000,'Team Lineups'!$C$2:$C$2000,G$1))</f>
        <v>4</v>
      </c>
      <c r="H8" t="s">
        <v>77</v>
      </c>
      <c r="I8" cm="1">
        <f t="array" ref="I8">SUMPRODUCT(('Team Lineups'!$K$2:$K$2000&lt;&gt;"")*('Team Lineups'!$C$2:$C$2000=$A8)*COUNTIFS('Team Lineups'!$K$2:$K$2000,'Team Lineups'!$K$2:$K$2000,'Team Lineups'!$C$2:$C$2000,I$1))</f>
        <v>6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1</v>
      </c>
      <c r="M8" cm="1">
        <f t="array" ref="M8">SUMPRODUCT(('Team Lineups'!$K$2:$K$2000&lt;&gt;"")*('Team Lineups'!$C$2:$C$2000=$A8)*COUNTIFS('Team Lineups'!$K$2:$K$2000,'Team Lineups'!$K$2:$K$2000,'Team Lineups'!$C$2:$C$2000,M$1))</f>
        <v>4</v>
      </c>
      <c r="N8" cm="1">
        <f t="array" ref="N8">SUMPRODUCT(('Team Lineups'!$K$2:$K$2000&lt;&gt;"")*('Team Lineups'!$C$2:$C$2000=$A8)*COUNTIFS('Team Lineups'!$K$2:$K$2000,'Team Lineups'!$K$2:$K$2000,'Team Lineups'!$C$2:$C$2000,N$1))</f>
        <v>3</v>
      </c>
      <c r="O8" cm="1">
        <f t="array" ref="O8">SUMPRODUCT(('Team Lineups'!$K$2:$K$2000&lt;&gt;"")*('Team Lineups'!$C$2:$C$2000=$A8)*COUNTIFS('Team Lineups'!$K$2:$K$2000,'Team Lineups'!$K$2:$K$2000,'Team Lineups'!$C$2:$C$2000,O$1))</f>
        <v>3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4</v>
      </c>
      <c r="R8" cm="1">
        <f t="array" ref="R8">SUMPRODUCT(('Team Lineups'!$K$2:$K$2000&lt;&gt;"")*('Team Lineups'!$C$2:$C$2000=$A8)*COUNTIFS('Team Lineups'!$K$2:$K$2000,'Team Lineups'!$K$2:$K$2000,'Team Lineups'!$C$2:$C$2000,R$1))</f>
        <v>3</v>
      </c>
      <c r="S8" cm="1">
        <f t="array" ref="S8">SUMPRODUCT(('Team Lineups'!$K$2:$K$2000&lt;&gt;"")*('Team Lineups'!$C$2:$C$2000=$A8)*COUNTIFS('Team Lineups'!$K$2:$K$2000,'Team Lineups'!$K$2:$K$2000,'Team Lineups'!$C$2:$C$2000,S$1))</f>
        <v>3</v>
      </c>
      <c r="T8" cm="1">
        <f t="array" ref="T8">SUMPRODUCT(('Team Lineups'!$K$2:$K$2000&lt;&gt;"")*('Team Lineups'!$C$2:$C$2000=$A8)*COUNTIFS('Team Lineups'!$K$2:$K$2000,'Team Lineups'!$K$2:$K$2000,'Team Lineups'!$C$2:$C$2000,T$1))</f>
        <v>0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1</v>
      </c>
      <c r="AB8" cm="1">
        <f t="array" ref="AB8">SUMPRODUCT(('Team Lineups'!$K$2:$K$2000&lt;&gt;"")*('Team Lineups'!$C$2:$C$2000=$A8)*COUNTIFS('Team Lineups'!$K$2:$K$2000,'Team Lineups'!$K$2:$K$2000,'Team Lineups'!$C$2:$C$2000,AB$1))</f>
        <v>3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2</v>
      </c>
      <c r="AE8" cm="1">
        <f t="array" ref="AE8">SUMPRODUCT(('Team Lineups'!$K$2:$K$2000&lt;&gt;"")*('Team Lineups'!$C$2:$C$2000=$A8)*COUNTIFS('Team Lineups'!$K$2:$K$2000,'Team Lineups'!$K$2:$K$2000,'Team Lineups'!$C$2:$C$2000,AE$1))</f>
        <v>0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3</v>
      </c>
      <c r="C9" cm="1">
        <f t="array" ref="C9">SUMPRODUCT(('Team Lineups'!$K$2:$K$2000&lt;&gt;"")*('Team Lineups'!$C$2:$C$2000=$A9)*COUNTIFS('Team Lineups'!$K$2:$K$2000,'Team Lineups'!$K$2:$K$2000,'Team Lineups'!$C$2:$C$2000,C$1))</f>
        <v>2</v>
      </c>
      <c r="D9" cm="1">
        <f t="array" ref="D9">SUMPRODUCT(('Team Lineups'!$K$2:$K$2000&lt;&gt;"")*('Team Lineups'!$C$2:$C$2000=$A9)*COUNTIFS('Team Lineups'!$K$2:$K$2000,'Team Lineups'!$K$2:$K$2000,'Team Lineups'!$C$2:$C$2000,D$1))</f>
        <v>4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5</v>
      </c>
      <c r="H9" cm="1">
        <f t="array" ref="H9">SUMPRODUCT(('Team Lineups'!$K$2:$K$2000&lt;&gt;"")*('Team Lineups'!$C$2:$C$2000=$A9)*COUNTIFS('Team Lineups'!$K$2:$K$2000,'Team Lineups'!$K$2:$K$2000,'Team Lineups'!$C$2:$C$2000,H$1))</f>
        <v>6</v>
      </c>
      <c r="I9" t="s">
        <v>77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3</v>
      </c>
      <c r="M9" cm="1">
        <f t="array" ref="M9">SUMPRODUCT(('Team Lineups'!$K$2:$K$2000&lt;&gt;"")*('Team Lineups'!$C$2:$C$2000=$A9)*COUNTIFS('Team Lineups'!$K$2:$K$2000,'Team Lineups'!$K$2:$K$2000,'Team Lineups'!$C$2:$C$2000,M$1))</f>
        <v>4</v>
      </c>
      <c r="N9" cm="1">
        <f t="array" ref="N9">SUMPRODUCT(('Team Lineups'!$K$2:$K$2000&lt;&gt;"")*('Team Lineups'!$C$2:$C$2000=$A9)*COUNTIFS('Team Lineups'!$K$2:$K$2000,'Team Lineups'!$K$2:$K$2000,'Team Lineups'!$C$2:$C$2000,N$1))</f>
        <v>3</v>
      </c>
      <c r="O9" cm="1">
        <f t="array" ref="O9">SUMPRODUCT(('Team Lineups'!$K$2:$K$2000&lt;&gt;"")*('Team Lineups'!$C$2:$C$2000=$A9)*COUNTIFS('Team Lineups'!$K$2:$K$2000,'Team Lineups'!$K$2:$K$2000,'Team Lineups'!$C$2:$C$2000,O$1))</f>
        <v>2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4</v>
      </c>
      <c r="R9" cm="1">
        <f t="array" ref="R9">SUMPRODUCT(('Team Lineups'!$K$2:$K$2000&lt;&gt;"")*('Team Lineups'!$C$2:$C$2000=$A9)*COUNTIFS('Team Lineups'!$K$2:$K$2000,'Team Lineups'!$K$2:$K$2000,'Team Lineups'!$C$2:$C$2000,R$1))</f>
        <v>3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1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3</v>
      </c>
      <c r="AA9" cm="1">
        <f t="array" ref="AA9">SUMPRODUCT(('Team Lineups'!$K$2:$K$2000&lt;&gt;"")*('Team Lineups'!$C$2:$C$2000=$A9)*COUNTIFS('Team Lineups'!$K$2:$K$2000,'Team Lineups'!$K$2:$K$2000,'Team Lineups'!$C$2:$C$2000,AA$1))</f>
        <v>3</v>
      </c>
      <c r="AB9" cm="1">
        <f t="array" ref="AB9">SUMPRODUCT(('Team Lineups'!$K$2:$K$2000&lt;&gt;"")*('Team Lineups'!$C$2:$C$2000=$A9)*COUNTIFS('Team Lineups'!$K$2:$K$2000,'Team Lineups'!$K$2:$K$2000,'Team Lineups'!$C$2:$C$2000,AB$1))</f>
        <v>1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1</v>
      </c>
      <c r="AE9" cm="1">
        <f t="array" ref="AE9">SUMPRODUCT(('Team Lineups'!$K$2:$K$2000&lt;&gt;"")*('Team Lineups'!$C$2:$C$2000=$A9)*COUNTIFS('Team Lineups'!$K$2:$K$2000,'Team Lineups'!$K$2:$K$2000,'Team Lineups'!$C$2:$C$2000,AE$1))</f>
        <v>0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t="s">
        <v>77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t="s">
        <v>77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1</v>
      </c>
      <c r="C12" cm="1">
        <f t="array" ref="C12">SUMPRODUCT(('Team Lineups'!$K$2:$K$2000&lt;&gt;"")*('Team Lineups'!$C$2:$C$2000=$A12)*COUNTIFS('Team Lineups'!$K$2:$K$2000,'Team Lineups'!$K$2:$K$2000,'Team Lineups'!$C$2:$C$2000,C$1))</f>
        <v>3</v>
      </c>
      <c r="D12" cm="1">
        <f t="array" ref="D12">SUMPRODUCT(('Team Lineups'!$K$2:$K$2000&lt;&gt;"")*('Team Lineups'!$C$2:$C$2000=$A12)*COUNTIFS('Team Lineups'!$K$2:$K$2000,'Team Lineups'!$K$2:$K$2000,'Team Lineups'!$C$2:$C$2000,D$1))</f>
        <v>6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3</v>
      </c>
      <c r="H12" cm="1">
        <f t="array" ref="H12">SUMPRODUCT(('Team Lineups'!$K$2:$K$2000&lt;&gt;"")*('Team Lineups'!$C$2:$C$2000=$A12)*COUNTIFS('Team Lineups'!$K$2:$K$2000,'Team Lineups'!$K$2:$K$2000,'Team Lineups'!$C$2:$C$2000,H$1))</f>
        <v>1</v>
      </c>
      <c r="I12" cm="1">
        <f t="array" ref="I12">SUMPRODUCT(('Team Lineups'!$K$2:$K$2000&lt;&gt;"")*('Team Lineups'!$C$2:$C$2000=$A12)*COUNTIFS('Team Lineups'!$K$2:$K$2000,'Team Lineups'!$K$2:$K$2000,'Team Lineups'!$C$2:$C$2000,I$1))</f>
        <v>3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t="s">
        <v>77</v>
      </c>
      <c r="M12" cm="1">
        <f t="array" ref="M12">SUMPRODUCT(('Team Lineups'!$K$2:$K$2000&lt;&gt;"")*('Team Lineups'!$C$2:$C$2000=$A12)*COUNTIFS('Team Lineups'!$K$2:$K$2000,'Team Lineups'!$K$2:$K$2000,'Team Lineups'!$C$2:$C$2000,M$1))</f>
        <v>3</v>
      </c>
      <c r="N12" cm="1">
        <f t="array" ref="N12">SUMPRODUCT(('Team Lineups'!$K$2:$K$2000&lt;&gt;"")*('Team Lineups'!$C$2:$C$2000=$A12)*COUNTIFS('Team Lineups'!$K$2:$K$2000,'Team Lineups'!$K$2:$K$2000,'Team Lineups'!$C$2:$C$2000,N$1))</f>
        <v>4</v>
      </c>
      <c r="O12" cm="1">
        <f t="array" ref="O12">SUMPRODUCT(('Team Lineups'!$K$2:$K$2000&lt;&gt;"")*('Team Lineups'!$C$2:$C$2000=$A12)*COUNTIFS('Team Lineups'!$K$2:$K$2000,'Team Lineups'!$K$2:$K$2000,'Team Lineups'!$C$2:$C$2000,O$1))</f>
        <v>2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2</v>
      </c>
      <c r="S12" cm="1">
        <f t="array" ref="S12">SUMPRODUCT(('Team Lineups'!$K$2:$K$2000&lt;&gt;"")*('Team Lineups'!$C$2:$C$2000=$A12)*COUNTIFS('Team Lineups'!$K$2:$K$2000,'Team Lineups'!$K$2:$K$2000,'Team Lineups'!$C$2:$C$2000,S$1))</f>
        <v>4</v>
      </c>
      <c r="T12" cm="1">
        <f t="array" ref="T12">SUMPRODUCT(('Team Lineups'!$K$2:$K$2000&lt;&gt;"")*('Team Lineups'!$C$2:$C$2000=$A12)*COUNTIFS('Team Lineups'!$K$2:$K$2000,'Team Lineups'!$K$2:$K$2000,'Team Lineups'!$C$2:$C$2000,T$1))</f>
        <v>1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3</v>
      </c>
      <c r="AB12" cm="1">
        <f t="array" ref="AB12">SUMPRODUCT(('Team Lineups'!$K$2:$K$2000&lt;&gt;"")*('Team Lineups'!$C$2:$C$2000=$A12)*COUNTIFS('Team Lineups'!$K$2:$K$2000,'Team Lineups'!$K$2:$K$2000,'Team Lineups'!$C$2:$C$2000,AB$1))</f>
        <v>2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0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3</v>
      </c>
      <c r="C13" cm="1">
        <f t="array" ref="C13">SUMPRODUCT(('Team Lineups'!$K$2:$K$2000&lt;&gt;"")*('Team Lineups'!$C$2:$C$2000=$A13)*COUNTIFS('Team Lineups'!$K$2:$K$2000,'Team Lineups'!$K$2:$K$2000,'Team Lineups'!$C$2:$C$2000,C$1))</f>
        <v>0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2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6</v>
      </c>
      <c r="H13" cm="1">
        <f t="array" ref="H13">SUMPRODUCT(('Team Lineups'!$K$2:$K$2000&lt;&gt;"")*('Team Lineups'!$C$2:$C$2000=$A13)*COUNTIFS('Team Lineups'!$K$2:$K$2000,'Team Lineups'!$K$2:$K$2000,'Team Lineups'!$C$2:$C$2000,H$1))</f>
        <v>4</v>
      </c>
      <c r="I13" cm="1">
        <f t="array" ref="I13">SUMPRODUCT(('Team Lineups'!$K$2:$K$2000&lt;&gt;"")*('Team Lineups'!$C$2:$C$2000=$A13)*COUNTIFS('Team Lineups'!$K$2:$K$2000,'Team Lineups'!$K$2:$K$2000,'Team Lineups'!$C$2:$C$2000,I$1))</f>
        <v>4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3</v>
      </c>
      <c r="M13" t="s">
        <v>77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2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3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3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4</v>
      </c>
      <c r="AA13" cm="1">
        <f t="array" ref="AA13">SUMPRODUCT(('Team Lineups'!$K$2:$K$2000&lt;&gt;"")*('Team Lineups'!$C$2:$C$2000=$A13)*COUNTIFS('Team Lineups'!$K$2:$K$2000,'Team Lineups'!$K$2:$K$2000,'Team Lineups'!$C$2:$C$2000,AA$1))</f>
        <v>3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1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4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5</v>
      </c>
      <c r="E14" cm="1">
        <f t="array" ref="E14">SUMPRODUCT(('Team Lineups'!$K$2:$K$2000&lt;&gt;"")*('Team Lineups'!$C$2:$C$2000=$A14)*COUNTIFS('Team Lineups'!$K$2:$K$2000,'Team Lineups'!$K$2:$K$2000,'Team Lineups'!$C$2:$C$2000,E$1))</f>
        <v>3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3</v>
      </c>
      <c r="I14" cm="1">
        <f t="array" ref="I14">SUMPRODUCT(('Team Lineups'!$K$2:$K$2000&lt;&gt;"")*('Team Lineups'!$C$2:$C$2000=$A14)*COUNTIFS('Team Lineups'!$K$2:$K$2000,'Team Lineups'!$K$2:$K$2000,'Team Lineups'!$C$2:$C$2000,I$1))</f>
        <v>3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4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t="s">
        <v>77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1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1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3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0</v>
      </c>
      <c r="H15" cm="1">
        <f t="array" ref="H15">SUMPRODUCT(('Team Lineups'!$K$2:$K$2000&lt;&gt;"")*('Team Lineups'!$C$2:$C$2000=$A15)*COUNTIFS('Team Lineups'!$K$2:$K$2000,'Team Lineups'!$K$2:$K$2000,'Team Lineups'!$C$2:$C$2000,H$1))</f>
        <v>3</v>
      </c>
      <c r="I15" cm="1">
        <f t="array" ref="I15">SUMPRODUCT(('Team Lineups'!$K$2:$K$2000&lt;&gt;"")*('Team Lineups'!$C$2:$C$2000=$A15)*COUNTIFS('Team Lineups'!$K$2:$K$2000,'Team Lineups'!$K$2:$K$2000,'Team Lineups'!$C$2:$C$2000,I$1))</f>
        <v>2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2</v>
      </c>
      <c r="M15" cm="1">
        <f t="array" ref="M15">SUMPRODUCT(('Team Lineups'!$K$2:$K$2000&lt;&gt;"")*('Team Lineups'!$C$2:$C$2000=$A15)*COUNTIFS('Team Lineups'!$K$2:$K$2000,'Team Lineups'!$K$2:$K$2000,'Team Lineups'!$C$2:$C$2000,M$1))</f>
        <v>2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t="s">
        <v>77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3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0</v>
      </c>
      <c r="T15" cm="1">
        <f t="array" ref="T15">SUMPRODUCT(('Team Lineups'!$K$2:$K$2000&lt;&gt;"")*('Team Lineups'!$C$2:$C$2000=$A15)*COUNTIFS('Team Lineups'!$K$2:$K$2000,'Team Lineups'!$K$2:$K$2000,'Team Lineups'!$C$2:$C$2000,T$1))</f>
        <v>0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1</v>
      </c>
      <c r="AB15" cm="1">
        <f t="array" ref="AB15">SUMPRODUCT(('Team Lineups'!$K$2:$K$2000&lt;&gt;"")*('Team Lineups'!$C$2:$C$2000=$A15)*COUNTIFS('Team Lineups'!$K$2:$K$2000,'Team Lineups'!$K$2:$K$2000,'Team Lineups'!$C$2:$C$2000,AB$1))</f>
        <v>1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1</v>
      </c>
      <c r="AE15" cm="1">
        <f t="array" ref="AE15">SUMPRODUCT(('Team Lineups'!$K$2:$K$2000&lt;&gt;"")*('Team Lineups'!$C$2:$C$2000=$A15)*COUNTIFS('Team Lineups'!$K$2:$K$2000,'Team Lineups'!$K$2:$K$2000,'Team Lineups'!$C$2:$C$2000,AE$1))</f>
        <v>0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t="s">
        <v>77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</row>
    <row r="17" spans="1:3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3</v>
      </c>
      <c r="C17" cm="1">
        <f t="array" ref="C17">SUMPRODUCT(('Team Lineups'!$K$2:$K$2000&lt;&gt;"")*('Team Lineups'!$C$2:$C$2000=$A17)*COUNTIFS('Team Lineups'!$K$2:$K$2000,'Team Lineups'!$K$2:$K$2000,'Team Lineups'!$C$2:$C$2000,C$1))</f>
        <v>2</v>
      </c>
      <c r="D17" cm="1">
        <f t="array" ref="D17">SUMPRODUCT(('Team Lineups'!$K$2:$K$2000&lt;&gt;"")*('Team Lineups'!$C$2:$C$2000=$A17)*COUNTIFS('Team Lineups'!$K$2:$K$2000,'Team Lineups'!$K$2:$K$2000,'Team Lineups'!$C$2:$C$2000,D$1))</f>
        <v>2</v>
      </c>
      <c r="E17" cm="1">
        <f t="array" ref="E17">SUMPRODUCT(('Team Lineups'!$K$2:$K$2000&lt;&gt;"")*('Team Lineups'!$C$2:$C$2000=$A17)*COUNTIFS('Team Lineups'!$K$2:$K$2000,'Team Lineups'!$K$2:$K$2000,'Team Lineups'!$C$2:$C$2000,E$1))</f>
        <v>2</v>
      </c>
      <c r="F17" cm="1">
        <f t="array" ref="F17">SUMPRODUCT(('Team Lineups'!$K$2:$K$2000&lt;&gt;"")*('Team Lineups'!$C$2:$C$2000=$A17)*COUNTIFS('Team Lineups'!$K$2:$K$2000,'Team Lineups'!$K$2:$K$2000,'Team Lineups'!$C$2:$C$2000,F$1))</f>
        <v>3</v>
      </c>
      <c r="G17" cm="1">
        <f t="array" ref="G17">SUMPRODUCT(('Team Lineups'!$K$2:$K$2000&lt;&gt;"")*('Team Lineups'!$C$2:$C$2000=$A17)*COUNTIFS('Team Lineups'!$K$2:$K$2000,'Team Lineups'!$K$2:$K$2000,'Team Lineups'!$C$2:$C$2000,G$1))</f>
        <v>2</v>
      </c>
      <c r="H17" cm="1">
        <f t="array" ref="H17">SUMPRODUCT(('Team Lineups'!$K$2:$K$2000&lt;&gt;"")*('Team Lineups'!$C$2:$C$2000=$A17)*COUNTIFS('Team Lineups'!$K$2:$K$2000,'Team Lineups'!$K$2:$K$2000,'Team Lineups'!$C$2:$C$2000,H$1))</f>
        <v>4</v>
      </c>
      <c r="I17" cm="1">
        <f t="array" ref="I17">SUMPRODUCT(('Team Lineups'!$K$2:$K$2000&lt;&gt;"")*('Team Lineups'!$C$2:$C$2000=$A17)*COUNTIFS('Team Lineups'!$K$2:$K$2000,'Team Lineups'!$K$2:$K$2000,'Team Lineups'!$C$2:$C$2000,I$1))</f>
        <v>4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3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3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t="s">
        <v>77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2</v>
      </c>
      <c r="T17" cm="1">
        <f t="array" ref="T17">SUMPRODUCT(('Team Lineups'!$K$2:$K$2000&lt;&gt;"")*('Team Lineups'!$C$2:$C$2000=$A17)*COUNTIFS('Team Lineups'!$K$2:$K$2000,'Team Lineups'!$K$2:$K$2000,'Team Lineups'!$C$2:$C$2000,T$1))</f>
        <v>0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1</v>
      </c>
      <c r="AA17" cm="1">
        <f t="array" ref="AA17">SUMPRODUCT(('Team Lineups'!$K$2:$K$2000&lt;&gt;"")*('Team Lineups'!$C$2:$C$2000=$A17)*COUNTIFS('Team Lineups'!$K$2:$K$2000,'Team Lineups'!$K$2:$K$2000,'Team Lineups'!$C$2:$C$2000,AA$1))</f>
        <v>2</v>
      </c>
      <c r="AB17" cm="1">
        <f t="array" ref="AB17">SUMPRODUCT(('Team Lineups'!$K$2:$K$2000&lt;&gt;"")*('Team Lineups'!$C$2:$C$2000=$A17)*COUNTIFS('Team Lineups'!$K$2:$K$2000,'Team Lineups'!$K$2:$K$2000,'Team Lineups'!$C$2:$C$2000,AB$1))</f>
        <v>0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0</v>
      </c>
      <c r="AE17" cm="1">
        <f t="array" ref="AE17">SUMPRODUCT(('Team Lineups'!$K$2:$K$2000&lt;&gt;"")*('Team Lineups'!$C$2:$C$2000=$A17)*COUNTIFS('Team Lineups'!$K$2:$K$2000,'Team Lineups'!$K$2:$K$2000,'Team Lineups'!$C$2:$C$2000,AE$1))</f>
        <v>1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</row>
    <row r="18" spans="1:3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0</v>
      </c>
      <c r="C18" cm="1">
        <f t="array" ref="C18">SUMPRODUCT(('Team Lineups'!$K$2:$K$2000&lt;&gt;"")*('Team Lineups'!$C$2:$C$2000=$A18)*COUNTIFS('Team Lineups'!$K$2:$K$2000,'Team Lineups'!$K$2:$K$2000,'Team Lineups'!$C$2:$C$2000,C$1))</f>
        <v>0</v>
      </c>
      <c r="D18" cm="1">
        <f t="array" ref="D18">SUMPRODUCT(('Team Lineups'!$K$2:$K$2000&lt;&gt;"")*('Team Lineups'!$C$2:$C$2000=$A18)*COUNTIFS('Team Lineups'!$K$2:$K$2000,'Team Lineups'!$K$2:$K$2000,'Team Lineups'!$C$2:$C$2000,D$1))</f>
        <v>2</v>
      </c>
      <c r="E18" cm="1">
        <f t="array" ref="E18">SUMPRODUCT(('Team Lineups'!$K$2:$K$2000&lt;&gt;"")*('Team Lineups'!$C$2:$C$2000=$A18)*COUNTIFS('Team Lineups'!$K$2:$K$2000,'Team Lineups'!$K$2:$K$2000,'Team Lineups'!$C$2:$C$2000,E$1))</f>
        <v>1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2</v>
      </c>
      <c r="H18" cm="1">
        <f t="array" ref="H18">SUMPRODUCT(('Team Lineups'!$K$2:$K$2000&lt;&gt;"")*('Team Lineups'!$C$2:$C$2000=$A18)*COUNTIFS('Team Lineups'!$K$2:$K$2000,'Team Lineups'!$K$2:$K$2000,'Team Lineups'!$C$2:$C$2000,H$1))</f>
        <v>3</v>
      </c>
      <c r="I18" cm="1">
        <f t="array" ref="I18">SUMPRODUCT(('Team Lineups'!$K$2:$K$2000&lt;&gt;"")*('Team Lineups'!$C$2:$C$2000=$A18)*COUNTIFS('Team Lineups'!$K$2:$K$2000,'Team Lineups'!$K$2:$K$2000,'Team Lineups'!$C$2:$C$2000,I$1))</f>
        <v>3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2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t="s">
        <v>77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2</v>
      </c>
      <c r="AB18" cm="1">
        <f t="array" ref="AB18">SUMPRODUCT(('Team Lineups'!$K$2:$K$2000&lt;&gt;"")*('Team Lineups'!$C$2:$C$2000=$A18)*COUNTIFS('Team Lineups'!$K$2:$K$2000,'Team Lineups'!$K$2:$K$2000,'Team Lineups'!$C$2:$C$2000,AB$1))</f>
        <v>1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0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</row>
    <row r="19" spans="1:3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1</v>
      </c>
      <c r="C19" cm="1">
        <f t="array" ref="C19">SUMPRODUCT(('Team Lineups'!$K$2:$K$2000&lt;&gt;"")*('Team Lineups'!$C$2:$C$2000=$A19)*COUNTIFS('Team Lineups'!$K$2:$K$2000,'Team Lineups'!$K$2:$K$2000,'Team Lineups'!$C$2:$C$2000,C$1))</f>
        <v>0</v>
      </c>
      <c r="D19" cm="1">
        <f t="array" ref="D19">SUMPRODUCT(('Team Lineups'!$K$2:$K$2000&lt;&gt;"")*('Team Lineups'!$C$2:$C$2000=$A19)*COUNTIFS('Team Lineups'!$K$2:$K$2000,'Team Lineups'!$K$2:$K$2000,'Team Lineups'!$C$2:$C$2000,D$1))</f>
        <v>1</v>
      </c>
      <c r="E19" cm="1">
        <f t="array" ref="E19">SUMPRODUCT(('Team Lineups'!$K$2:$K$2000&lt;&gt;"")*('Team Lineups'!$C$2:$C$2000=$A19)*COUNTIFS('Team Lineups'!$K$2:$K$2000,'Team Lineups'!$K$2:$K$2000,'Team Lineups'!$C$2:$C$2000,E$1))</f>
        <v>1</v>
      </c>
      <c r="F19" cm="1">
        <f t="array" ref="F19">SUMPRODUCT(('Team Lineups'!$K$2:$K$2000&lt;&gt;"")*('Team Lineups'!$C$2:$C$2000=$A19)*COUNTIFS('Team Lineups'!$K$2:$K$2000,'Team Lineups'!$K$2:$K$2000,'Team Lineups'!$C$2:$C$2000,F$1))</f>
        <v>3</v>
      </c>
      <c r="G19" cm="1">
        <f t="array" ref="G19">SUMPRODUCT(('Team Lineups'!$K$2:$K$2000&lt;&gt;"")*('Team Lineups'!$C$2:$C$2000=$A19)*COUNTIFS('Team Lineups'!$K$2:$K$2000,'Team Lineups'!$K$2:$K$2000,'Team Lineups'!$C$2:$C$2000,G$1))</f>
        <v>3</v>
      </c>
      <c r="H19" cm="1">
        <f t="array" ref="H19">SUMPRODUCT(('Team Lineups'!$K$2:$K$2000&lt;&gt;"")*('Team Lineups'!$C$2:$C$2000=$A19)*COUNTIFS('Team Lineups'!$K$2:$K$2000,'Team Lineups'!$K$2:$K$2000,'Team Lineups'!$C$2:$C$2000,H$1))</f>
        <v>3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4</v>
      </c>
      <c r="M19" cm="1">
        <f t="array" ref="M19">SUMPRODUCT(('Team Lineups'!$K$2:$K$2000&lt;&gt;"")*('Team Lineups'!$C$2:$C$2000=$A19)*COUNTIFS('Team Lineups'!$K$2:$K$2000,'Team Lineups'!$K$2:$K$2000,'Team Lineups'!$C$2:$C$2000,M$1))</f>
        <v>3</v>
      </c>
      <c r="N19" cm="1">
        <f t="array" ref="N19">SUMPRODUCT(('Team Lineups'!$K$2:$K$2000&lt;&gt;"")*('Team Lineups'!$C$2:$C$2000=$A19)*COUNTIFS('Team Lineups'!$K$2:$K$2000,'Team Lineups'!$K$2:$K$2000,'Team Lineups'!$C$2:$C$2000,N$1))</f>
        <v>1</v>
      </c>
      <c r="O19" cm="1">
        <f t="array" ref="O19">SUMPRODUCT(('Team Lineups'!$K$2:$K$2000&lt;&gt;"")*('Team Lineups'!$C$2:$C$2000=$A19)*COUNTIFS('Team Lineups'!$K$2:$K$2000,'Team Lineups'!$K$2:$K$2000,'Team Lineups'!$C$2:$C$2000,O$1))</f>
        <v>0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2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t="s">
        <v>77</v>
      </c>
      <c r="T19" cm="1">
        <f t="array" ref="T19">SUMPRODUCT(('Team Lineups'!$K$2:$K$2000&lt;&gt;"")*('Team Lineups'!$C$2:$C$2000=$A19)*COUNTIFS('Team Lineups'!$K$2:$K$2000,'Team Lineups'!$K$2:$K$2000,'Team Lineups'!$C$2:$C$2000,T$1))</f>
        <v>0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2</v>
      </c>
      <c r="AB19" cm="1">
        <f t="array" ref="AB19">SUMPRODUCT(('Team Lineups'!$K$2:$K$2000&lt;&gt;"")*('Team Lineups'!$C$2:$C$2000=$A19)*COUNTIFS('Team Lineups'!$K$2:$K$2000,'Team Lineups'!$K$2:$K$2000,'Team Lineups'!$C$2:$C$2000,AB$1))</f>
        <v>2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0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</row>
    <row r="20" spans="1:3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2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0</v>
      </c>
      <c r="I20" cm="1">
        <f t="array" ref="I20">SUMPRODUCT(('Team Lineups'!$K$2:$K$2000&lt;&gt;"")*('Team Lineups'!$C$2:$C$2000=$A20)*COUNTIFS('Team Lineups'!$K$2:$K$2000,'Team Lineups'!$K$2:$K$2000,'Team Lineups'!$C$2:$C$2000,I$1))</f>
        <v>1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1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0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0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0</v>
      </c>
      <c r="T20" t="s">
        <v>77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0</v>
      </c>
      <c r="AB20" cm="1">
        <f t="array" ref="AB20">SUMPRODUCT(('Team Lineups'!$K$2:$K$2000&lt;&gt;"")*('Team Lineups'!$C$2:$C$2000=$A20)*COUNTIFS('Team Lineups'!$K$2:$K$2000,'Team Lineups'!$K$2:$K$2000,'Team Lineups'!$C$2:$C$2000,AB$1))</f>
        <v>0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0</v>
      </c>
      <c r="AE20" cm="1">
        <f t="array" ref="AE20">SUMPRODUCT(('Team Lineups'!$K$2:$K$2000&lt;&gt;"")*('Team Lineups'!$C$2:$C$2000=$A20)*COUNTIFS('Team Lineups'!$K$2:$K$2000,'Team Lineups'!$K$2:$K$2000,'Team Lineups'!$C$2:$C$2000,AE$1))</f>
        <v>0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</row>
    <row r="21" spans="1:3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t="s">
        <v>77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</row>
    <row r="22" spans="1:3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t="s">
        <v>77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</row>
    <row r="23" spans="1:3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t="s">
        <v>77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</row>
    <row r="24" spans="1:3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t="s">
        <v>77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</row>
    <row r="25" spans="1:3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t="s">
        <v>77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</row>
    <row r="26" spans="1:3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1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0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2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3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4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1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t="s">
        <v>77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</row>
    <row r="27" spans="1:3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2</v>
      </c>
      <c r="C27" cm="1">
        <f t="array" ref="C27">SUMPRODUCT(('Team Lineups'!$K$2:$K$2000&lt;&gt;"")*('Team Lineups'!$C$2:$C$2000=$A27)*COUNTIFS('Team Lineups'!$K$2:$K$2000,'Team Lineups'!$K$2:$K$2000,'Team Lineups'!$C$2:$C$2000,C$1))</f>
        <v>3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6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4</v>
      </c>
      <c r="H27" cm="1">
        <f t="array" ref="H27">SUMPRODUCT(('Team Lineups'!$K$2:$K$2000&lt;&gt;"")*('Team Lineups'!$C$2:$C$2000=$A27)*COUNTIFS('Team Lineups'!$K$2:$K$2000,'Team Lineups'!$K$2:$K$2000,'Team Lineups'!$C$2:$C$2000,H$1))</f>
        <v>1</v>
      </c>
      <c r="I27" cm="1">
        <f t="array" ref="I27">SUMPRODUCT(('Team Lineups'!$K$2:$K$2000&lt;&gt;"")*('Team Lineups'!$C$2:$C$2000=$A27)*COUNTIFS('Team Lineups'!$K$2:$K$2000,'Team Lineups'!$K$2:$K$2000,'Team Lineups'!$C$2:$C$2000,I$1))</f>
        <v>3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3</v>
      </c>
      <c r="M27" cm="1">
        <f t="array" ref="M27">SUMPRODUCT(('Team Lineups'!$K$2:$K$2000&lt;&gt;"")*('Team Lineups'!$C$2:$C$2000=$A27)*COUNTIFS('Team Lineups'!$K$2:$K$2000,'Team Lineups'!$K$2:$K$2000,'Team Lineups'!$C$2:$C$2000,M$1))</f>
        <v>3</v>
      </c>
      <c r="N27" cm="1">
        <f t="array" ref="N27">SUMPRODUCT(('Team Lineups'!$K$2:$K$2000&lt;&gt;"")*('Team Lineups'!$C$2:$C$2000=$A27)*COUNTIFS('Team Lineups'!$K$2:$K$2000,'Team Lineups'!$K$2:$K$2000,'Team Lineups'!$C$2:$C$2000,N$1))</f>
        <v>1</v>
      </c>
      <c r="O27" cm="1">
        <f t="array" ref="O27">SUMPRODUCT(('Team Lineups'!$K$2:$K$2000&lt;&gt;"")*('Team Lineups'!$C$2:$C$2000=$A27)*COUNTIFS('Team Lineups'!$K$2:$K$2000,'Team Lineups'!$K$2:$K$2000,'Team Lineups'!$C$2:$C$2000,O$1))</f>
        <v>1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2</v>
      </c>
      <c r="R27" cm="1">
        <f t="array" ref="R27">SUMPRODUCT(('Team Lineups'!$K$2:$K$2000&lt;&gt;"")*('Team Lineups'!$C$2:$C$2000=$A27)*COUNTIFS('Team Lineups'!$K$2:$K$2000,'Team Lineups'!$K$2:$K$2000,'Team Lineups'!$C$2:$C$2000,R$1))</f>
        <v>2</v>
      </c>
      <c r="S27" cm="1">
        <f t="array" ref="S27">SUMPRODUCT(('Team Lineups'!$K$2:$K$2000&lt;&gt;"")*('Team Lineups'!$C$2:$C$2000=$A27)*COUNTIFS('Team Lineups'!$K$2:$K$2000,'Team Lineups'!$K$2:$K$2000,'Team Lineups'!$C$2:$C$2000,S$1))</f>
        <v>2</v>
      </c>
      <c r="T27" cm="1">
        <f t="array" ref="T27">SUMPRODUCT(('Team Lineups'!$K$2:$K$2000&lt;&gt;"")*('Team Lineups'!$C$2:$C$2000=$A27)*COUNTIFS('Team Lineups'!$K$2:$K$2000,'Team Lineups'!$K$2:$K$2000,'Team Lineups'!$C$2:$C$2000,T$1))</f>
        <v>0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t="s">
        <v>77</v>
      </c>
      <c r="AB27" cm="1">
        <f t="array" ref="AB27">SUMPRODUCT(('Team Lineups'!$K$2:$K$2000&lt;&gt;"")*('Team Lineups'!$C$2:$C$2000=$A27)*COUNTIFS('Team Lineups'!$K$2:$K$2000,'Team Lineups'!$K$2:$K$2000,'Team Lineups'!$C$2:$C$2000,AB$1))</f>
        <v>2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0</v>
      </c>
      <c r="AE27" cm="1">
        <f t="array" ref="AE27">SUMPRODUCT(('Team Lineups'!$K$2:$K$2000&lt;&gt;"")*('Team Lineups'!$C$2:$C$2000=$A27)*COUNTIFS('Team Lineups'!$K$2:$K$2000,'Team Lineups'!$K$2:$K$2000,'Team Lineups'!$C$2:$C$2000,AE$1))</f>
        <v>1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</row>
    <row r="28" spans="1:3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2</v>
      </c>
      <c r="D28" cm="1">
        <f t="array" ref="D28">SUMPRODUCT(('Team Lineups'!$K$2:$K$2000&lt;&gt;"")*('Team Lineups'!$C$2:$C$2000=$A28)*COUNTIFS('Team Lineups'!$K$2:$K$2000,'Team Lineups'!$K$2:$K$2000,'Team Lineups'!$C$2:$C$2000,D$1))</f>
        <v>1</v>
      </c>
      <c r="E28" cm="1">
        <f t="array" ref="E28">SUMPRODUCT(('Team Lineups'!$K$2:$K$2000&lt;&gt;"")*('Team Lineups'!$C$2:$C$2000=$A28)*COUNTIFS('Team Lineups'!$K$2:$K$2000,'Team Lineups'!$K$2:$K$2000,'Team Lineups'!$C$2:$C$2000,E$1))</f>
        <v>1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3</v>
      </c>
      <c r="I28" cm="1">
        <f t="array" ref="I28">SUMPRODUCT(('Team Lineups'!$K$2:$K$2000&lt;&gt;"")*('Team Lineups'!$C$2:$C$2000=$A28)*COUNTIFS('Team Lineups'!$K$2:$K$2000,'Team Lineups'!$K$2:$K$2000,'Team Lineups'!$C$2:$C$2000,I$1))</f>
        <v>1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2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1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0</v>
      </c>
      <c r="R28" cm="1">
        <f t="array" ref="R28">SUMPRODUCT(('Team Lineups'!$K$2:$K$2000&lt;&gt;"")*('Team Lineups'!$C$2:$C$2000=$A28)*COUNTIFS('Team Lineups'!$K$2:$K$2000,'Team Lineups'!$K$2:$K$2000,'Team Lineups'!$C$2:$C$2000,R$1))</f>
        <v>1</v>
      </c>
      <c r="S28" cm="1">
        <f t="array" ref="S28">SUMPRODUCT(('Team Lineups'!$K$2:$K$2000&lt;&gt;"")*('Team Lineups'!$C$2:$C$2000=$A28)*COUNTIFS('Team Lineups'!$K$2:$K$2000,'Team Lineups'!$K$2:$K$2000,'Team Lineups'!$C$2:$C$2000,S$1))</f>
        <v>2</v>
      </c>
      <c r="T28" cm="1">
        <f t="array" ref="T28">SUMPRODUCT(('Team Lineups'!$K$2:$K$2000&lt;&gt;"")*('Team Lineups'!$C$2:$C$2000=$A28)*COUNTIFS('Team Lineups'!$K$2:$K$2000,'Team Lineups'!$K$2:$K$2000,'Team Lineups'!$C$2:$C$2000,T$1))</f>
        <v>0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2</v>
      </c>
      <c r="AB28" t="s">
        <v>77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1</v>
      </c>
      <c r="AE28" cm="1">
        <f t="array" ref="AE28">SUMPRODUCT(('Team Lineups'!$K$2:$K$2000&lt;&gt;"")*('Team Lineups'!$C$2:$C$2000=$A28)*COUNTIFS('Team Lineups'!$K$2:$K$2000,'Team Lineups'!$K$2:$K$2000,'Team Lineups'!$C$2:$C$2000,AE$1))</f>
        <v>0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</row>
    <row r="29" spans="1:3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t="s">
        <v>77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</row>
    <row r="30" spans="1:3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1</v>
      </c>
      <c r="C30" cm="1">
        <f t="array" ref="C30">SUMPRODUCT(('Team Lineups'!$K$2:$K$2000&lt;&gt;"")*('Team Lineups'!$C$2:$C$2000=$A30)*COUNTIFS('Team Lineups'!$K$2:$K$2000,'Team Lineups'!$K$2:$K$2000,'Team Lineups'!$C$2:$C$2000,C$1))</f>
        <v>1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1</v>
      </c>
      <c r="H30" cm="1">
        <f t="array" ref="H30">SUMPRODUCT(('Team Lineups'!$K$2:$K$2000&lt;&gt;"")*('Team Lineups'!$C$2:$C$2000=$A30)*COUNTIFS('Team Lineups'!$K$2:$K$2000,'Team Lineups'!$K$2:$K$2000,'Team Lineups'!$C$2:$C$2000,H$1))</f>
        <v>2</v>
      </c>
      <c r="I30" cm="1">
        <f t="array" ref="I30">SUMPRODUCT(('Team Lineups'!$K$2:$K$2000&lt;&gt;"")*('Team Lineups'!$C$2:$C$2000=$A30)*COUNTIFS('Team Lineups'!$K$2:$K$2000,'Team Lineups'!$K$2:$K$2000,'Team Lineups'!$C$2:$C$2000,I$1))</f>
        <v>1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0</v>
      </c>
      <c r="M30" cm="1">
        <f t="array" ref="M30">SUMPRODUCT(('Team Lineups'!$K$2:$K$2000&lt;&gt;"")*('Team Lineups'!$C$2:$C$2000=$A30)*COUNTIFS('Team Lineups'!$K$2:$K$2000,'Team Lineups'!$K$2:$K$2000,'Team Lineups'!$C$2:$C$2000,M$1))</f>
        <v>1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1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0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0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0</v>
      </c>
      <c r="AB30" cm="1">
        <f t="array" ref="AB30">SUMPRODUCT(('Team Lineups'!$K$2:$K$2000&lt;&gt;"")*('Team Lineups'!$C$2:$C$2000=$A30)*COUNTIFS('Team Lineups'!$K$2:$K$2000,'Team Lineups'!$K$2:$K$2000,'Team Lineups'!$C$2:$C$2000,AB$1))</f>
        <v>1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t="s">
        <v>77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</row>
    <row r="31" spans="1:3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1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0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0</v>
      </c>
      <c r="H31" cm="1">
        <f t="array" ref="H31">SUMPRODUCT(('Team Lineups'!$K$2:$K$2000&lt;&gt;"")*('Team Lineups'!$C$2:$C$2000=$A31)*COUNTIFS('Team Lineups'!$K$2:$K$2000,'Team Lineups'!$K$2:$K$2000,'Team Lineups'!$C$2:$C$2000,H$1))</f>
        <v>0</v>
      </c>
      <c r="I31" cm="1">
        <f t="array" ref="I31">SUMPRODUCT(('Team Lineups'!$K$2:$K$2000&lt;&gt;"")*('Team Lineups'!$C$2:$C$2000=$A31)*COUNTIFS('Team Lineups'!$K$2:$K$2000,'Team Lineups'!$K$2:$K$2000,'Team Lineups'!$C$2:$C$2000,I$1))</f>
        <v>0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0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1</v>
      </c>
      <c r="R31" cm="1">
        <f t="array" ref="R31">SUMPRODUCT(('Team Lineups'!$K$2:$K$2000&lt;&gt;"")*('Team Lineups'!$C$2:$C$2000=$A31)*COUNTIFS('Team Lineups'!$K$2:$K$2000,'Team Lineups'!$K$2:$K$2000,'Team Lineups'!$C$2:$C$2000,R$1))</f>
        <v>0</v>
      </c>
      <c r="S31" cm="1">
        <f t="array" ref="S31">SUMPRODUCT(('Team Lineups'!$K$2:$K$2000&lt;&gt;"")*('Team Lineups'!$C$2:$C$2000=$A31)*COUNTIFS('Team Lineups'!$K$2:$K$2000,'Team Lineups'!$K$2:$K$2000,'Team Lineups'!$C$2:$C$2000,S$1))</f>
        <v>0</v>
      </c>
      <c r="T31" cm="1">
        <f t="array" ref="T31">SUMPRODUCT(('Team Lineups'!$K$2:$K$2000&lt;&gt;"")*('Team Lineups'!$C$2:$C$2000=$A31)*COUNTIFS('Team Lineups'!$K$2:$K$2000,'Team Lineups'!$K$2:$K$2000,'Team Lineups'!$C$2:$C$2000,T$1))</f>
        <v>0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1</v>
      </c>
      <c r="AB31" cm="1">
        <f t="array" ref="AB31">SUMPRODUCT(('Team Lineups'!$K$2:$K$2000&lt;&gt;"")*('Team Lineups'!$C$2:$C$2000=$A31)*COUNTIFS('Team Lineups'!$K$2:$K$2000,'Team Lineups'!$K$2:$K$2000,'Team Lineups'!$C$2:$C$2000,AB$1))</f>
        <v>0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t="s">
        <v>77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</row>
    <row r="32" spans="1:3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t="s">
        <v>77</v>
      </c>
    </row>
    <row r="33" spans="1:1" x14ac:dyDescent="0.35">
      <c r="A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2026-02-20T10:54:10Z</dcterms:modified>
</cp:coreProperties>
</file>