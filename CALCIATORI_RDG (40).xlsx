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2B9C9922-8663-4F0B-B464-3531E0C601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F577" i="2" s="1"/>
  <c r="G577" i="2" s="1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F578" i="2"/>
  <c r="F579" i="2"/>
  <c r="F580" i="2"/>
  <c r="F581" i="2"/>
  <c r="F582" i="2"/>
  <c r="F583" i="2"/>
  <c r="F584" i="2"/>
  <c r="F585" i="2"/>
  <c r="F586" i="2"/>
  <c r="G586" i="2" s="1"/>
  <c r="F587" i="2"/>
  <c r="F588" i="2"/>
  <c r="E577" i="2"/>
  <c r="E578" i="2"/>
  <c r="E579" i="2"/>
  <c r="E580" i="2"/>
  <c r="E581" i="2"/>
  <c r="G581" i="2" s="1"/>
  <c r="E582" i="2"/>
  <c r="E583" i="2"/>
  <c r="E584" i="2"/>
  <c r="E585" i="2"/>
  <c r="E586" i="2"/>
  <c r="E587" i="2"/>
  <c r="E588" i="2"/>
  <c r="E575" i="2"/>
  <c r="F575" i="2"/>
  <c r="E576" i="2"/>
  <c r="G576" i="2" s="1"/>
  <c r="F576" i="2"/>
  <c r="G578" i="2"/>
  <c r="G580" i="2"/>
  <c r="G582" i="2"/>
  <c r="G583" i="2"/>
  <c r="G584" i="2"/>
  <c r="G585" i="2"/>
  <c r="G587" i="2"/>
  <c r="G588" i="2"/>
  <c r="K575" i="2"/>
  <c r="E50" i="1"/>
  <c r="F50" i="1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G562" i="2" s="1"/>
  <c r="E563" i="2"/>
  <c r="F563" i="2"/>
  <c r="G563" i="2" s="1"/>
  <c r="E564" i="2"/>
  <c r="F56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G547" i="2" s="1"/>
  <c r="E548" i="2"/>
  <c r="F548" i="2"/>
  <c r="G548" i="2" s="1"/>
  <c r="E549" i="2"/>
  <c r="F549" i="2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G535" i="2" s="1"/>
  <c r="E536" i="2"/>
  <c r="F536" i="2"/>
  <c r="E537" i="2"/>
  <c r="F537" i="2"/>
  <c r="E538" i="2"/>
  <c r="F538" i="2"/>
  <c r="G538" i="2" s="1"/>
  <c r="E539" i="2"/>
  <c r="F539" i="2"/>
  <c r="E540" i="2"/>
  <c r="F540" i="2"/>
  <c r="K527" i="2"/>
  <c r="E47" i="1"/>
  <c r="F47" i="1"/>
  <c r="C31" i="3"/>
  <c r="L31" i="3"/>
  <c r="N31" i="3"/>
  <c r="O31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G508" i="2" s="1"/>
  <c r="E509" i="2"/>
  <c r="F509" i="2"/>
  <c r="E510" i="2"/>
  <c r="F510" i="2"/>
  <c r="E511" i="2"/>
  <c r="F511" i="2"/>
  <c r="G511" i="2" s="1"/>
  <c r="E512" i="2"/>
  <c r="F512" i="2"/>
  <c r="E513" i="2"/>
  <c r="F513" i="2"/>
  <c r="E514" i="2"/>
  <c r="F514" i="2"/>
  <c r="E515" i="2"/>
  <c r="F515" i="2"/>
  <c r="G515" i="2" s="1"/>
  <c r="E516" i="2"/>
  <c r="F516" i="2"/>
  <c r="E41" i="3" s="1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 s="1"/>
  <c r="E525" i="2"/>
  <c r="F525" i="2"/>
  <c r="E526" i="2"/>
  <c r="F526" i="2"/>
  <c r="C49" i="3"/>
  <c r="D49" i="3"/>
  <c r="E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 s="1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D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129" i="2" l="1"/>
  <c r="G575" i="2"/>
  <c r="G579" i="2"/>
  <c r="G564" i="2"/>
  <c r="G536" i="2"/>
  <c r="G526" i="2"/>
  <c r="G561" i="2"/>
  <c r="E565" i="2"/>
  <c r="E566" i="2"/>
  <c r="D31" i="3" s="1"/>
  <c r="E568" i="2"/>
  <c r="E569" i="2"/>
  <c r="F570" i="2"/>
  <c r="F571" i="2"/>
  <c r="E22" i="3" s="1"/>
  <c r="F572" i="2"/>
  <c r="E12" i="3" s="1"/>
  <c r="F573" i="2"/>
  <c r="F574" i="2"/>
  <c r="E567" i="2"/>
  <c r="F566" i="2"/>
  <c r="E31" i="3" s="1"/>
  <c r="F31" i="3" s="1"/>
  <c r="F567" i="2"/>
  <c r="G567" i="2" s="1"/>
  <c r="E570" i="2"/>
  <c r="F568" i="2"/>
  <c r="F569" i="2"/>
  <c r="G569" i="2" s="1"/>
  <c r="E571" i="2"/>
  <c r="D22" i="3" s="1"/>
  <c r="E572" i="2"/>
  <c r="D12" i="3" s="1"/>
  <c r="E573" i="2"/>
  <c r="E574" i="2"/>
  <c r="G574" i="2" s="1"/>
  <c r="F565" i="2"/>
  <c r="G565" i="2" s="1"/>
  <c r="G555" i="2"/>
  <c r="G556" i="2"/>
  <c r="G557" i="2"/>
  <c r="G558" i="2"/>
  <c r="G559" i="2"/>
  <c r="G560" i="2"/>
  <c r="G566" i="2"/>
  <c r="G573" i="2"/>
  <c r="G568" i="2"/>
  <c r="G572" i="2"/>
  <c r="G546" i="2"/>
  <c r="G549" i="2"/>
  <c r="G533" i="2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H49" i="3"/>
  <c r="G49" i="3"/>
  <c r="J49" i="3" s="1"/>
  <c r="I49" i="3"/>
  <c r="K49" i="3" s="1"/>
  <c r="G527" i="2"/>
  <c r="G531" i="2"/>
  <c r="G529" i="2"/>
  <c r="G539" i="2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F49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G232" i="2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41" i="3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34" i="3" s="1"/>
  <c r="E156" i="2"/>
  <c r="E155" i="2"/>
  <c r="E157" i="2"/>
  <c r="E158" i="2"/>
  <c r="E159" i="2"/>
  <c r="F164" i="2"/>
  <c r="E163" i="2"/>
  <c r="E162" i="2"/>
  <c r="E164" i="2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G570" i="2" l="1"/>
  <c r="G571" i="2"/>
  <c r="E11" i="3"/>
  <c r="D11" i="3"/>
  <c r="H31" i="3"/>
  <c r="G31" i="3"/>
  <c r="J31" i="3" s="1"/>
  <c r="I31" i="3"/>
  <c r="K31" i="3" s="1"/>
  <c r="H7" i="3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G20" i="3" s="1"/>
  <c r="J20" i="3" s="1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12" i="3"/>
  <c r="I12" i="3"/>
  <c r="K12" i="3" s="1"/>
  <c r="G12" i="3"/>
  <c r="J12" i="3" s="1"/>
  <c r="H12" i="3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F34" i="3" s="1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H20" i="3"/>
  <c r="I20" i="3"/>
  <c r="K20" i="3" s="1"/>
  <c r="F11" i="3" l="1"/>
  <c r="I22" i="3"/>
  <c r="K22" i="3" s="1"/>
  <c r="G22" i="3"/>
  <c r="J22" i="3" s="1"/>
  <c r="H22" i="3"/>
  <c r="AV10" i="6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<sst xmlns="http://schemas.openxmlformats.org/spreadsheetml/2006/main" count="1408" uniqueCount="125">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</sst>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tabSelected="1" workbookViewId="0">
      <selection activeCell="K1" sqref="K1:K104857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 t="shared" ref="F2:F49" si="0"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 t="shared" ref="J2:J49" si="1">G2/C2</f>
        <v>#DIV/0!</v>
      </c>
      <c r="K2" s="3" t="e">
        <f t="shared" ref="K2:K49" si="2">I2/C2</f>
        <v>#DIV/0!</v>
      </c>
      <c r="L2">
        <f>SUMIF('Team Lineups'!C:C,A2,'Team Lineups'!H:H)</f>
        <v>0</v>
      </c>
      <c r="M2" t="e">
        <f t="shared" ref="M2:M49" si="3">L2/C2</f>
        <v>#DIV/0!</v>
      </c>
      <c r="N2">
        <f>SUMIF('Team Lineups'!C:C,A2,'Team Lineups'!I:I)</f>
        <v>0</v>
      </c>
      <c r="O2">
        <f>COUNTIF(Matches!G:G,A2)</f>
        <v>0</v>
      </c>
      <c r="P2" t="e">
        <f t="shared" ref="P2:P49" si="4"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7</v>
      </c>
      <c r="D3">
        <f>SUMIF('Team Lineups'!C:C,A3,'Team Lineups'!E:E)</f>
        <v>48</v>
      </c>
      <c r="E3">
        <f>SUMIF('Team Lineups'!C:C,A3,'Team Lineups'!F:F)</f>
        <v>73</v>
      </c>
      <c r="F3">
        <f t="shared" si="0"/>
        <v>-25</v>
      </c>
      <c r="G3">
        <f>COUNTIFS('Team Lineups'!C:C,A3,'Team Lineups'!G:G,"Win")</f>
        <v>0</v>
      </c>
      <c r="H3">
        <f>COUNTIFS('Team Lineups'!C:C,A3,'Team Lineups'!G:G,"Draw")</f>
        <v>0</v>
      </c>
      <c r="I3">
        <f>COUNTIFS('Team Lineups'!C:C,A3,'Team Lineups'!G:G,"Loss")</f>
        <v>7</v>
      </c>
      <c r="J3" s="3">
        <f t="shared" si="1"/>
        <v>0</v>
      </c>
      <c r="K3" s="3">
        <f t="shared" si="2"/>
        <v>1</v>
      </c>
      <c r="L3">
        <f>SUMIF('Team Lineups'!C:C,A3,'Team Lineups'!H:H)</f>
        <v>13</v>
      </c>
      <c r="M3">
        <f t="shared" si="3"/>
        <v>1.8571428571428572</v>
      </c>
      <c r="N3">
        <f>SUMIF('Team Lineups'!C:C,A3,'Team Lineups'!I:I)</f>
        <v>8</v>
      </c>
      <c r="O3">
        <f>COUNTIF(Matches!G:G,A3)</f>
        <v>0</v>
      </c>
      <c r="P3">
        <f t="shared" si="4"/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 t="shared" si="0"/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</v>
      </c>
      <c r="K4" s="3">
        <f t="shared" si="2"/>
        <v>1</v>
      </c>
      <c r="L4">
        <f>SUMIF('Team Lineups'!C:C,A4,'Team Lineups'!H:H)</f>
        <v>0</v>
      </c>
      <c r="M4">
        <f t="shared" si="3"/>
        <v>0</v>
      </c>
      <c r="N4">
        <f>SUMIF('Team Lineups'!C:C,A4,'Team Lineups'!I:I)</f>
        <v>0</v>
      </c>
      <c r="O4">
        <f>COUNTIF(Matches!G:G,A4)</f>
        <v>0</v>
      </c>
      <c r="P4">
        <f t="shared" si="4"/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 t="shared" si="1"/>
        <v>0</v>
      </c>
      <c r="K5" s="3">
        <f t="shared" si="2"/>
        <v>1</v>
      </c>
      <c r="L5">
        <f>SUMIF('Team Lineups'!C:C,A5,'Team Lineups'!H:H)</f>
        <v>1</v>
      </c>
      <c r="M5">
        <f t="shared" si="3"/>
        <v>1</v>
      </c>
      <c r="N5">
        <f>SUMIF('Team Lineups'!C:C,A5,'Team Lineups'!I:I)</f>
        <v>3</v>
      </c>
      <c r="O5">
        <f>COUNTIF(Matches!G:G,A5)</f>
        <v>0</v>
      </c>
      <c r="P5">
        <f t="shared" si="4"/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 t="shared" si="0"/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 t="shared" si="1"/>
        <v>0</v>
      </c>
      <c r="K6" s="3">
        <f t="shared" si="2"/>
        <v>1</v>
      </c>
      <c r="L6">
        <f>SUMIF('Team Lineups'!C:C,A6,'Team Lineups'!H:H)</f>
        <v>0</v>
      </c>
      <c r="M6">
        <f t="shared" si="3"/>
        <v>0</v>
      </c>
      <c r="N6">
        <f>SUMIF('Team Lineups'!C:C,A6,'Team Lineups'!I:I)</f>
        <v>1</v>
      </c>
      <c r="O6">
        <f>COUNTIF(Matches!G:G,A6)</f>
        <v>0</v>
      </c>
      <c r="P6">
        <f t="shared" si="4"/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 t="shared" si="0"/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 t="shared" si="1"/>
        <v>0</v>
      </c>
      <c r="K7" s="3">
        <f t="shared" si="2"/>
        <v>1</v>
      </c>
      <c r="L7">
        <f>SUMIF('Team Lineups'!C:C,A7,'Team Lineups'!H:H)</f>
        <v>1</v>
      </c>
      <c r="M7">
        <f t="shared" si="3"/>
        <v>1</v>
      </c>
      <c r="N7">
        <f>SUMIF('Team Lineups'!C:C,A7,'Team Lineups'!I:I)</f>
        <v>1</v>
      </c>
      <c r="O7">
        <f>COUNTIF(Matches!G:G,A7)</f>
        <v>0</v>
      </c>
      <c r="P7">
        <f t="shared" si="4"/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 t="shared" si="0"/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 t="shared" si="1"/>
        <v>0.14285714285714285</v>
      </c>
      <c r="K8" s="3">
        <f t="shared" si="2"/>
        <v>0.8571428571428571</v>
      </c>
      <c r="L8">
        <f>SUMIF('Team Lineups'!C:C,A8,'Team Lineups'!H:H)</f>
        <v>3</v>
      </c>
      <c r="M8">
        <f t="shared" si="3"/>
        <v>0.42857142857142855</v>
      </c>
      <c r="N8">
        <f>SUMIF('Team Lineups'!C:C,A8,'Team Lineups'!I:I)</f>
        <v>2</v>
      </c>
      <c r="O8">
        <f>COUNTIF(Matches!G:G,A8)</f>
        <v>0</v>
      </c>
      <c r="P8">
        <f t="shared" si="4"/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 t="shared" si="1"/>
        <v>0.33333333333333331</v>
      </c>
      <c r="K9" s="3">
        <f t="shared" si="2"/>
        <v>0.66666666666666663</v>
      </c>
      <c r="L9">
        <f>SUMIF('Team Lineups'!C:C,A9,'Team Lineups'!H:H)</f>
        <v>3</v>
      </c>
      <c r="M9">
        <f t="shared" si="3"/>
        <v>0.33333333333333331</v>
      </c>
      <c r="N9">
        <f>SUMIF('Team Lineups'!C:C,A9,'Team Lineups'!I:I)</f>
        <v>7</v>
      </c>
      <c r="O9">
        <f>COUNTIF(Matches!G:G,A9)</f>
        <v>1</v>
      </c>
      <c r="P9">
        <f t="shared" si="4"/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12</v>
      </c>
      <c r="D10">
        <f>SUMIF('Team Lineups'!C:C,A10,'Team Lineups'!E:E)</f>
        <v>92</v>
      </c>
      <c r="E10">
        <f>SUMIF('Team Lineups'!C:C,A10,'Team Lineups'!F:F)</f>
        <v>103</v>
      </c>
      <c r="F10">
        <f t="shared" si="0"/>
        <v>-11</v>
      </c>
      <c r="G10">
        <f>COUNTIFS('Team Lineups'!C:C,A10,'Team Lineups'!G:G,"Win")</f>
        <v>4</v>
      </c>
      <c r="H10">
        <f>COUNTIFS('Team Lineups'!C:C,A10,'Team Lineups'!G:G,"Draw")</f>
        <v>1</v>
      </c>
      <c r="I10">
        <f>COUNTIFS('Team Lineups'!C:C,A10,'Team Lineups'!G:G,"Loss")</f>
        <v>7</v>
      </c>
      <c r="J10" s="3">
        <f t="shared" si="1"/>
        <v>0.33333333333333331</v>
      </c>
      <c r="K10" s="3">
        <f t="shared" si="2"/>
        <v>0.58333333333333337</v>
      </c>
      <c r="L10">
        <f>SUMIF('Team Lineups'!C:C,A10,'Team Lineups'!H:H)</f>
        <v>6</v>
      </c>
      <c r="M10">
        <f t="shared" si="3"/>
        <v>0.5</v>
      </c>
      <c r="N10">
        <f>SUMIF('Team Lineups'!C:C,A10,'Team Lineups'!I:I)</f>
        <v>16</v>
      </c>
      <c r="O10">
        <f>COUNTIF(Matches!G:G,A10)</f>
        <v>0</v>
      </c>
      <c r="P10">
        <f t="shared" si="4"/>
        <v>0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15</v>
      </c>
      <c r="D11">
        <f>SUMIF('Team Lineups'!C:C,A11,'Team Lineups'!E:E)</f>
        <v>76</v>
      </c>
      <c r="E11">
        <f>SUMIF('Team Lineups'!C:C,A11,'Team Lineups'!F:F)</f>
        <v>91</v>
      </c>
      <c r="F11">
        <f t="shared" si="0"/>
        <v>-15</v>
      </c>
      <c r="G11">
        <f>COUNTIFS('Team Lineups'!C:C,A11,'Team Lineups'!G:G,"Win")</f>
        <v>4</v>
      </c>
      <c r="H11">
        <f>COUNTIFS('Team Lineups'!C:C,A11,'Team Lineups'!G:G,"Draw")</f>
        <v>2</v>
      </c>
      <c r="I11">
        <f>COUNTIFS('Team Lineups'!C:C,A11,'Team Lineups'!G:G,"Loss")</f>
        <v>9</v>
      </c>
      <c r="J11" s="3">
        <f t="shared" si="1"/>
        <v>0.26666666666666666</v>
      </c>
      <c r="K11" s="3">
        <f t="shared" si="2"/>
        <v>0.6</v>
      </c>
      <c r="L11">
        <f>SUMIF('Team Lineups'!C:C,A11,'Team Lineups'!H:H)</f>
        <v>6</v>
      </c>
      <c r="M11">
        <f t="shared" si="3"/>
        <v>0.4</v>
      </c>
      <c r="N11">
        <f>SUMIF('Team Lineups'!C:C,A11,'Team Lineups'!I:I)</f>
        <v>9</v>
      </c>
      <c r="O11">
        <f>COUNTIF(Matches!G:G,A11)</f>
        <v>2</v>
      </c>
      <c r="P11">
        <f t="shared" si="4"/>
        <v>0.13333333333333333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13</v>
      </c>
      <c r="D12">
        <f>SUMIF('Team Lineups'!C:C,A12,'Team Lineups'!E:E)</f>
        <v>83</v>
      </c>
      <c r="E12">
        <f>SUMIF('Team Lineups'!C:C,A12,'Team Lineups'!F:F)</f>
        <v>94</v>
      </c>
      <c r="F12">
        <f t="shared" si="0"/>
        <v>-11</v>
      </c>
      <c r="G12">
        <f>COUNTIFS('Team Lineups'!C:C,A12,'Team Lineups'!G:G,"Win")</f>
        <v>5</v>
      </c>
      <c r="H12">
        <f>COUNTIFS('Team Lineups'!C:C,A12,'Team Lineups'!G:G,"Draw")</f>
        <v>1</v>
      </c>
      <c r="I12">
        <f>COUNTIFS('Team Lineups'!C:C,A12,'Team Lineups'!G:G,"Loss")</f>
        <v>7</v>
      </c>
      <c r="J12" s="3">
        <f t="shared" si="1"/>
        <v>0.38461538461538464</v>
      </c>
      <c r="K12" s="3">
        <f t="shared" si="2"/>
        <v>0.53846153846153844</v>
      </c>
      <c r="L12">
        <f>SUMIF('Team Lineups'!C:C,A12,'Team Lineups'!H:H)</f>
        <v>5</v>
      </c>
      <c r="M12">
        <f t="shared" si="3"/>
        <v>0.38461538461538464</v>
      </c>
      <c r="N12">
        <f>SUMIF('Team Lineups'!C:C,A12,'Team Lineups'!I:I)</f>
        <v>2</v>
      </c>
      <c r="O12">
        <f>COUNTIF(Matches!G:G,A12)</f>
        <v>3</v>
      </c>
      <c r="P12">
        <f t="shared" si="4"/>
        <v>0.23076923076923078</v>
      </c>
      <c r="Q12">
        <f>SUMIF('Team Lineups'!C:C,A12,'Team Lineups'!J:J)</f>
        <v>0</v>
      </c>
    </row>
    <row r="13" spans="1:17" x14ac:dyDescent="0.35">
      <c r="A13" t="s">
        <v>16</v>
      </c>
      <c r="C13">
        <f>COUNTIF('Team Lineups'!C:C,A13)</f>
        <v>24</v>
      </c>
      <c r="D13">
        <f>SUMIF('Team Lineups'!C:C,A13,'Team Lineups'!E:E)</f>
        <v>159</v>
      </c>
      <c r="E13">
        <f>SUMIF('Team Lineups'!C:C,A13,'Team Lineups'!F:F)</f>
        <v>176</v>
      </c>
      <c r="F13">
        <f t="shared" si="0"/>
        <v>-17</v>
      </c>
      <c r="G13">
        <f>COUNTIFS('Team Lineups'!C:C,A13,'Team Lineups'!G:G,"Win")</f>
        <v>8</v>
      </c>
      <c r="H13">
        <f>COUNTIFS('Team Lineups'!C:C,A13,'Team Lineups'!G:G,"Draw")</f>
        <v>3</v>
      </c>
      <c r="I13">
        <f>COUNTIFS('Team Lineups'!C:C,A13,'Team Lineups'!G:G,"Loss")</f>
        <v>13</v>
      </c>
      <c r="J13" s="3">
        <f t="shared" si="1"/>
        <v>0.33333333333333331</v>
      </c>
      <c r="K13" s="3">
        <f t="shared" si="2"/>
        <v>0.54166666666666663</v>
      </c>
      <c r="L13">
        <f>SUMIF('Team Lineups'!C:C,A13,'Team Lineups'!H:H)</f>
        <v>38</v>
      </c>
      <c r="M13">
        <f t="shared" si="3"/>
        <v>1.5833333333333333</v>
      </c>
      <c r="N13">
        <f>SUMIF('Team Lineups'!C:C,A13,'Team Lineups'!I:I)</f>
        <v>26</v>
      </c>
      <c r="O13">
        <f>COUNTIF(Matches!G:G,A13)</f>
        <v>4</v>
      </c>
      <c r="P13">
        <f t="shared" si="4"/>
        <v>0.16666666666666666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31</v>
      </c>
      <c r="D14">
        <f>SUMIF('Team Lineups'!C:C,A14,'Team Lineups'!E:E)</f>
        <v>227</v>
      </c>
      <c r="E14">
        <f>SUMIF('Team Lineups'!C:C,A14,'Team Lineups'!F:F)</f>
        <v>226</v>
      </c>
      <c r="F14">
        <f t="shared" si="0"/>
        <v>1</v>
      </c>
      <c r="G14">
        <f>COUNTIFS('Team Lineups'!C:C,A14,'Team Lineups'!G:G,"Win")</f>
        <v>11</v>
      </c>
      <c r="H14">
        <f>COUNTIFS('Team Lineups'!C:C,A14,'Team Lineups'!G:G,"Draw")</f>
        <v>3</v>
      </c>
      <c r="I14">
        <f>COUNTIFS('Team Lineups'!C:C,A14,'Team Lineups'!G:G,"Loss")</f>
        <v>17</v>
      </c>
      <c r="J14" s="3">
        <f t="shared" si="1"/>
        <v>0.35483870967741937</v>
      </c>
      <c r="K14" s="3">
        <f t="shared" si="2"/>
        <v>0.54838709677419351</v>
      </c>
      <c r="L14">
        <f>SUMIF('Team Lineups'!C:C,A14,'Team Lineups'!H:H)</f>
        <v>56</v>
      </c>
      <c r="M14">
        <f t="shared" si="3"/>
        <v>1.8064516129032258</v>
      </c>
      <c r="N14">
        <f>SUMIF('Team Lineups'!C:C,A14,'Team Lineups'!I:I)</f>
        <v>23</v>
      </c>
      <c r="O14">
        <f>COUNTIF(Matches!G:G,A14)</f>
        <v>1</v>
      </c>
      <c r="P14">
        <f t="shared" si="4"/>
        <v>3.2258064516129031E-2</v>
      </c>
      <c r="Q14">
        <f>SUMIF('Team Lineups'!C:C,A14,'Team Lineups'!J:J)</f>
        <v>0</v>
      </c>
    </row>
    <row r="15" spans="1:17" x14ac:dyDescent="0.35">
      <c r="A15" t="s">
        <v>43</v>
      </c>
      <c r="C15">
        <f>COUNTIF('Team Lineups'!C:C,A15)</f>
        <v>20</v>
      </c>
      <c r="D15">
        <f>SUMIF('Team Lineups'!C:C,A15,'Team Lineups'!E:E)</f>
        <v>108</v>
      </c>
      <c r="E15">
        <f>SUMIF('Team Lineups'!C:C,A15,'Team Lineups'!F:F)</f>
        <v>122</v>
      </c>
      <c r="F15">
        <f t="shared" si="0"/>
        <v>-14</v>
      </c>
      <c r="G15">
        <f>COUNTIFS('Team Lineups'!C:C,A15,'Team Lineups'!G:G,"Win")</f>
        <v>6</v>
      </c>
      <c r="H15">
        <f>COUNTIFS('Team Lineups'!C:C,A15,'Team Lineups'!G:G,"Draw")</f>
        <v>4</v>
      </c>
      <c r="I15">
        <f>COUNTIFS('Team Lineups'!C:C,A15,'Team Lineups'!G:G,"Loss")</f>
        <v>10</v>
      </c>
      <c r="J15" s="3">
        <f t="shared" si="1"/>
        <v>0.3</v>
      </c>
      <c r="K15" s="3">
        <f t="shared" si="2"/>
        <v>0.5</v>
      </c>
      <c r="L15">
        <f>SUMIF('Team Lineups'!C:C,A15,'Team Lineups'!H:H)</f>
        <v>12</v>
      </c>
      <c r="M15">
        <f t="shared" si="3"/>
        <v>0.6</v>
      </c>
      <c r="N15">
        <f>SUMIF('Team Lineups'!C:C,A15,'Team Lineups'!I:I)</f>
        <v>6</v>
      </c>
      <c r="O15">
        <f>COUNTIF(Matches!G:G,A15)</f>
        <v>1</v>
      </c>
      <c r="P15">
        <f t="shared" si="4"/>
        <v>0.05</v>
      </c>
      <c r="Q15">
        <f>SUMIF('Team Lineups'!C:C,A15,'Team Lineups'!J:J)</f>
        <v>0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 t="shared" si="1"/>
        <v>0.5</v>
      </c>
      <c r="K16" s="3">
        <f t="shared" si="2"/>
        <v>0.5</v>
      </c>
      <c r="L16">
        <f>SUMIF('Team Lineups'!C:C,A16,'Team Lineups'!H:H)</f>
        <v>0</v>
      </c>
      <c r="M16">
        <f t="shared" si="3"/>
        <v>0</v>
      </c>
      <c r="N16">
        <f>SUMIF('Team Lineups'!C:C,A16,'Team Lineups'!I:I)</f>
        <v>0</v>
      </c>
      <c r="O16">
        <f>COUNTIF(Matches!G:G,A16)</f>
        <v>0</v>
      </c>
      <c r="P16">
        <f t="shared" si="4"/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23</v>
      </c>
      <c r="D17">
        <f>SUMIF('Team Lineups'!C:C,A17,'Team Lineups'!E:E)</f>
        <v>134</v>
      </c>
      <c r="E17">
        <f>SUMIF('Team Lineups'!C:C,A17,'Team Lineups'!F:F)</f>
        <v>146</v>
      </c>
      <c r="F17">
        <f t="shared" si="0"/>
        <v>-12</v>
      </c>
      <c r="G17">
        <f>COUNTIFS('Team Lineups'!C:C,A17,'Team Lineups'!G:G,"Win")</f>
        <v>7</v>
      </c>
      <c r="H17">
        <f>COUNTIFS('Team Lineups'!C:C,A17,'Team Lineups'!G:G,"Draw")</f>
        <v>5</v>
      </c>
      <c r="I17">
        <f>COUNTIFS('Team Lineups'!C:C,A17,'Team Lineups'!G:G,"Loss")</f>
        <v>11</v>
      </c>
      <c r="J17" s="3">
        <f t="shared" si="1"/>
        <v>0.30434782608695654</v>
      </c>
      <c r="K17" s="3">
        <f t="shared" si="2"/>
        <v>0.47826086956521741</v>
      </c>
      <c r="L17">
        <f>SUMIF('Team Lineups'!C:C,A17,'Team Lineups'!H:H)</f>
        <v>11</v>
      </c>
      <c r="M17">
        <f t="shared" si="3"/>
        <v>0.47826086956521741</v>
      </c>
      <c r="N17">
        <f>SUMIF('Team Lineups'!C:C,A17,'Team Lineups'!I:I)</f>
        <v>7</v>
      </c>
      <c r="O17">
        <f>COUNTIF(Matches!G:G,A17)</f>
        <v>0</v>
      </c>
      <c r="P17">
        <f t="shared" si="4"/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20</v>
      </c>
      <c r="D18">
        <f>SUMIF('Team Lineups'!C:C,A18,'Team Lineups'!E:E)</f>
        <v>146</v>
      </c>
      <c r="E18">
        <f>SUMIF('Team Lineups'!C:C,A18,'Team Lineups'!F:F)</f>
        <v>151</v>
      </c>
      <c r="F18">
        <f t="shared" si="0"/>
        <v>-5</v>
      </c>
      <c r="G18">
        <f>COUNTIFS('Team Lineups'!C:C,A18,'Team Lineups'!G:G,"Win")</f>
        <v>8</v>
      </c>
      <c r="H18">
        <f>COUNTIFS('Team Lineups'!C:C,A18,'Team Lineups'!G:G,"Draw")</f>
        <v>3</v>
      </c>
      <c r="I18">
        <f>COUNTIFS('Team Lineups'!C:C,A18,'Team Lineups'!G:G,"Loss")</f>
        <v>9</v>
      </c>
      <c r="J18" s="3">
        <f t="shared" si="1"/>
        <v>0.4</v>
      </c>
      <c r="K18" s="3">
        <f t="shared" si="2"/>
        <v>0.45</v>
      </c>
      <c r="L18">
        <f>SUMIF('Team Lineups'!C:C,A18,'Team Lineups'!H:H)</f>
        <v>16</v>
      </c>
      <c r="M18">
        <f t="shared" si="3"/>
        <v>0.8</v>
      </c>
      <c r="N18">
        <f>SUMIF('Team Lineups'!C:C,A18,'Team Lineups'!I:I)</f>
        <v>7</v>
      </c>
      <c r="O18">
        <f>COUNTIF(Matches!G:G,A18)</f>
        <v>1</v>
      </c>
      <c r="P18">
        <f t="shared" si="4"/>
        <v>0.05</v>
      </c>
      <c r="Q18">
        <f>SUMIF('Team Lineups'!C:C,A18,'Team Lineups'!J:J)</f>
        <v>1</v>
      </c>
    </row>
    <row r="19" spans="1:17" x14ac:dyDescent="0.35">
      <c r="A19" t="s">
        <v>42</v>
      </c>
      <c r="C19">
        <f>COUNTIF('Team Lineups'!C:C,A19)</f>
        <v>31</v>
      </c>
      <c r="D19">
        <f>SUMIF('Team Lineups'!C:C,A19,'Team Lineups'!E:E)</f>
        <v>217</v>
      </c>
      <c r="E19">
        <f>SUMIF('Team Lineups'!C:C,A19,'Team Lineups'!F:F)</f>
        <v>237</v>
      </c>
      <c r="F19">
        <f t="shared" si="0"/>
        <v>-20</v>
      </c>
      <c r="G19">
        <f>COUNTIFS('Team Lineups'!C:C,A19,'Team Lineups'!G:G,"Win")</f>
        <v>11</v>
      </c>
      <c r="H19">
        <f>COUNTIFS('Team Lineups'!C:C,A19,'Team Lineups'!G:G,"Draw")</f>
        <v>4</v>
      </c>
      <c r="I19">
        <f>COUNTIFS('Team Lineups'!C:C,A19,'Team Lineups'!G:G,"Loss")</f>
        <v>15</v>
      </c>
      <c r="J19" s="3">
        <f t="shared" si="1"/>
        <v>0.35483870967741937</v>
      </c>
      <c r="K19" s="3">
        <f t="shared" si="2"/>
        <v>0.4838709677419355</v>
      </c>
      <c r="L19">
        <f>SUMIF('Team Lineups'!C:C,A19,'Team Lineups'!H:H)</f>
        <v>37</v>
      </c>
      <c r="M19">
        <f t="shared" si="3"/>
        <v>1.1935483870967742</v>
      </c>
      <c r="N19">
        <f>SUMIF('Team Lineups'!C:C,A19,'Team Lineups'!I:I)</f>
        <v>33</v>
      </c>
      <c r="O19">
        <f>COUNTIF(Matches!G:G,A19)</f>
        <v>3</v>
      </c>
      <c r="P19">
        <f t="shared" si="4"/>
        <v>9.6774193548387094E-2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25</v>
      </c>
      <c r="D20">
        <f>SUMIF('Team Lineups'!C:C,A20,'Team Lineups'!E:E)</f>
        <v>185</v>
      </c>
      <c r="E20">
        <f>SUMIF('Team Lineups'!C:C,A20,'Team Lineups'!F:F)</f>
        <v>201</v>
      </c>
      <c r="F20">
        <f t="shared" si="0"/>
        <v>-16</v>
      </c>
      <c r="G20">
        <f>COUNTIFS('Team Lineups'!C:C,A20,'Team Lineups'!G:G,"Win")</f>
        <v>10</v>
      </c>
      <c r="H20">
        <f>COUNTIFS('Team Lineups'!C:C,A20,'Team Lineups'!G:G,"Draw")</f>
        <v>4</v>
      </c>
      <c r="I20">
        <f>COUNTIFS('Team Lineups'!C:C,A20,'Team Lineups'!G:G,"Loss")</f>
        <v>11</v>
      </c>
      <c r="J20" s="3">
        <f t="shared" si="1"/>
        <v>0.4</v>
      </c>
      <c r="K20" s="3">
        <f t="shared" si="2"/>
        <v>0.44</v>
      </c>
      <c r="L20">
        <f>SUMIF('Team Lineups'!C:C,A20,'Team Lineups'!H:H)</f>
        <v>17</v>
      </c>
      <c r="M20">
        <f t="shared" si="3"/>
        <v>0.68</v>
      </c>
      <c r="N20">
        <f>SUMIF('Team Lineups'!C:C,A20,'Team Lineups'!I:I)</f>
        <v>11</v>
      </c>
      <c r="O20">
        <f>COUNTIF(Matches!G:G,A20)</f>
        <v>1</v>
      </c>
      <c r="P20">
        <f t="shared" si="4"/>
        <v>0.04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31</v>
      </c>
      <c r="D21">
        <f>SUMIF('Team Lineups'!C:C,A21,'Team Lineups'!E:E)</f>
        <v>211</v>
      </c>
      <c r="E21">
        <f>SUMIF('Team Lineups'!C:C,A21,'Team Lineups'!F:F)</f>
        <v>218</v>
      </c>
      <c r="F21">
        <f t="shared" si="0"/>
        <v>-7</v>
      </c>
      <c r="G21">
        <f>COUNTIFS('Team Lineups'!C:C,A21,'Team Lineups'!G:G,"Win")</f>
        <v>12</v>
      </c>
      <c r="H21">
        <f>COUNTIFS('Team Lineups'!C:C,A21,'Team Lineups'!G:G,"Draw")</f>
        <v>5</v>
      </c>
      <c r="I21">
        <f>COUNTIFS('Team Lineups'!C:C,A21,'Team Lineups'!G:G,"Loss")</f>
        <v>14</v>
      </c>
      <c r="J21" s="3">
        <f t="shared" si="1"/>
        <v>0.38709677419354838</v>
      </c>
      <c r="K21" s="3">
        <f t="shared" si="2"/>
        <v>0.45161290322580644</v>
      </c>
      <c r="L21">
        <f>SUMIF('Team Lineups'!C:C,A21,'Team Lineups'!H:H)</f>
        <v>18</v>
      </c>
      <c r="M21">
        <f t="shared" si="3"/>
        <v>0.58064516129032262</v>
      </c>
      <c r="N21">
        <f>SUMIF('Team Lineups'!C:C,A21,'Team Lineups'!I:I)</f>
        <v>13</v>
      </c>
      <c r="O21">
        <f>COUNTIF(Matches!G:G,A21)</f>
        <v>0</v>
      </c>
      <c r="P21">
        <f t="shared" si="4"/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13</v>
      </c>
      <c r="D22">
        <f>SUMIF('Team Lineups'!C:C,A22,'Team Lineups'!E:E)</f>
        <v>79</v>
      </c>
      <c r="E22">
        <f>SUMIF('Team Lineups'!C:C,A22,'Team Lineups'!F:F)</f>
        <v>90</v>
      </c>
      <c r="F22">
        <f t="shared" si="0"/>
        <v>-11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6</v>
      </c>
      <c r="J22" s="3">
        <f t="shared" si="1"/>
        <v>0.38461538461538464</v>
      </c>
      <c r="K22" s="3">
        <f t="shared" si="2"/>
        <v>0.46153846153846156</v>
      </c>
      <c r="L22">
        <f>SUMIF('Team Lineups'!C:C,A22,'Team Lineups'!H:H)</f>
        <v>9</v>
      </c>
      <c r="M22">
        <f t="shared" si="3"/>
        <v>0.69230769230769229</v>
      </c>
      <c r="N22">
        <f>SUMIF('Team Lineups'!C:C,A22,'Team Lineups'!I:I)</f>
        <v>11</v>
      </c>
      <c r="O22">
        <f>COUNTIF(Matches!G:G,A22)</f>
        <v>0</v>
      </c>
      <c r="P22">
        <f t="shared" si="4"/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22</v>
      </c>
      <c r="D23">
        <f>SUMIF('Team Lineups'!C:C,A23,'Team Lineups'!E:E)</f>
        <v>167</v>
      </c>
      <c r="E23">
        <f>SUMIF('Team Lineups'!C:C,A23,'Team Lineups'!F:F)</f>
        <v>170</v>
      </c>
      <c r="F23">
        <f t="shared" si="0"/>
        <v>-3</v>
      </c>
      <c r="G23">
        <f>COUNTIFS('Team Lineups'!C:C,A23,'Team Lineups'!G:G,"Win")</f>
        <v>9</v>
      </c>
      <c r="H23">
        <f>COUNTIFS('Team Lineups'!C:C,A23,'Team Lineups'!G:G,"Draw")</f>
        <v>4</v>
      </c>
      <c r="I23">
        <f>COUNTIFS('Team Lineups'!C:C,A23,'Team Lineups'!G:G,"Loss")</f>
        <v>9</v>
      </c>
      <c r="J23" s="3">
        <f t="shared" si="1"/>
        <v>0.40909090909090912</v>
      </c>
      <c r="K23" s="3">
        <f t="shared" si="2"/>
        <v>0.40909090909090912</v>
      </c>
      <c r="L23">
        <f>SUMIF('Team Lineups'!C:C,A23,'Team Lineups'!H:H)</f>
        <v>14</v>
      </c>
      <c r="M23">
        <f t="shared" si="3"/>
        <v>0.63636363636363635</v>
      </c>
      <c r="N23">
        <f>SUMIF('Team Lineups'!C:C,A23,'Team Lineups'!I:I)</f>
        <v>7</v>
      </c>
      <c r="O23">
        <f>COUNTIF(Matches!G:G,A23)</f>
        <v>0</v>
      </c>
      <c r="P23">
        <f t="shared" si="4"/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27</v>
      </c>
      <c r="D24">
        <f>SUMIF('Team Lineups'!C:C,A24,'Team Lineups'!E:E)</f>
        <v>191</v>
      </c>
      <c r="E24">
        <f>SUMIF('Team Lineups'!C:C,A24,'Team Lineups'!F:F)</f>
        <v>206</v>
      </c>
      <c r="F24">
        <f t="shared" si="0"/>
        <v>-15</v>
      </c>
      <c r="G24">
        <f>COUNTIFS('Team Lineups'!C:C,A24,'Team Lineups'!G:G,"Win")</f>
        <v>12</v>
      </c>
      <c r="H24">
        <f>COUNTIFS('Team Lineups'!C:C,A24,'Team Lineups'!G:G,"Draw")</f>
        <v>4</v>
      </c>
      <c r="I24">
        <f>COUNTIFS('Team Lineups'!C:C,A24,'Team Lineups'!G:G,"Loss")</f>
        <v>11</v>
      </c>
      <c r="J24" s="3">
        <f t="shared" si="1"/>
        <v>0.44444444444444442</v>
      </c>
      <c r="K24" s="3">
        <f t="shared" si="2"/>
        <v>0.40740740740740738</v>
      </c>
      <c r="L24">
        <f>SUMIF('Team Lineups'!C:C,A24,'Team Lineups'!H:H)</f>
        <v>66</v>
      </c>
      <c r="M24">
        <f t="shared" si="3"/>
        <v>2.4444444444444446</v>
      </c>
      <c r="N24">
        <f>SUMIF('Team Lineups'!C:C,A24,'Team Lineups'!I:I)</f>
        <v>29</v>
      </c>
      <c r="O24">
        <f>COUNTIF(Matches!G:G,A24)</f>
        <v>2</v>
      </c>
      <c r="P24">
        <f t="shared" si="4"/>
        <v>7.407407407407407E-2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 t="shared" si="0"/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 t="shared" si="1"/>
        <v>0.6</v>
      </c>
      <c r="K25" s="3">
        <f t="shared" si="2"/>
        <v>0.4</v>
      </c>
      <c r="L25">
        <f>SUMIF('Team Lineups'!C:C,A25,'Team Lineups'!H:H)</f>
        <v>7</v>
      </c>
      <c r="M25">
        <f t="shared" si="3"/>
        <v>1.4</v>
      </c>
      <c r="N25">
        <f>SUMIF('Team Lineups'!C:C,A25,'Team Lineups'!I:I)</f>
        <v>2</v>
      </c>
      <c r="O25">
        <f>COUNTIF(Matches!G:G,A25)</f>
        <v>0</v>
      </c>
      <c r="P25">
        <f t="shared" si="4"/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21</v>
      </c>
      <c r="D26">
        <f>SUMIF('Team Lineups'!C:C,A26,'Team Lineups'!E:E)</f>
        <v>166</v>
      </c>
      <c r="E26">
        <f>SUMIF('Team Lineups'!C:C,A26,'Team Lineups'!F:F)</f>
        <v>159</v>
      </c>
      <c r="F26">
        <f t="shared" si="0"/>
        <v>7</v>
      </c>
      <c r="G26">
        <f>COUNTIFS('Team Lineups'!C:C,A26,'Team Lineups'!G:G,"Win")</f>
        <v>10</v>
      </c>
      <c r="H26">
        <f>COUNTIFS('Team Lineups'!C:C,A26,'Team Lineups'!G:G,"Draw")</f>
        <v>3</v>
      </c>
      <c r="I26">
        <f>COUNTIFS('Team Lineups'!C:C,A26,'Team Lineups'!G:G,"Loss")</f>
        <v>8</v>
      </c>
      <c r="J26" s="3">
        <f t="shared" si="1"/>
        <v>0.47619047619047616</v>
      </c>
      <c r="K26" s="3">
        <f t="shared" si="2"/>
        <v>0.38095238095238093</v>
      </c>
      <c r="L26">
        <f>SUMIF('Team Lineups'!C:C,A26,'Team Lineups'!H:H)</f>
        <v>56</v>
      </c>
      <c r="M26">
        <f t="shared" si="3"/>
        <v>2.6666666666666665</v>
      </c>
      <c r="N26">
        <f>SUMIF('Team Lineups'!C:C,A26,'Team Lineups'!I:I)</f>
        <v>20</v>
      </c>
      <c r="O26">
        <f>COUNTIF(Matches!G:G,A26)</f>
        <v>1</v>
      </c>
      <c r="P26">
        <f t="shared" si="4"/>
        <v>4.7619047619047616E-2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26</v>
      </c>
      <c r="D27">
        <f>SUMIF('Team Lineups'!C:C,A27,'Team Lineups'!E:E)</f>
        <v>197</v>
      </c>
      <c r="E27">
        <f>SUMIF('Team Lineups'!C:C,A27,'Team Lineups'!F:F)</f>
        <v>191</v>
      </c>
      <c r="F27">
        <f t="shared" si="0"/>
        <v>6</v>
      </c>
      <c r="G27">
        <f>COUNTIFS('Team Lineups'!C:C,A27,'Team Lineups'!G:G,"Win")</f>
        <v>12</v>
      </c>
      <c r="H27">
        <f>COUNTIFS('Team Lineups'!C:C,A27,'Team Lineups'!G:G,"Draw")</f>
        <v>5</v>
      </c>
      <c r="I27">
        <f>COUNTIFS('Team Lineups'!C:C,A27,'Team Lineups'!G:G,"Loss")</f>
        <v>9</v>
      </c>
      <c r="J27" s="3">
        <f t="shared" si="1"/>
        <v>0.46153846153846156</v>
      </c>
      <c r="K27" s="3">
        <f t="shared" si="2"/>
        <v>0.34615384615384615</v>
      </c>
      <c r="L27">
        <f>SUMIF('Team Lineups'!C:C,A27,'Team Lineups'!H:H)</f>
        <v>52</v>
      </c>
      <c r="M27">
        <f t="shared" si="3"/>
        <v>2</v>
      </c>
      <c r="N27">
        <f>SUMIF('Team Lineups'!C:C,A27,'Team Lineups'!I:I)</f>
        <v>34</v>
      </c>
      <c r="O27">
        <f>COUNTIF(Matches!G:G,A27)</f>
        <v>7</v>
      </c>
      <c r="P27">
        <f t="shared" si="4"/>
        <v>0.26923076923076922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26</v>
      </c>
      <c r="D28">
        <f>SUMIF('Team Lineups'!C:C,A28,'Team Lineups'!E:E)</f>
        <v>173</v>
      </c>
      <c r="E28">
        <f>SUMIF('Team Lineups'!C:C,A28,'Team Lineups'!F:F)</f>
        <v>168</v>
      </c>
      <c r="F28">
        <f t="shared" si="0"/>
        <v>5</v>
      </c>
      <c r="G28">
        <f>COUNTIFS('Team Lineups'!C:C,A28,'Team Lineups'!G:G,"Win")</f>
        <v>12</v>
      </c>
      <c r="H28">
        <f>COUNTIFS('Team Lineups'!C:C,A28,'Team Lineups'!G:G,"Draw")</f>
        <v>5</v>
      </c>
      <c r="I28">
        <f>COUNTIFS('Team Lineups'!C:C,A28,'Team Lineups'!G:G,"Loss")</f>
        <v>9</v>
      </c>
      <c r="J28" s="3">
        <f t="shared" si="1"/>
        <v>0.46153846153846156</v>
      </c>
      <c r="K28" s="3">
        <f t="shared" si="2"/>
        <v>0.34615384615384615</v>
      </c>
      <c r="L28">
        <f>SUMIF('Team Lineups'!C:C,A28,'Team Lineups'!H:H)</f>
        <v>16</v>
      </c>
      <c r="M28">
        <f t="shared" si="3"/>
        <v>0.61538461538461542</v>
      </c>
      <c r="N28">
        <f>SUMIF('Team Lineups'!C:C,A28,'Team Lineups'!I:I)</f>
        <v>21</v>
      </c>
      <c r="O28">
        <f>COUNTIF(Matches!G:G,A28)</f>
        <v>1</v>
      </c>
      <c r="P28">
        <f t="shared" si="4"/>
        <v>3.8461538461538464E-2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30</v>
      </c>
      <c r="D29">
        <f>SUMIF('Team Lineups'!C:C,A29,'Team Lineups'!E:E)</f>
        <v>217</v>
      </c>
      <c r="E29">
        <f>SUMIF('Team Lineups'!C:C,A29,'Team Lineups'!F:F)</f>
        <v>205</v>
      </c>
      <c r="F29">
        <f t="shared" si="0"/>
        <v>12</v>
      </c>
      <c r="G29">
        <f>COUNTIFS('Team Lineups'!C:C,A29,'Team Lineups'!G:G,"Win")</f>
        <v>15</v>
      </c>
      <c r="H29">
        <f>COUNTIFS('Team Lineups'!C:C,A29,'Team Lineups'!G:G,"Draw")</f>
        <v>4</v>
      </c>
      <c r="I29">
        <f>COUNTIFS('Team Lineups'!C:C,A29,'Team Lineups'!G:G,"Loss")</f>
        <v>11</v>
      </c>
      <c r="J29" s="3">
        <f t="shared" si="1"/>
        <v>0.5</v>
      </c>
      <c r="K29" s="3">
        <f t="shared" si="2"/>
        <v>0.36666666666666664</v>
      </c>
      <c r="L29">
        <f>SUMIF('Team Lineups'!C:C,A29,'Team Lineups'!H:H)</f>
        <v>39</v>
      </c>
      <c r="M29">
        <f t="shared" si="3"/>
        <v>1.3</v>
      </c>
      <c r="N29">
        <f>SUMIF('Team Lineups'!C:C,A29,'Team Lineups'!I:I)</f>
        <v>19</v>
      </c>
      <c r="O29">
        <f>COUNTIF(Matches!G:G,A29)</f>
        <v>2</v>
      </c>
      <c r="P29">
        <f t="shared" si="4"/>
        <v>6.6666666666666666E-2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 t="shared" si="0"/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1"/>
        <v>0.66666666666666663</v>
      </c>
      <c r="K30" s="3">
        <f t="shared" si="2"/>
        <v>0.33333333333333331</v>
      </c>
      <c r="L30">
        <f>SUMIF('Team Lineups'!C:C,A30,'Team Lineups'!H:H)</f>
        <v>5</v>
      </c>
      <c r="M30">
        <f t="shared" si="3"/>
        <v>1.6666666666666667</v>
      </c>
      <c r="N30">
        <f>SUMIF('Team Lineups'!C:C,A30,'Team Lineups'!I:I)</f>
        <v>0</v>
      </c>
      <c r="O30">
        <f>COUNTIF(Matches!G:G,A30)</f>
        <v>2</v>
      </c>
      <c r="P30">
        <f t="shared" si="4"/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4</v>
      </c>
      <c r="D31">
        <f>SUMIF('Team Lineups'!C:C,A31,'Team Lineups'!E:E)</f>
        <v>34</v>
      </c>
      <c r="E31">
        <f>SUMIF('Team Lineups'!C:C,A31,'Team Lineups'!F:F)</f>
        <v>25</v>
      </c>
      <c r="F31">
        <f t="shared" si="0"/>
        <v>9</v>
      </c>
      <c r="G31">
        <f>COUNTIFS('Team Lineups'!C:C,A31,'Team Lineups'!G:G,"Win")</f>
        <v>3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1"/>
        <v>0.75</v>
      </c>
      <c r="K31" s="3">
        <f t="shared" si="2"/>
        <v>0.25</v>
      </c>
      <c r="L31">
        <f>SUMIF('Team Lineups'!C:C,A31,'Team Lineups'!H:H)</f>
        <v>9</v>
      </c>
      <c r="M31">
        <f t="shared" si="3"/>
        <v>2.25</v>
      </c>
      <c r="N31">
        <f>SUMIF('Team Lineups'!C:C,A31,'Team Lineups'!I:I)</f>
        <v>0</v>
      </c>
      <c r="O31">
        <f>COUNTIF(Matches!G:G,A31)</f>
        <v>1</v>
      </c>
      <c r="P31">
        <f t="shared" si="4"/>
        <v>0.25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33</v>
      </c>
      <c r="D32">
        <f>SUMIF('Team Lineups'!C:C,A32,'Team Lineups'!E:E)</f>
        <v>243</v>
      </c>
      <c r="E32">
        <f>SUMIF('Team Lineups'!C:C,A32,'Team Lineups'!F:F)</f>
        <v>206</v>
      </c>
      <c r="F32">
        <f t="shared" si="0"/>
        <v>37</v>
      </c>
      <c r="G32">
        <f>COUNTIFS('Team Lineups'!C:C,A32,'Team Lineups'!G:G,"Win")</f>
        <v>17</v>
      </c>
      <c r="H32">
        <f>COUNTIFS('Team Lineups'!C:C,A32,'Team Lineups'!G:G,"Draw")</f>
        <v>5</v>
      </c>
      <c r="I32">
        <f>COUNTIFS('Team Lineups'!C:C,A32,'Team Lineups'!G:G,"Loss")</f>
        <v>11</v>
      </c>
      <c r="J32" s="3">
        <f t="shared" si="1"/>
        <v>0.51515151515151514</v>
      </c>
      <c r="K32" s="3">
        <f t="shared" si="2"/>
        <v>0.33333333333333331</v>
      </c>
      <c r="L32">
        <f>SUMIF('Team Lineups'!C:C,A32,'Team Lineups'!H:H)</f>
        <v>52</v>
      </c>
      <c r="M32">
        <f t="shared" si="3"/>
        <v>1.5757575757575757</v>
      </c>
      <c r="N32">
        <f>SUMIF('Team Lineups'!C:C,A32,'Team Lineups'!I:I)</f>
        <v>19</v>
      </c>
      <c r="O32">
        <f>COUNTIF(Matches!G:G,A32)</f>
        <v>6</v>
      </c>
      <c r="P32">
        <f t="shared" si="4"/>
        <v>0.18181818181818182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 t="shared" si="0"/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1"/>
        <v>0.5</v>
      </c>
      <c r="K33" s="3">
        <f t="shared" si="2"/>
        <v>0.2857142857142857</v>
      </c>
      <c r="L33">
        <f>SUMIF('Team Lineups'!C:C,A33,'Team Lineups'!H:H)</f>
        <v>21</v>
      </c>
      <c r="M33">
        <f t="shared" si="3"/>
        <v>1.5</v>
      </c>
      <c r="N33">
        <f>SUMIF('Team Lineups'!C:C,A33,'Team Lineups'!I:I)</f>
        <v>14</v>
      </c>
      <c r="O33">
        <f>COUNTIF(Matches!G:G,A33)</f>
        <v>2</v>
      </c>
      <c r="P33">
        <f t="shared" si="4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16</v>
      </c>
      <c r="D34">
        <f>SUMIF('Team Lineups'!C:C,A34,'Team Lineups'!E:E)</f>
        <v>123</v>
      </c>
      <c r="E34">
        <f>SUMIF('Team Lineups'!C:C,A34,'Team Lineups'!F:F)</f>
        <v>102</v>
      </c>
      <c r="F34">
        <f t="shared" si="0"/>
        <v>21</v>
      </c>
      <c r="G34">
        <f>COUNTIFS('Team Lineups'!C:C,A34,'Team Lineups'!G:G,"Win")</f>
        <v>10</v>
      </c>
      <c r="H34">
        <f>COUNTIFS('Team Lineups'!C:C,A34,'Team Lineups'!G:G,"Draw")</f>
        <v>1</v>
      </c>
      <c r="I34">
        <f>COUNTIFS('Team Lineups'!C:C,A34,'Team Lineups'!G:G,"Loss")</f>
        <v>5</v>
      </c>
      <c r="J34" s="3">
        <f t="shared" si="1"/>
        <v>0.625</v>
      </c>
      <c r="K34" s="3">
        <f t="shared" si="2"/>
        <v>0.3125</v>
      </c>
      <c r="L34">
        <f>SUMIF('Team Lineups'!C:C,A34,'Team Lineups'!H:H)</f>
        <v>28</v>
      </c>
      <c r="M34">
        <f t="shared" si="3"/>
        <v>1.75</v>
      </c>
      <c r="N34">
        <f>SUMIF('Team Lineups'!C:C,A34,'Team Lineups'!I:I)</f>
        <v>16</v>
      </c>
      <c r="O34">
        <f>COUNTIF(Matches!G:G,A34)</f>
        <v>3</v>
      </c>
      <c r="P34">
        <f t="shared" si="4"/>
        <v>0.1875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19</v>
      </c>
      <c r="D35">
        <f>SUMIF('Team Lineups'!C:C,A35,'Team Lineups'!E:E)</f>
        <v>130</v>
      </c>
      <c r="E35">
        <f>SUMIF('Team Lineups'!C:C,A35,'Team Lineups'!F:F)</f>
        <v>123</v>
      </c>
      <c r="F35">
        <f t="shared" si="0"/>
        <v>7</v>
      </c>
      <c r="G35">
        <f>COUNTIFS('Team Lineups'!C:C,A35,'Team Lineups'!G:G,"Win")</f>
        <v>8</v>
      </c>
      <c r="H35">
        <f>COUNTIFS('Team Lineups'!C:C,A35,'Team Lineups'!G:G,"Draw")</f>
        <v>6</v>
      </c>
      <c r="I35">
        <f>COUNTIFS('Team Lineups'!C:C,A35,'Team Lineups'!G:G,"Loss")</f>
        <v>5</v>
      </c>
      <c r="J35" s="3">
        <f t="shared" si="1"/>
        <v>0.42105263157894735</v>
      </c>
      <c r="K35" s="3">
        <f t="shared" si="2"/>
        <v>0.26315789473684209</v>
      </c>
      <c r="L35">
        <f>SUMIF('Team Lineups'!C:C,A35,'Team Lineups'!H:H)</f>
        <v>27</v>
      </c>
      <c r="M35">
        <f t="shared" si="3"/>
        <v>1.4210526315789473</v>
      </c>
      <c r="N35">
        <f>SUMIF('Team Lineups'!C:C,A35,'Team Lineups'!I:I)</f>
        <v>9</v>
      </c>
      <c r="O35">
        <f>COUNTIF(Matches!G:G,A35)</f>
        <v>1</v>
      </c>
      <c r="P35">
        <f t="shared" si="4"/>
        <v>5.2631578947368418E-2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 t="shared" si="0"/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 t="shared" si="1"/>
        <v>0.75</v>
      </c>
      <c r="K36" s="3">
        <f t="shared" si="2"/>
        <v>0.25</v>
      </c>
      <c r="L36">
        <f>SUMIF('Team Lineups'!C:C,A36,'Team Lineups'!H:H)</f>
        <v>22</v>
      </c>
      <c r="M36">
        <f t="shared" si="3"/>
        <v>2.75</v>
      </c>
      <c r="N36">
        <f>SUMIF('Team Lineups'!C:C,A36,'Team Lineups'!I:I)</f>
        <v>14</v>
      </c>
      <c r="O36">
        <f>COUNTIF(Matches!G:G,A36)</f>
        <v>2</v>
      </c>
      <c r="P36">
        <f t="shared" si="4"/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10</v>
      </c>
      <c r="D37">
        <f>SUMIF('Team Lineups'!C:C,A37,'Team Lineups'!E:E)</f>
        <v>74</v>
      </c>
      <c r="E37">
        <f>SUMIF('Team Lineups'!C:C,A37,'Team Lineups'!F:F)</f>
        <v>53</v>
      </c>
      <c r="F37">
        <f t="shared" si="0"/>
        <v>21</v>
      </c>
      <c r="G37">
        <f>COUNTIFS('Team Lineups'!C:C,A37,'Team Lineups'!G:G,"Win")</f>
        <v>5</v>
      </c>
      <c r="H37">
        <f>COUNTIFS('Team Lineups'!C:C,A37,'Team Lineups'!G:G,"Draw")</f>
        <v>3</v>
      </c>
      <c r="I37">
        <f>COUNTIFS('Team Lineups'!C:C,A37,'Team Lineups'!G:G,"Loss")</f>
        <v>2</v>
      </c>
      <c r="J37" s="3">
        <f t="shared" si="1"/>
        <v>0.5</v>
      </c>
      <c r="K37" s="3">
        <f t="shared" si="2"/>
        <v>0.2</v>
      </c>
      <c r="L37">
        <f>SUMIF('Team Lineups'!C:C,A37,'Team Lineups'!H:H)</f>
        <v>5</v>
      </c>
      <c r="M37">
        <f t="shared" si="3"/>
        <v>0.5</v>
      </c>
      <c r="N37">
        <f>SUMIF('Team Lineups'!C:C,A37,'Team Lineups'!I:I)</f>
        <v>8</v>
      </c>
      <c r="O37">
        <f>COUNTIF(Matches!G:G,A37)</f>
        <v>0</v>
      </c>
      <c r="P37">
        <f t="shared" si="4"/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 t="shared" si="0"/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 t="shared" si="1"/>
        <v>0.6</v>
      </c>
      <c r="K38" s="3">
        <f t="shared" si="2"/>
        <v>0.2</v>
      </c>
      <c r="L38">
        <f>SUMIF('Team Lineups'!C:C,A38,'Team Lineups'!H:H)</f>
        <v>4</v>
      </c>
      <c r="M38">
        <f t="shared" si="3"/>
        <v>0.8</v>
      </c>
      <c r="N38">
        <f>SUMIF('Team Lineups'!C:C,A38,'Team Lineups'!I:I)</f>
        <v>1</v>
      </c>
      <c r="O38">
        <f>COUNTIF(Matches!G:G,A38)</f>
        <v>0</v>
      </c>
      <c r="P38">
        <f t="shared" si="4"/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 t="shared" si="0"/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 t="shared" si="1"/>
        <v>0.41666666666666669</v>
      </c>
      <c r="K39" s="3">
        <f t="shared" si="2"/>
        <v>0.16666666666666666</v>
      </c>
      <c r="L39">
        <f>SUMIF('Team Lineups'!C:C,A39,'Team Lineups'!H:H)</f>
        <v>11</v>
      </c>
      <c r="M39">
        <f t="shared" si="3"/>
        <v>0.91666666666666663</v>
      </c>
      <c r="N39">
        <f>SUMIF('Team Lineups'!C:C,A39,'Team Lineups'!I:I)</f>
        <v>6</v>
      </c>
      <c r="O39">
        <f>COUNTIF(Matches!G:G,A39)</f>
        <v>0</v>
      </c>
      <c r="P39">
        <f t="shared" si="4"/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 t="shared" si="0"/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 t="shared" si="1"/>
        <v>0.5</v>
      </c>
      <c r="K40" s="3">
        <f t="shared" si="2"/>
        <v>0</v>
      </c>
      <c r="L40">
        <f>SUMIF('Team Lineups'!C:C,A40,'Team Lineups'!H:H)</f>
        <v>5</v>
      </c>
      <c r="M40">
        <f t="shared" si="3"/>
        <v>2.5</v>
      </c>
      <c r="N40">
        <f>SUMIF('Team Lineups'!C:C,A40,'Team Lineups'!I:I)</f>
        <v>2</v>
      </c>
      <c r="O40">
        <f>COUNTIF(Matches!G:G,A40)</f>
        <v>2</v>
      </c>
      <c r="P40">
        <f t="shared" si="4"/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4</v>
      </c>
      <c r="D41">
        <f>SUMIF('Team Lineups'!C:C,A41,'Team Lineups'!E:E)</f>
        <v>41</v>
      </c>
      <c r="E41">
        <f>SUMIF('Team Lineups'!C:C,A41,'Team Lineups'!F:F)</f>
        <v>27</v>
      </c>
      <c r="F41">
        <f t="shared" si="0"/>
        <v>14</v>
      </c>
      <c r="G41">
        <f>COUNTIFS('Team Lineups'!C:C,A41,'Team Lineups'!G:G,"Win")</f>
        <v>4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 t="shared" si="1"/>
        <v>1</v>
      </c>
      <c r="K41" s="3">
        <f t="shared" si="2"/>
        <v>0</v>
      </c>
      <c r="L41">
        <f>SUMIF('Team Lineups'!C:C,A41,'Team Lineups'!H:H)</f>
        <v>2</v>
      </c>
      <c r="M41">
        <f t="shared" si="3"/>
        <v>0.5</v>
      </c>
      <c r="N41">
        <f>SUMIF('Team Lineups'!C:C,A41,'Team Lineups'!I:I)</f>
        <v>1</v>
      </c>
      <c r="O41">
        <f>COUNTIF(Matches!G:G,A41)</f>
        <v>0</v>
      </c>
      <c r="P41">
        <f t="shared" si="4"/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4</v>
      </c>
      <c r="D42">
        <f>SUMIF('Team Lineups'!C:C,A42,'Team Lineups'!E:E)</f>
        <v>35</v>
      </c>
      <c r="E42">
        <f>SUMIF('Team Lineups'!C:C,A42,'Team Lineups'!F:F)</f>
        <v>31</v>
      </c>
      <c r="F42">
        <f t="shared" si="0"/>
        <v>4</v>
      </c>
      <c r="G42">
        <f>COUNTIFS('Team Lineups'!C:C,A42,'Team Lineups'!G:G,"Win")</f>
        <v>3</v>
      </c>
      <c r="H42">
        <f>COUNTIFS('Team Lineups'!C:C,A42,'Team Lineups'!G:G,"Draw")</f>
        <v>1</v>
      </c>
      <c r="I42">
        <f>COUNTIFS('Team Lineups'!C:C,A42,'Team Lineups'!G:G,"Loss")</f>
        <v>0</v>
      </c>
      <c r="J42" s="3">
        <f t="shared" si="1"/>
        <v>0.75</v>
      </c>
      <c r="K42" s="3">
        <f t="shared" si="2"/>
        <v>0</v>
      </c>
      <c r="L42">
        <f>SUMIF('Team Lineups'!C:C,A42,'Team Lineups'!H:H)</f>
        <v>8</v>
      </c>
      <c r="M42">
        <f t="shared" si="3"/>
        <v>2</v>
      </c>
      <c r="N42">
        <f>SUMIF('Team Lineups'!C:C,A42,'Team Lineups'!I:I)</f>
        <v>1</v>
      </c>
      <c r="O42">
        <f>COUNTIF(Matches!G:G,A42)</f>
        <v>0</v>
      </c>
      <c r="P42">
        <f t="shared" si="4"/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 t="shared" si="0"/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 t="shared" si="1"/>
        <v>0</v>
      </c>
      <c r="K43" s="3">
        <f t="shared" si="2"/>
        <v>0</v>
      </c>
      <c r="L43">
        <f>SUMIF('Team Lineups'!C:C,A43,'Team Lineups'!H:H)</f>
        <v>0</v>
      </c>
      <c r="M43">
        <f t="shared" si="3"/>
        <v>0</v>
      </c>
      <c r="N43">
        <f>SUMIF('Team Lineups'!C:C,A43,'Team Lineups'!I:I)</f>
        <v>0</v>
      </c>
      <c r="O43">
        <f>COUNTIF(Matches!G:G,A43)</f>
        <v>0</v>
      </c>
      <c r="P43">
        <f t="shared" si="4"/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 t="shared" si="0"/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si="1"/>
        <v>1</v>
      </c>
      <c r="K44" s="3">
        <f t="shared" si="2"/>
        <v>0</v>
      </c>
      <c r="L44">
        <f>SUMIF('Team Lineups'!C:C,A44,'Team Lineups'!H:H)</f>
        <v>2</v>
      </c>
      <c r="M44">
        <f t="shared" si="3"/>
        <v>2</v>
      </c>
      <c r="N44">
        <f>SUMIF('Team Lineups'!C:C,A44,'Team Lineups'!I:I)</f>
        <v>2</v>
      </c>
      <c r="O44">
        <f>COUNTIF(Matches!G:G,A44)</f>
        <v>0</v>
      </c>
      <c r="P44">
        <f t="shared" si="4"/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 t="shared" si="0"/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si="1"/>
        <v>1</v>
      </c>
      <c r="K45" s="3">
        <f t="shared" si="2"/>
        <v>0</v>
      </c>
      <c r="L45">
        <f>SUMIF('Team Lineups'!C:C,A45,'Team Lineups'!H:H)</f>
        <v>2</v>
      </c>
      <c r="M45">
        <f t="shared" si="3"/>
        <v>2</v>
      </c>
      <c r="N45">
        <f>SUMIF('Team Lineups'!C:C,A45,'Team Lineups'!I:I)</f>
        <v>3</v>
      </c>
      <c r="O45">
        <f>COUNTIF(Matches!G:G,A45)</f>
        <v>0</v>
      </c>
      <c r="P45">
        <f t="shared" si="4"/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 t="shared" si="0"/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 t="shared" si="1"/>
        <v>0</v>
      </c>
      <c r="K46" s="3">
        <f t="shared" si="2"/>
        <v>0</v>
      </c>
      <c r="L46">
        <f>SUMIF('Team Lineups'!C:C,A46,'Team Lineups'!H:H)</f>
        <v>3</v>
      </c>
      <c r="M46">
        <f t="shared" si="3"/>
        <v>3</v>
      </c>
      <c r="N46">
        <f>SUMIF('Team Lineups'!C:C,A46,'Team Lineups'!I:I)</f>
        <v>0</v>
      </c>
      <c r="O46">
        <f>COUNTIF(Matches!G:G,A46)</f>
        <v>0</v>
      </c>
      <c r="P46">
        <f t="shared" si="4"/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 t="shared" si="0"/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si="1"/>
        <v>1</v>
      </c>
      <c r="K47" s="3">
        <f t="shared" si="2"/>
        <v>0</v>
      </c>
      <c r="L47">
        <f>SUMIF('Team Lineups'!C:C,A47,'Team Lineups'!H:H)</f>
        <v>5</v>
      </c>
      <c r="M47">
        <f t="shared" si="3"/>
        <v>2.5</v>
      </c>
      <c r="N47">
        <f>SUMIF('Team Lineups'!C:C,A47,'Team Lineups'!I:I)</f>
        <v>2</v>
      </c>
      <c r="O47">
        <f>COUNTIF(Matches!G:G,A47)</f>
        <v>0</v>
      </c>
      <c r="P47">
        <f t="shared" si="4"/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 t="shared" si="0"/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si="1"/>
        <v>1</v>
      </c>
      <c r="K48" s="3">
        <f t="shared" si="2"/>
        <v>0</v>
      </c>
      <c r="L48">
        <f>SUMIF('Team Lineups'!C:C,A48,'Team Lineups'!H:H)</f>
        <v>1</v>
      </c>
      <c r="M48">
        <f t="shared" si="3"/>
        <v>1</v>
      </c>
      <c r="N48">
        <f>SUMIF('Team Lineups'!C:C,A48,'Team Lineups'!I:I)</f>
        <v>0</v>
      </c>
      <c r="O48">
        <f>COUNTIF(Matches!G:G,A48)</f>
        <v>0</v>
      </c>
      <c r="P48">
        <f t="shared" si="4"/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 t="shared" si="0"/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 t="shared" si="1"/>
        <v>1</v>
      </c>
      <c r="K49" s="3">
        <f t="shared" si="2"/>
        <v>0</v>
      </c>
      <c r="L49">
        <f>SUMIF('Team Lineups'!C:C,A49,'Team Lineups'!H:H)</f>
        <v>2</v>
      </c>
      <c r="M49">
        <f t="shared" si="3"/>
        <v>2</v>
      </c>
      <c r="N49">
        <f>SUMIF('Team Lineups'!C:C,A49,'Team Lineups'!I:I)</f>
        <v>4</v>
      </c>
      <c r="O49">
        <f>COUNTIF(Matches!G:G,A49)</f>
        <v>0</v>
      </c>
      <c r="P49">
        <f t="shared" si="4"/>
        <v>0</v>
      </c>
      <c r="Q49">
        <f>SUMIF('Team Lineups'!C:C,A49,'Team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44" workbookViewId="0">
      <selection activeCell="F51" sqref="F51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A51">
        <v>50</v>
      </c>
      <c r="B51" s="2">
        <v>46247</v>
      </c>
      <c r="C51" t="s">
        <v>7</v>
      </c>
      <c r="D51" s="1" t="s">
        <v>110</v>
      </c>
      <c r="E51">
        <f t="shared" ref="E51" si="54">VALUE(LEFT(D51, FIND("-", D51)-1))</f>
        <v>9</v>
      </c>
      <c r="F51">
        <f t="shared" ref="F51" si="55">VALUE(MID(D51, FIND("-", D51)+1, 10))</f>
        <v>7</v>
      </c>
      <c r="G51" t="s">
        <v>88</v>
      </c>
    </row>
    <row r="52" spans="1:7" x14ac:dyDescent="0.35">
      <c r="B52" s="2"/>
    </row>
    <row r="53" spans="1:7" x14ac:dyDescent="0.35">
      <c r="B53" s="2"/>
    </row>
    <row r="54" spans="1:7" x14ac:dyDescent="0.35">
      <c r="B54" s="2"/>
    </row>
    <row r="55" spans="1:7" x14ac:dyDescent="0.35">
      <c r="B55" s="2"/>
    </row>
    <row r="56" spans="1:7" x14ac:dyDescent="0.35">
      <c r="B56" s="2"/>
    </row>
    <row r="57" spans="1:7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8"/>
  <sheetViews>
    <sheetView topLeftCell="A573" workbookViewId="0">
      <selection activeCell="G588" sqref="G588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85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  <row r="575" spans="1:11" x14ac:dyDescent="0.35">
      <c r="A575">
        <v>50</v>
      </c>
      <c r="B575" s="6">
        <v>46247</v>
      </c>
      <c r="C575" t="s">
        <v>16</v>
      </c>
      <c r="D575" t="s">
        <v>17</v>
      </c>
      <c r="E575">
        <f>IF(D575="A", INDEX(Matches!$E:$E, MATCH(A575, Matches!$A:$A, 0)), INDEX(Matches!$F:$F, MATCH(A575, Matches!$A:$A, 0)))</f>
        <v>9</v>
      </c>
      <c r="F575">
        <f>IF(D575="A", INDEX(Matches!$F:$F, MATCH(A575, Matches!$A:$A, 0)), INDEX(Matches!$E:$E, MATCH(A575, Matches!$A:$A, 0)))</f>
        <v>7</v>
      </c>
      <c r="G575" t="str">
        <f t="shared" ref="G575:G588" si="45">IF(E575&gt;F575,"Win",IF(E575&lt;F575,"Loss","Draw"))</f>
        <v>Win</v>
      </c>
      <c r="H575">
        <v>1</v>
      </c>
      <c r="K575" t="str">
        <f t="shared" si="41"/>
        <v>50_A</v>
      </c>
    </row>
    <row r="576" spans="1:11" x14ac:dyDescent="0.35">
      <c r="A576">
        <v>50</v>
      </c>
      <c r="B576" s="6">
        <v>46247</v>
      </c>
      <c r="C576" t="s">
        <v>99</v>
      </c>
      <c r="D576" t="s">
        <v>17</v>
      </c>
      <c r="E576">
        <f>IF(D576="A", INDEX(Matches!$E:$E, MATCH(A576, Matches!$A:$A, 0)), INDEX(Matches!$F:$F, MATCH(A576, Matches!$A:$A, 0)))</f>
        <v>9</v>
      </c>
      <c r="F576">
        <f>IF(D576="A", INDEX(Matches!$F:$F, MATCH(A576, Matches!$A:$A, 0)), INDEX(Matches!$E:$E, MATCH(A576, Matches!$A:$A, 0)))</f>
        <v>7</v>
      </c>
      <c r="G576" t="str">
        <f t="shared" si="45"/>
        <v>Win</v>
      </c>
      <c r="K576" t="str">
        <f t="shared" si="41"/>
        <v>50_A</v>
      </c>
    </row>
    <row r="577" spans="1:11" x14ac:dyDescent="0.35">
      <c r="A577">
        <v>50</v>
      </c>
      <c r="B577" s="6">
        <v>46247</v>
      </c>
      <c r="C577" t="s">
        <v>89</v>
      </c>
      <c r="D577" t="s">
        <v>17</v>
      </c>
      <c r="E577">
        <f>IF(D577="A", INDEX(Matches!$E:$E, MATCH(A577, Matches!$A:$A, 0)), INDEX(Matches!$F:$F, MATCH(A577, Matches!$A:$A, 0)))</f>
        <v>9</v>
      </c>
      <c r="F577">
        <f>IF(D577="A", INDEX(Matches!$F:$F, MATCH(A577, Matches!$A:$A, 0)), INDEX(Matches!$E:$E, MATCH(A577, Matches!$A:$A, 0)))</f>
        <v>7</v>
      </c>
      <c r="G577" t="str">
        <f t="shared" si="45"/>
        <v>Win</v>
      </c>
      <c r="H577">
        <v>3</v>
      </c>
      <c r="I577">
        <v>2</v>
      </c>
      <c r="K577" t="str">
        <f t="shared" si="41"/>
        <v>50_A</v>
      </c>
    </row>
    <row r="578" spans="1:11" x14ac:dyDescent="0.35">
      <c r="A578">
        <v>50</v>
      </c>
      <c r="B578" s="6">
        <v>46247</v>
      </c>
      <c r="C578" t="s">
        <v>19</v>
      </c>
      <c r="D578" t="s">
        <v>17</v>
      </c>
      <c r="E578">
        <f>IF(D578="A", INDEX(Matches!$E:$E, MATCH(A578, Matches!$A:$A, 0)), INDEX(Matches!$F:$F, MATCH(A578, Matches!$A:$A, 0)))</f>
        <v>9</v>
      </c>
      <c r="F578">
        <f>IF(D578="A", INDEX(Matches!$F:$F, MATCH(A578, Matches!$A:$A, 0)), INDEX(Matches!$E:$E, MATCH(A578, Matches!$A:$A, 0)))</f>
        <v>7</v>
      </c>
      <c r="G578" t="str">
        <f t="shared" si="45"/>
        <v>Win</v>
      </c>
      <c r="H578">
        <v>3</v>
      </c>
      <c r="I578">
        <v>1</v>
      </c>
      <c r="K578" t="str">
        <f t="shared" si="41"/>
        <v>50_A</v>
      </c>
    </row>
    <row r="579" spans="1:11" x14ac:dyDescent="0.35">
      <c r="A579">
        <v>50</v>
      </c>
      <c r="B579" s="6">
        <v>46247</v>
      </c>
      <c r="C579" t="s">
        <v>51</v>
      </c>
      <c r="D579" t="s">
        <v>17</v>
      </c>
      <c r="E579">
        <f>IF(D579="A", INDEX(Matches!$E:$E, MATCH(A579, Matches!$A:$A, 0)), INDEX(Matches!$F:$F, MATCH(A579, Matches!$A:$A, 0)))</f>
        <v>9</v>
      </c>
      <c r="F579">
        <f>IF(D579="A", INDEX(Matches!$F:$F, MATCH(A579, Matches!$A:$A, 0)), INDEX(Matches!$E:$E, MATCH(A579, Matches!$A:$A, 0)))</f>
        <v>7</v>
      </c>
      <c r="G579" t="str">
        <f t="shared" si="45"/>
        <v>Win</v>
      </c>
      <c r="K579" t="str">
        <f t="shared" si="41"/>
        <v>50_A</v>
      </c>
    </row>
    <row r="580" spans="1:11" x14ac:dyDescent="0.35">
      <c r="A580">
        <v>50</v>
      </c>
      <c r="B580" s="6">
        <v>46247</v>
      </c>
      <c r="C580" t="s">
        <v>121</v>
      </c>
      <c r="D580" t="s">
        <v>17</v>
      </c>
      <c r="E580">
        <f>IF(D580="A", INDEX(Matches!$E:$E, MATCH(A580, Matches!$A:$A, 0)), INDEX(Matches!$F:$F, MATCH(A580, Matches!$A:$A, 0)))</f>
        <v>9</v>
      </c>
      <c r="F580">
        <f>IF(D580="A", INDEX(Matches!$F:$F, MATCH(A580, Matches!$A:$A, 0)), INDEX(Matches!$E:$E, MATCH(A580, Matches!$A:$A, 0)))</f>
        <v>7</v>
      </c>
      <c r="G580" t="str">
        <f t="shared" si="45"/>
        <v>Win</v>
      </c>
      <c r="H580">
        <v>2</v>
      </c>
      <c r="K580" t="str">
        <f t="shared" si="41"/>
        <v>50_A</v>
      </c>
    </row>
    <row r="581" spans="1:11" x14ac:dyDescent="0.35">
      <c r="A581">
        <v>50</v>
      </c>
      <c r="B581" s="6">
        <v>46247</v>
      </c>
      <c r="C581" t="s">
        <v>88</v>
      </c>
      <c r="D581" t="s">
        <v>17</v>
      </c>
      <c r="E581">
        <f>IF(D581="A", INDEX(Matches!$E:$E, MATCH(A581, Matches!$A:$A, 0)), INDEX(Matches!$F:$F, MATCH(A581, Matches!$A:$A, 0)))</f>
        <v>9</v>
      </c>
      <c r="F581">
        <f>IF(D581="A", INDEX(Matches!$F:$F, MATCH(A581, Matches!$A:$A, 0)), INDEX(Matches!$E:$E, MATCH(A581, Matches!$A:$A, 0)))</f>
        <v>7</v>
      </c>
      <c r="G581" t="str">
        <f t="shared" si="45"/>
        <v>Win</v>
      </c>
      <c r="J581">
        <v>1</v>
      </c>
      <c r="K581" t="str">
        <f t="shared" si="41"/>
        <v>50_A</v>
      </c>
    </row>
    <row r="582" spans="1:11" x14ac:dyDescent="0.35">
      <c r="A582">
        <v>50</v>
      </c>
      <c r="B582" s="6">
        <v>46247</v>
      </c>
      <c r="C582" t="s">
        <v>46</v>
      </c>
      <c r="D582" t="s">
        <v>23</v>
      </c>
      <c r="E582">
        <f>IF(D582="A", INDEX(Matches!$E:$E, MATCH(A582, Matches!$A:$A, 0)), INDEX(Matches!$F:$F, MATCH(A582, Matches!$A:$A, 0)))</f>
        <v>7</v>
      </c>
      <c r="F582">
        <f>IF(D582="A", INDEX(Matches!$F:$F, MATCH(A582, Matches!$A:$A, 0)), INDEX(Matches!$E:$E, MATCH(A582, Matches!$A:$A, 0)))</f>
        <v>9</v>
      </c>
      <c r="G582" t="str">
        <f t="shared" si="45"/>
        <v>Loss</v>
      </c>
      <c r="H582">
        <v>2</v>
      </c>
      <c r="K582" t="str">
        <f t="shared" si="41"/>
        <v>50_B</v>
      </c>
    </row>
    <row r="583" spans="1:11" x14ac:dyDescent="0.35">
      <c r="A583">
        <v>50</v>
      </c>
      <c r="B583" s="6">
        <v>46247</v>
      </c>
      <c r="C583" t="s">
        <v>75</v>
      </c>
      <c r="D583" t="s">
        <v>23</v>
      </c>
      <c r="E583">
        <f>IF(D583="A", INDEX(Matches!$E:$E, MATCH(A583, Matches!$A:$A, 0)), INDEX(Matches!$F:$F, MATCH(A583, Matches!$A:$A, 0)))</f>
        <v>7</v>
      </c>
      <c r="F583">
        <f>IF(D583="A", INDEX(Matches!$F:$F, MATCH(A583, Matches!$A:$A, 0)), INDEX(Matches!$E:$E, MATCH(A583, Matches!$A:$A, 0)))</f>
        <v>9</v>
      </c>
      <c r="G583" t="str">
        <f t="shared" si="45"/>
        <v>Loss</v>
      </c>
      <c r="I583">
        <v>2</v>
      </c>
      <c r="K583" t="str">
        <f t="shared" si="41"/>
        <v>50_B</v>
      </c>
    </row>
    <row r="584" spans="1:11" x14ac:dyDescent="0.35">
      <c r="A584">
        <v>50</v>
      </c>
      <c r="B584" s="6">
        <v>46247</v>
      </c>
      <c r="C584" t="s">
        <v>42</v>
      </c>
      <c r="D584" t="s">
        <v>23</v>
      </c>
      <c r="E584">
        <f>IF(D584="A", INDEX(Matches!$E:$E, MATCH(A584, Matches!$A:$A, 0)), INDEX(Matches!$F:$F, MATCH(A584, Matches!$A:$A, 0)))</f>
        <v>7</v>
      </c>
      <c r="F584">
        <f>IF(D584="A", INDEX(Matches!$F:$F, MATCH(A584, Matches!$A:$A, 0)), INDEX(Matches!$E:$E, MATCH(A584, Matches!$A:$A, 0)))</f>
        <v>9</v>
      </c>
      <c r="G584" t="str">
        <f t="shared" si="45"/>
        <v>Loss</v>
      </c>
      <c r="H584">
        <v>1</v>
      </c>
      <c r="K584" t="str">
        <f t="shared" si="41"/>
        <v>50_B</v>
      </c>
    </row>
    <row r="585" spans="1:11" x14ac:dyDescent="0.35">
      <c r="A585">
        <v>50</v>
      </c>
      <c r="B585" s="6">
        <v>46247</v>
      </c>
      <c r="C585" t="s">
        <v>22</v>
      </c>
      <c r="D585" t="s">
        <v>23</v>
      </c>
      <c r="E585">
        <f>IF(D585="A", INDEX(Matches!$E:$E, MATCH(A585, Matches!$A:$A, 0)), INDEX(Matches!$F:$F, MATCH(A585, Matches!$A:$A, 0)))</f>
        <v>7</v>
      </c>
      <c r="F585">
        <f>IF(D585="A", INDEX(Matches!$F:$F, MATCH(A585, Matches!$A:$A, 0)), INDEX(Matches!$E:$E, MATCH(A585, Matches!$A:$A, 0)))</f>
        <v>9</v>
      </c>
      <c r="G585" t="str">
        <f t="shared" si="45"/>
        <v>Loss</v>
      </c>
      <c r="H585">
        <v>1</v>
      </c>
      <c r="K585" t="str">
        <f t="shared" si="41"/>
        <v>50_B</v>
      </c>
    </row>
    <row r="586" spans="1:11" x14ac:dyDescent="0.35">
      <c r="A586">
        <v>50</v>
      </c>
      <c r="B586" s="6">
        <v>46247</v>
      </c>
      <c r="C586" t="s">
        <v>53</v>
      </c>
      <c r="D586" t="s">
        <v>23</v>
      </c>
      <c r="E586">
        <f>IF(D586="A", INDEX(Matches!$E:$E, MATCH(A586, Matches!$A:$A, 0)), INDEX(Matches!$F:$F, MATCH(A586, Matches!$A:$A, 0)))</f>
        <v>7</v>
      </c>
      <c r="F586">
        <f>IF(D586="A", INDEX(Matches!$F:$F, MATCH(A586, Matches!$A:$A, 0)), INDEX(Matches!$E:$E, MATCH(A586, Matches!$A:$A, 0)))</f>
        <v>9</v>
      </c>
      <c r="G586" t="str">
        <f t="shared" si="45"/>
        <v>Loss</v>
      </c>
      <c r="H586">
        <v>1</v>
      </c>
      <c r="K586" t="str">
        <f t="shared" ref="K586:K588" si="46">A586&amp;"_"&amp;D586</f>
        <v>50_B</v>
      </c>
    </row>
    <row r="587" spans="1:11" x14ac:dyDescent="0.35">
      <c r="A587">
        <v>50</v>
      </c>
      <c r="B587" s="6">
        <v>46247</v>
      </c>
      <c r="C587" t="s">
        <v>84</v>
      </c>
      <c r="D587" t="s">
        <v>23</v>
      </c>
      <c r="E587">
        <f>IF(D587="A", INDEX(Matches!$E:$E, MATCH(A587, Matches!$A:$A, 0)), INDEX(Matches!$F:$F, MATCH(A587, Matches!$A:$A, 0)))</f>
        <v>7</v>
      </c>
      <c r="F587">
        <f>IF(D587="A", INDEX(Matches!$F:$F, MATCH(A587, Matches!$A:$A, 0)), INDEX(Matches!$E:$E, MATCH(A587, Matches!$A:$A, 0)))</f>
        <v>9</v>
      </c>
      <c r="G587" t="str">
        <f t="shared" si="45"/>
        <v>Loss</v>
      </c>
      <c r="I587">
        <v>1</v>
      </c>
      <c r="K587" t="str">
        <f t="shared" si="46"/>
        <v>50_B</v>
      </c>
    </row>
    <row r="588" spans="1:11" x14ac:dyDescent="0.35">
      <c r="A588">
        <v>50</v>
      </c>
      <c r="B588" s="6">
        <v>46247</v>
      </c>
      <c r="C588" t="s">
        <v>25</v>
      </c>
      <c r="D588" t="s">
        <v>23</v>
      </c>
      <c r="E588">
        <f>IF(D588="A", INDEX(Matches!$E:$E, MATCH(A588, Matches!$A:$A, 0)), INDEX(Matches!$F:$F, MATCH(A588, Matches!$A:$A, 0)))</f>
        <v>7</v>
      </c>
      <c r="F588">
        <f>IF(D588="A", INDEX(Matches!$F:$F, MATCH(A588, Matches!$A:$A, 0)), INDEX(Matches!$E:$E, MATCH(A588, Matches!$A:$A, 0)))</f>
        <v>9</v>
      </c>
      <c r="G588" t="str">
        <f t="shared" si="45"/>
        <v>Loss</v>
      </c>
      <c r="H588">
        <v>1</v>
      </c>
      <c r="I588">
        <v>1</v>
      </c>
      <c r="K588" t="str">
        <f t="shared" si="46"/>
        <v>50_B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9"/>
  <sheetViews>
    <sheetView topLeftCell="A35" workbookViewId="0">
      <selection activeCell="AW50" sqref="AW50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9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24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9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7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11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7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3</v>
      </c>
      <c r="AA2" cm="1">
        <f t="array" ref="AA2">SUMPRODUCT(('Team Lineups'!$K$2:$K$2000&lt;&gt;"")*('Team Lineups'!$C$2:$C$2000=$A2)*COUNTIFS('Team Lineups'!$K$2:$K$2000,'Team Lineups'!$K$2:$K$2000,'Team Lineups'!$C$2:$C$2000,AA$1))</f>
        <v>7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8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3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2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9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26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8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6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3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5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5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3</v>
      </c>
      <c r="AQ4" cm="1">
        <f t="array" ref="AQ4">SUMPRODUCT(('Team Lineups'!$K$2:$K$2000&lt;&gt;"")*('Team Lineups'!$C$2:$C$2000=$A4)*COUNTIFS('Team Lineups'!$K$2:$K$2000,'Team Lineups'!$K$2:$K$2000,'Team Lineups'!$C$2:$C$2000,AQ$1))</f>
        <v>2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1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26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9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5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4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5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9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4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7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9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33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10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8</v>
      </c>
      <c r="M7" cm="1">
        <f t="array" ref="M7">SUMPRODUCT(('Team Lineups'!$K$2:$K$2000&lt;&gt;"")*('Team Lineups'!$C$2:$C$2000=$A7)*COUNTIFS('Team Lineups'!$K$2:$K$2000,'Team Lineups'!$K$2:$K$2000,'Team Lineups'!$C$2:$C$2000,M$1))</f>
        <v>13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9</v>
      </c>
      <c r="R7" cm="1">
        <f t="array" ref="R7">SUMPRODUCT(('Team Lineups'!$K$2:$K$2000&lt;&gt;"")*('Team Lineups'!$C$2:$C$2000=$A7)*COUNTIFS('Team Lineups'!$K$2:$K$2000,'Team Lineups'!$K$2:$K$2000,'Team Lineups'!$C$2:$C$2000,R$1))</f>
        <v>8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10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8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4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4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7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2</v>
      </c>
      <c r="AV7" cm="1">
        <f t="array" ref="AV7">SUMPRODUCT(('Team Lineups'!$K$2:$K$2000&lt;&gt;"")*('Team Lineups'!$C$2:$C$2000=$A7)*COUNTIFS('Team Lineups'!$K$2:$K$2000,'Team Lineups'!$K$2:$K$2000,'Team Lineups'!$C$2:$C$2000,AV$1))</f>
        <v>2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11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5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10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31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9</v>
      </c>
      <c r="M9" cm="1">
        <f t="array" ref="M9">SUMPRODUCT(('Team Lineups'!$K$2:$K$2000&lt;&gt;"")*('Team Lineups'!$C$2:$C$2000=$A9)*COUNTIFS('Team Lineups'!$K$2:$K$2000,'Team Lineups'!$K$2:$K$2000,'Team Lineups'!$C$2:$C$2000,M$1))</f>
        <v>10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7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11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7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2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4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2</v>
      </c>
      <c r="AV9" cm="1">
        <f t="array" ref="AV9">SUMPRODUCT(('Team Lineups'!$K$2:$K$2000&lt;&gt;"")*('Team Lineups'!$C$2:$C$2000=$A9)*COUNTIFS('Team Lineups'!$K$2:$K$2000,'Team Lineups'!$K$2:$K$2000,'Team Lineups'!$C$2:$C$2000,AV$1))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8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8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9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30</v>
      </c>
      <c r="M12" cm="1">
        <f t="array" ref="M12">SUMPRODUCT(('Team Lineups'!$K$2:$K$2000&lt;&gt;"")*('Team Lineups'!$C$2:$C$2000=$A12)*COUNTIFS('Team Lineups'!$K$2:$K$2000,'Team Lineups'!$K$2:$K$2000,'Team Lineups'!$C$2:$C$2000,M$1))</f>
        <v>10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10</v>
      </c>
      <c r="R12" cm="1">
        <f t="array" ref="R12">SUMPRODUCT(('Team Lineups'!$K$2:$K$2000&lt;&gt;"")*('Team Lineups'!$C$2:$C$2000=$A12)*COUNTIFS('Team Lineups'!$K$2:$K$2000,'Team Lineups'!$K$2:$K$2000,'Team Lineups'!$C$2:$C$2000,R$1))</f>
        <v>5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1</v>
      </c>
      <c r="AA12" cm="1">
        <f t="array" ref="AA12">SUMPRODUCT(('Team Lineups'!$K$2:$K$2000&lt;&gt;"")*('Team Lineups'!$C$2:$C$2000=$A12)*COUNTIFS('Team Lineups'!$K$2:$K$2000,'Team Lineups'!$K$2:$K$2000,'Team Lineups'!$C$2:$C$2000,AA$1))</f>
        <v>8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6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3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6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4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7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13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10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10</v>
      </c>
      <c r="M13" cm="1">
        <f t="array" ref="M13">SUMPRODUCT(('Team Lineups'!$K$2:$K$2000&lt;&gt;"")*('Team Lineups'!$C$2:$C$2000=$A13)*COUNTIFS('Team Lineups'!$K$2:$K$2000,'Team Lineups'!$K$2:$K$2000,'Team Lineups'!$C$2:$C$2000,M$1))</f>
        <v>31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11</v>
      </c>
      <c r="R13" cm="1">
        <f t="array" ref="R13">SUMPRODUCT(('Team Lineups'!$K$2:$K$2000&lt;&gt;"")*('Team Lineups'!$C$2:$C$2000=$A13)*COUNTIFS('Team Lineups'!$K$2:$K$2000,'Team Lineups'!$K$2:$K$2000,'Team Lineups'!$C$2:$C$2000,R$1))</f>
        <v>8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8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6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3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2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1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4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15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2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2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1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</row>
    <row r="17" spans="1:4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6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9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7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10</v>
      </c>
      <c r="M17" cm="1">
        <f t="array" ref="M17">SUMPRODUCT(('Team Lineups'!$K$2:$K$2000&lt;&gt;"")*('Team Lineups'!$C$2:$C$2000=$A17)*COUNTIFS('Team Lineups'!$K$2:$K$2000,'Team Lineups'!$K$2:$K$2000,'Team Lineups'!$C$2:$C$2000,M$1))</f>
        <v>11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31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4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2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4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3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0</v>
      </c>
    </row>
    <row r="18" spans="1:4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8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5</v>
      </c>
      <c r="M18" cm="1">
        <f t="array" ref="M18">SUMPRODUCT(('Team Lineups'!$K$2:$K$2000&lt;&gt;"")*('Team Lineups'!$C$2:$C$2000=$A18)*COUNTIFS('Team Lineups'!$K$2:$K$2000,'Team Lineups'!$K$2:$K$2000,'Team Lineups'!$C$2:$C$2000,M$1))</f>
        <v>8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22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7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2</v>
      </c>
      <c r="AQ18" cm="1">
        <f t="array" ref="AQ18">SUMPRODUCT(('Team Lineups'!$K$2:$K$2000&lt;&gt;"")*('Team Lineups'!$C$2:$C$2000=$A18)*COUNTIFS('Team Lineups'!$K$2:$K$2000,'Team Lineups'!$K$2:$K$2000,'Team Lineups'!$C$2:$C$2000,AQ$1))</f>
        <v>1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1</v>
      </c>
    </row>
    <row r="19" spans="1:4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</row>
    <row r="20" spans="1:4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</row>
    <row r="21" spans="1:4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</row>
    <row r="22" spans="1:4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</row>
    <row r="23" spans="1:4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</row>
    <row r="24" spans="1:4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</row>
    <row r="25" spans="1:4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</row>
    <row r="26" spans="1:4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3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3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1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4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12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1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5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1</v>
      </c>
      <c r="AQ26" cm="1">
        <f t="array" ref="AQ26">SUMPRODUCT(('Team Lineups'!$K$2:$K$2000&lt;&gt;"")*('Team Lineups'!$C$2:$C$2000=$A26)*COUNTIFS('Team Lineups'!$K$2:$K$2000,'Team Lineups'!$K$2:$K$2000,'Team Lineups'!$C$2:$C$2000,AQ$1))</f>
        <v>1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1</v>
      </c>
    </row>
    <row r="27" spans="1:4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7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10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11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8</v>
      </c>
      <c r="M27" cm="1">
        <f t="array" ref="M27">SUMPRODUCT(('Team Lineups'!$K$2:$K$2000&lt;&gt;"")*('Team Lineups'!$C$2:$C$2000=$A27)*COUNTIFS('Team Lineups'!$K$2:$K$2000,'Team Lineups'!$K$2:$K$2000,'Team Lineups'!$C$2:$C$2000,M$1))</f>
        <v>8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7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27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9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2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</row>
    <row r="28" spans="1:4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</row>
    <row r="29" spans="1:4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</row>
    <row r="30" spans="1:4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8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7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6</v>
      </c>
      <c r="M30" cm="1">
        <f t="array" ref="M30">SUMPRODUCT(('Team Lineups'!$K$2:$K$2000&lt;&gt;"")*('Team Lineups'!$C$2:$C$2000=$A30)*COUNTIFS('Team Lineups'!$K$2:$K$2000,'Team Lineups'!$K$2:$K$2000,'Team Lineups'!$C$2:$C$2000,M$1))</f>
        <v>6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2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16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2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3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3</v>
      </c>
      <c r="AQ30" cm="1">
        <f t="array" ref="AQ30">SUMPRODUCT(('Team Lineups'!$K$2:$K$2000&lt;&gt;"")*('Team Lineups'!$C$2:$C$2000=$A30)*COUNTIFS('Team Lineups'!$K$2:$K$2000,'Team Lineups'!$K$2:$K$2000,'Team Lineups'!$C$2:$C$2000,AQ$1))</f>
        <v>1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2</v>
      </c>
    </row>
    <row r="31" spans="1:4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</row>
    <row r="32" spans="1:4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</row>
    <row r="33" spans="1:4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5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4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2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3</v>
      </c>
      <c r="M33" cm="1">
        <f t="array" ref="M33">SUMPRODUCT(('Team Lineups'!$K$2:$K$2000&lt;&gt;"")*('Team Lineups'!$C$2:$C$2000=$A33)*COUNTIFS('Team Lineups'!$K$2:$K$2000,'Team Lineups'!$K$2:$K$2000,'Team Lineups'!$C$2:$C$2000,M$1))</f>
        <v>3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4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2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13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</row>
    <row r="34" spans="1:4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</row>
    <row r="35" spans="1:4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</row>
    <row r="36" spans="1:4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8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5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4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6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2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1</v>
      </c>
      <c r="AA36" cm="1">
        <f t="array" ref="AA36">SUMPRODUCT(('Team Lineups'!$K$2:$K$2000&lt;&gt;"")*('Team Lineups'!$C$2:$C$2000=$A36)*COUNTIFS('Team Lineups'!$K$2:$K$2000,'Team Lineups'!$K$2:$K$2000,'Team Lineups'!$C$2:$C$2000,AA$1))</f>
        <v>9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3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20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2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5</v>
      </c>
      <c r="AQ36" cm="1">
        <f t="array" ref="AQ36">SUMPRODUCT(('Team Lineups'!$K$2:$K$2000&lt;&gt;"")*('Team Lineups'!$C$2:$C$2000=$A36)*COUNTIFS('Team Lineups'!$K$2:$K$2000,'Team Lineups'!$K$2:$K$2000,'Team Lineups'!$C$2:$C$2000,AQ$1))</f>
        <v>2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2</v>
      </c>
    </row>
    <row r="37" spans="1:4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</row>
    <row r="38" spans="1:4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3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5</v>
      </c>
      <c r="E38" cm="1">
        <f t="array" ref="E38">SUMPRODUCT(('Team Lineups'!$K$2:$K$2000&lt;&gt;"")*('Team Lineups'!$C$2:$C$2000=$A38)*COUNTIFS('Team Lineups'!$K$2:$K$2000,'Team Lineups'!$K$2:$K$2000,'Team Lineups'!$C$2:$C$2000,E$1))</f>
        <v>9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7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4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2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5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2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21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7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3</v>
      </c>
    </row>
    <row r="39" spans="1:48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</row>
    <row r="40" spans="1:48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</row>
    <row r="41" spans="1:48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</row>
    <row r="42" spans="1:48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2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3</v>
      </c>
      <c r="E42" cm="1">
        <f t="array" ref="E42">SUMPRODUCT(('Team Lineups'!$K$2:$K$2000&lt;&gt;"")*('Team Lineups'!$C$2:$C$2000=$A42)*COUNTIFS('Team Lineups'!$K$2:$K$2000,'Team Lineups'!$K$2:$K$2000,'Team Lineups'!$C$2:$C$2000,E$1))</f>
        <v>4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1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2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1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3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5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7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13</v>
      </c>
      <c r="AQ42" cm="1">
        <f t="array" ref="AQ42">SUMPRODUCT(('Team Lineups'!$K$2:$K$2000&lt;&gt;"")*('Team Lineups'!$C$2:$C$2000=$A42)*COUNTIFS('Team Lineups'!$K$2:$K$2000,'Team Lineups'!$K$2:$K$2000,'Team Lineups'!$C$2:$C$2000,AQ$1))</f>
        <v>2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2</v>
      </c>
    </row>
    <row r="43" spans="1:48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2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4</v>
      </c>
      <c r="M43" cm="1">
        <f t="array" ref="M43">SUMPRODUCT(('Team Lineups'!$K$2:$K$2000&lt;&gt;"")*('Team Lineups'!$C$2:$C$2000=$A43)*COUNTIFS('Team Lineups'!$K$2:$K$2000,'Team Lineups'!$K$2:$K$2000,'Team Lineups'!$C$2:$C$2000,M$1))</f>
        <v>2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3</v>
      </c>
      <c r="R43" cm="1">
        <f t="array" ref="R43">SUMPRODUCT(('Team Lineups'!$K$2:$K$2000&lt;&gt;"")*('Team Lineups'!$C$2:$C$2000=$A43)*COUNTIFS('Team Lineups'!$K$2:$K$2000,'Team Lineups'!$K$2:$K$2000,'Team Lineups'!$C$2:$C$2000,R$1))</f>
        <v>1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1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1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2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2</v>
      </c>
      <c r="AQ43" cm="1">
        <f t="array" ref="AQ43">SUMPRODUCT(('Team Lineups'!$K$2:$K$2000&lt;&gt;"")*('Team Lineups'!$C$2:$C$2000=$A43)*COUNTIFS('Team Lineups'!$K$2:$K$2000,'Team Lineups'!$K$2:$K$2000,'Team Lineups'!$C$2:$C$2000,AQ$1))</f>
        <v>7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1</v>
      </c>
    </row>
    <row r="44" spans="1:48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</row>
    <row r="45" spans="1:48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</row>
    <row r="46" spans="1:48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</row>
    <row r="47" spans="1:48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2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2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1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2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4</v>
      </c>
      <c r="AV47" cm="1">
        <f t="array" ref="AV47">SUMPRODUCT(('Team Lineups'!$K$2:$K$2000&lt;&gt;"")*('Team Lineups'!$C$2:$C$2000=$A47)*COUNTIFS('Team Lineups'!$K$2:$K$2000,'Team Lineups'!$K$2:$K$2000,'Team Lineups'!$C$2:$C$2000,AV$1))</f>
        <v>1</v>
      </c>
    </row>
    <row r="48" spans="1:48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1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1</v>
      </c>
      <c r="E48" cm="1">
        <f t="array" ref="E48">SUMPRODUCT(('Team Lineups'!$K$2:$K$2000&lt;&gt;"")*('Team Lineups'!$C$2:$C$2000=$A48)*COUNTIFS('Team Lineups'!$K$2:$K$2000,'Team Lineups'!$K$2:$K$2000,'Team Lineups'!$C$2:$C$2000,E$1))</f>
        <v>1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2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1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0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0</v>
      </c>
      <c r="R48" cm="1">
        <f t="array" ref="R48">SUMPRODUCT(('Team Lineups'!$K$2:$K$2000&lt;&gt;"")*('Team Lineups'!$C$2:$C$2000=$A48)*COUNTIFS('Team Lineups'!$K$2:$K$2000,'Team Lineups'!$K$2:$K$2000,'Team Lineups'!$C$2:$C$2000,R$1))</f>
        <v>1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1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2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2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3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2</v>
      </c>
      <c r="AQ48" cm="1">
        <f t="array" ref="AQ48">SUMPRODUCT(('Team Lineups'!$K$2:$K$2000&lt;&gt;"")*('Team Lineups'!$C$2:$C$2000=$A48)*COUNTIFS('Team Lineups'!$K$2:$K$2000,'Team Lineups'!$K$2:$K$2000,'Team Lineups'!$C$2:$C$2000,AQ$1))</f>
        <v>1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1</v>
      </c>
      <c r="AV48" cm="1">
        <f t="array" ref="AV48">SUMPRODUCT(('Team Lineups'!$K$2:$K$2000&lt;&gt;"")*('Team Lineups'!$C$2:$C$2000=$A48)*COUNTIFS('Team Lineups'!$K$2:$K$2000,'Team Lineups'!$K$2:$K$2000,'Team Lineups'!$C$2:$C$2000,AV$1))</f>
        <v>4</v>
      </c>
    </row>
    <row r="49" spans="1:1" x14ac:dyDescent="0.35">
      <c r="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2026-08-14T11:35:33Z</dcterms:modified>
</cp:coreProperties>
</file>