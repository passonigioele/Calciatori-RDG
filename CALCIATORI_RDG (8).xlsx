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90D5E54A-D55A-473D-A34E-5044279D9BF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tches" sheetId="1" r:id="rId1"/>
    <sheet name="Team Lineups" sheetId="2" r:id="rId2"/>
    <sheet name="Players" sheetId="3" r:id="rId3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0" i="2" l="1"/>
  <c r="F120" i="2"/>
  <c r="G120" i="2"/>
  <c r="E106" i="2"/>
  <c r="G106" i="2" s="1"/>
  <c r="F106" i="2"/>
  <c r="E107" i="2"/>
  <c r="G107" i="2" s="1"/>
  <c r="F107" i="2"/>
  <c r="E108" i="2"/>
  <c r="F108" i="2"/>
  <c r="G108" i="2" s="1"/>
  <c r="E109" i="2"/>
  <c r="F109" i="2"/>
  <c r="G109" i="2"/>
  <c r="E110" i="2"/>
  <c r="G110" i="2" s="1"/>
  <c r="F110" i="2"/>
  <c r="E111" i="2"/>
  <c r="G111" i="2" s="1"/>
  <c r="F111" i="2"/>
  <c r="E112" i="2"/>
  <c r="F112" i="2"/>
  <c r="G112" i="2" s="1"/>
  <c r="E113" i="2"/>
  <c r="F113" i="2"/>
  <c r="G113" i="2"/>
  <c r="E114" i="2"/>
  <c r="G114" i="2" s="1"/>
  <c r="F114" i="2"/>
  <c r="E115" i="2"/>
  <c r="G115" i="2" s="1"/>
  <c r="F115" i="2"/>
  <c r="E116" i="2"/>
  <c r="F116" i="2"/>
  <c r="G116" i="2" s="1"/>
  <c r="E117" i="2"/>
  <c r="F117" i="2"/>
  <c r="G117" i="2"/>
  <c r="E118" i="2"/>
  <c r="G118" i="2" s="1"/>
  <c r="F118" i="2"/>
  <c r="E119" i="2"/>
  <c r="G119" i="2" s="1"/>
  <c r="F119" i="2"/>
  <c r="E105" i="2"/>
  <c r="G105" i="2" s="1"/>
  <c r="F105" i="2"/>
  <c r="E91" i="2"/>
  <c r="G91" i="2" s="1"/>
  <c r="F91" i="2"/>
  <c r="E92" i="2"/>
  <c r="F92" i="2"/>
  <c r="E93" i="2"/>
  <c r="F93" i="2"/>
  <c r="E94" i="2"/>
  <c r="F94" i="2"/>
  <c r="E95" i="2"/>
  <c r="F95" i="2"/>
  <c r="E96" i="2"/>
  <c r="D27" i="3" s="1"/>
  <c r="F96" i="2"/>
  <c r="E97" i="2"/>
  <c r="G97" i="2" s="1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" i="1"/>
  <c r="F10" i="1"/>
  <c r="E77" i="2"/>
  <c r="G77" i="2" s="1"/>
  <c r="E76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" i="1"/>
  <c r="E9" i="1"/>
  <c r="F67" i="2"/>
  <c r="F68" i="2"/>
  <c r="F69" i="2"/>
  <c r="F70" i="2"/>
  <c r="F71" i="2"/>
  <c r="F72" i="2"/>
  <c r="F73" i="2"/>
  <c r="F74" i="2"/>
  <c r="F75" i="2"/>
  <c r="F76" i="2"/>
  <c r="E67" i="2"/>
  <c r="E68" i="2"/>
  <c r="E69" i="2"/>
  <c r="E70" i="2"/>
  <c r="E71" i="2"/>
  <c r="E72" i="2"/>
  <c r="E73" i="2"/>
  <c r="E74" i="2"/>
  <c r="E75" i="2"/>
  <c r="E8" i="1"/>
  <c r="F8" i="1"/>
  <c r="F66" i="2"/>
  <c r="E66" i="2"/>
  <c r="C33" i="3"/>
  <c r="K33" i="3"/>
  <c r="M33" i="3"/>
  <c r="N33" i="3"/>
  <c r="F56" i="2"/>
  <c r="F57" i="2"/>
  <c r="F58" i="2"/>
  <c r="F59" i="2"/>
  <c r="F60" i="2"/>
  <c r="F61" i="2"/>
  <c r="F62" i="2"/>
  <c r="F63" i="2"/>
  <c r="F64" i="2"/>
  <c r="F65" i="2"/>
  <c r="E56" i="2"/>
  <c r="E57" i="2"/>
  <c r="E58" i="2"/>
  <c r="E59" i="2"/>
  <c r="E60" i="2"/>
  <c r="E61" i="2"/>
  <c r="E62" i="2"/>
  <c r="E63" i="2"/>
  <c r="E64" i="2"/>
  <c r="E65" i="2"/>
  <c r="E7" i="1"/>
  <c r="F7" i="1"/>
  <c r="F46" i="2"/>
  <c r="F47" i="2"/>
  <c r="F48" i="2"/>
  <c r="F49" i="2"/>
  <c r="F50" i="2"/>
  <c r="F51" i="2"/>
  <c r="F52" i="2"/>
  <c r="F53" i="2"/>
  <c r="F54" i="2"/>
  <c r="F55" i="2"/>
  <c r="E46" i="2"/>
  <c r="E47" i="2"/>
  <c r="E48" i="2"/>
  <c r="E49" i="2"/>
  <c r="E50" i="2"/>
  <c r="D32" i="3" s="1"/>
  <c r="E51" i="2"/>
  <c r="E52" i="2"/>
  <c r="E53" i="2"/>
  <c r="E54" i="2"/>
  <c r="E55" i="2"/>
  <c r="D21" i="3" s="1"/>
  <c r="C32" i="3"/>
  <c r="K32" i="3"/>
  <c r="M32" i="3"/>
  <c r="N32" i="3"/>
  <c r="F6" i="1"/>
  <c r="E6" i="1"/>
  <c r="E36" i="2"/>
  <c r="F36" i="2"/>
  <c r="E37" i="2"/>
  <c r="F37" i="2"/>
  <c r="E38" i="2"/>
  <c r="F38" i="2"/>
  <c r="E39" i="2"/>
  <c r="F39" i="2"/>
  <c r="E28" i="3" s="1"/>
  <c r="E40" i="2"/>
  <c r="F40" i="2"/>
  <c r="E41" i="2"/>
  <c r="F41" i="2"/>
  <c r="E42" i="2"/>
  <c r="F42" i="2"/>
  <c r="E43" i="2"/>
  <c r="F43" i="2"/>
  <c r="E44" i="2"/>
  <c r="F44" i="2"/>
  <c r="E30" i="3" s="1"/>
  <c r="E45" i="2"/>
  <c r="D31" i="3" s="1"/>
  <c r="F45" i="2"/>
  <c r="C31" i="3"/>
  <c r="K31" i="3"/>
  <c r="M31" i="3"/>
  <c r="N31" i="3"/>
  <c r="C28" i="3"/>
  <c r="K28" i="3"/>
  <c r="M28" i="3"/>
  <c r="N28" i="3"/>
  <c r="C29" i="3"/>
  <c r="K29" i="3"/>
  <c r="M29" i="3"/>
  <c r="N29" i="3"/>
  <c r="C30" i="3"/>
  <c r="K30" i="3"/>
  <c r="M30" i="3"/>
  <c r="N30" i="3"/>
  <c r="F5" i="1"/>
  <c r="E5" i="1"/>
  <c r="F26" i="2"/>
  <c r="F27" i="2"/>
  <c r="F28" i="2"/>
  <c r="F29" i="2"/>
  <c r="F30" i="2"/>
  <c r="F31" i="2"/>
  <c r="F32" i="2"/>
  <c r="F33" i="2"/>
  <c r="F34" i="2"/>
  <c r="E15" i="3" s="1"/>
  <c r="F35" i="2"/>
  <c r="E26" i="2"/>
  <c r="E27" i="2"/>
  <c r="E28" i="2"/>
  <c r="E29" i="2"/>
  <c r="E30" i="2"/>
  <c r="E31" i="2"/>
  <c r="E32" i="2"/>
  <c r="E33" i="2"/>
  <c r="E34" i="2"/>
  <c r="D15" i="3" s="1"/>
  <c r="E35" i="2"/>
  <c r="F4" i="1"/>
  <c r="E4" i="1"/>
  <c r="F22" i="2"/>
  <c r="F23" i="2"/>
  <c r="F24" i="2"/>
  <c r="F25" i="2"/>
  <c r="F12" i="2"/>
  <c r="F13" i="2"/>
  <c r="F14" i="2"/>
  <c r="F15" i="2"/>
  <c r="F16" i="2"/>
  <c r="F17" i="2"/>
  <c r="F18" i="2"/>
  <c r="E26" i="3" s="1"/>
  <c r="F19" i="2"/>
  <c r="F20" i="2"/>
  <c r="F21" i="2"/>
  <c r="F3" i="2"/>
  <c r="F4" i="2"/>
  <c r="F5" i="2"/>
  <c r="F6" i="2"/>
  <c r="F7" i="2"/>
  <c r="F8" i="2"/>
  <c r="F9" i="2"/>
  <c r="F10" i="2"/>
  <c r="F11" i="2"/>
  <c r="E20" i="3" s="1"/>
  <c r="E3" i="2"/>
  <c r="E4" i="2"/>
  <c r="E5" i="2"/>
  <c r="E6" i="2"/>
  <c r="E7" i="2"/>
  <c r="E8" i="2"/>
  <c r="E9" i="2"/>
  <c r="E10" i="2"/>
  <c r="E11" i="2"/>
  <c r="D20" i="3" s="1"/>
  <c r="E12" i="2"/>
  <c r="E13" i="2"/>
  <c r="E14" i="2"/>
  <c r="E15" i="2"/>
  <c r="E16" i="2"/>
  <c r="E17" i="2"/>
  <c r="E18" i="2"/>
  <c r="D26" i="3" s="1"/>
  <c r="E19" i="2"/>
  <c r="E20" i="2"/>
  <c r="E21" i="2"/>
  <c r="E22" i="2"/>
  <c r="E23" i="2"/>
  <c r="E24" i="2"/>
  <c r="E2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2" i="2"/>
  <c r="F3" i="1"/>
  <c r="F2" i="1"/>
  <c r="E3" i="1"/>
  <c r="B3" i="2"/>
  <c r="B4" i="2"/>
  <c r="B5" i="2"/>
  <c r="B6" i="2"/>
  <c r="B7" i="2"/>
  <c r="B8" i="2"/>
  <c r="B9" i="2"/>
  <c r="B10" i="2"/>
  <c r="B11" i="2"/>
  <c r="B2" i="2"/>
  <c r="D11" i="3"/>
  <c r="D13" i="3"/>
  <c r="D14" i="3"/>
  <c r="D22" i="3"/>
  <c r="N27" i="3"/>
  <c r="M27" i="3"/>
  <c r="K27" i="3"/>
  <c r="E27" i="3"/>
  <c r="C27" i="3"/>
  <c r="N26" i="3"/>
  <c r="M26" i="3"/>
  <c r="K26" i="3"/>
  <c r="C26" i="3"/>
  <c r="N25" i="3"/>
  <c r="M25" i="3"/>
  <c r="K25" i="3"/>
  <c r="C25" i="3"/>
  <c r="N2" i="3"/>
  <c r="M2" i="3"/>
  <c r="K2" i="3"/>
  <c r="C2" i="3"/>
  <c r="N8" i="3"/>
  <c r="M8" i="3"/>
  <c r="K8" i="3"/>
  <c r="C8" i="3"/>
  <c r="N22" i="3"/>
  <c r="M22" i="3"/>
  <c r="K22" i="3"/>
  <c r="I22" i="3"/>
  <c r="H22" i="3"/>
  <c r="G22" i="3"/>
  <c r="E22" i="3"/>
  <c r="C22" i="3"/>
  <c r="N21" i="3"/>
  <c r="M21" i="3"/>
  <c r="K21" i="3"/>
  <c r="C21" i="3"/>
  <c r="N24" i="3"/>
  <c r="M24" i="3"/>
  <c r="K24" i="3"/>
  <c r="C24" i="3"/>
  <c r="N19" i="3"/>
  <c r="M19" i="3"/>
  <c r="K19" i="3"/>
  <c r="C19" i="3"/>
  <c r="N23" i="3"/>
  <c r="M23" i="3"/>
  <c r="K23" i="3"/>
  <c r="C23" i="3"/>
  <c r="N5" i="3"/>
  <c r="M5" i="3"/>
  <c r="K5" i="3"/>
  <c r="C5" i="3"/>
  <c r="N3" i="3"/>
  <c r="M3" i="3"/>
  <c r="K3" i="3"/>
  <c r="C3" i="3"/>
  <c r="N15" i="3"/>
  <c r="M15" i="3"/>
  <c r="K15" i="3"/>
  <c r="C15" i="3"/>
  <c r="N14" i="3"/>
  <c r="M14" i="3"/>
  <c r="K14" i="3"/>
  <c r="I14" i="3"/>
  <c r="H14" i="3"/>
  <c r="G14" i="3"/>
  <c r="E14" i="3"/>
  <c r="C14" i="3"/>
  <c r="N13" i="3"/>
  <c r="M13" i="3"/>
  <c r="K13" i="3"/>
  <c r="I13" i="3"/>
  <c r="H13" i="3"/>
  <c r="G13" i="3"/>
  <c r="E13" i="3"/>
  <c r="C13" i="3"/>
  <c r="N12" i="3"/>
  <c r="M12" i="3"/>
  <c r="K12" i="3"/>
  <c r="C12" i="3"/>
  <c r="N11" i="3"/>
  <c r="M11" i="3"/>
  <c r="K11" i="3"/>
  <c r="I11" i="3"/>
  <c r="H11" i="3"/>
  <c r="G11" i="3"/>
  <c r="E11" i="3"/>
  <c r="C11" i="3"/>
  <c r="N10" i="3"/>
  <c r="M10" i="3"/>
  <c r="K10" i="3"/>
  <c r="C10" i="3"/>
  <c r="N9" i="3"/>
  <c r="M9" i="3"/>
  <c r="K9" i="3"/>
  <c r="C9" i="3"/>
  <c r="N20" i="3"/>
  <c r="M20" i="3"/>
  <c r="K20" i="3"/>
  <c r="C20" i="3"/>
  <c r="N7" i="3"/>
  <c r="M7" i="3"/>
  <c r="K7" i="3"/>
  <c r="C7" i="3"/>
  <c r="N6" i="3"/>
  <c r="M6" i="3"/>
  <c r="K6" i="3"/>
  <c r="C6" i="3"/>
  <c r="N18" i="3"/>
  <c r="M18" i="3"/>
  <c r="K18" i="3"/>
  <c r="C18" i="3"/>
  <c r="N4" i="3"/>
  <c r="M4" i="3"/>
  <c r="K4" i="3"/>
  <c r="C4" i="3"/>
  <c r="N17" i="3"/>
  <c r="M17" i="3"/>
  <c r="K17" i="3"/>
  <c r="C17" i="3"/>
  <c r="N16" i="3"/>
  <c r="M16" i="3"/>
  <c r="K16" i="3"/>
  <c r="C16" i="3"/>
  <c r="E2" i="2"/>
  <c r="E2" i="1"/>
  <c r="E21" i="3" l="1"/>
  <c r="G101" i="2"/>
  <c r="D6" i="3"/>
  <c r="G100" i="2"/>
  <c r="G98" i="2"/>
  <c r="G92" i="2"/>
  <c r="G95" i="2"/>
  <c r="E6" i="3"/>
  <c r="G99" i="2"/>
  <c r="G93" i="2"/>
  <c r="G104" i="2"/>
  <c r="G103" i="2"/>
  <c r="G94" i="2"/>
  <c r="G80" i="2"/>
  <c r="G102" i="2"/>
  <c r="G96" i="2"/>
  <c r="I27" i="3" s="1"/>
  <c r="H27" i="3"/>
  <c r="G88" i="2"/>
  <c r="G78" i="2"/>
  <c r="G86" i="2"/>
  <c r="G83" i="2"/>
  <c r="G81" i="2"/>
  <c r="E3" i="3"/>
  <c r="G82" i="2"/>
  <c r="G79" i="2"/>
  <c r="G90" i="2"/>
  <c r="G87" i="2"/>
  <c r="G85" i="2"/>
  <c r="G89" i="2"/>
  <c r="D3" i="3"/>
  <c r="D19" i="3"/>
  <c r="G84" i="2"/>
  <c r="D33" i="3"/>
  <c r="G68" i="2"/>
  <c r="G75" i="2"/>
  <c r="G76" i="2"/>
  <c r="G67" i="2"/>
  <c r="E33" i="3"/>
  <c r="G72" i="2"/>
  <c r="G71" i="2"/>
  <c r="G70" i="2"/>
  <c r="G59" i="2"/>
  <c r="G74" i="2"/>
  <c r="G73" i="2"/>
  <c r="G69" i="2"/>
  <c r="L33" i="3"/>
  <c r="O33" i="3"/>
  <c r="E10" i="3"/>
  <c r="G63" i="2"/>
  <c r="G58" i="2"/>
  <c r="E29" i="3"/>
  <c r="G66" i="2"/>
  <c r="G47" i="2"/>
  <c r="G65" i="2"/>
  <c r="G53" i="2"/>
  <c r="G57" i="2"/>
  <c r="D29" i="3"/>
  <c r="G56" i="2"/>
  <c r="G64" i="2"/>
  <c r="G62" i="2"/>
  <c r="E19" i="3"/>
  <c r="G61" i="2"/>
  <c r="G50" i="2"/>
  <c r="G32" i="3" s="1"/>
  <c r="J32" i="3" s="1"/>
  <c r="D4" i="3"/>
  <c r="E4" i="3"/>
  <c r="O32" i="3"/>
  <c r="L32" i="3"/>
  <c r="O30" i="3"/>
  <c r="O31" i="3"/>
  <c r="G54" i="2"/>
  <c r="G49" i="2"/>
  <c r="D5" i="3"/>
  <c r="E32" i="3"/>
  <c r="F32" i="3" s="1"/>
  <c r="G46" i="2"/>
  <c r="G52" i="2"/>
  <c r="G55" i="2"/>
  <c r="G21" i="3" s="1"/>
  <c r="J21" i="3" s="1"/>
  <c r="G51" i="2"/>
  <c r="G48" i="2"/>
  <c r="L29" i="3"/>
  <c r="O29" i="3"/>
  <c r="D23" i="3"/>
  <c r="E12" i="3"/>
  <c r="G39" i="2"/>
  <c r="G28" i="3" s="1"/>
  <c r="J28" i="3" s="1"/>
  <c r="D18" i="3"/>
  <c r="G29" i="2"/>
  <c r="G45" i="2"/>
  <c r="I31" i="3" s="1"/>
  <c r="G44" i="2"/>
  <c r="G30" i="3" s="1"/>
  <c r="J30" i="3" s="1"/>
  <c r="G38" i="2"/>
  <c r="G42" i="2"/>
  <c r="G36" i="2"/>
  <c r="D28" i="3"/>
  <c r="F28" i="3" s="1"/>
  <c r="G43" i="2"/>
  <c r="G8" i="2"/>
  <c r="G40" i="2"/>
  <c r="D30" i="3"/>
  <c r="F30" i="3" s="1"/>
  <c r="G37" i="2"/>
  <c r="E31" i="3"/>
  <c r="F31" i="3" s="1"/>
  <c r="G41" i="2"/>
  <c r="G28" i="2"/>
  <c r="L28" i="3"/>
  <c r="L31" i="3"/>
  <c r="L30" i="3"/>
  <c r="O28" i="3"/>
  <c r="G13" i="2"/>
  <c r="G32" i="2"/>
  <c r="G34" i="2"/>
  <c r="G15" i="3" s="1"/>
  <c r="J15" i="3" s="1"/>
  <c r="D7" i="3"/>
  <c r="G19" i="2"/>
  <c r="G27" i="2"/>
  <c r="G26" i="2"/>
  <c r="D9" i="3"/>
  <c r="E2" i="3"/>
  <c r="G24" i="2"/>
  <c r="D25" i="3"/>
  <c r="G21" i="2"/>
  <c r="E8" i="3"/>
  <c r="G31" i="2"/>
  <c r="G20" i="2"/>
  <c r="E25" i="3"/>
  <c r="G30" i="2"/>
  <c r="D10" i="3"/>
  <c r="G35" i="2"/>
  <c r="G33" i="2"/>
  <c r="G16" i="2"/>
  <c r="G22" i="2"/>
  <c r="E7" i="3"/>
  <c r="G10" i="2"/>
  <c r="G14" i="2"/>
  <c r="D17" i="3"/>
  <c r="G11" i="2"/>
  <c r="H20" i="3" s="1"/>
  <c r="G17" i="2"/>
  <c r="G15" i="2"/>
  <c r="G23" i="2"/>
  <c r="G19" i="3" s="1"/>
  <c r="J19" i="3" s="1"/>
  <c r="D12" i="3"/>
  <c r="D2" i="3"/>
  <c r="G18" i="2"/>
  <c r="I26" i="3" s="1"/>
  <c r="E9" i="3"/>
  <c r="E16" i="3"/>
  <c r="E23" i="3"/>
  <c r="G25" i="2"/>
  <c r="G12" i="2"/>
  <c r="E24" i="3"/>
  <c r="F20" i="3"/>
  <c r="F11" i="3"/>
  <c r="O12" i="3"/>
  <c r="F15" i="3"/>
  <c r="G7" i="2"/>
  <c r="G4" i="2"/>
  <c r="D8" i="3"/>
  <c r="G3" i="2"/>
  <c r="D16" i="3"/>
  <c r="O5" i="3"/>
  <c r="L11" i="3"/>
  <c r="L4" i="3"/>
  <c r="J11" i="3"/>
  <c r="J14" i="3"/>
  <c r="O23" i="3"/>
  <c r="O21" i="3"/>
  <c r="O18" i="3"/>
  <c r="F27" i="3"/>
  <c r="F26" i="3"/>
  <c r="O11" i="3"/>
  <c r="O2" i="3"/>
  <c r="O13" i="3"/>
  <c r="O26" i="3"/>
  <c r="O14" i="3"/>
  <c r="F13" i="3"/>
  <c r="L3" i="3"/>
  <c r="O6" i="3"/>
  <c r="F22" i="3"/>
  <c r="O17" i="3"/>
  <c r="F21" i="3"/>
  <c r="O9" i="3"/>
  <c r="L9" i="3"/>
  <c r="L18" i="3"/>
  <c r="L20" i="3"/>
  <c r="L8" i="3"/>
  <c r="L16" i="3"/>
  <c r="O3" i="3"/>
  <c r="O24" i="3"/>
  <c r="O8" i="3"/>
  <c r="F14" i="3"/>
  <c r="L21" i="3"/>
  <c r="J13" i="3"/>
  <c r="O15" i="3"/>
  <c r="L12" i="3"/>
  <c r="L10" i="3"/>
  <c r="O10" i="3"/>
  <c r="L26" i="3"/>
  <c r="O27" i="3"/>
  <c r="L5" i="3"/>
  <c r="J22" i="3"/>
  <c r="L25" i="3"/>
  <c r="L27" i="3"/>
  <c r="O20" i="3"/>
  <c r="L19" i="3"/>
  <c r="L7" i="3"/>
  <c r="L22" i="3"/>
  <c r="L2" i="3"/>
  <c r="O25" i="3"/>
  <c r="L13" i="3"/>
  <c r="L15" i="3"/>
  <c r="O19" i="3"/>
  <c r="O4" i="3"/>
  <c r="L17" i="3"/>
  <c r="L6" i="3"/>
  <c r="O7" i="3"/>
  <c r="L23" i="3"/>
  <c r="L24" i="3"/>
  <c r="O22" i="3"/>
  <c r="E18" i="3"/>
  <c r="G6" i="2"/>
  <c r="L14" i="3"/>
  <c r="O16" i="3"/>
  <c r="F2" i="2"/>
  <c r="F6" i="3" l="1"/>
  <c r="G27" i="3"/>
  <c r="J27" i="3" s="1"/>
  <c r="I3" i="3"/>
  <c r="F3" i="3"/>
  <c r="F19" i="3"/>
  <c r="F33" i="3"/>
  <c r="I6" i="3"/>
  <c r="H6" i="3"/>
  <c r="G6" i="3"/>
  <c r="J6" i="3" s="1"/>
  <c r="I16" i="3"/>
  <c r="F29" i="3"/>
  <c r="H10" i="3"/>
  <c r="F10" i="3"/>
  <c r="G29" i="3"/>
  <c r="J29" i="3" s="1"/>
  <c r="F4" i="3"/>
  <c r="I32" i="3"/>
  <c r="H16" i="3"/>
  <c r="G7" i="3"/>
  <c r="J7" i="3" s="1"/>
  <c r="H32" i="3"/>
  <c r="I15" i="3"/>
  <c r="H15" i="3"/>
  <c r="H31" i="3"/>
  <c r="G33" i="3"/>
  <c r="J33" i="3" s="1"/>
  <c r="H33" i="3"/>
  <c r="I33" i="3"/>
  <c r="H21" i="3"/>
  <c r="I21" i="3"/>
  <c r="F23" i="3"/>
  <c r="I29" i="3"/>
  <c r="H29" i="3"/>
  <c r="F18" i="3"/>
  <c r="F12" i="3"/>
  <c r="H28" i="3"/>
  <c r="I30" i="3"/>
  <c r="G16" i="3"/>
  <c r="J16" i="3" s="1"/>
  <c r="H12" i="3"/>
  <c r="H30" i="3"/>
  <c r="G31" i="3"/>
  <c r="J31" i="3" s="1"/>
  <c r="I28" i="3"/>
  <c r="H8" i="3"/>
  <c r="I23" i="3"/>
  <c r="I7" i="3"/>
  <c r="I10" i="3"/>
  <c r="F8" i="3"/>
  <c r="H2" i="3"/>
  <c r="H9" i="3"/>
  <c r="F9" i="3"/>
  <c r="G9" i="3"/>
  <c r="J9" i="3" s="1"/>
  <c r="F7" i="3"/>
  <c r="F2" i="3"/>
  <c r="I12" i="3"/>
  <c r="G10" i="3"/>
  <c r="J10" i="3" s="1"/>
  <c r="F25" i="3"/>
  <c r="G20" i="3"/>
  <c r="J20" i="3" s="1"/>
  <c r="I9" i="3"/>
  <c r="G2" i="3"/>
  <c r="J2" i="3" s="1"/>
  <c r="G12" i="3"/>
  <c r="J12" i="3" s="1"/>
  <c r="I2" i="3"/>
  <c r="H26" i="3"/>
  <c r="H7" i="3"/>
  <c r="G26" i="3"/>
  <c r="J26" i="3" s="1"/>
  <c r="I20" i="3"/>
  <c r="F16" i="3"/>
  <c r="H19" i="3"/>
  <c r="I19" i="3"/>
  <c r="I25" i="3"/>
  <c r="H25" i="3"/>
  <c r="G25" i="3"/>
  <c r="J25" i="3" s="1"/>
  <c r="G4" i="3"/>
  <c r="J4" i="3" s="1"/>
  <c r="H4" i="3"/>
  <c r="I4" i="3"/>
  <c r="G23" i="3"/>
  <c r="J23" i="3" s="1"/>
  <c r="G8" i="3"/>
  <c r="J8" i="3" s="1"/>
  <c r="G3" i="3"/>
  <c r="J3" i="3" s="1"/>
  <c r="I8" i="3"/>
  <c r="H3" i="3"/>
  <c r="G9" i="2"/>
  <c r="I24" i="3" s="1"/>
  <c r="D24" i="3"/>
  <c r="F24" i="3" s="1"/>
  <c r="H23" i="3"/>
  <c r="G5" i="2"/>
  <c r="E17" i="3"/>
  <c r="F17" i="3" s="1"/>
  <c r="I18" i="3"/>
  <c r="H18" i="3"/>
  <c r="G18" i="3"/>
  <c r="J18" i="3" s="1"/>
  <c r="E5" i="3"/>
  <c r="F5" i="3" s="1"/>
  <c r="G2" i="2"/>
  <c r="G24" i="3" l="1"/>
  <c r="J24" i="3" s="1"/>
  <c r="H24" i="3"/>
  <c r="I5" i="3"/>
  <c r="H5" i="3"/>
  <c r="G5" i="3"/>
  <c r="J5" i="3" s="1"/>
  <c r="H17" i="3"/>
  <c r="G17" i="3"/>
  <c r="J17" i="3" s="1"/>
  <c r="I17" i="3"/>
</calcChain>
</file>

<file path=xl/sharedStrings.xml><?xml version="1.0" encoding="utf-8"?>
<sst xmlns="http://schemas.openxmlformats.org/spreadsheetml/2006/main" count="331" uniqueCount="72">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</sst>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2" sqref="C12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>VALUE(LEFT(D2, FIND("-", D2)-1))</f>
        <v>7</v>
      </c>
      <c r="F2">
        <f t="shared" ref="F2:F7" si="0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ref="E3:E7" si="1">VALUE(LEFT(D3, FIND("-", D3)-1))</f>
        <v>5</v>
      </c>
      <c r="F3">
        <f t="shared" si="0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1"/>
        <v>7</v>
      </c>
      <c r="F4">
        <f t="shared" si="0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1"/>
        <v>13</v>
      </c>
      <c r="F5">
        <f t="shared" si="0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1"/>
        <v>10</v>
      </c>
      <c r="F6">
        <f t="shared" si="0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1"/>
        <v>16</v>
      </c>
      <c r="F7">
        <f t="shared" si="0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ref="E8" si="2">VALUE(LEFT(D8, FIND("-", D8)-1))</f>
        <v>6</v>
      </c>
      <c r="F8">
        <f t="shared" ref="F8:F9" si="3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ref="E9" si="4">VALUE(LEFT(D9, FIND("-", D9)-1))</f>
        <v>5</v>
      </c>
      <c r="F9">
        <f t="shared" si="3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ref="E10:E11" si="5">VALUE(LEFT(D10, FIND("-", D10)-1))</f>
        <v>3</v>
      </c>
      <c r="F10">
        <f t="shared" ref="F10:F11" si="6">VALUE(MID(D10, FIND("-", D10)+1, 10))</f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71</v>
      </c>
      <c r="E11">
        <v>6</v>
      </c>
      <c r="F11">
        <v>5</v>
      </c>
      <c r="G11" t="s">
        <v>46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0"/>
  <sheetViews>
    <sheetView topLeftCell="A40" workbookViewId="0">
      <selection activeCell="H57" sqref="H57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9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</row>
    <row r="3" spans="1:9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</row>
    <row r="4" spans="1:9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</row>
    <row r="5" spans="1:9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</row>
    <row r="6" spans="1:9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</row>
    <row r="7" spans="1:9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</row>
    <row r="8" spans="1:9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</row>
    <row r="9" spans="1:9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</row>
    <row r="10" spans="1:9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</row>
    <row r="11" spans="1:9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</row>
    <row r="12" spans="1:9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</row>
    <row r="13" spans="1:9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</row>
    <row r="14" spans="1:9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</row>
    <row r="15" spans="1:9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</row>
    <row r="16" spans="1:9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</row>
    <row r="17" spans="1:9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</row>
    <row r="18" spans="1:9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</row>
    <row r="19" spans="1:9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</row>
    <row r="20" spans="1:9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</row>
    <row r="21" spans="1:9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</row>
    <row r="22" spans="1:9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</row>
    <row r="23" spans="1:9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</row>
    <row r="24" spans="1:9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</row>
    <row r="25" spans="1:9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</row>
    <row r="26" spans="1:9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</row>
    <row r="27" spans="1:9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</row>
    <row r="28" spans="1:9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</row>
    <row r="29" spans="1:9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</row>
    <row r="30" spans="1:9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</row>
    <row r="31" spans="1:9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</row>
    <row r="32" spans="1:9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</row>
    <row r="33" spans="1:9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</row>
    <row r="34" spans="1:9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</row>
    <row r="35" spans="1:9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</row>
    <row r="36" spans="1:9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1">IF(E36&gt;F36,"Win",IF(E36&lt;F36,"Loss","Draw"))</f>
        <v>Win</v>
      </c>
      <c r="H36">
        <v>3</v>
      </c>
      <c r="I36">
        <v>3</v>
      </c>
    </row>
    <row r="37" spans="1:9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1"/>
        <v>Win</v>
      </c>
      <c r="H37">
        <v>1</v>
      </c>
      <c r="I37">
        <v>2</v>
      </c>
    </row>
    <row r="38" spans="1:9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1"/>
        <v>Win</v>
      </c>
      <c r="H38">
        <v>5</v>
      </c>
      <c r="I38">
        <v>3</v>
      </c>
    </row>
    <row r="39" spans="1:9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1"/>
        <v>Win</v>
      </c>
      <c r="H39">
        <v>2</v>
      </c>
      <c r="I39">
        <v>2</v>
      </c>
    </row>
    <row r="40" spans="1:9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1"/>
        <v>Win</v>
      </c>
      <c r="H40">
        <v>2</v>
      </c>
      <c r="I40">
        <v>0</v>
      </c>
    </row>
    <row r="41" spans="1:9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1"/>
        <v>Loss</v>
      </c>
      <c r="H41">
        <v>5</v>
      </c>
      <c r="I41">
        <v>1</v>
      </c>
    </row>
    <row r="42" spans="1:9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1"/>
        <v>Loss</v>
      </c>
      <c r="H42">
        <v>2</v>
      </c>
      <c r="I42">
        <v>2</v>
      </c>
    </row>
    <row r="43" spans="1:9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1"/>
        <v>Loss</v>
      </c>
      <c r="H43">
        <v>0</v>
      </c>
      <c r="I43">
        <v>0</v>
      </c>
    </row>
    <row r="44" spans="1:9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1"/>
        <v>Loss</v>
      </c>
      <c r="H44">
        <v>0</v>
      </c>
      <c r="I44">
        <v>0</v>
      </c>
    </row>
    <row r="45" spans="1:9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1"/>
        <v>Loss</v>
      </c>
      <c r="H45">
        <v>1</v>
      </c>
      <c r="I45">
        <v>3</v>
      </c>
    </row>
    <row r="46" spans="1:9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1"/>
        <v>Win</v>
      </c>
      <c r="H46">
        <v>2</v>
      </c>
      <c r="I46">
        <v>0</v>
      </c>
    </row>
    <row r="47" spans="1:9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1"/>
        <v>Win</v>
      </c>
      <c r="H47">
        <v>4</v>
      </c>
      <c r="I47">
        <v>0</v>
      </c>
    </row>
    <row r="48" spans="1:9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1"/>
        <v>Win</v>
      </c>
      <c r="H48">
        <v>1</v>
      </c>
      <c r="I48">
        <v>4</v>
      </c>
    </row>
    <row r="49" spans="1:10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1"/>
        <v>Win</v>
      </c>
      <c r="H49">
        <v>1</v>
      </c>
      <c r="I49">
        <v>1</v>
      </c>
    </row>
    <row r="50" spans="1:10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1"/>
        <v>Win</v>
      </c>
      <c r="H50">
        <v>2</v>
      </c>
      <c r="I50">
        <v>3</v>
      </c>
    </row>
    <row r="51" spans="1:10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1"/>
        <v>Loss</v>
      </c>
      <c r="H51">
        <v>2</v>
      </c>
      <c r="I51">
        <v>1</v>
      </c>
    </row>
    <row r="52" spans="1:10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1"/>
        <v>Loss</v>
      </c>
      <c r="H52">
        <v>0</v>
      </c>
      <c r="I52">
        <v>1</v>
      </c>
    </row>
    <row r="53" spans="1:10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1"/>
        <v>Loss</v>
      </c>
      <c r="H53">
        <v>4</v>
      </c>
      <c r="I53">
        <v>0</v>
      </c>
    </row>
    <row r="54" spans="1:10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1"/>
        <v>Loss</v>
      </c>
      <c r="H54">
        <v>0</v>
      </c>
      <c r="I54">
        <v>1</v>
      </c>
    </row>
    <row r="55" spans="1:10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1"/>
        <v>Loss</v>
      </c>
      <c r="H55">
        <v>1</v>
      </c>
      <c r="I55">
        <v>2</v>
      </c>
    </row>
    <row r="56" spans="1:10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1"/>
        <v>Loss</v>
      </c>
      <c r="H56">
        <v>3</v>
      </c>
      <c r="I56">
        <v>2</v>
      </c>
    </row>
    <row r="57" spans="1:10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1"/>
        <v>Loss</v>
      </c>
      <c r="H57">
        <v>2</v>
      </c>
      <c r="I57">
        <v>4</v>
      </c>
    </row>
    <row r="58" spans="1:10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1"/>
        <v>Loss</v>
      </c>
      <c r="H58">
        <v>6</v>
      </c>
      <c r="I58">
        <v>1</v>
      </c>
    </row>
    <row r="59" spans="1:10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1"/>
        <v>Loss</v>
      </c>
      <c r="H59">
        <v>1</v>
      </c>
      <c r="I59">
        <v>0</v>
      </c>
    </row>
    <row r="60" spans="1:10" x14ac:dyDescent="0.35">
      <c r="A60">
        <v>6</v>
      </c>
      <c r="B60" s="6">
        <v>46009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</row>
    <row r="61" spans="1:10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1"/>
        <v>Win</v>
      </c>
      <c r="H61">
        <v>8</v>
      </c>
      <c r="I61">
        <v>1</v>
      </c>
    </row>
    <row r="62" spans="1:10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1"/>
        <v>Win</v>
      </c>
      <c r="H62">
        <v>2</v>
      </c>
      <c r="I62">
        <v>3</v>
      </c>
    </row>
    <row r="63" spans="1:10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1"/>
        <v>Win</v>
      </c>
      <c r="H63">
        <v>0</v>
      </c>
      <c r="I63">
        <v>0</v>
      </c>
    </row>
    <row r="64" spans="1:10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1"/>
        <v>Win</v>
      </c>
      <c r="H64">
        <v>5</v>
      </c>
      <c r="I64">
        <v>1</v>
      </c>
    </row>
    <row r="65" spans="1:9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1"/>
        <v>Win</v>
      </c>
      <c r="H65">
        <v>0</v>
      </c>
      <c r="I65">
        <v>0</v>
      </c>
    </row>
    <row r="66" spans="1:9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1"/>
        <v>Win</v>
      </c>
      <c r="H66">
        <v>6</v>
      </c>
      <c r="I66">
        <v>4</v>
      </c>
    </row>
    <row r="67" spans="1:9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1"/>
        <v>Loss</v>
      </c>
      <c r="H67">
        <v>2</v>
      </c>
      <c r="I67">
        <v>4</v>
      </c>
    </row>
    <row r="68" spans="1:9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1"/>
        <v>Loss</v>
      </c>
      <c r="H68">
        <v>2</v>
      </c>
      <c r="I68">
        <v>0</v>
      </c>
    </row>
    <row r="69" spans="1:9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1"/>
        <v>Loss</v>
      </c>
      <c r="H69">
        <v>1</v>
      </c>
      <c r="I69">
        <v>1</v>
      </c>
    </row>
    <row r="70" spans="1:9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1"/>
        <v>Loss</v>
      </c>
      <c r="H70">
        <v>2</v>
      </c>
      <c r="I70">
        <v>1</v>
      </c>
    </row>
    <row r="71" spans="1:9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1"/>
        <v>Loss</v>
      </c>
      <c r="H71">
        <v>1</v>
      </c>
      <c r="I71">
        <v>0</v>
      </c>
    </row>
    <row r="72" spans="1:9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1"/>
        <v>Win</v>
      </c>
      <c r="H72">
        <v>0</v>
      </c>
      <c r="I72">
        <v>1</v>
      </c>
    </row>
    <row r="73" spans="1:9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1"/>
        <v>Win</v>
      </c>
      <c r="H73">
        <v>6</v>
      </c>
      <c r="I73">
        <v>5</v>
      </c>
    </row>
    <row r="74" spans="1:9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1"/>
        <v>Win</v>
      </c>
      <c r="H74">
        <v>0</v>
      </c>
      <c r="I74">
        <v>0</v>
      </c>
    </row>
    <row r="75" spans="1:9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1"/>
        <v>Win</v>
      </c>
      <c r="H75">
        <v>4</v>
      </c>
      <c r="I75">
        <v>1</v>
      </c>
    </row>
    <row r="76" spans="1:9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1"/>
        <v>Win</v>
      </c>
      <c r="H76">
        <v>1</v>
      </c>
      <c r="I76">
        <v>1</v>
      </c>
    </row>
    <row r="77" spans="1:9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2">IF(E77&gt;F77,"Win",IF(E77&lt;F77,"Loss","Draw"))</f>
        <v>Draw</v>
      </c>
      <c r="H77">
        <v>2</v>
      </c>
      <c r="I77">
        <v>0</v>
      </c>
    </row>
    <row r="78" spans="1:9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2"/>
        <v>Draw</v>
      </c>
      <c r="H78">
        <v>0</v>
      </c>
      <c r="I78">
        <v>0</v>
      </c>
    </row>
    <row r="79" spans="1:9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2"/>
        <v>Draw</v>
      </c>
      <c r="H79">
        <v>0</v>
      </c>
      <c r="I79">
        <v>1</v>
      </c>
    </row>
    <row r="80" spans="1:9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2"/>
        <v>Draw</v>
      </c>
      <c r="H80">
        <v>3</v>
      </c>
      <c r="I80">
        <v>0</v>
      </c>
    </row>
    <row r="81" spans="1:9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2"/>
        <v>Draw</v>
      </c>
      <c r="H81">
        <v>0</v>
      </c>
      <c r="I81">
        <v>1</v>
      </c>
    </row>
    <row r="82" spans="1:9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2"/>
        <v>Draw</v>
      </c>
      <c r="H82">
        <v>0</v>
      </c>
      <c r="I82">
        <v>0</v>
      </c>
    </row>
    <row r="83" spans="1:9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2"/>
        <v>Draw</v>
      </c>
      <c r="H83">
        <v>0</v>
      </c>
      <c r="I83">
        <v>1</v>
      </c>
    </row>
    <row r="84" spans="1:9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2"/>
        <v>Draw</v>
      </c>
      <c r="H84">
        <v>0</v>
      </c>
      <c r="I84">
        <v>0</v>
      </c>
    </row>
    <row r="85" spans="1:9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2"/>
        <v>Draw</v>
      </c>
      <c r="H85">
        <v>1</v>
      </c>
      <c r="I85">
        <v>0</v>
      </c>
    </row>
    <row r="86" spans="1:9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2"/>
        <v>Draw</v>
      </c>
      <c r="H86">
        <v>0</v>
      </c>
      <c r="I86">
        <v>1</v>
      </c>
    </row>
    <row r="87" spans="1:9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2"/>
        <v>Draw</v>
      </c>
      <c r="H87">
        <v>0</v>
      </c>
      <c r="I87">
        <v>1</v>
      </c>
    </row>
    <row r="88" spans="1:9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2"/>
        <v>Draw</v>
      </c>
      <c r="H88">
        <v>1</v>
      </c>
      <c r="I88">
        <v>0</v>
      </c>
    </row>
    <row r="89" spans="1:9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2"/>
        <v>Draw</v>
      </c>
      <c r="H89">
        <v>0</v>
      </c>
      <c r="I89">
        <v>0</v>
      </c>
    </row>
    <row r="90" spans="1:9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2"/>
        <v>Draw</v>
      </c>
      <c r="H90">
        <v>2</v>
      </c>
      <c r="I90">
        <v>0</v>
      </c>
    </row>
    <row r="91" spans="1:9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3">IF(E91&gt;F91,"Win",IF(E91&lt;F91,"Loss","Draw"))</f>
        <v>Loss</v>
      </c>
      <c r="H91">
        <v>0</v>
      </c>
      <c r="I91">
        <v>0</v>
      </c>
    </row>
    <row r="92" spans="1:9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3"/>
        <v>Loss</v>
      </c>
      <c r="H92">
        <v>0</v>
      </c>
      <c r="I92">
        <v>0</v>
      </c>
    </row>
    <row r="93" spans="1:9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3"/>
        <v>Loss</v>
      </c>
      <c r="H93">
        <v>0</v>
      </c>
      <c r="I93">
        <v>0</v>
      </c>
    </row>
    <row r="94" spans="1:9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3"/>
        <v>Loss</v>
      </c>
      <c r="H94">
        <v>0</v>
      </c>
      <c r="I94">
        <v>0</v>
      </c>
    </row>
    <row r="95" spans="1:9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3"/>
        <v>Loss</v>
      </c>
      <c r="H95">
        <v>0</v>
      </c>
      <c r="I95">
        <v>0</v>
      </c>
    </row>
    <row r="96" spans="1:9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3"/>
        <v>Loss</v>
      </c>
      <c r="H96">
        <v>0</v>
      </c>
      <c r="I96">
        <v>0</v>
      </c>
    </row>
    <row r="97" spans="1:9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3"/>
        <v>Loss</v>
      </c>
      <c r="H97">
        <v>3</v>
      </c>
      <c r="I97">
        <v>0</v>
      </c>
    </row>
    <row r="98" spans="1:9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3"/>
        <v>Win</v>
      </c>
      <c r="H98">
        <v>0</v>
      </c>
      <c r="I98">
        <v>0</v>
      </c>
    </row>
    <row r="99" spans="1:9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3"/>
        <v>Win</v>
      </c>
      <c r="H99">
        <v>2</v>
      </c>
      <c r="I99">
        <v>0</v>
      </c>
    </row>
    <row r="100" spans="1:9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3"/>
        <v>Win</v>
      </c>
      <c r="H100">
        <v>1</v>
      </c>
      <c r="I100">
        <v>1</v>
      </c>
    </row>
    <row r="101" spans="1:9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3"/>
        <v>Win</v>
      </c>
      <c r="H101">
        <v>0</v>
      </c>
      <c r="I101">
        <v>1</v>
      </c>
    </row>
    <row r="102" spans="1:9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3"/>
        <v>Win</v>
      </c>
      <c r="H102">
        <v>1</v>
      </c>
      <c r="I102">
        <v>0</v>
      </c>
    </row>
    <row r="103" spans="1:9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3"/>
        <v>Win</v>
      </c>
      <c r="H103">
        <v>0</v>
      </c>
      <c r="I103">
        <v>0</v>
      </c>
    </row>
    <row r="104" spans="1:9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3"/>
        <v>Win</v>
      </c>
      <c r="H104">
        <v>2</v>
      </c>
      <c r="I104">
        <v>1</v>
      </c>
    </row>
    <row r="105" spans="1:9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 t="shared" ref="G105" si="4">IF(E105&gt;F105,"Win",IF(E105&lt;F105,"Loss","Draw"))</f>
        <v>Win</v>
      </c>
      <c r="H105">
        <v>0</v>
      </c>
      <c r="I105">
        <v>0</v>
      </c>
    </row>
    <row r="106" spans="1:9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5">IF(E106&gt;F106,"Win",IF(E106&lt;F106,"Loss","Draw"))</f>
        <v>Win</v>
      </c>
      <c r="H106">
        <v>0</v>
      </c>
      <c r="I106">
        <v>1</v>
      </c>
    </row>
    <row r="107" spans="1:9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5"/>
        <v>Win</v>
      </c>
      <c r="H107">
        <v>0</v>
      </c>
      <c r="I107">
        <v>0</v>
      </c>
    </row>
    <row r="108" spans="1:9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5"/>
        <v>Win</v>
      </c>
      <c r="H108">
        <v>0</v>
      </c>
      <c r="I108">
        <v>2</v>
      </c>
    </row>
    <row r="109" spans="1:9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5"/>
        <v>Win</v>
      </c>
      <c r="H109">
        <v>5</v>
      </c>
      <c r="I109">
        <v>0</v>
      </c>
    </row>
    <row r="110" spans="1:9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5"/>
        <v>Win</v>
      </c>
      <c r="H110">
        <v>1</v>
      </c>
      <c r="I110">
        <v>0</v>
      </c>
    </row>
    <row r="111" spans="1:9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5"/>
        <v>Win</v>
      </c>
      <c r="H111">
        <v>0</v>
      </c>
      <c r="I111">
        <v>0</v>
      </c>
    </row>
    <row r="112" spans="1:9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5"/>
        <v>Win</v>
      </c>
      <c r="H112">
        <v>0</v>
      </c>
      <c r="I112">
        <v>0</v>
      </c>
    </row>
    <row r="113" spans="1:9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5"/>
        <v>Loss</v>
      </c>
      <c r="H113">
        <v>0</v>
      </c>
      <c r="I113">
        <v>0</v>
      </c>
    </row>
    <row r="114" spans="1:9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5"/>
        <v>Loss</v>
      </c>
      <c r="H114">
        <v>2</v>
      </c>
      <c r="I114">
        <v>0</v>
      </c>
    </row>
    <row r="115" spans="1:9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5"/>
        <v>Loss</v>
      </c>
      <c r="H115">
        <v>0</v>
      </c>
      <c r="I115">
        <v>1</v>
      </c>
    </row>
    <row r="116" spans="1:9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5"/>
        <v>Loss</v>
      </c>
      <c r="H116">
        <v>1</v>
      </c>
      <c r="I116">
        <v>0</v>
      </c>
    </row>
    <row r="117" spans="1:9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5"/>
        <v>Loss</v>
      </c>
      <c r="H117">
        <v>0</v>
      </c>
      <c r="I117">
        <v>1</v>
      </c>
    </row>
    <row r="118" spans="1:9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5"/>
        <v>Loss</v>
      </c>
      <c r="H118">
        <v>0</v>
      </c>
      <c r="I118">
        <v>0</v>
      </c>
    </row>
    <row r="119" spans="1:9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5"/>
        <v>Loss</v>
      </c>
      <c r="H119">
        <v>0</v>
      </c>
      <c r="I119">
        <v>0</v>
      </c>
    </row>
    <row r="120" spans="1:9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 t="shared" ref="G120" si="6">IF(E120&gt;F120,"Win",IF(E120&lt;F120,"Loss","Draw"))</f>
        <v>Loss</v>
      </c>
      <c r="H120">
        <v>0</v>
      </c>
      <c r="I120"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abSelected="1" workbookViewId="0">
      <selection activeCell="C7" sqref="C7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</cols>
  <sheetData>
    <row r="1" spans="1:15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</row>
    <row r="2" spans="1:15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 t="shared" ref="J2:J27" si="1">G2/C2</f>
        <v>0.5</v>
      </c>
      <c r="K2">
        <f>SUMIF('Team Lineups'!C:C,A2,'Team Lineups'!H:H)</f>
        <v>5</v>
      </c>
      <c r="L2">
        <f t="shared" ref="L2:L27" si="2">K2/C2</f>
        <v>2.5</v>
      </c>
      <c r="M2">
        <f>SUMIF('Team Lineups'!C:C,A2,'Team Lineups'!I:I)</f>
        <v>2</v>
      </c>
      <c r="N2">
        <f>COUNTIF(Matches!G:G,A2)</f>
        <v>2</v>
      </c>
      <c r="O2">
        <f t="shared" ref="O2:O27" si="3">N2/C2</f>
        <v>1</v>
      </c>
    </row>
    <row r="3" spans="1:15" x14ac:dyDescent="0.35">
      <c r="A3" t="s">
        <v>18</v>
      </c>
      <c r="C3">
        <f>COUNTIF('Team Lineups'!C:C,A3)</f>
        <v>4</v>
      </c>
      <c r="D3">
        <f>SUMIF('Team Lineups'!C:C,A3,'Team Lineups'!E:E)</f>
        <v>21</v>
      </c>
      <c r="E3">
        <f>SUMIF('Team Lineups'!C:C,A3,'Team Lineups'!F:F)</f>
        <v>23</v>
      </c>
      <c r="F3">
        <f t="shared" si="0"/>
        <v>-2</v>
      </c>
      <c r="G3">
        <f>COUNTIFS('Team Lineups'!C:C,A3,'Team Lineups'!G:G,"Win")</f>
        <v>1</v>
      </c>
      <c r="H3">
        <f>COUNTIFS('Team Lineups'!C:C,A3,'Team Lineups'!G:G,"Draw")</f>
        <v>2</v>
      </c>
      <c r="I3">
        <f>COUNTIFS('Team Lineups'!C:C,A3,'Team Lineups'!G:G,"Loss")</f>
        <v>1</v>
      </c>
      <c r="J3" s="3">
        <f t="shared" si="1"/>
        <v>0.25</v>
      </c>
      <c r="K3">
        <f>SUMIF('Team Lineups'!C:C,A3,'Team Lineups'!H:H)</f>
        <v>2</v>
      </c>
      <c r="L3">
        <f t="shared" si="2"/>
        <v>0.5</v>
      </c>
      <c r="M3">
        <f>SUMIF('Team Lineups'!C:C,A3,'Team Lineups'!I:I)</f>
        <v>3</v>
      </c>
      <c r="N3">
        <f>COUNTIF(Matches!G:G,A3)</f>
        <v>0</v>
      </c>
      <c r="O3">
        <f t="shared" si="3"/>
        <v>0</v>
      </c>
    </row>
    <row r="4" spans="1:15" x14ac:dyDescent="0.35">
      <c r="A4" t="s">
        <v>40</v>
      </c>
      <c r="C4">
        <f>COUNTIF('Team Lineups'!C:C,A4)</f>
        <v>5</v>
      </c>
      <c r="D4">
        <f>SUMIF('Team Lineups'!C:C,A4,'Team Lineups'!E:E)</f>
        <v>43</v>
      </c>
      <c r="E4">
        <f>SUMIF('Team Lineups'!C:C,A4,'Team Lineups'!F:F)</f>
        <v>40</v>
      </c>
      <c r="F4">
        <f t="shared" si="0"/>
        <v>3</v>
      </c>
      <c r="G4">
        <f>COUNTIFS('Team Lineups'!C:C,A4,'Team Lineups'!G:G,"Win")</f>
        <v>3</v>
      </c>
      <c r="H4">
        <f>COUNTIFS('Team Lineups'!C:C,A4,'Team Lineups'!G:G,"Draw")</f>
        <v>0</v>
      </c>
      <c r="I4">
        <f>COUNTIFS('Team Lineups'!C:C,A4,'Team Lineups'!G:G,"Loss")</f>
        <v>2</v>
      </c>
      <c r="J4" s="3">
        <f t="shared" si="1"/>
        <v>0.6</v>
      </c>
      <c r="K4">
        <f>SUMIF('Team Lineups'!C:C,A4,'Team Lineups'!H:H)</f>
        <v>1</v>
      </c>
      <c r="L4">
        <f t="shared" si="2"/>
        <v>0.2</v>
      </c>
      <c r="M4">
        <f>SUMIF('Team Lineups'!C:C,A4,'Team Lineups'!I:I)</f>
        <v>1</v>
      </c>
      <c r="N4">
        <f>COUNTIF(Matches!G:G,A4)</f>
        <v>0</v>
      </c>
      <c r="O4">
        <f t="shared" si="3"/>
        <v>0</v>
      </c>
    </row>
    <row r="5" spans="1:15" x14ac:dyDescent="0.35">
      <c r="A5" t="s">
        <v>16</v>
      </c>
      <c r="C5">
        <f>COUNTIF('Team Lineups'!C:C,A5)</f>
        <v>5</v>
      </c>
      <c r="D5">
        <f>SUMIF('Team Lineups'!C:C,A5,'Team Lineups'!E:E)</f>
        <v>29</v>
      </c>
      <c r="E5">
        <f>SUMIF('Team Lineups'!C:C,A5,'Team Lineups'!F:F)</f>
        <v>42</v>
      </c>
      <c r="F5">
        <f t="shared" si="0"/>
        <v>-13</v>
      </c>
      <c r="G5">
        <f>COUNTIFS('Team Lineups'!C:C,A5,'Team Lineups'!G:G,"Win")</f>
        <v>0</v>
      </c>
      <c r="H5">
        <f>COUNTIFS('Team Lineups'!C:C,A5,'Team Lineups'!G:G,"Draw")</f>
        <v>2</v>
      </c>
      <c r="I5">
        <f>COUNTIFS('Team Lineups'!C:C,A5,'Team Lineups'!G:G,"Loss")</f>
        <v>3</v>
      </c>
      <c r="J5" s="3">
        <f t="shared" si="1"/>
        <v>0</v>
      </c>
      <c r="K5">
        <f>SUMIF('Team Lineups'!C:C,A5,'Team Lineups'!H:H)</f>
        <v>9</v>
      </c>
      <c r="L5">
        <f t="shared" si="2"/>
        <v>1.8</v>
      </c>
      <c r="M5">
        <f>SUMIF('Team Lineups'!C:C,A5,'Team Lineups'!I:I)</f>
        <v>7</v>
      </c>
      <c r="N5">
        <f>COUNTIF(Matches!G:G,A5)</f>
        <v>0</v>
      </c>
      <c r="O5">
        <f t="shared" si="3"/>
        <v>0</v>
      </c>
    </row>
    <row r="6" spans="1:15" x14ac:dyDescent="0.35">
      <c r="A6" t="s">
        <v>41</v>
      </c>
      <c r="C6">
        <f>COUNTIF('Team Lineups'!C:C,A6)</f>
        <v>3</v>
      </c>
      <c r="D6">
        <f>SUMIF('Team Lineups'!C:C,A6,'Team Lineups'!E:E)</f>
        <v>17</v>
      </c>
      <c r="E6">
        <f>SUMIF('Team Lineups'!C:C,A6,'Team Lineups'!F:F)</f>
        <v>13</v>
      </c>
      <c r="F6">
        <f t="shared" si="0"/>
        <v>4</v>
      </c>
      <c r="G6">
        <f>COUNTIFS('Team Lineups'!C:C,A6,'Team Lineups'!G:G,"Win")</f>
        <v>2</v>
      </c>
      <c r="H6">
        <f>COUNTIFS('Team Lineups'!C:C,A6,'Team Lineups'!G:G,"Draw")</f>
        <v>1</v>
      </c>
      <c r="I6">
        <f>COUNTIFS('Team Lineups'!C:C,A6,'Team Lineups'!G:G,"Loss")</f>
        <v>0</v>
      </c>
      <c r="J6" s="3">
        <f t="shared" si="1"/>
        <v>0.66666666666666663</v>
      </c>
      <c r="K6">
        <f>SUMIF('Team Lineups'!C:C,A6,'Team Lineups'!H:H)</f>
        <v>0</v>
      </c>
      <c r="L6">
        <f t="shared" si="2"/>
        <v>0</v>
      </c>
      <c r="M6">
        <f>SUMIF('Team Lineups'!C:C,A6,'Team Lineups'!I:I)</f>
        <v>2</v>
      </c>
      <c r="N6">
        <f>COUNTIF(Matches!G:G,A6)</f>
        <v>0</v>
      </c>
      <c r="O6">
        <f t="shared" si="3"/>
        <v>0</v>
      </c>
    </row>
    <row r="7" spans="1:15" x14ac:dyDescent="0.35">
      <c r="A7" t="s">
        <v>42</v>
      </c>
      <c r="C7">
        <f>COUNTIF('Team Lineups'!C:C,A7)</f>
        <v>8</v>
      </c>
      <c r="D7">
        <f>SUMIF('Team Lineups'!C:C,A7,'Team Lineups'!E:E)</f>
        <v>63</v>
      </c>
      <c r="E7">
        <f>SUMIF('Team Lineups'!C:C,A7,'Team Lineups'!F:F)</f>
        <v>75</v>
      </c>
      <c r="F7">
        <f t="shared" si="0"/>
        <v>-12</v>
      </c>
      <c r="G7">
        <f>COUNTIFS('Team Lineups'!C:C,A7,'Team Lineups'!G:G,"Win")</f>
        <v>2</v>
      </c>
      <c r="H7">
        <f>COUNTIFS('Team Lineups'!C:C,A7,'Team Lineups'!G:G,"Draw")</f>
        <v>1</v>
      </c>
      <c r="I7">
        <f>COUNTIFS('Team Lineups'!C:C,A7,'Team Lineups'!G:G,"Loss")</f>
        <v>5</v>
      </c>
      <c r="J7" s="3">
        <f t="shared" si="1"/>
        <v>0.25</v>
      </c>
      <c r="K7">
        <f>SUMIF('Team Lineups'!C:C,A7,'Team Lineups'!H:H)</f>
        <v>15</v>
      </c>
      <c r="L7">
        <f t="shared" si="2"/>
        <v>1.875</v>
      </c>
      <c r="M7">
        <f>SUMIF('Team Lineups'!C:C,A7,'Team Lineups'!I:I)</f>
        <v>9</v>
      </c>
      <c r="N7">
        <f>COUNTIF(Matches!G:G,A7)</f>
        <v>0</v>
      </c>
      <c r="O7">
        <f t="shared" si="3"/>
        <v>0</v>
      </c>
    </row>
    <row r="8" spans="1:15" x14ac:dyDescent="0.35">
      <c r="A8" t="s">
        <v>19</v>
      </c>
      <c r="C8">
        <f>COUNTIF('Team Lineups'!C:C,A8)</f>
        <v>8</v>
      </c>
      <c r="D8">
        <f>SUMIF('Team Lineups'!C:C,A8,'Team Lineups'!E:E)</f>
        <v>73</v>
      </c>
      <c r="E8">
        <f>SUMIF('Team Lineups'!C:C,A8,'Team Lineups'!F:F)</f>
        <v>59</v>
      </c>
      <c r="F8">
        <f t="shared" si="0"/>
        <v>14</v>
      </c>
      <c r="G8">
        <f>COUNTIFS('Team Lineups'!C:C,A8,'Team Lineups'!G:G,"Win")</f>
        <v>5</v>
      </c>
      <c r="H8">
        <f>COUNTIFS('Team Lineups'!C:C,A8,'Team Lineups'!G:G,"Draw")</f>
        <v>2</v>
      </c>
      <c r="I8">
        <f>COUNTIFS('Team Lineups'!C:C,A8,'Team Lineups'!G:G,"Loss")</f>
        <v>1</v>
      </c>
      <c r="J8" s="3">
        <f t="shared" si="1"/>
        <v>0.625</v>
      </c>
      <c r="K8">
        <f>SUMIF('Team Lineups'!C:C,A8,'Team Lineups'!H:H)</f>
        <v>22</v>
      </c>
      <c r="L8">
        <f t="shared" si="2"/>
        <v>2.75</v>
      </c>
      <c r="M8">
        <f>SUMIF('Team Lineups'!C:C,A8,'Team Lineups'!I:I)</f>
        <v>11</v>
      </c>
      <c r="N8">
        <f>COUNTIF(Matches!G:G,A8)</f>
        <v>2</v>
      </c>
      <c r="O8">
        <f t="shared" si="3"/>
        <v>0.25</v>
      </c>
    </row>
    <row r="9" spans="1:15" x14ac:dyDescent="0.35">
      <c r="A9" t="s">
        <v>43</v>
      </c>
      <c r="C9">
        <f>COUNTIF('Team Lineups'!C:C,A9)</f>
        <v>5</v>
      </c>
      <c r="D9">
        <f>SUMIF('Team Lineups'!C:C,A9,'Team Lineups'!E:E)</f>
        <v>31</v>
      </c>
      <c r="E9">
        <f>SUMIF('Team Lineups'!C:C,A9,'Team Lineups'!F:F)</f>
        <v>35</v>
      </c>
      <c r="F9">
        <f t="shared" si="0"/>
        <v>-4</v>
      </c>
      <c r="G9">
        <f>COUNTIFS('Team Lineups'!C:C,A9,'Team Lineups'!G:G,"Win")</f>
        <v>2</v>
      </c>
      <c r="H9">
        <f>COUNTIFS('Team Lineups'!C:C,A9,'Team Lineups'!G:G,"Draw")</f>
        <v>1</v>
      </c>
      <c r="I9">
        <f>COUNTIFS('Team Lineups'!C:C,A9,'Team Lineups'!G:G,"Loss")</f>
        <v>2</v>
      </c>
      <c r="J9" s="3">
        <f t="shared" si="1"/>
        <v>0.4</v>
      </c>
      <c r="K9">
        <f>SUMIF('Team Lineups'!C:C,A9,'Team Lineups'!H:H)</f>
        <v>1</v>
      </c>
      <c r="L9">
        <f t="shared" si="2"/>
        <v>0.2</v>
      </c>
      <c r="M9">
        <f>SUMIF('Team Lineups'!C:C,A9,'Team Lineups'!I:I)</f>
        <v>3</v>
      </c>
      <c r="N9">
        <f>COUNTIF(Matches!G:G,A9)</f>
        <v>0</v>
      </c>
      <c r="O9">
        <f t="shared" si="3"/>
        <v>0</v>
      </c>
    </row>
    <row r="10" spans="1:15" x14ac:dyDescent="0.35">
      <c r="A10" t="s">
        <v>44</v>
      </c>
      <c r="C10">
        <f>COUNTIF('Team Lineups'!C:C,A10)</f>
        <v>4</v>
      </c>
      <c r="D10">
        <f>SUMIF('Team Lineups'!C:C,A10,'Team Lineups'!E:E)</f>
        <v>28</v>
      </c>
      <c r="E10">
        <f>SUMIF('Team Lineups'!C:C,A10,'Team Lineups'!F:F)</f>
        <v>25</v>
      </c>
      <c r="F10">
        <f t="shared" si="0"/>
        <v>3</v>
      </c>
      <c r="G10">
        <f>COUNTIFS('Team Lineups'!C:C,A10,'Team Lineups'!G:G,"Win")</f>
        <v>2</v>
      </c>
      <c r="H10">
        <f>COUNTIFS('Team Lineups'!C:C,A10,'Team Lineups'!G:G,"Draw")</f>
        <v>1</v>
      </c>
      <c r="I10">
        <f>COUNTIFS('Team Lineups'!C:C,A10,'Team Lineups'!G:G,"Loss")</f>
        <v>1</v>
      </c>
      <c r="J10" s="3">
        <f t="shared" si="1"/>
        <v>0.5</v>
      </c>
      <c r="K10">
        <f>SUMIF('Team Lineups'!C:C,A10,'Team Lineups'!H:H)</f>
        <v>5</v>
      </c>
      <c r="L10">
        <f t="shared" si="2"/>
        <v>1.25</v>
      </c>
      <c r="M10">
        <f>SUMIF('Team Lineups'!C:C,A10,'Team Lineups'!I:I)</f>
        <v>4</v>
      </c>
      <c r="N10">
        <f>COUNTIF(Matches!G:G,A10)</f>
        <v>1</v>
      </c>
      <c r="O10">
        <f t="shared" si="3"/>
        <v>0.25</v>
      </c>
    </row>
    <row r="11" spans="1:15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1"/>
        <v>#DIV/0!</v>
      </c>
      <c r="K11">
        <f>SUMIF('Team Lineups'!C:C,A11,'Team Lineups'!H:H)</f>
        <v>0</v>
      </c>
      <c r="L11" t="e">
        <f t="shared" si="2"/>
        <v>#DIV/0!</v>
      </c>
      <c r="M11">
        <f>SUMIF('Team Lineups'!C:C,A11,'Team Lineups'!I:I)</f>
        <v>0</v>
      </c>
      <c r="N11">
        <f>COUNTIF(Matches!G:G,A11)</f>
        <v>0</v>
      </c>
      <c r="O11" t="e">
        <f t="shared" si="3"/>
        <v>#DIV/0!</v>
      </c>
    </row>
    <row r="12" spans="1:15" x14ac:dyDescent="0.35">
      <c r="A12" t="s">
        <v>46</v>
      </c>
      <c r="C12">
        <f>COUNTIF('Team Lineups'!C:C,A12)</f>
        <v>6</v>
      </c>
      <c r="D12">
        <f>SUMIF('Team Lineups'!C:C,A12,'Team Lineups'!E:E)</f>
        <v>51</v>
      </c>
      <c r="E12">
        <f>SUMIF('Team Lineups'!C:C,A12,'Team Lineups'!F:F)</f>
        <v>56</v>
      </c>
      <c r="F12">
        <f t="shared" si="0"/>
        <v>-5</v>
      </c>
      <c r="G12">
        <f>COUNTIFS('Team Lineups'!C:C,A12,'Team Lineups'!G:G,"Win")</f>
        <v>2</v>
      </c>
      <c r="H12">
        <f>COUNTIFS('Team Lineups'!C:C,A12,'Team Lineups'!G:G,"Draw")</f>
        <v>0</v>
      </c>
      <c r="I12">
        <f>COUNTIFS('Team Lineups'!C:C,A12,'Team Lineups'!G:G,"Loss")</f>
        <v>4</v>
      </c>
      <c r="J12" s="3">
        <f t="shared" si="1"/>
        <v>0.33333333333333331</v>
      </c>
      <c r="K12">
        <f>SUMIF('Team Lineups'!C:C,A12,'Team Lineups'!H:H)</f>
        <v>14</v>
      </c>
      <c r="L12">
        <f t="shared" si="2"/>
        <v>2.3333333333333335</v>
      </c>
      <c r="M12">
        <f>SUMIF('Team Lineups'!C:C,A12,'Team Lineups'!I:I)</f>
        <v>4</v>
      </c>
      <c r="N12">
        <f>COUNTIF(Matches!G:G,A12)</f>
        <v>1</v>
      </c>
      <c r="O12">
        <f t="shared" si="3"/>
        <v>0.16666666666666666</v>
      </c>
    </row>
    <row r="13" spans="1:15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1"/>
        <v>#DIV/0!</v>
      </c>
      <c r="K13">
        <f>SUMIF('Team Lineups'!C:C,A13,'Team Lineups'!H:H)</f>
        <v>0</v>
      </c>
      <c r="L13" t="e">
        <f t="shared" si="2"/>
        <v>#DIV/0!</v>
      </c>
      <c r="M13">
        <f>SUMIF('Team Lineups'!C:C,A13,'Team Lineups'!I:I)</f>
        <v>0</v>
      </c>
      <c r="N13">
        <f>COUNTIF(Matches!G:G,A13)</f>
        <v>0</v>
      </c>
      <c r="O13" t="e">
        <f t="shared" si="3"/>
        <v>#DIV/0!</v>
      </c>
    </row>
    <row r="14" spans="1:15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1"/>
        <v>#DIV/0!</v>
      </c>
      <c r="K14">
        <f>SUMIF('Team Lineups'!C:C,A14,'Team Lineups'!H:H)</f>
        <v>0</v>
      </c>
      <c r="L14" t="e">
        <f t="shared" si="2"/>
        <v>#DIV/0!</v>
      </c>
      <c r="M14">
        <f>SUMIF('Team Lineups'!C:C,A14,'Team Lineups'!I:I)</f>
        <v>0</v>
      </c>
      <c r="N14">
        <f>COUNTIF(Matches!G:G,A14)</f>
        <v>0</v>
      </c>
      <c r="O14" t="e">
        <f t="shared" si="3"/>
        <v>#DIV/0!</v>
      </c>
    </row>
    <row r="15" spans="1:15" x14ac:dyDescent="0.35">
      <c r="A15" t="s">
        <v>49</v>
      </c>
      <c r="C15">
        <f>COUNTIF('Team Lineups'!C:C,A15)</f>
        <v>1</v>
      </c>
      <c r="D15">
        <f>SUMIF('Team Lineups'!C:C,A15,'Team Lineups'!E:E)</f>
        <v>9</v>
      </c>
      <c r="E15">
        <f>SUMIF('Team Lineups'!C:C,A15,'Team Lineups'!F:F)</f>
        <v>7</v>
      </c>
      <c r="F15">
        <f t="shared" si="0"/>
        <v>2</v>
      </c>
      <c r="G15">
        <f>COUNTIFS('Team Lineups'!C:C,A15,'Team Lineups'!G:G,"Win")</f>
        <v>1</v>
      </c>
      <c r="H15">
        <f>COUNTIFS('Team Lineups'!C:C,A15,'Team Lineups'!G:G,"Draw")</f>
        <v>0</v>
      </c>
      <c r="I15">
        <f>COUNTIFS('Team Lineups'!C:C,A15,'Team Lineups'!G:G,"Loss")</f>
        <v>0</v>
      </c>
      <c r="J15" s="3">
        <f t="shared" si="1"/>
        <v>1</v>
      </c>
      <c r="K15">
        <f>SUMIF('Team Lineups'!C:C,A15,'Team Lineups'!H:H)</f>
        <v>1</v>
      </c>
      <c r="L15">
        <f t="shared" si="2"/>
        <v>1</v>
      </c>
      <c r="M15">
        <f>SUMIF('Team Lineups'!C:C,A15,'Team Lineups'!I:I)</f>
        <v>1</v>
      </c>
      <c r="N15">
        <f>COUNTIF(Matches!G:G,A15)</f>
        <v>0</v>
      </c>
      <c r="O15">
        <f t="shared" si="3"/>
        <v>0</v>
      </c>
    </row>
    <row r="16" spans="1:15" x14ac:dyDescent="0.35">
      <c r="A16" t="s">
        <v>24</v>
      </c>
      <c r="C16">
        <f>COUNTIF('Team Lineups'!C:C,A16)</f>
        <v>6</v>
      </c>
      <c r="D16">
        <f>SUMIF('Team Lineups'!C:C,A16,'Team Lineups'!E:E)</f>
        <v>36</v>
      </c>
      <c r="E16">
        <f>SUMIF('Team Lineups'!C:C,A16,'Team Lineups'!F:F)</f>
        <v>37</v>
      </c>
      <c r="F16">
        <f t="shared" si="0"/>
        <v>-1</v>
      </c>
      <c r="G16">
        <f>COUNTIFS('Team Lineups'!C:C,A16,'Team Lineups'!G:G,"Win")</f>
        <v>2</v>
      </c>
      <c r="H16">
        <f>COUNTIFS('Team Lineups'!C:C,A16,'Team Lineups'!G:G,"Draw")</f>
        <v>2</v>
      </c>
      <c r="I16">
        <f>COUNTIFS('Team Lineups'!C:C,A16,'Team Lineups'!G:G,"Loss")</f>
        <v>2</v>
      </c>
      <c r="J16" s="3">
        <f t="shared" si="1"/>
        <v>0.33333333333333331</v>
      </c>
      <c r="K16">
        <f>SUMIF('Team Lineups'!C:C,A16,'Team Lineups'!H:H)</f>
        <v>3</v>
      </c>
      <c r="L16">
        <f t="shared" si="2"/>
        <v>0.5</v>
      </c>
      <c r="M16">
        <f>SUMIF('Team Lineups'!C:C,A16,'Team Lineups'!I:I)</f>
        <v>1</v>
      </c>
      <c r="N16">
        <f>COUNTIF(Matches!G:G,A16)</f>
        <v>0</v>
      </c>
      <c r="O16">
        <f t="shared" si="3"/>
        <v>0</v>
      </c>
    </row>
    <row r="17" spans="1:15" x14ac:dyDescent="0.35">
      <c r="A17" t="s">
        <v>20</v>
      </c>
      <c r="C17">
        <f>COUNTIF('Team Lineups'!C:C,A17)</f>
        <v>6</v>
      </c>
      <c r="D17">
        <f>SUMIF('Team Lineups'!C:C,A17,'Team Lineups'!E:E)</f>
        <v>37</v>
      </c>
      <c r="E17">
        <f>SUMIF('Team Lineups'!C:C,A17,'Team Lineups'!F:F)</f>
        <v>36</v>
      </c>
      <c r="F17">
        <f t="shared" si="0"/>
        <v>1</v>
      </c>
      <c r="G17">
        <f>COUNTIFS('Team Lineups'!C:C,A17,'Team Lineups'!G:G,"Win")</f>
        <v>2</v>
      </c>
      <c r="H17">
        <f>COUNTIFS('Team Lineups'!C:C,A17,'Team Lineups'!G:G,"Draw")</f>
        <v>2</v>
      </c>
      <c r="I17">
        <f>COUNTIFS('Team Lineups'!C:C,A17,'Team Lineups'!G:G,"Loss")</f>
        <v>2</v>
      </c>
      <c r="J17" s="3">
        <f t="shared" si="1"/>
        <v>0.33333333333333331</v>
      </c>
      <c r="K17">
        <f>SUMIF('Team Lineups'!C:C,A17,'Team Lineups'!H:H)</f>
        <v>1</v>
      </c>
      <c r="L17">
        <f t="shared" si="2"/>
        <v>0.16666666666666666</v>
      </c>
      <c r="M17">
        <f>SUMIF('Team Lineups'!C:C,A17,'Team Lineups'!I:I)</f>
        <v>2</v>
      </c>
      <c r="N17">
        <f>COUNTIF(Matches!G:G,A17)</f>
        <v>0</v>
      </c>
      <c r="O17">
        <f t="shared" si="3"/>
        <v>0</v>
      </c>
    </row>
    <row r="18" spans="1:15" x14ac:dyDescent="0.35">
      <c r="A18" t="s">
        <v>21</v>
      </c>
      <c r="C18">
        <f>COUNTIF('Team Lineups'!C:C,A18)</f>
        <v>9</v>
      </c>
      <c r="D18">
        <f>SUMIF('Team Lineups'!C:C,A18,'Team Lineups'!E:E)</f>
        <v>74</v>
      </c>
      <c r="E18">
        <f>SUMIF('Team Lineups'!C:C,A18,'Team Lineups'!F:F)</f>
        <v>77</v>
      </c>
      <c r="F18">
        <f t="shared" si="0"/>
        <v>-3</v>
      </c>
      <c r="G18">
        <f>COUNTIFS('Team Lineups'!C:C,A18,'Team Lineups'!G:G,"Win")</f>
        <v>3</v>
      </c>
      <c r="H18">
        <f>COUNTIFS('Team Lineups'!C:C,A18,'Team Lineups'!G:G,"Draw")</f>
        <v>1</v>
      </c>
      <c r="I18">
        <f>COUNTIFS('Team Lineups'!C:C,A18,'Team Lineups'!G:G,"Loss")</f>
        <v>5</v>
      </c>
      <c r="J18" s="3">
        <f t="shared" si="1"/>
        <v>0.33333333333333331</v>
      </c>
      <c r="K18">
        <f>SUMIF('Team Lineups'!C:C,A18,'Team Lineups'!H:H)</f>
        <v>7</v>
      </c>
      <c r="L18">
        <f t="shared" si="2"/>
        <v>0.77777777777777779</v>
      </c>
      <c r="M18">
        <f>SUMIF('Team Lineups'!C:C,A18,'Team Lineups'!I:I)</f>
        <v>4</v>
      </c>
      <c r="N18">
        <f>COUNTIF(Matches!G:G,A18)</f>
        <v>1</v>
      </c>
      <c r="O18">
        <f t="shared" si="3"/>
        <v>0.1111111111111111</v>
      </c>
    </row>
    <row r="19" spans="1:15" x14ac:dyDescent="0.35">
      <c r="A19" t="s">
        <v>50</v>
      </c>
      <c r="C19">
        <f>COUNTIF('Team Lineups'!C:C,A19)</f>
        <v>2</v>
      </c>
      <c r="D19">
        <f>SUMIF('Team Lineups'!C:C,A19,'Team Lineups'!E:E)</f>
        <v>24</v>
      </c>
      <c r="E19">
        <f>SUMIF('Team Lineups'!C:C,A19,'Team Lineups'!F:F)</f>
        <v>21</v>
      </c>
      <c r="F19">
        <f t="shared" si="0"/>
        <v>3</v>
      </c>
      <c r="G19">
        <f>COUNTIFS('Team Lineups'!C:C,A19,'Team Lineups'!G:G,"Win")</f>
        <v>2</v>
      </c>
      <c r="H19">
        <f>COUNTIFS('Team Lineups'!C:C,A19,'Team Lineups'!G:G,"Draw")</f>
        <v>0</v>
      </c>
      <c r="I19">
        <f>COUNTIFS('Team Lineups'!C:C,A19,'Team Lineups'!G:G,"Loss")</f>
        <v>0</v>
      </c>
      <c r="J19" s="3">
        <f t="shared" si="1"/>
        <v>1</v>
      </c>
      <c r="K19">
        <f>SUMIF('Team Lineups'!C:C,A19,'Team Lineups'!H:H)</f>
        <v>7</v>
      </c>
      <c r="L19">
        <f t="shared" si="2"/>
        <v>3.5</v>
      </c>
      <c r="M19">
        <f>SUMIF('Team Lineups'!C:C,A19,'Team Lineups'!I:I)</f>
        <v>1</v>
      </c>
      <c r="N19">
        <f>COUNTIF(Matches!G:G,A19)</f>
        <v>0</v>
      </c>
      <c r="O19">
        <f t="shared" si="3"/>
        <v>0</v>
      </c>
    </row>
    <row r="20" spans="1:15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1"/>
        <v>0</v>
      </c>
      <c r="K20">
        <f>SUMIF('Team Lineups'!C:C,A20,'Team Lineups'!H:H)</f>
        <v>0</v>
      </c>
      <c r="L20">
        <f t="shared" si="2"/>
        <v>0</v>
      </c>
      <c r="M20">
        <f>SUMIF('Team Lineups'!C:C,A20,'Team Lineups'!I:I)</f>
        <v>0</v>
      </c>
      <c r="N20">
        <f>COUNTIF(Matches!G:G,A20)</f>
        <v>0</v>
      </c>
      <c r="O20">
        <f t="shared" si="3"/>
        <v>0</v>
      </c>
    </row>
    <row r="21" spans="1:15" x14ac:dyDescent="0.35">
      <c r="A21" t="s">
        <v>51</v>
      </c>
      <c r="C21">
        <f>COUNTIF('Team Lineups'!C:C,A21)</f>
        <v>2</v>
      </c>
      <c r="D21">
        <f>SUMIF('Team Lineups'!C:C,A21,'Team Lineups'!E:E)</f>
        <v>13</v>
      </c>
      <c r="E21">
        <f>SUMIF('Team Lineups'!C:C,A21,'Team Lineups'!F:F)</f>
        <v>16</v>
      </c>
      <c r="F21">
        <f t="shared" si="0"/>
        <v>-3</v>
      </c>
      <c r="G21">
        <f>COUNTIFS('Team Lineups'!C:C,A21,'Team Lineups'!G:G,"Win")</f>
        <v>0</v>
      </c>
      <c r="H21">
        <f>COUNTIFS('Team Lineups'!C:C,A21,'Team Lineups'!G:G,"Draw")</f>
        <v>0</v>
      </c>
      <c r="I21">
        <f>COUNTIFS('Team Lineups'!C:C,A21,'Team Lineups'!G:G,"Loss")</f>
        <v>2</v>
      </c>
      <c r="J21" s="3">
        <f t="shared" si="1"/>
        <v>0</v>
      </c>
      <c r="K21">
        <f>SUMIF('Team Lineups'!C:C,A21,'Team Lineups'!H:H)</f>
        <v>2</v>
      </c>
      <c r="L21">
        <f t="shared" si="2"/>
        <v>1</v>
      </c>
      <c r="M21">
        <f>SUMIF('Team Lineups'!C:C,A21,'Team Lineups'!I:I)</f>
        <v>2</v>
      </c>
      <c r="N21">
        <f>COUNTIF(Matches!G:G,A21)</f>
        <v>0</v>
      </c>
      <c r="O21">
        <f t="shared" si="3"/>
        <v>0</v>
      </c>
    </row>
    <row r="22" spans="1:15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1"/>
        <v>#DIV/0!</v>
      </c>
      <c r="K22">
        <f>SUMIF('Team Lineups'!C:C,A22,'Team Lineups'!H:H)</f>
        <v>0</v>
      </c>
      <c r="L22" t="e">
        <f t="shared" si="2"/>
        <v>#DIV/0!</v>
      </c>
      <c r="M22">
        <f>SUMIF('Team Lineups'!C:C,A22,'Team Lineups'!I:I)</f>
        <v>0</v>
      </c>
      <c r="N22">
        <f>COUNTIF(Matches!G:G,A22)</f>
        <v>0</v>
      </c>
      <c r="O22" t="e">
        <f t="shared" si="3"/>
        <v>#DIV/0!</v>
      </c>
    </row>
    <row r="23" spans="1:15" x14ac:dyDescent="0.35">
      <c r="A23" t="s">
        <v>22</v>
      </c>
      <c r="C23">
        <f>COUNTIF('Team Lineups'!C:C,A23)</f>
        <v>7</v>
      </c>
      <c r="D23">
        <f>SUMIF('Team Lineups'!C:C,A23,'Team Lineups'!E:E)</f>
        <v>53</v>
      </c>
      <c r="E23">
        <f>SUMIF('Team Lineups'!C:C,A23,'Team Lineups'!F:F)</f>
        <v>52</v>
      </c>
      <c r="F23">
        <f t="shared" si="0"/>
        <v>1</v>
      </c>
      <c r="G23">
        <f>COUNTIFS('Team Lineups'!C:C,A23,'Team Lineups'!G:G,"Win")</f>
        <v>3</v>
      </c>
      <c r="H23">
        <f>COUNTIFS('Team Lineups'!C:C,A23,'Team Lineups'!G:G,"Draw")</f>
        <v>2</v>
      </c>
      <c r="I23">
        <f>COUNTIFS('Team Lineups'!C:C,A23,'Team Lineups'!G:G,"Loss")</f>
        <v>2</v>
      </c>
      <c r="J23" s="3">
        <f t="shared" si="1"/>
        <v>0.42857142857142855</v>
      </c>
      <c r="K23">
        <f>SUMIF('Team Lineups'!C:C,A23,'Team Lineups'!H:H)</f>
        <v>10</v>
      </c>
      <c r="L23">
        <f t="shared" si="2"/>
        <v>1.4285714285714286</v>
      </c>
      <c r="M23">
        <f>SUMIF('Team Lineups'!C:C,A23,'Team Lineups'!I:I)</f>
        <v>2</v>
      </c>
      <c r="N23">
        <f>COUNTIF(Matches!G:G,A23)</f>
        <v>2</v>
      </c>
      <c r="O23">
        <f t="shared" si="3"/>
        <v>0.2857142857142857</v>
      </c>
    </row>
    <row r="24" spans="1:15" x14ac:dyDescent="0.35">
      <c r="A24" t="s">
        <v>25</v>
      </c>
      <c r="C24">
        <f>COUNTIF('Team Lineups'!C:C,A24)</f>
        <v>9</v>
      </c>
      <c r="D24">
        <f>SUMIF('Team Lineups'!C:C,A24,'Team Lineups'!E:E)</f>
        <v>66</v>
      </c>
      <c r="E24">
        <f>SUMIF('Team Lineups'!C:C,A24,'Team Lineups'!F:F)</f>
        <v>62</v>
      </c>
      <c r="F24">
        <f t="shared" si="0"/>
        <v>4</v>
      </c>
      <c r="G24">
        <f>COUNTIFS('Team Lineups'!C:C,A24,'Team Lineups'!G:G,"Win")</f>
        <v>3</v>
      </c>
      <c r="H24">
        <f>COUNTIFS('Team Lineups'!C:C,A24,'Team Lineups'!G:G,"Draw")</f>
        <v>2</v>
      </c>
      <c r="I24">
        <f>COUNTIFS('Team Lineups'!C:C,A24,'Team Lineups'!G:G,"Loss")</f>
        <v>4</v>
      </c>
      <c r="J24" s="3">
        <f t="shared" si="1"/>
        <v>0.33333333333333331</v>
      </c>
      <c r="K24">
        <f>SUMIF('Team Lineups'!C:C,A24,'Team Lineups'!H:H)</f>
        <v>5</v>
      </c>
      <c r="L24">
        <f t="shared" si="2"/>
        <v>0.55555555555555558</v>
      </c>
      <c r="M24">
        <f>SUMIF('Team Lineups'!C:C,A24,'Team Lineups'!I:I)</f>
        <v>6</v>
      </c>
      <c r="N24">
        <f>COUNTIF(Matches!G:G,A24)</f>
        <v>0</v>
      </c>
      <c r="O24">
        <f t="shared" si="3"/>
        <v>0</v>
      </c>
    </row>
    <row r="25" spans="1:15" x14ac:dyDescent="0.35">
      <c r="A25" t="s">
        <v>53</v>
      </c>
      <c r="C25">
        <f>COUNTIF('Team Lineups'!C:C,A25)</f>
        <v>8</v>
      </c>
      <c r="D25">
        <f>SUMIF('Team Lineups'!C:C,A25,'Team Lineups'!E:E)</f>
        <v>68</v>
      </c>
      <c r="E25">
        <f>SUMIF('Team Lineups'!C:C,A25,'Team Lineups'!F:F)</f>
        <v>62</v>
      </c>
      <c r="F25">
        <f t="shared" si="0"/>
        <v>6</v>
      </c>
      <c r="G25">
        <f>COUNTIFS('Team Lineups'!C:C,A25,'Team Lineups'!G:G,"Win")</f>
        <v>4</v>
      </c>
      <c r="H25">
        <f>COUNTIFS('Team Lineups'!C:C,A25,'Team Lineups'!G:G,"Draw")</f>
        <v>1</v>
      </c>
      <c r="I25">
        <f>COUNTIFS('Team Lineups'!C:C,A25,'Team Lineups'!G:G,"Loss")</f>
        <v>3</v>
      </c>
      <c r="J25" s="3">
        <f t="shared" si="1"/>
        <v>0.5</v>
      </c>
      <c r="K25">
        <f>SUMIF('Team Lineups'!C:C,A25,'Team Lineups'!H:H)</f>
        <v>14</v>
      </c>
      <c r="L25">
        <f t="shared" si="2"/>
        <v>1.75</v>
      </c>
      <c r="M25">
        <f>SUMIF('Team Lineups'!C:C,A25,'Team Lineups'!I:I)</f>
        <v>6</v>
      </c>
      <c r="N25">
        <f>COUNTIF(Matches!G:G,A25)</f>
        <v>0</v>
      </c>
      <c r="O25">
        <f t="shared" si="3"/>
        <v>0</v>
      </c>
    </row>
    <row r="26" spans="1:15" x14ac:dyDescent="0.35">
      <c r="A26" t="s">
        <v>54</v>
      </c>
      <c r="C26">
        <f>COUNTIF('Team Lineups'!C:C,A26)</f>
        <v>2</v>
      </c>
      <c r="D26">
        <f>SUMIF('Team Lineups'!C:C,A26,'Team Lineups'!E:E)</f>
        <v>10</v>
      </c>
      <c r="E26">
        <f>SUMIF('Team Lineups'!C:C,A26,'Team Lineups'!F:F)</f>
        <v>13</v>
      </c>
      <c r="F26">
        <f t="shared" si="0"/>
        <v>-3</v>
      </c>
      <c r="G26">
        <f>COUNTIFS('Team Lineups'!C:C,A26,'Team Lineups'!G:G,"Win")</f>
        <v>0</v>
      </c>
      <c r="H26">
        <f>COUNTIFS('Team Lineups'!C:C,A26,'Team Lineups'!G:G,"Draw")</f>
        <v>0</v>
      </c>
      <c r="I26">
        <f>COUNTIFS('Team Lineups'!C:C,A26,'Team Lineups'!G:G,"Loss")</f>
        <v>2</v>
      </c>
      <c r="J26" s="3">
        <f t="shared" si="1"/>
        <v>0</v>
      </c>
      <c r="K26">
        <f>SUMIF('Team Lineups'!C:C,A26,'Team Lineups'!H:H)</f>
        <v>0</v>
      </c>
      <c r="L26">
        <f t="shared" si="2"/>
        <v>0</v>
      </c>
      <c r="M26">
        <f>SUMIF('Team Lineups'!C:C,A26,'Team Lineups'!I:I)</f>
        <v>0</v>
      </c>
      <c r="N26">
        <f>COUNTIF(Matches!G:G,A26)</f>
        <v>0</v>
      </c>
      <c r="O26">
        <f t="shared" si="3"/>
        <v>0</v>
      </c>
    </row>
    <row r="27" spans="1:15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1"/>
        <v>0</v>
      </c>
      <c r="K27">
        <f>SUMIF('Team Lineups'!C:C,A27,'Team Lineups'!H:H)</f>
        <v>0</v>
      </c>
      <c r="L27">
        <f t="shared" si="2"/>
        <v>0</v>
      </c>
      <c r="M27">
        <f>SUMIF('Team Lineups'!C:C,A27,'Team Lineups'!I:I)</f>
        <v>0</v>
      </c>
      <c r="N27">
        <f>COUNTIF(Matches!G:G,A27)</f>
        <v>0</v>
      </c>
      <c r="O27">
        <f t="shared" si="3"/>
        <v>0</v>
      </c>
    </row>
    <row r="28" spans="1:15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1" si="4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1" si="5">G28/C28</f>
        <v>1</v>
      </c>
      <c r="K28">
        <f>SUMIF('Team Lineups'!C:C,A28,'Team Lineups'!H:H)</f>
        <v>2</v>
      </c>
      <c r="L28">
        <f t="shared" ref="L28:L31" si="6">K28/C28</f>
        <v>2</v>
      </c>
      <c r="M28">
        <f>SUMIF('Team Lineups'!C:C,A28,'Team Lineups'!I:I)</f>
        <v>2</v>
      </c>
      <c r="N28">
        <f>COUNTIF(Matches!G:G,A28)</f>
        <v>0</v>
      </c>
      <c r="O28">
        <f t="shared" ref="O28:O31" si="7">N28/C28</f>
        <v>0</v>
      </c>
    </row>
    <row r="29" spans="1:15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4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5"/>
        <v>0.6</v>
      </c>
      <c r="K29">
        <f>SUMIF('Team Lineups'!C:C,A29,'Team Lineups'!H:H)</f>
        <v>4</v>
      </c>
      <c r="L29">
        <f t="shared" si="6"/>
        <v>0.8</v>
      </c>
      <c r="M29">
        <f>SUMIF('Team Lineups'!C:C,A29,'Team Lineups'!I:I)</f>
        <v>1</v>
      </c>
      <c r="N29">
        <f>COUNTIF(Matches!G:G,A29)</f>
        <v>0</v>
      </c>
      <c r="O29">
        <f t="shared" si="7"/>
        <v>0</v>
      </c>
    </row>
    <row r="30" spans="1:15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4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5"/>
        <v>0</v>
      </c>
      <c r="K30">
        <f>SUMIF('Team Lineups'!C:C,A30,'Team Lineups'!H:H)</f>
        <v>0</v>
      </c>
      <c r="L30">
        <f t="shared" si="6"/>
        <v>0</v>
      </c>
      <c r="M30">
        <f>SUMIF('Team Lineups'!C:C,A30,'Team Lineups'!I:I)</f>
        <v>0</v>
      </c>
      <c r="N30">
        <f>COUNTIF(Matches!G:G,A30)</f>
        <v>0</v>
      </c>
      <c r="O30">
        <f t="shared" si="7"/>
        <v>0</v>
      </c>
    </row>
    <row r="31" spans="1:15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4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5"/>
        <v>0</v>
      </c>
      <c r="K31">
        <f>SUMIF('Team Lineups'!C:C,A31,'Team Lineups'!H:H)</f>
        <v>1</v>
      </c>
      <c r="L31">
        <f t="shared" si="6"/>
        <v>1</v>
      </c>
      <c r="M31">
        <f>SUMIF('Team Lineups'!C:C,A31,'Team Lineups'!I:I)</f>
        <v>3</v>
      </c>
      <c r="N31">
        <f>COUNTIF(Matches!G:G,A31)</f>
        <v>0</v>
      </c>
      <c r="O31">
        <f t="shared" si="7"/>
        <v>0</v>
      </c>
    </row>
    <row r="32" spans="1:15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ref="F32" si="8">D32-E32</f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ref="J32" si="9">G32/C32</f>
        <v>1</v>
      </c>
      <c r="K32">
        <f>SUMIF('Team Lineups'!C:C,A32,'Team Lineups'!H:H)</f>
        <v>2</v>
      </c>
      <c r="L32">
        <f t="shared" ref="L32" si="10">K32/C32</f>
        <v>2</v>
      </c>
      <c r="M32">
        <f>SUMIF('Team Lineups'!C:C,A32,'Team Lineups'!I:I)</f>
        <v>3</v>
      </c>
      <c r="N32">
        <f>COUNTIF(Matches!G:G,A32)</f>
        <v>0</v>
      </c>
      <c r="O32">
        <f t="shared" ref="O32" si="11">N32/C32</f>
        <v>0</v>
      </c>
    </row>
    <row r="33" spans="1:15" x14ac:dyDescent="0.35">
      <c r="A33" t="s">
        <v>66</v>
      </c>
      <c r="C33">
        <f>COUNTIF('Team Lineups'!C:C,A33)</f>
        <v>5</v>
      </c>
      <c r="D33">
        <f>SUMIF('Team Lineups'!C:C,A33,'Team Lineups'!E:E)</f>
        <v>42</v>
      </c>
      <c r="E33">
        <f>SUMIF('Team Lineups'!C:C,A33,'Team Lineups'!F:F)</f>
        <v>38</v>
      </c>
      <c r="F33">
        <f t="shared" ref="F33" si="12">D33-E33</f>
        <v>4</v>
      </c>
      <c r="G33">
        <f>COUNTIFS('Team Lineups'!C:C,A33,'Team Lineups'!G:G,"Win")</f>
        <v>3</v>
      </c>
      <c r="H33">
        <f>COUNTIFS('Team Lineups'!C:C,A33,'Team Lineups'!G:G,"Draw")</f>
        <v>1</v>
      </c>
      <c r="I33">
        <f>COUNTIFS('Team Lineups'!C:C,A33,'Team Lineups'!G:G,"Loss")</f>
        <v>1</v>
      </c>
      <c r="J33" s="3">
        <f t="shared" ref="J33" si="13">G33/C33</f>
        <v>0.6</v>
      </c>
      <c r="K33">
        <f>SUMIF('Team Lineups'!C:C,A33,'Team Lineups'!H:H)</f>
        <v>22</v>
      </c>
      <c r="L33">
        <f t="shared" ref="L33" si="14">K33/C33</f>
        <v>4.4000000000000004</v>
      </c>
      <c r="M33">
        <f>SUMIF('Team Lineups'!C:C,A33,'Team Lineups'!I:I)</f>
        <v>7</v>
      </c>
      <c r="N33">
        <f>COUNTIF(Matches!G:G,A33)</f>
        <v>1</v>
      </c>
      <c r="O33">
        <f t="shared" ref="O33" si="15">N33/C33</f>
        <v>0.2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Team Lineups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2026-01-30T11:38:31Z</dcterms:modified>
</cp:coreProperties>
</file>