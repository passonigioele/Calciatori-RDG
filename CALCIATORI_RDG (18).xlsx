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4C7090C3-3467-4D6C-AE19-AD1F437A3F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1" i="6" l="1" a="1"/>
  <c r="AO41" i="6" s="1"/>
  <c r="AN40" i="6" a="1"/>
  <c r="AN40" i="6" s="1"/>
  <c r="AM39" i="6" a="1"/>
  <c r="AM39" i="6" s="1"/>
  <c r="AL38" i="6" a="1"/>
  <c r="AL38" i="6" s="1"/>
  <c r="AK37" i="6" a="1"/>
  <c r="AK37" i="6" s="1"/>
  <c r="AJ36" i="6" a="1"/>
  <c r="AJ36" i="6" s="1"/>
  <c r="AI35" i="6" a="1"/>
  <c r="AI35" i="6" s="1"/>
  <c r="AH34" i="6" a="1"/>
  <c r="AH34" i="6" s="1"/>
  <c r="AG33" i="6" a="1"/>
  <c r="AG33" i="6" s="1"/>
  <c r="AF32" i="6" a="1"/>
  <c r="AF32" i="6" s="1"/>
  <c r="AE31" i="6" a="1"/>
  <c r="AE31" i="6" s="1"/>
  <c r="AD30" i="6" a="1"/>
  <c r="AD30" i="6" s="1"/>
  <c r="AC29" i="6" a="1"/>
  <c r="AC29" i="6" s="1"/>
  <c r="AB28" i="6" a="1"/>
  <c r="AB28" i="6" s="1"/>
  <c r="AA27" i="6" a="1"/>
  <c r="AA27" i="6" s="1"/>
  <c r="Z26" i="6" a="1"/>
  <c r="Z26" i="6" s="1"/>
  <c r="Y25" i="6" a="1"/>
  <c r="Y25" i="6" s="1"/>
  <c r="X24" i="6" a="1"/>
  <c r="X24" i="6" s="1"/>
  <c r="W23" i="6" a="1"/>
  <c r="W23" i="6" s="1"/>
  <c r="V22" i="6" a="1"/>
  <c r="V22" i="6" s="1"/>
  <c r="U21" i="6" a="1"/>
  <c r="U21" i="6" s="1"/>
  <c r="T20" i="6" a="1"/>
  <c r="T20" i="6" s="1"/>
  <c r="S19" i="6" a="1"/>
  <c r="S19" i="6" s="1"/>
  <c r="R18" i="6" a="1"/>
  <c r="R18" i="6" s="1"/>
  <c r="Q17" i="6" a="1"/>
  <c r="Q17" i="6" s="1"/>
  <c r="P16" i="6" a="1"/>
  <c r="P16" i="6" s="1"/>
  <c r="O15" i="6" a="1"/>
  <c r="O15" i="6" s="1"/>
  <c r="N14" i="6" a="1"/>
  <c r="N14" i="6" s="1"/>
  <c r="M13" i="6" a="1"/>
  <c r="M13" i="6" s="1"/>
  <c r="L12" i="6" a="1"/>
  <c r="L12" i="6" s="1"/>
  <c r="K11" i="6" a="1"/>
  <c r="K11" i="6" s="1"/>
  <c r="J10" i="6" a="1"/>
  <c r="J10" i="6" s="1"/>
  <c r="I9" i="6" a="1"/>
  <c r="I9" i="6" s="1"/>
  <c r="H8" i="6" a="1"/>
  <c r="H8" i="6" s="1"/>
  <c r="G7" i="6" a="1"/>
  <c r="G7" i="6" s="1"/>
  <c r="F6" i="6" a="1"/>
  <c r="F6" i="6" s="1"/>
  <c r="E5" i="6" a="1"/>
  <c r="E5" i="6" s="1"/>
  <c r="D4" i="6" a="1"/>
  <c r="D4" i="6" s="1"/>
  <c r="C3" i="6" a="1"/>
  <c r="C3" i="6" s="1"/>
  <c r="B2" i="6" a="1"/>
  <c r="B2" i="6" s="1"/>
  <c r="AO40" i="6" a="1"/>
  <c r="AO40" i="6"/>
  <c r="AO2" i="6" a="1"/>
  <c r="AO2" i="6" s="1"/>
  <c r="AO3" i="6" a="1"/>
  <c r="AO3" i="6" s="1"/>
  <c r="AO4" i="6" a="1"/>
  <c r="AO4" i="6" s="1"/>
  <c r="AO5" i="6" a="1"/>
  <c r="AO5" i="6" s="1"/>
  <c r="AO6" i="6" a="1"/>
  <c r="AO6" i="6" s="1"/>
  <c r="AO7" i="6" a="1"/>
  <c r="AO7" i="6" s="1"/>
  <c r="AO8" i="6" a="1"/>
  <c r="AO8" i="6" s="1"/>
  <c r="AO9" i="6" a="1"/>
  <c r="AO9" i="6" s="1"/>
  <c r="AO10" i="6" a="1"/>
  <c r="AO10" i="6" s="1"/>
  <c r="AO11" i="6" a="1"/>
  <c r="AO11" i="6" s="1"/>
  <c r="AO12" i="6" a="1"/>
  <c r="AO12" i="6" s="1"/>
  <c r="AO13" i="6" a="1"/>
  <c r="AO13" i="6" s="1"/>
  <c r="AO14" i="6" a="1"/>
  <c r="AO14" i="6" s="1"/>
  <c r="AO15" i="6" a="1"/>
  <c r="AO15" i="6" s="1"/>
  <c r="AO16" i="6" a="1"/>
  <c r="AO16" i="6" s="1"/>
  <c r="AO17" i="6" a="1"/>
  <c r="AO17" i="6" s="1"/>
  <c r="AO18" i="6" a="1"/>
  <c r="AO18" i="6" s="1"/>
  <c r="AO19" i="6" a="1"/>
  <c r="AO19" i="6" s="1"/>
  <c r="AO20" i="6" a="1"/>
  <c r="AO20" i="6" s="1"/>
  <c r="AO21" i="6" a="1"/>
  <c r="AO21" i="6" s="1"/>
  <c r="AO22" i="6" a="1"/>
  <c r="AO22" i="6" s="1"/>
  <c r="AO23" i="6" a="1"/>
  <c r="AO23" i="6" s="1"/>
  <c r="AO24" i="6" a="1"/>
  <c r="AO24" i="6" s="1"/>
  <c r="AO25" i="6" a="1"/>
  <c r="AO25" i="6" s="1"/>
  <c r="AO26" i="6" a="1"/>
  <c r="AO26" i="6" s="1"/>
  <c r="AO27" i="6" a="1"/>
  <c r="AO27" i="6" s="1"/>
  <c r="AO28" i="6" a="1"/>
  <c r="AO28" i="6" s="1"/>
  <c r="AO29" i="6" a="1"/>
  <c r="AO29" i="6" s="1"/>
  <c r="AO30" i="6" a="1"/>
  <c r="AO30" i="6" s="1"/>
  <c r="AO31" i="6" a="1"/>
  <c r="AO31" i="6" s="1"/>
  <c r="AO32" i="6" a="1"/>
  <c r="AO32" i="6" s="1"/>
  <c r="AO33" i="6" a="1"/>
  <c r="AO33" i="6" s="1"/>
  <c r="AO34" i="6" a="1"/>
  <c r="AO34" i="6" s="1"/>
  <c r="AO35" i="6" a="1"/>
  <c r="AO35" i="6" s="1"/>
  <c r="AO36" i="6" a="1"/>
  <c r="AO36" i="6" s="1"/>
  <c r="AO37" i="6" a="1"/>
  <c r="AO37" i="6" s="1"/>
  <c r="AO38" i="6" a="1"/>
  <c r="AO38" i="6" s="1"/>
  <c r="AO39" i="6" a="1"/>
  <c r="AO39" i="6" s="1"/>
  <c r="AN41" i="6" a="1"/>
  <c r="AN41" i="6" s="1"/>
  <c r="C41" i="6" a="1"/>
  <c r="C41" i="6" s="1"/>
  <c r="D41" i="6" a="1"/>
  <c r="D41" i="6" s="1"/>
  <c r="E41" i="6" a="1"/>
  <c r="E41" i="6" s="1"/>
  <c r="F41" i="6" a="1"/>
  <c r="F41" i="6" s="1"/>
  <c r="G41" i="6" a="1"/>
  <c r="G41" i="6" s="1"/>
  <c r="H41" i="6" a="1"/>
  <c r="H41" i="6" s="1"/>
  <c r="I41" i="6" a="1"/>
  <c r="I41" i="6" s="1"/>
  <c r="J41" i="6" a="1"/>
  <c r="J41" i="6" s="1"/>
  <c r="K41" i="6" a="1"/>
  <c r="K41" i="6" s="1"/>
  <c r="L41" i="6" a="1"/>
  <c r="L41" i="6" s="1"/>
  <c r="M41" i="6" a="1"/>
  <c r="M41" i="6" s="1"/>
  <c r="N41" i="6" a="1"/>
  <c r="N41" i="6" s="1"/>
  <c r="O41" i="6" a="1"/>
  <c r="O41" i="6" s="1"/>
  <c r="P41" i="6" a="1"/>
  <c r="P41" i="6" s="1"/>
  <c r="Q41" i="6" a="1"/>
  <c r="Q41" i="6" s="1"/>
  <c r="R41" i="6" a="1"/>
  <c r="R41" i="6" s="1"/>
  <c r="S41" i="6" a="1"/>
  <c r="S41" i="6" s="1"/>
  <c r="T41" i="6" a="1"/>
  <c r="T41" i="6" s="1"/>
  <c r="U41" i="6" a="1"/>
  <c r="U41" i="6" s="1"/>
  <c r="V41" i="6" a="1"/>
  <c r="V41" i="6" s="1"/>
  <c r="W41" i="6" a="1"/>
  <c r="W41" i="6" s="1"/>
  <c r="X41" i="6" a="1"/>
  <c r="X41" i="6" s="1"/>
  <c r="Y41" i="6" a="1"/>
  <c r="Y41" i="6" s="1"/>
  <c r="Z41" i="6" a="1"/>
  <c r="Z41" i="6" s="1"/>
  <c r="AA41" i="6" a="1"/>
  <c r="AA41" i="6" s="1"/>
  <c r="AB41" i="6" a="1"/>
  <c r="AB41" i="6" s="1"/>
  <c r="AC41" i="6" a="1"/>
  <c r="AC41" i="6" s="1"/>
  <c r="AD41" i="6" a="1"/>
  <c r="AD41" i="6" s="1"/>
  <c r="AE41" i="6" a="1"/>
  <c r="AE41" i="6" s="1"/>
  <c r="AF41" i="6" a="1"/>
  <c r="AF41" i="6" s="1"/>
  <c r="AG41" i="6" a="1"/>
  <c r="AG41" i="6" s="1"/>
  <c r="AH41" i="6" a="1"/>
  <c r="AH41" i="6" s="1"/>
  <c r="AI41" i="6" a="1"/>
  <c r="AI41" i="6" s="1"/>
  <c r="AJ41" i="6" a="1"/>
  <c r="AJ41" i="6" s="1"/>
  <c r="AK41" i="6" a="1"/>
  <c r="AK41" i="6" s="1"/>
  <c r="AL41" i="6" a="1"/>
  <c r="AL41" i="6" s="1"/>
  <c r="AM41" i="6" a="1"/>
  <c r="AM41" i="6" s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C44" i="3"/>
  <c r="D44" i="3"/>
  <c r="E44" i="3"/>
  <c r="G44" i="3"/>
  <c r="J44" i="3" s="1"/>
  <c r="H44" i="3"/>
  <c r="I44" i="3"/>
  <c r="K44" i="3" s="1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G244" i="2" s="1"/>
  <c r="E245" i="2"/>
  <c r="F245" i="2"/>
  <c r="E246" i="2"/>
  <c r="F246" i="2"/>
  <c r="G246" i="2" s="1"/>
  <c r="E247" i="2"/>
  <c r="D43" i="3" s="1"/>
  <c r="F247" i="2"/>
  <c r="E248" i="2"/>
  <c r="F248" i="2"/>
  <c r="G248" i="2"/>
  <c r="E249" i="2"/>
  <c r="F249" i="2"/>
  <c r="E250" i="2"/>
  <c r="F250" i="2"/>
  <c r="E251" i="2"/>
  <c r="F251" i="2"/>
  <c r="G251" i="2" s="1"/>
  <c r="E252" i="2"/>
  <c r="F252" i="2"/>
  <c r="G252" i="2" s="1"/>
  <c r="E253" i="2"/>
  <c r="F253" i="2"/>
  <c r="G253" i="2" s="1"/>
  <c r="E254" i="2"/>
  <c r="F254" i="2"/>
  <c r="G254" i="2" s="1"/>
  <c r="E255" i="2"/>
  <c r="F255" i="2"/>
  <c r="E256" i="2"/>
  <c r="F256" i="2"/>
  <c r="E257" i="2"/>
  <c r="F257" i="2"/>
  <c r="G257" i="2" s="1"/>
  <c r="E258" i="2"/>
  <c r="F258" i="2"/>
  <c r="G258" i="2" s="1"/>
  <c r="E259" i="2"/>
  <c r="F259" i="2"/>
  <c r="G259" i="2" s="1"/>
  <c r="E260" i="2"/>
  <c r="F260" i="2"/>
  <c r="G260" i="2" s="1"/>
  <c r="E261" i="2"/>
  <c r="F261" i="2"/>
  <c r="E262" i="2"/>
  <c r="F262" i="2"/>
  <c r="G262" i="2" s="1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G228" i="2" s="1"/>
  <c r="E229" i="2"/>
  <c r="F229" i="2"/>
  <c r="E230" i="2"/>
  <c r="F230" i="2"/>
  <c r="G230" i="2" s="1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D41" i="3" s="1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G191" i="2" s="1"/>
  <c r="E192" i="2"/>
  <c r="F192" i="2"/>
  <c r="E193" i="2"/>
  <c r="F193" i="2"/>
  <c r="G193" i="2" s="1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I14" i="3"/>
  <c r="H14" i="3"/>
  <c r="G14" i="3"/>
  <c r="J14" i="3" s="1"/>
  <c r="E14" i="3"/>
  <c r="D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J11" i="3" s="1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G150" i="2" s="1"/>
  <c r="K149" i="2"/>
  <c r="F149" i="2"/>
  <c r="E149" i="2"/>
  <c r="K148" i="2"/>
  <c r="F148" i="2"/>
  <c r="E148" i="2"/>
  <c r="K147" i="2"/>
  <c r="F147" i="2"/>
  <c r="E147" i="2"/>
  <c r="K146" i="2"/>
  <c r="F146" i="2"/>
  <c r="E146" i="2"/>
  <c r="G146" i="2" s="1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G142" i="2" s="1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G138" i="2" s="1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G134" i="2" s="1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G126" i="2" s="1"/>
  <c r="K125" i="2"/>
  <c r="F125" i="2"/>
  <c r="E125" i="2"/>
  <c r="K124" i="2"/>
  <c r="F124" i="2"/>
  <c r="E124" i="2"/>
  <c r="K123" i="2"/>
  <c r="F123" i="2"/>
  <c r="E123" i="2"/>
  <c r="G123" i="2" s="1"/>
  <c r="K122" i="2"/>
  <c r="F122" i="2"/>
  <c r="E122" i="2"/>
  <c r="G122" i="2" s="1"/>
  <c r="K121" i="2"/>
  <c r="F121" i="2"/>
  <c r="E121" i="2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G107" i="2" s="1"/>
  <c r="K106" i="2"/>
  <c r="F106" i="2"/>
  <c r="E106" i="2"/>
  <c r="G106" i="2" s="1"/>
  <c r="K105" i="2"/>
  <c r="F105" i="2"/>
  <c r="E105" i="2"/>
  <c r="K104" i="2"/>
  <c r="F104" i="2"/>
  <c r="E104" i="2"/>
  <c r="G104" i="2" s="1"/>
  <c r="K103" i="2"/>
  <c r="F103" i="2"/>
  <c r="E103" i="2"/>
  <c r="G103" i="2" s="1"/>
  <c r="K102" i="2"/>
  <c r="F102" i="2"/>
  <c r="E102" i="2"/>
  <c r="G102" i="2" s="1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G98" i="2" s="1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G73" i="2" s="1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G63" i="2" s="1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G43" i="2" s="1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G37" i="2" s="1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G30" i="2" s="1"/>
  <c r="K29" i="2"/>
  <c r="F29" i="2"/>
  <c r="E29" i="2"/>
  <c r="K28" i="2"/>
  <c r="F28" i="2"/>
  <c r="E28" i="2"/>
  <c r="G28" i="2" s="1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M44" i="3" l="1"/>
  <c r="P44" i="3"/>
  <c r="P43" i="3"/>
  <c r="K13" i="3"/>
  <c r="F44" i="3"/>
  <c r="J13" i="3"/>
  <c r="G243" i="2"/>
  <c r="G229" i="2"/>
  <c r="E43" i="3"/>
  <c r="F43" i="3" s="1"/>
  <c r="G247" i="2"/>
  <c r="G245" i="2"/>
  <c r="G261" i="2"/>
  <c r="G249" i="2"/>
  <c r="G250" i="2"/>
  <c r="G255" i="2"/>
  <c r="D38" i="3"/>
  <c r="G130" i="2"/>
  <c r="G256" i="2"/>
  <c r="G105" i="2"/>
  <c r="G22" i="2"/>
  <c r="F13" i="3"/>
  <c r="I43" i="3"/>
  <c r="K43" i="3" s="1"/>
  <c r="G43" i="3"/>
  <c r="J43" i="3" s="1"/>
  <c r="H43" i="3"/>
  <c r="M43" i="3"/>
  <c r="M39" i="3"/>
  <c r="M38" i="3"/>
  <c r="P41" i="3"/>
  <c r="M41" i="3"/>
  <c r="M42" i="3"/>
  <c r="E41" i="3"/>
  <c r="F41" i="3" s="1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K14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F14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38" i="3" l="1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/>
  <c r="J5" i="3" s="1"/>
  <c r="H5" i="3"/>
  <c r="I5" i="3"/>
  <c r="K5" i="3" s="1"/>
  <c r="AN2" i="6" l="1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1" i="6" s="1" a="1"/>
  <c r="B41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39" i="6" l="1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<sst xmlns="http://schemas.openxmlformats.org/spreadsheetml/2006/main" count="713" uniqueCount="99">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</sst>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12" workbookViewId="0">
      <selection activeCell="G26" sqref="G26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B26" s="2"/>
    </row>
    <row r="27" spans="1:7" x14ac:dyDescent="0.35">
      <c r="B27" s="2"/>
    </row>
    <row r="28" spans="1:7" x14ac:dyDescent="0.35">
      <c r="B28" s="2"/>
    </row>
    <row r="29" spans="1:7" x14ac:dyDescent="0.35">
      <c r="B29" s="2"/>
    </row>
    <row r="30" spans="1:7" x14ac:dyDescent="0.35">
      <c r="B30" s="2"/>
    </row>
    <row r="31" spans="1:7" x14ac:dyDescent="0.35">
      <c r="B31" s="2"/>
    </row>
    <row r="32" spans="1:7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2"/>
  <sheetViews>
    <sheetView topLeftCell="A267" workbookViewId="0">
      <selection activeCell="H283" sqref="H283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282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"/>
  <sheetViews>
    <sheetView workbookViewId="0">
      <selection activeCell="G46" sqref="G4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11</v>
      </c>
      <c r="D3">
        <f>SUMIF('Team Lineups'!C:C,A3,'Team Lineups'!E:E)</f>
        <v>60</v>
      </c>
      <c r="E3">
        <f>SUMIF('Team Lineups'!C:C,A3,'Team Lineups'!F:F)</f>
        <v>59</v>
      </c>
      <c r="F3">
        <f t="shared" si="0"/>
        <v>1</v>
      </c>
      <c r="G3">
        <f>COUNTIFS('Team Lineups'!C:C,A3,'Team Lineups'!G:G,"Win")</f>
        <v>4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0.36363636363636365</v>
      </c>
      <c r="K3" s="3">
        <f t="shared" ref="K3:K36" si="4">I3/C3</f>
        <v>0.18181818181818182</v>
      </c>
      <c r="L3">
        <f>SUMIF('Team Lineups'!C:C,A3,'Team Lineups'!H:H)</f>
        <v>10</v>
      </c>
      <c r="M3">
        <f t="shared" si="1"/>
        <v>0.90909090909090906</v>
      </c>
      <c r="N3">
        <f>SUMIF('Team Lineups'!C:C,A3,'Team Lineups'!I:I)</f>
        <v>5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10</v>
      </c>
      <c r="D4">
        <f>SUMIF('Team Lineups'!C:C,A4,'Team Lineups'!E:E)</f>
        <v>67</v>
      </c>
      <c r="E4">
        <f>SUMIF('Team Lineups'!C:C,A4,'Team Lineups'!F:F)</f>
        <v>60</v>
      </c>
      <c r="F4">
        <f t="shared" si="0"/>
        <v>7</v>
      </c>
      <c r="G4">
        <f>COUNTIFS('Team Lineups'!C:C,A4,'Team Lineups'!G:G,"Win")</f>
        <v>5</v>
      </c>
      <c r="H4">
        <f>COUNTIFS('Team Lineups'!C:C,A4,'Team Lineups'!G:G,"Draw")</f>
        <v>2</v>
      </c>
      <c r="I4">
        <f>COUNTIFS('Team Lineups'!C:C,A4,'Team Lineups'!G:G,"Loss")</f>
        <v>3</v>
      </c>
      <c r="J4" s="3">
        <f t="shared" si="3"/>
        <v>0.5</v>
      </c>
      <c r="K4" s="3">
        <f t="shared" si="4"/>
        <v>0.3</v>
      </c>
      <c r="L4">
        <f>SUMIF('Team Lineups'!C:C,A4,'Team Lineups'!H:H)</f>
        <v>3</v>
      </c>
      <c r="M4">
        <f t="shared" si="1"/>
        <v>0.3</v>
      </c>
      <c r="N4">
        <f>SUMIF('Team Lineups'!C:C,A4,'Team Lineups'!I:I)</f>
        <v>1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14</v>
      </c>
      <c r="D5">
        <f>SUMIF('Team Lineups'!C:C,A5,'Team Lineups'!E:E)</f>
        <v>76</v>
      </c>
      <c r="E5">
        <f>SUMIF('Team Lineups'!C:C,A5,'Team Lineups'!F:F)</f>
        <v>96</v>
      </c>
      <c r="F5">
        <f t="shared" si="0"/>
        <v>-20</v>
      </c>
      <c r="G5">
        <f>COUNTIFS('Team Lineups'!C:C,A5,'Team Lineups'!G:G,"Win")</f>
        <v>2</v>
      </c>
      <c r="H5">
        <f>COUNTIFS('Team Lineups'!C:C,A5,'Team Lineups'!G:G,"Draw")</f>
        <v>3</v>
      </c>
      <c r="I5">
        <f>COUNTIFS('Team Lineups'!C:C,A5,'Team Lineups'!G:G,"Loss")</f>
        <v>9</v>
      </c>
      <c r="J5" s="3">
        <f t="shared" si="3"/>
        <v>0.14285714285714285</v>
      </c>
      <c r="K5" s="3">
        <f t="shared" si="4"/>
        <v>0.6428571428571429</v>
      </c>
      <c r="L5">
        <f>SUMIF('Team Lineups'!C:C,A5,'Team Lineups'!H:H)</f>
        <v>19</v>
      </c>
      <c r="M5">
        <f t="shared" si="1"/>
        <v>1.3571428571428572</v>
      </c>
      <c r="N5">
        <f>SUMIF('Team Lineups'!C:C,A5,'Team Lineups'!I:I)</f>
        <v>15</v>
      </c>
      <c r="O5">
        <f>COUNTIF(Matches!G:G,A5)</f>
        <v>2</v>
      </c>
      <c r="P5">
        <f t="shared" si="2"/>
        <v>0.14285714285714285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9</v>
      </c>
      <c r="D6">
        <f>SUMIF('Team Lineups'!C:C,A6,'Team Lineups'!E:E)</f>
        <v>46</v>
      </c>
      <c r="E6">
        <f>SUMIF('Team Lineups'!C:C,A6,'Team Lineups'!F:F)</f>
        <v>48</v>
      </c>
      <c r="F6">
        <f t="shared" si="0"/>
        <v>-2</v>
      </c>
      <c r="G6">
        <f>COUNTIFS('Team Lineups'!C:C,A6,'Team Lineups'!G:G,"Win")</f>
        <v>3</v>
      </c>
      <c r="H6">
        <f>COUNTIFS('Team Lineups'!C:C,A6,'Team Lineups'!G:G,"Draw")</f>
        <v>4</v>
      </c>
      <c r="I6">
        <f>COUNTIFS('Team Lineups'!C:C,A6,'Team Lineups'!G:G,"Loss")</f>
        <v>2</v>
      </c>
      <c r="J6" s="3">
        <f t="shared" si="3"/>
        <v>0.33333333333333331</v>
      </c>
      <c r="K6" s="3">
        <f t="shared" si="4"/>
        <v>0.22222222222222221</v>
      </c>
      <c r="L6">
        <f>SUMIF('Team Lineups'!C:C,A6,'Team Lineups'!H:H)</f>
        <v>6</v>
      </c>
      <c r="M6">
        <f t="shared" si="1"/>
        <v>0.66666666666666663</v>
      </c>
      <c r="N6">
        <f>SUMIF('Team Lineups'!C:C,A6,'Team Lineups'!I:I)</f>
        <v>5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17</v>
      </c>
      <c r="D7">
        <f>SUMIF('Team Lineups'!C:C,A7,'Team Lineups'!E:E)</f>
        <v>117</v>
      </c>
      <c r="E7">
        <f>SUMIF('Team Lineups'!C:C,A7,'Team Lineups'!F:F)</f>
        <v>124</v>
      </c>
      <c r="F7">
        <f t="shared" si="0"/>
        <v>-7</v>
      </c>
      <c r="G7">
        <f>COUNTIFS('Team Lineups'!C:C,A7,'Team Lineups'!G:G,"Win")</f>
        <v>6</v>
      </c>
      <c r="H7">
        <f>COUNTIFS('Team Lineups'!C:C,A7,'Team Lineups'!G:G,"Draw")</f>
        <v>4</v>
      </c>
      <c r="I7">
        <f>COUNTIFS('Team Lineups'!C:C,A7,'Team Lineups'!G:G,"Loss")</f>
        <v>6</v>
      </c>
      <c r="J7" s="3">
        <f t="shared" si="3"/>
        <v>0.35294117647058826</v>
      </c>
      <c r="K7" s="3">
        <f t="shared" si="4"/>
        <v>0.35294117647058826</v>
      </c>
      <c r="L7">
        <f>SUMIF('Team Lineups'!C:C,A7,'Team Lineups'!H:H)</f>
        <v>21</v>
      </c>
      <c r="M7">
        <f t="shared" si="1"/>
        <v>1.2352941176470589</v>
      </c>
      <c r="N7">
        <f>SUMIF('Team Lineups'!C:C,A7,'Team Lineups'!I:I)</f>
        <v>16</v>
      </c>
      <c r="O7">
        <f>COUNTIF(Matches!G:G,A7)</f>
        <v>0</v>
      </c>
      <c r="P7">
        <f t="shared" si="2"/>
        <v>0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15</v>
      </c>
      <c r="D8">
        <f>SUMIF('Team Lineups'!C:C,A8,'Team Lineups'!E:E)</f>
        <v>105</v>
      </c>
      <c r="E8">
        <f>SUMIF('Team Lineups'!C:C,A8,'Team Lineups'!F:F)</f>
        <v>93</v>
      </c>
      <c r="F8">
        <f t="shared" si="0"/>
        <v>12</v>
      </c>
      <c r="G8">
        <f>COUNTIFS('Team Lineups'!C:C,A8,'Team Lineups'!G:G,"Win")</f>
        <v>7</v>
      </c>
      <c r="H8">
        <f>COUNTIFS('Team Lineups'!C:C,A8,'Team Lineups'!G:G,"Draw")</f>
        <v>4</v>
      </c>
      <c r="I8">
        <f>COUNTIFS('Team Lineups'!C:C,A8,'Team Lineups'!G:G,"Loss")</f>
        <v>4</v>
      </c>
      <c r="J8" s="3">
        <f t="shared" si="3"/>
        <v>0.46666666666666667</v>
      </c>
      <c r="K8" s="3">
        <f t="shared" si="4"/>
        <v>0.26666666666666666</v>
      </c>
      <c r="L8">
        <f>SUMIF('Team Lineups'!C:C,A8,'Team Lineups'!H:H)</f>
        <v>32</v>
      </c>
      <c r="M8">
        <f t="shared" si="1"/>
        <v>2.1333333333333333</v>
      </c>
      <c r="N8">
        <f>SUMIF('Team Lineups'!C:C,A8,'Team Lineups'!I:I)</f>
        <v>16</v>
      </c>
      <c r="O8">
        <f>COUNTIF(Matches!G:G,A8)</f>
        <v>2</v>
      </c>
      <c r="P8">
        <f t="shared" si="2"/>
        <v>0.13333333333333333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11</v>
      </c>
      <c r="D9">
        <f>SUMIF('Team Lineups'!C:C,A9,'Team Lineups'!E:E)</f>
        <v>57</v>
      </c>
      <c r="E9">
        <f>SUMIF('Team Lineups'!C:C,A9,'Team Lineups'!F:F)</f>
        <v>65</v>
      </c>
      <c r="F9">
        <f t="shared" si="0"/>
        <v>-8</v>
      </c>
      <c r="G9">
        <f>COUNTIFS('Team Lineups'!C:C,A9,'Team Lineups'!G:G,"Win")</f>
        <v>3</v>
      </c>
      <c r="H9">
        <f>COUNTIFS('Team Lineups'!C:C,A9,'Team Lineups'!G:G,"Draw")</f>
        <v>2</v>
      </c>
      <c r="I9">
        <f>COUNTIFS('Team Lineups'!C:C,A9,'Team Lineups'!G:G,"Loss")</f>
        <v>6</v>
      </c>
      <c r="J9" s="3">
        <f t="shared" si="3"/>
        <v>0.27272727272727271</v>
      </c>
      <c r="K9" s="3">
        <f t="shared" si="4"/>
        <v>0.54545454545454541</v>
      </c>
      <c r="L9">
        <f>SUMIF('Team Lineups'!C:C,A9,'Team Lineups'!H:H)</f>
        <v>7</v>
      </c>
      <c r="M9">
        <f t="shared" si="1"/>
        <v>0.63636363636363635</v>
      </c>
      <c r="N9">
        <f>SUMIF('Team Lineups'!C:C,A9,'Team Lineups'!I:I)</f>
        <v>4</v>
      </c>
      <c r="O9">
        <f>COUNTIF(Matches!G:G,A9)</f>
        <v>1</v>
      </c>
      <c r="P9">
        <f t="shared" si="2"/>
        <v>9.0909090909090912E-2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12</v>
      </c>
      <c r="D10">
        <f>SUMIF('Team Lineups'!C:C,A10,'Team Lineups'!E:E)</f>
        <v>66</v>
      </c>
      <c r="E10">
        <f>SUMIF('Team Lineups'!C:C,A10,'Team Lineups'!F:F)</f>
        <v>63</v>
      </c>
      <c r="F10">
        <f t="shared" si="0"/>
        <v>3</v>
      </c>
      <c r="G10">
        <f>COUNTIFS('Team Lineups'!C:C,A10,'Team Lineups'!G:G,"Win")</f>
        <v>5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0.41666666666666669</v>
      </c>
      <c r="K10" s="3">
        <f t="shared" si="4"/>
        <v>0.33333333333333331</v>
      </c>
      <c r="L10">
        <f>SUMIF('Team Lineups'!C:C,A10,'Team Lineups'!H:H)</f>
        <v>19</v>
      </c>
      <c r="M10">
        <f t="shared" si="1"/>
        <v>1.5833333333333333</v>
      </c>
      <c r="N10">
        <f>SUMIF('Team Lineups'!C:C,A10,'Team Lineups'!I:I)</f>
        <v>12</v>
      </c>
      <c r="O10">
        <f>COUNTIF(Matches!G:G,A10)</f>
        <v>2</v>
      </c>
      <c r="P10">
        <f t="shared" si="2"/>
        <v>0.16666666666666666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15</v>
      </c>
      <c r="D12">
        <f>SUMIF('Team Lineups'!C:C,A12,'Team Lineups'!E:E)</f>
        <v>95</v>
      </c>
      <c r="E12">
        <f>SUMIF('Team Lineups'!C:C,A12,'Team Lineups'!F:F)</f>
        <v>106</v>
      </c>
      <c r="F12">
        <f t="shared" si="0"/>
        <v>-11</v>
      </c>
      <c r="G12">
        <f>COUNTIFS('Team Lineups'!C:C,A12,'Team Lineups'!G:G,"Win")</f>
        <v>4</v>
      </c>
      <c r="H12">
        <f>COUNTIFS('Team Lineups'!C:C,A12,'Team Lineups'!G:G,"Draw")</f>
        <v>2</v>
      </c>
      <c r="I12">
        <f>COUNTIFS('Team Lineups'!C:C,A12,'Team Lineups'!G:G,"Loss")</f>
        <v>9</v>
      </c>
      <c r="J12" s="3">
        <f t="shared" si="3"/>
        <v>0.26666666666666666</v>
      </c>
      <c r="K12" s="3">
        <f t="shared" si="4"/>
        <v>0.6</v>
      </c>
      <c r="L12">
        <f>SUMIF('Team Lineups'!C:C,A12,'Team Lineups'!H:H)</f>
        <v>22</v>
      </c>
      <c r="M12">
        <f t="shared" si="1"/>
        <v>1.4666666666666666</v>
      </c>
      <c r="N12">
        <f>SUMIF('Team Lineups'!C:C,A12,'Team Lineups'!I:I)</f>
        <v>8</v>
      </c>
      <c r="O12">
        <f>COUNTIF(Matches!G:G,A12)</f>
        <v>1</v>
      </c>
      <c r="P12">
        <f t="shared" si="2"/>
        <v>6.6666666666666666E-2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2</v>
      </c>
      <c r="D14">
        <f>SUMIF('Team Lineups'!C:C,A14,'Team Lineups'!E:E)</f>
        <v>16</v>
      </c>
      <c r="E14">
        <f>SUMIF('Team Lineups'!C:C,A14,'Team Lineups'!F:F)</f>
        <v>22</v>
      </c>
      <c r="F14">
        <f t="shared" si="0"/>
        <v>-6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2</v>
      </c>
      <c r="J14" s="3">
        <f t="shared" si="3"/>
        <v>0</v>
      </c>
      <c r="K14" s="3">
        <f t="shared" si="4"/>
        <v>1</v>
      </c>
      <c r="L14">
        <f>SUMIF('Team Lineups'!C:C,A14,'Team Lineups'!H:H)</f>
        <v>0</v>
      </c>
      <c r="M14">
        <f t="shared" si="1"/>
        <v>0</v>
      </c>
      <c r="N14">
        <f>SUMIF('Team Lineups'!C:C,A14,'Team Lineups'!I:I)</f>
        <v>1</v>
      </c>
      <c r="O14">
        <f>COUNTIF(Matches!G:G,A14)</f>
        <v>0</v>
      </c>
      <c r="P14">
        <f t="shared" si="2"/>
        <v>0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4</v>
      </c>
      <c r="D15">
        <f>SUMIF('Team Lineups'!C:C,A15,'Team Lineups'!E:E)</f>
        <v>22</v>
      </c>
      <c r="E15">
        <f>SUMIF('Team Lineups'!C:C,A15,'Team Lineups'!F:F)</f>
        <v>22</v>
      </c>
      <c r="F15">
        <f t="shared" si="0"/>
        <v>0</v>
      </c>
      <c r="G15">
        <f>COUNTIFS('Team Lineups'!C:C,A15,'Team Lineups'!G:G,"Win")</f>
        <v>1</v>
      </c>
      <c r="H15">
        <f>COUNTIFS('Team Lineups'!C:C,A15,'Team Lineups'!G:G,"Draw")</f>
        <v>2</v>
      </c>
      <c r="I15">
        <f>COUNTIFS('Team Lineups'!C:C,A15,'Team Lineups'!G:G,"Loss")</f>
        <v>1</v>
      </c>
      <c r="J15" s="3">
        <f t="shared" si="3"/>
        <v>0.25</v>
      </c>
      <c r="K15" s="3">
        <f t="shared" si="4"/>
        <v>0.25</v>
      </c>
      <c r="L15">
        <f>SUMIF('Team Lineups'!C:C,A15,'Team Lineups'!H:H)</f>
        <v>1</v>
      </c>
      <c r="M15">
        <f t="shared" si="1"/>
        <v>0.25</v>
      </c>
      <c r="N15">
        <f>SUMIF('Team Lineups'!C:C,A15,'Team Lineups'!I:I)</f>
        <v>1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14</v>
      </c>
      <c r="D16">
        <f>SUMIF('Team Lineups'!C:C,A16,'Team Lineups'!E:E)</f>
        <v>70</v>
      </c>
      <c r="E16">
        <f>SUMIF('Team Lineups'!C:C,A16,'Team Lineups'!F:F)</f>
        <v>81</v>
      </c>
      <c r="F16">
        <f t="shared" si="0"/>
        <v>-11</v>
      </c>
      <c r="G16">
        <f>COUNTIFS('Team Lineups'!C:C,A16,'Team Lineups'!G:G,"Win")</f>
        <v>3</v>
      </c>
      <c r="H16">
        <f>COUNTIFS('Team Lineups'!C:C,A16,'Team Lineups'!G:G,"Draw")</f>
        <v>4</v>
      </c>
      <c r="I16">
        <f>COUNTIFS('Team Lineups'!C:C,A16,'Team Lineups'!G:G,"Loss")</f>
        <v>7</v>
      </c>
      <c r="J16" s="3">
        <f t="shared" si="3"/>
        <v>0.21428571428571427</v>
      </c>
      <c r="K16" s="3">
        <f t="shared" si="4"/>
        <v>0.5</v>
      </c>
      <c r="L16">
        <f>SUMIF('Team Lineups'!C:C,A16,'Team Lineups'!H:H)</f>
        <v>6</v>
      </c>
      <c r="M16">
        <f t="shared" si="1"/>
        <v>0.42857142857142855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14</v>
      </c>
      <c r="D17">
        <f>SUMIF('Team Lineups'!C:C,A17,'Team Lineups'!E:E)</f>
        <v>80</v>
      </c>
      <c r="E17">
        <f>SUMIF('Team Lineups'!C:C,A17,'Team Lineups'!F:F)</f>
        <v>73</v>
      </c>
      <c r="F17">
        <f t="shared" si="0"/>
        <v>7</v>
      </c>
      <c r="G17">
        <f>COUNTIFS('Team Lineups'!C:C,A17,'Team Lineups'!G:G,"Win")</f>
        <v>6</v>
      </c>
      <c r="H17">
        <f>COUNTIFS('Team Lineups'!C:C,A17,'Team Lineups'!G:G,"Draw")</f>
        <v>4</v>
      </c>
      <c r="I17">
        <f>COUNTIFS('Team Lineups'!C:C,A17,'Team Lineups'!G:G,"Loss")</f>
        <v>4</v>
      </c>
      <c r="J17" s="3">
        <f t="shared" si="3"/>
        <v>0.42857142857142855</v>
      </c>
      <c r="K17" s="3">
        <f t="shared" si="4"/>
        <v>0.2857142857142857</v>
      </c>
      <c r="L17">
        <f>SUMIF('Team Lineups'!C:C,A17,'Team Lineups'!H:H)</f>
        <v>5</v>
      </c>
      <c r="M17">
        <f t="shared" si="1"/>
        <v>0.35714285714285715</v>
      </c>
      <c r="N17">
        <f>SUMIF('Team Lineups'!C:C,A17,'Team Lineups'!I:I)</f>
        <v>9</v>
      </c>
      <c r="O17">
        <f>COUNTIF(Matches!G:G,A17)</f>
        <v>1</v>
      </c>
      <c r="P17">
        <f t="shared" si="2"/>
        <v>7.1428571428571425E-2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12</v>
      </c>
      <c r="D18">
        <f>SUMIF('Team Lineups'!C:C,A18,'Team Lineups'!E:E)</f>
        <v>90</v>
      </c>
      <c r="E18">
        <f>SUMIF('Team Lineups'!C:C,A18,'Team Lineups'!F:F)</f>
        <v>91</v>
      </c>
      <c r="F18">
        <f t="shared" si="0"/>
        <v>-1</v>
      </c>
      <c r="G18">
        <f>COUNTIFS('Team Lineups'!C:C,A18,'Team Lineups'!G:G,"Win")</f>
        <v>5</v>
      </c>
      <c r="H18">
        <f>COUNTIFS('Team Lineups'!C:C,A18,'Team Lineups'!G:G,"Draw")</f>
        <v>2</v>
      </c>
      <c r="I18">
        <f>COUNTIFS('Team Lineups'!C:C,A18,'Team Lineups'!G:G,"Loss")</f>
        <v>5</v>
      </c>
      <c r="J18" s="3">
        <f t="shared" si="3"/>
        <v>0.41666666666666669</v>
      </c>
      <c r="K18" s="3">
        <f t="shared" si="4"/>
        <v>0.41666666666666669</v>
      </c>
      <c r="L18">
        <f>SUMIF('Team Lineups'!C:C,A18,'Team Lineups'!H:H)</f>
        <v>8</v>
      </c>
      <c r="M18">
        <f t="shared" si="1"/>
        <v>0.66666666666666663</v>
      </c>
      <c r="N18">
        <f>SUMIF('Team Lineups'!C:C,A18,'Team Lineups'!I:I)</f>
        <v>5</v>
      </c>
      <c r="O18">
        <f>COUNTIF(Matches!G:G,A18)</f>
        <v>1</v>
      </c>
      <c r="P18">
        <f t="shared" si="2"/>
        <v>8.3333333333333329E-2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6</v>
      </c>
      <c r="D21">
        <f>SUMIF('Team Lineups'!C:C,A21,'Team Lineups'!E:E)</f>
        <v>41</v>
      </c>
      <c r="E21">
        <f>SUMIF('Team Lineups'!C:C,A21,'Team Lineups'!F:F)</f>
        <v>47</v>
      </c>
      <c r="F21">
        <f t="shared" si="0"/>
        <v>-6</v>
      </c>
      <c r="G21">
        <f>COUNTIFS('Team Lineups'!C:C,A21,'Team Lineups'!G:G,"Win")</f>
        <v>1</v>
      </c>
      <c r="H21">
        <f>COUNTIFS('Team Lineups'!C:C,A21,'Team Lineups'!G:G,"Draw")</f>
        <v>1</v>
      </c>
      <c r="I21">
        <f>COUNTIFS('Team Lineups'!C:C,A21,'Team Lineups'!G:G,"Loss")</f>
        <v>4</v>
      </c>
      <c r="J21" s="3">
        <f t="shared" si="3"/>
        <v>0.16666666666666666</v>
      </c>
      <c r="K21" s="3">
        <f t="shared" si="4"/>
        <v>0.66666666666666663</v>
      </c>
      <c r="L21">
        <f>SUMIF('Team Lineups'!C:C,A21,'Team Lineups'!H:H)</f>
        <v>3</v>
      </c>
      <c r="M21">
        <f t="shared" si="1"/>
        <v>0.5</v>
      </c>
      <c r="N21">
        <f>SUMIF('Team Lineups'!C:C,A21,'Team Lineups'!I:I)</f>
        <v>7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16</v>
      </c>
      <c r="D23">
        <f>SUMIF('Team Lineups'!C:C,A23,'Team Lineups'!E:E)</f>
        <v>104</v>
      </c>
      <c r="E23">
        <f>SUMIF('Team Lineups'!C:C,A23,'Team Lineups'!F:F)</f>
        <v>92</v>
      </c>
      <c r="F23">
        <f t="shared" si="0"/>
        <v>12</v>
      </c>
      <c r="G23">
        <f>COUNTIFS('Team Lineups'!C:C,A23,'Team Lineups'!G:G,"Win")</f>
        <v>8</v>
      </c>
      <c r="H23">
        <f>COUNTIFS('Team Lineups'!C:C,A23,'Team Lineups'!G:G,"Draw")</f>
        <v>4</v>
      </c>
      <c r="I23">
        <f>COUNTIFS('Team Lineups'!C:C,A23,'Team Lineups'!G:G,"Loss")</f>
        <v>4</v>
      </c>
      <c r="J23" s="3">
        <f t="shared" si="3"/>
        <v>0.5</v>
      </c>
      <c r="K23" s="3">
        <f t="shared" si="4"/>
        <v>0.25</v>
      </c>
      <c r="L23">
        <f>SUMIF('Team Lineups'!C:C,A23,'Team Lineups'!H:H)</f>
        <v>20</v>
      </c>
      <c r="M23">
        <f t="shared" si="1"/>
        <v>1.25</v>
      </c>
      <c r="N23">
        <f>SUMIF('Team Lineups'!C:C,A23,'Team Lineups'!I:I)</f>
        <v>7</v>
      </c>
      <c r="O23">
        <f>COUNTIF(Matches!G:G,A23)</f>
        <v>4</v>
      </c>
      <c r="P23">
        <f t="shared" si="2"/>
        <v>0.25</v>
      </c>
      <c r="Q23">
        <f>SUMIF('Team Lineups'!C:C,A23,'Team Lineups'!J:J)</f>
        <v>0</v>
      </c>
    </row>
    <row r="24" spans="1:17" x14ac:dyDescent="0.35">
      <c r="A24" t="s">
        <v>25</v>
      </c>
      <c r="C24">
        <f>COUNTIF('Team Lineups'!C:C,A24)</f>
        <v>18</v>
      </c>
      <c r="D24">
        <f>SUMIF('Team Lineups'!C:C,A24,'Team Lineups'!E:E)</f>
        <v>111</v>
      </c>
      <c r="E24">
        <f>SUMIF('Team Lineups'!C:C,A24,'Team Lineups'!F:F)</f>
        <v>111</v>
      </c>
      <c r="F24">
        <f t="shared" si="0"/>
        <v>0</v>
      </c>
      <c r="G24">
        <f>COUNTIFS('Team Lineups'!C:C,A24,'Team Lineups'!G:G,"Win")</f>
        <v>5</v>
      </c>
      <c r="H24">
        <f>COUNTIFS('Team Lineups'!C:C,A24,'Team Lineups'!G:G,"Draw")</f>
        <v>5</v>
      </c>
      <c r="I24">
        <f>COUNTIFS('Team Lineups'!C:C,A24,'Team Lineups'!G:G,"Loss")</f>
        <v>8</v>
      </c>
      <c r="J24" s="3">
        <f t="shared" si="3"/>
        <v>0.27777777777777779</v>
      </c>
      <c r="K24" s="3">
        <f t="shared" si="4"/>
        <v>0.44444444444444442</v>
      </c>
      <c r="L24">
        <f>SUMIF('Team Lineups'!C:C,A24,'Team Lineups'!H:H)</f>
        <v>11</v>
      </c>
      <c r="M24">
        <f t="shared" si="1"/>
        <v>0.61111111111111116</v>
      </c>
      <c r="N24">
        <f>SUMIF('Team Lineups'!C:C,A24,'Team Lineups'!I:I)</f>
        <v>8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17</v>
      </c>
      <c r="D25">
        <f>SUMIF('Team Lineups'!C:C,A25,'Team Lineups'!E:E)</f>
        <v>115</v>
      </c>
      <c r="E25">
        <f>SUMIF('Team Lineups'!C:C,A25,'Team Lineups'!F:F)</f>
        <v>103</v>
      </c>
      <c r="F25">
        <f t="shared" si="0"/>
        <v>12</v>
      </c>
      <c r="G25">
        <f>COUNTIFS('Team Lineups'!C:C,A25,'Team Lineups'!G:G,"Win")</f>
        <v>9</v>
      </c>
      <c r="H25">
        <f>COUNTIFS('Team Lineups'!C:C,A25,'Team Lineups'!G:G,"Draw")</f>
        <v>4</v>
      </c>
      <c r="I25">
        <f>COUNTIFS('Team Lineups'!C:C,A25,'Team Lineups'!G:G,"Loss")</f>
        <v>4</v>
      </c>
      <c r="J25" s="3">
        <f t="shared" si="3"/>
        <v>0.52941176470588236</v>
      </c>
      <c r="K25" s="3">
        <f t="shared" si="4"/>
        <v>0.23529411764705882</v>
      </c>
      <c r="L25">
        <f>SUMIF('Team Lineups'!C:C,A25,'Team Lineups'!H:H)</f>
        <v>24</v>
      </c>
      <c r="M25">
        <f t="shared" si="1"/>
        <v>1.411764705882353</v>
      </c>
      <c r="N25">
        <f>SUMIF('Team Lineups'!C:C,A25,'Team Lineups'!I:I)</f>
        <v>9</v>
      </c>
      <c r="O25">
        <f>COUNTIF(Matches!G:G,A25)</f>
        <v>1</v>
      </c>
      <c r="P25">
        <f t="shared" si="2"/>
        <v>5.8823529411764705E-2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7</v>
      </c>
      <c r="D26">
        <f>SUMIF('Team Lineups'!C:C,A26,'Team Lineups'!E:E)</f>
        <v>33</v>
      </c>
      <c r="E26">
        <f>SUMIF('Team Lineups'!C:C,A26,'Team Lineups'!F:F)</f>
        <v>37</v>
      </c>
      <c r="F26">
        <f t="shared" si="0"/>
        <v>-4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4</v>
      </c>
      <c r="J26" s="3">
        <f t="shared" si="3"/>
        <v>0.2857142857142857</v>
      </c>
      <c r="K26" s="3">
        <f t="shared" si="4"/>
        <v>0.5714285714285714</v>
      </c>
      <c r="L26">
        <f>SUMIF('Team Lineups'!C:C,A26,'Team Lineups'!H:H)</f>
        <v>0</v>
      </c>
      <c r="M26">
        <f t="shared" si="1"/>
        <v>0</v>
      </c>
      <c r="N26">
        <f>SUMIF('Team Lineups'!C:C,A26,'Team Lineups'!I:I)</f>
        <v>3</v>
      </c>
      <c r="O26">
        <f>COUNTIF(Matches!G:G,A26)</f>
        <v>1</v>
      </c>
      <c r="P26">
        <f t="shared" si="2"/>
        <v>0.14285714285714285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11</v>
      </c>
      <c r="D33">
        <f>SUMIF('Team Lineups'!C:C,A33,'Team Lineups'!E:E)</f>
        <v>82</v>
      </c>
      <c r="E33">
        <f>SUMIF('Team Lineups'!C:C,A33,'Team Lineups'!F:F)</f>
        <v>73</v>
      </c>
      <c r="F33">
        <f t="shared" si="5"/>
        <v>9</v>
      </c>
      <c r="G33">
        <f>COUNTIFS('Team Lineups'!C:C,A33,'Team Lineups'!G:G,"Win")</f>
        <v>6</v>
      </c>
      <c r="H33">
        <f>COUNTIFS('Team Lineups'!C:C,A33,'Team Lineups'!G:G,"Draw")</f>
        <v>3</v>
      </c>
      <c r="I33">
        <f>COUNTIFS('Team Lineups'!C:C,A33,'Team Lineups'!G:G,"Loss")</f>
        <v>2</v>
      </c>
      <c r="J33" s="3">
        <f t="shared" si="6"/>
        <v>0.54545454545454541</v>
      </c>
      <c r="K33" s="3">
        <f t="shared" si="4"/>
        <v>0.18181818181818182</v>
      </c>
      <c r="L33">
        <f>SUMIF('Team Lineups'!C:C,A33,'Team Lineups'!H:H)</f>
        <v>35</v>
      </c>
      <c r="M33">
        <f t="shared" si="7"/>
        <v>3.1818181818181817</v>
      </c>
      <c r="N33">
        <f>SUMIF('Team Lineups'!C:C,A33,'Team Lineups'!I:I)</f>
        <v>14</v>
      </c>
      <c r="O33">
        <f>COUNTIF(Matches!G:G,A33)</f>
        <v>2</v>
      </c>
      <c r="P33">
        <f t="shared" si="8"/>
        <v>0.18181818181818182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4</v>
      </c>
      <c r="D34">
        <f>SUMIF('Team Lineups'!C:C,A34,'Team Lineups'!E:E)</f>
        <v>22</v>
      </c>
      <c r="E34">
        <f>SUMIF('Team Lineups'!C:C,A34,'Team Lineups'!F:F)</f>
        <v>20</v>
      </c>
      <c r="F34">
        <f t="shared" si="5"/>
        <v>2</v>
      </c>
      <c r="G34">
        <f>COUNTIFS('Team Lineups'!C:C,A34,'Team Lineups'!G:G,"Win")</f>
        <v>2</v>
      </c>
      <c r="H34">
        <f>COUNTIFS('Team Lineups'!C:C,A34,'Team Lineups'!G:G,"Draw")</f>
        <v>1</v>
      </c>
      <c r="I34">
        <f>COUNTIFS('Team Lineups'!C:C,A34,'Team Lineups'!G:G,"Loss")</f>
        <v>1</v>
      </c>
      <c r="J34" s="3">
        <f t="shared" si="6"/>
        <v>0.5</v>
      </c>
      <c r="K34" s="3">
        <f t="shared" si="4"/>
        <v>0.25</v>
      </c>
      <c r="L34">
        <f>SUMIF('Team Lineups'!C:C,A34,'Team Lineups'!H:H)</f>
        <v>5</v>
      </c>
      <c r="M34">
        <f t="shared" si="7"/>
        <v>1.25</v>
      </c>
      <c r="N34">
        <f>SUMIF('Team Lineups'!C:C,A34,'Team Lineups'!I:I)</f>
        <v>2</v>
      </c>
      <c r="O34">
        <f>COUNTIF(Matches!G:G,A34)</f>
        <v>2</v>
      </c>
      <c r="P34">
        <f t="shared" si="8"/>
        <v>0.5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4</v>
      </c>
      <c r="D35">
        <f>SUMIF('Team Lineups'!C:C,A35,'Team Lineups'!E:E)</f>
        <v>13</v>
      </c>
      <c r="E35">
        <f>SUMIF('Team Lineups'!C:C,A35,'Team Lineups'!F:F)</f>
        <v>23</v>
      </c>
      <c r="F35">
        <f t="shared" ref="F35" si="9">D35-E35</f>
        <v>-10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4</v>
      </c>
      <c r="J35" s="3">
        <f t="shared" ref="J35" si="10">G35/C35</f>
        <v>0</v>
      </c>
      <c r="K35" s="3">
        <f t="shared" si="4"/>
        <v>1</v>
      </c>
      <c r="L35">
        <f>SUMIF('Team Lineups'!C:C,A35,'Team Lineups'!H:H)</f>
        <v>1</v>
      </c>
      <c r="M35">
        <f t="shared" ref="M35" si="11">L35/C35</f>
        <v>0.25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3</v>
      </c>
      <c r="D37">
        <f>SUMIF('Team Lineups'!C:C,A37,'Team Lineups'!E:E)</f>
        <v>18</v>
      </c>
      <c r="E37">
        <f>SUMIF('Team Lineups'!C:C,A37,'Team Lineups'!F:F)</f>
        <v>14</v>
      </c>
      <c r="F37">
        <f t="shared" ref="F37:F42" si="17">D37-E37</f>
        <v>4</v>
      </c>
      <c r="G37">
        <f>COUNTIFS('Team Lineups'!C:C,A37,'Team Lineups'!G:G,"Win")</f>
        <v>2</v>
      </c>
      <c r="H37">
        <f>COUNTIFS('Team Lineups'!C:C,A37,'Team Lineups'!G:G,"Draw")</f>
        <v>1</v>
      </c>
      <c r="I37">
        <f>COUNTIFS('Team Lineups'!C:C,A37,'Team Lineups'!G:G,"Loss")</f>
        <v>0</v>
      </c>
      <c r="J37" s="3">
        <f t="shared" ref="J37:J42" si="18">G37/C37</f>
        <v>0.66666666666666663</v>
      </c>
      <c r="K37" s="3">
        <f t="shared" ref="K37:K42" si="19">I37/C37</f>
        <v>0</v>
      </c>
      <c r="L37">
        <f>SUMIF('Team Lineups'!C:C,A37,'Team Lineups'!H:H)</f>
        <v>2</v>
      </c>
      <c r="M37">
        <f t="shared" ref="M37:M42" si="20">L37/C37</f>
        <v>0.66666666666666663</v>
      </c>
      <c r="N37">
        <f>SUMIF('Team Lineups'!C:C,A37,'Team Lineups'!I:I)</f>
        <v>1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0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3</v>
      </c>
      <c r="D39">
        <f>SUMIF('Team Lineups'!C:C,A39,'Team Lineups'!E:E)</f>
        <v>15</v>
      </c>
      <c r="E39">
        <f>SUMIF('Team Lineups'!C:C,A39,'Team Lineups'!F:F)</f>
        <v>10</v>
      </c>
      <c r="F39">
        <f t="shared" si="17"/>
        <v>5</v>
      </c>
      <c r="G39">
        <f>COUNTIFS('Team Lineups'!C:C,A39,'Team Lineups'!G:G,"Win")</f>
        <v>2</v>
      </c>
      <c r="H39">
        <f>COUNTIFS('Team Lineups'!C:C,A39,'Team Lineups'!G:G,"Draw")</f>
        <v>0</v>
      </c>
      <c r="I39">
        <f>COUNTIFS('Team Lineups'!C:C,A39,'Team Lineups'!G:G,"Loss")</f>
        <v>1</v>
      </c>
      <c r="J39" s="3">
        <f t="shared" si="18"/>
        <v>0.66666666666666663</v>
      </c>
      <c r="K39" s="3">
        <f t="shared" si="19"/>
        <v>0.33333333333333331</v>
      </c>
      <c r="L39">
        <f>SUMIF('Team Lineups'!C:C,A39,'Team Lineups'!H:H)</f>
        <v>2</v>
      </c>
      <c r="M39">
        <f t="shared" si="20"/>
        <v>0.66666666666666663</v>
      </c>
      <c r="N39">
        <f>SUMIF('Team Lineups'!C:C,A39,'Team Lineups'!I:I)</f>
        <v>0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3</v>
      </c>
      <c r="D41">
        <f>SUMIF('Team Lineups'!C:C,A41,'Team Lineups'!E:E)</f>
        <v>14</v>
      </c>
      <c r="E41">
        <f>SUMIF('Team Lineups'!C:C,A41,'Team Lineups'!F:F)</f>
        <v>14</v>
      </c>
      <c r="F41">
        <f t="shared" si="17"/>
        <v>0</v>
      </c>
      <c r="G41">
        <f>COUNTIFS('Team Lineups'!C:C,A41,'Team Lineups'!G:G,"Win")</f>
        <v>1</v>
      </c>
      <c r="H41">
        <f>COUNTIFS('Team Lineups'!C:C,A41,'Team Lineups'!G:G,"Draw")</f>
        <v>1</v>
      </c>
      <c r="I41">
        <f>COUNTIFS('Team Lineups'!C:C,A41,'Team Lineups'!G:G,"Loss")</f>
        <v>1</v>
      </c>
      <c r="J41" s="3">
        <f t="shared" si="18"/>
        <v>0.33333333333333331</v>
      </c>
      <c r="K41" s="3">
        <f t="shared" si="19"/>
        <v>0.33333333333333331</v>
      </c>
      <c r="L41">
        <f>SUMIF('Team Lineups'!C:C,A41,'Team Lineups'!H:H)</f>
        <v>3</v>
      </c>
      <c r="M41">
        <f t="shared" si="20"/>
        <v>1</v>
      </c>
      <c r="N41">
        <f>SUMIF('Team Lineups'!C:C,A41,'Team Lineups'!I:I)</f>
        <v>0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4</v>
      </c>
      <c r="D42">
        <f>SUMIF('Team Lineups'!C:C,A42,'Team Lineups'!E:E)</f>
        <v>23</v>
      </c>
      <c r="E42">
        <f>SUMIF('Team Lineups'!C:C,A42,'Team Lineups'!F:F)</f>
        <v>24</v>
      </c>
      <c r="F42">
        <f t="shared" si="17"/>
        <v>-1</v>
      </c>
      <c r="G42">
        <f>COUNTIFS('Team Lineups'!C:C,A42,'Team Lineups'!G:G,"Win")</f>
        <v>1</v>
      </c>
      <c r="H42">
        <f>COUNTIFS('Team Lineups'!C:C,A42,'Team Lineups'!G:G,"Draw")</f>
        <v>1</v>
      </c>
      <c r="I42">
        <f>COUNTIFS('Team Lineups'!C:C,A42,'Team Lineups'!G:G,"Loss")</f>
        <v>2</v>
      </c>
      <c r="J42" s="3">
        <f t="shared" si="18"/>
        <v>0.25</v>
      </c>
      <c r="K42" s="3">
        <f t="shared" si="19"/>
        <v>0.5</v>
      </c>
      <c r="L42">
        <f>SUMIF('Team Lineups'!C:C,A42,'Team Lineups'!H:H)</f>
        <v>2</v>
      </c>
      <c r="M42">
        <f t="shared" si="20"/>
        <v>0.5</v>
      </c>
      <c r="N42">
        <f>SUMIF('Team Lineups'!C:C,A42,'Team Lineups'!I:I)</f>
        <v>1</v>
      </c>
      <c r="O42">
        <f>COUNTIF(Matches!G:G,A42)</f>
        <v>0</v>
      </c>
      <c r="P42">
        <f t="shared" si="21"/>
        <v>0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1</v>
      </c>
      <c r="D44">
        <f>SUMIF('Team Lineups'!C:C,A44,'Team Lineups'!E:E)</f>
        <v>14</v>
      </c>
      <c r="E44">
        <f>SUMIF('Team Lineups'!C:C,A44,'Team Lineups'!F:F)</f>
        <v>10</v>
      </c>
      <c r="F44">
        <f t="shared" ref="F44" si="27">D44-E44</f>
        <v>4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1</v>
      </c>
      <c r="M44">
        <f t="shared" ref="M44" si="30">L44/C44</f>
        <v>1</v>
      </c>
      <c r="N44">
        <f>SUMIF('Team Lineups'!C:C,A44,'Team Lineups'!I:I)</f>
        <v>1</v>
      </c>
      <c r="O44">
        <f>COUNTIF(Matches!G:G,A44)</f>
        <v>0</v>
      </c>
      <c r="P44">
        <f t="shared" ref="P44" si="31">O44/C44</f>
        <v>0</v>
      </c>
      <c r="Q44">
        <f>SUMIF('Team Lineups'!C:C,A44,'Team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2"/>
  <sheetViews>
    <sheetView topLeftCell="X27" workbookViewId="0">
      <selection activeCell="AN41" sqref="AN41:AO41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2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14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5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4</v>
      </c>
      <c r="H2" cm="1">
        <f t="array" ref="H2">SUMPRODUCT(('Team Lineups'!$K$2:$K$2000&lt;&gt;"")*('Team Lineups'!$C$2:$C$2000=$A2)*COUNTIFS('Team Lineups'!$K$2:$K$2000,'Team Lineups'!$K$2:$K$2000,'Team Lineups'!$C$2:$C$2000,H$1))</f>
        <v>3</v>
      </c>
      <c r="I2" cm="1">
        <f t="array" ref="I2">SUMPRODUCT(('Team Lineups'!$K$2:$K$2000&lt;&gt;"")*('Team Lineups'!$C$2:$C$2000=$A2)*COUNTIFS('Team Lineups'!$K$2:$K$2000,'Team Lineups'!$K$2:$K$2000,'Team Lineups'!$C$2:$C$2000,I$1))</f>
        <v>7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7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0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2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1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2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1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11</v>
      </c>
      <c r="D3" cm="1">
        <f t="array" ref="D3">SUMPRODUCT(('Team Lineups'!$K$2:$K$2000&lt;&gt;"")*('Team Lineups'!$C$2:$C$2000=$A3)*COUNTIFS('Team Lineups'!$K$2:$K$2000,'Team Lineups'!$K$2:$K$2000,'Team Lineups'!$C$2:$C$2000,D$1))</f>
        <v>4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3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2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3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1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4</v>
      </c>
      <c r="D4" cm="1">
        <f t="array" ref="D4">SUMPRODUCT(('Team Lineups'!$K$2:$K$2000&lt;&gt;"")*('Team Lineups'!$C$2:$C$2000=$A4)*COUNTIFS('Team Lineups'!$K$2:$K$2000,'Team Lineups'!$K$2:$K$2000,'Team Lineups'!$C$2:$C$2000,D$1))</f>
        <v>15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6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4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3</v>
      </c>
      <c r="R4" cm="1">
        <f t="array" ref="R4">SUMPRODUCT(('Team Lineups'!$K$2:$K$2000&lt;&gt;"")*('Team Lineups'!$C$2:$C$2000=$A4)*COUNTIFS('Team Lineups'!$K$2:$K$2000,'Team Lineups'!$K$2:$K$2000,'Team Lineups'!$C$2:$C$2000,R$1))</f>
        <v>3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0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0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0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5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cm="1">
        <f t="array" ref="E5">SUMPRODUCT(('Team Lineups'!$K$2:$K$2000&lt;&gt;"")*('Team Lineups'!$C$2:$C$2000=$A5)*COUNTIFS('Team Lineups'!$K$2:$K$2000,'Team Lineups'!$K$2:$K$2000,'Team Lineups'!$C$2:$C$2000,E$1))</f>
        <v>14</v>
      </c>
      <c r="F5" cm="1">
        <f t="array" ref="F5">SUMPRODUCT(('Team Lineups'!$K$2:$K$2000&lt;&gt;"")*('Team Lineups'!$C$2:$C$2000=$A5)*COUNTIFS('Team Lineups'!$K$2:$K$2000,'Team Lineups'!$K$2:$K$2000,'Team Lineups'!$C$2:$C$2000,F$1))</f>
        <v>6</v>
      </c>
      <c r="G5" cm="1">
        <f t="array" ref="G5">SUMPRODUCT(('Team Lineups'!$K$2:$K$2000&lt;&gt;"")*('Team Lineups'!$C$2:$C$2000=$A5)*COUNTIFS('Team Lineups'!$K$2:$K$2000,'Team Lineups'!$K$2:$K$2000,'Team Lineups'!$C$2:$C$2000,G$1))</f>
        <v>7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3</v>
      </c>
      <c r="N5" cm="1">
        <f t="array" ref="N5">SUMPRODUCT(('Team Lineups'!$K$2:$K$2000&lt;&gt;"")*('Team Lineups'!$C$2:$C$2000=$A5)*COUNTIFS('Team Lineups'!$K$2:$K$2000,'Team Lineups'!$K$2:$K$2000,'Team Lineups'!$C$2:$C$2000,N$1))</f>
        <v>3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3</v>
      </c>
      <c r="R5" cm="1">
        <f t="array" ref="R5">SUMPRODUCT(('Team Lineups'!$K$2:$K$2000&lt;&gt;"")*('Team Lineups'!$C$2:$C$2000=$A5)*COUNTIFS('Team Lineups'!$K$2:$K$2000,'Team Lineups'!$K$2:$K$2000,'Team Lineups'!$C$2:$C$2000,R$1))</f>
        <v>3</v>
      </c>
      <c r="S5" cm="1">
        <f t="array" ref="S5">SUMPRODUCT(('Team Lineups'!$K$2:$K$2000&lt;&gt;"")*('Team Lineups'!$C$2:$C$2000=$A5)*COUNTIFS('Team Lineups'!$K$2:$K$2000,'Team Lineups'!$K$2:$K$2000,'Team Lineups'!$C$2:$C$2000,S$1))</f>
        <v>3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1</v>
      </c>
      <c r="AA5" cm="1">
        <f t="array" ref="AA5">SUMPRODUCT(('Team Lineups'!$K$2:$K$2000&lt;&gt;"")*('Team Lineups'!$C$2:$C$2000=$A5)*COUNTIFS('Team Lineups'!$K$2:$K$2000,'Team Lineups'!$K$2:$K$2000,'Team Lineups'!$C$2:$C$2000,AA$1))</f>
        <v>6</v>
      </c>
      <c r="AB5" cm="1">
        <f t="array" ref="AB5">SUMPRODUCT(('Team Lineups'!$K$2:$K$2000&lt;&gt;"")*('Team Lineups'!$C$2:$C$2000=$A5)*COUNTIFS('Team Lineups'!$K$2:$K$2000,'Team Lineups'!$K$2:$K$2000,'Team Lineups'!$C$2:$C$2000,AB$1))</f>
        <v>1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1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2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0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3</v>
      </c>
      <c r="D6" cm="1">
        <f t="array" ref="D6">SUMPRODUCT(('Team Lineups'!$K$2:$K$2000&lt;&gt;"")*('Team Lineups'!$C$2:$C$2000=$A6)*COUNTIFS('Team Lineups'!$K$2:$K$2000,'Team Lineups'!$K$2:$K$2000,'Team Lineups'!$C$2:$C$2000,D$1))</f>
        <v>6</v>
      </c>
      <c r="E6" cm="1">
        <f t="array" ref="E6">SUMPRODUCT(('Team Lineups'!$K$2:$K$2000&lt;&gt;"")*('Team Lineups'!$C$2:$C$2000=$A6)*COUNTIFS('Team Lineups'!$K$2:$K$2000,'Team Lineups'!$K$2:$K$2000,'Team Lineups'!$C$2:$C$2000,E$1))</f>
        <v>6</v>
      </c>
      <c r="F6" cm="1">
        <f t="array" ref="F6">SUMPRODUCT(('Team Lineups'!$K$2:$K$2000&lt;&gt;"")*('Team Lineups'!$C$2:$C$2000=$A6)*COUNTIFS('Team Lineups'!$K$2:$K$2000,'Team Lineups'!$K$2:$K$2000,'Team Lineups'!$C$2:$C$2000,F$1))</f>
        <v>12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2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3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1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0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0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0</v>
      </c>
      <c r="AO6" cm="1">
        <f t="array" ref="AO6">SUMPRODUCT(('Team Lineups'!$K$2:$K$2000&lt;&gt;"")*('Team Lineups'!$C$2:$C$2000=$A6)*COUNTIFS('Team Lineups'!$K$2:$K$2000,'Team Lineups'!$K$2:$K$2000,'Team Lineups'!$C$2:$C$2000,AO$1))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4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7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cm="1">
        <f t="array" ref="G7">SUMPRODUCT(('Team Lineups'!$K$2:$K$2000&lt;&gt;"")*('Team Lineups'!$C$2:$C$2000=$A7)*COUNTIFS('Team Lineups'!$K$2:$K$2000,'Team Lineups'!$K$2:$K$2000,'Team Lineups'!$C$2:$C$2000,G$1))</f>
        <v>16</v>
      </c>
      <c r="H7" cm="1">
        <f t="array" ref="H7">SUMPRODUCT(('Team Lineups'!$K$2:$K$2000&lt;&gt;"")*('Team Lineups'!$C$2:$C$2000=$A7)*COUNTIFS('Team Lineups'!$K$2:$K$2000,'Team Lineups'!$K$2:$K$2000,'Team Lineups'!$C$2:$C$2000,H$1))</f>
        <v>4</v>
      </c>
      <c r="I7" cm="1">
        <f t="array" ref="I7">SUMPRODUCT(('Team Lineups'!$K$2:$K$2000&lt;&gt;"")*('Team Lineups'!$C$2:$C$2000=$A7)*COUNTIFS('Team Lineups'!$K$2:$K$2000,'Team Lineups'!$K$2:$K$2000,'Team Lineups'!$C$2:$C$2000,I$1))</f>
        <v>6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8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0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4</v>
      </c>
      <c r="R7" cm="1">
        <f t="array" ref="R7">SUMPRODUCT(('Team Lineups'!$K$2:$K$2000&lt;&gt;"")*('Team Lineups'!$C$2:$C$2000=$A7)*COUNTIFS('Team Lineups'!$K$2:$K$2000,'Team Lineups'!$K$2:$K$2000,'Team Lineups'!$C$2:$C$2000,R$1))</f>
        <v>4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3</v>
      </c>
      <c r="AA7" cm="1">
        <f t="array" ref="AA7">SUMPRODUCT(('Team Lineups'!$K$2:$K$2000&lt;&gt;"")*('Team Lineups'!$C$2:$C$2000=$A7)*COUNTIFS('Team Lineups'!$K$2:$K$2000,'Team Lineups'!$K$2:$K$2000,'Team Lineups'!$C$2:$C$2000,AA$1))</f>
        <v>5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2</v>
      </c>
      <c r="AE7" cm="1">
        <f t="array" ref="AE7">SUMPRODUCT(('Team Lineups'!$K$2:$K$2000&lt;&gt;"")*('Team Lineups'!$C$2:$C$2000=$A7)*COUNTIFS('Team Lineups'!$K$2:$K$2000,'Team Lineups'!$K$2:$K$2000,'Team Lineups'!$C$2:$C$2000,AE$1))</f>
        <v>0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3</v>
      </c>
      <c r="AL7" cm="1">
        <f t="array" ref="AL7">SUMPRODUCT(('Team Lineups'!$K$2:$K$2000&lt;&gt;"")*('Team Lineups'!$C$2:$C$2000=$A7)*COUNTIFS('Team Lineups'!$K$2:$K$2000,'Team Lineups'!$K$2:$K$2000,'Team Lineups'!$C$2:$C$2000,AL$1))</f>
        <v>2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0</v>
      </c>
      <c r="AO7" cm="1">
        <f t="array" ref="AO7">SUMPRODUCT(('Team Lineups'!$K$2:$K$2000&lt;&gt;"")*('Team Lineups'!$C$2:$C$2000=$A7)*COUNTIFS('Team Lineups'!$K$2:$K$2000,'Team Lineups'!$K$2:$K$2000,'Team Lineups'!$C$2:$C$2000,AO$1))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3</v>
      </c>
      <c r="C8" cm="1">
        <f t="array" ref="C8">SUMPRODUCT(('Team Lineups'!$K$2:$K$2000&lt;&gt;"")*('Team Lineups'!$C$2:$C$2000=$A8)*COUNTIFS('Team Lineups'!$K$2:$K$2000,'Team Lineups'!$K$2:$K$2000,'Team Lineups'!$C$2:$C$2000,C$1))</f>
        <v>2</v>
      </c>
      <c r="D8" cm="1">
        <f t="array" ref="D8">SUMPRODUCT(('Team Lineups'!$K$2:$K$2000&lt;&gt;"")*('Team Lineups'!$C$2:$C$2000=$A8)*COUNTIFS('Team Lineups'!$K$2:$K$2000,'Team Lineups'!$K$2:$K$2000,'Team Lineups'!$C$2:$C$2000,D$1))</f>
        <v>4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2</v>
      </c>
      <c r="G8" cm="1">
        <f t="array" ref="G8">SUMPRODUCT(('Team Lineups'!$K$2:$K$2000&lt;&gt;"")*('Team Lineups'!$C$2:$C$2000=$A8)*COUNTIFS('Team Lineups'!$K$2:$K$2000,'Team Lineups'!$K$2:$K$2000,'Team Lineups'!$C$2:$C$2000,G$1))</f>
        <v>4</v>
      </c>
      <c r="H8" cm="1">
        <f t="array" ref="H8">SUMPRODUCT(('Team Lineups'!$K$2:$K$2000&lt;&gt;"")*('Team Lineups'!$C$2:$C$2000=$A8)*COUNTIFS('Team Lineups'!$K$2:$K$2000,'Team Lineups'!$K$2:$K$2000,'Team Lineups'!$C$2:$C$2000,H$1))</f>
        <v>14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5</v>
      </c>
      <c r="N8" cm="1">
        <f t="array" ref="N8">SUMPRODUCT(('Team Lineups'!$K$2:$K$2000&lt;&gt;"")*('Team Lineups'!$C$2:$C$2000=$A8)*COUNTIFS('Team Lineups'!$K$2:$K$2000,'Team Lineups'!$K$2:$K$2000,'Team Lineups'!$C$2:$C$2000,N$1))</f>
        <v>3</v>
      </c>
      <c r="O8" cm="1">
        <f t="array" ref="O8">SUMPRODUCT(('Team Lineups'!$K$2:$K$2000&lt;&gt;"")*('Team Lineups'!$C$2:$C$2000=$A8)*COUNTIFS('Team Lineups'!$K$2:$K$2000,'Team Lineups'!$K$2:$K$2000,'Team Lineups'!$C$2:$C$2000,O$1))</f>
        <v>4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8</v>
      </c>
      <c r="R8" cm="1">
        <f t="array" ref="R8">SUMPRODUCT(('Team Lineups'!$K$2:$K$2000&lt;&gt;"")*('Team Lineups'!$C$2:$C$2000=$A8)*COUNTIFS('Team Lineups'!$K$2:$K$2000,'Team Lineups'!$K$2:$K$2000,'Team Lineups'!$C$2:$C$2000,R$1))</f>
        <v>4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1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2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0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1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7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6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18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6</v>
      </c>
      <c r="N9" cm="1">
        <f t="array" ref="N9">SUMPRODUCT(('Team Lineups'!$K$2:$K$2000&lt;&gt;"")*('Team Lineups'!$C$2:$C$2000=$A9)*COUNTIFS('Team Lineups'!$K$2:$K$2000,'Team Lineups'!$K$2:$K$2000,'Team Lineups'!$C$2:$C$2000,N$1))</f>
        <v>5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3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2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4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3</v>
      </c>
      <c r="AE9" cm="1">
        <f t="array" ref="AE9">SUMPRODUCT(('Team Lineups'!$K$2:$K$2000&lt;&gt;"")*('Team Lineups'!$C$2:$C$2000=$A9)*COUNTIFS('Team Lineups'!$K$2:$K$2000,'Team Lineups'!$K$2:$K$2000,'Team Lineups'!$C$2:$C$2000,AE$1))</f>
        <v>0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3</v>
      </c>
      <c r="AK9" cm="1">
        <f t="array" ref="AK9">SUMPRODUCT(('Team Lineups'!$K$2:$K$2000&lt;&gt;"")*('Team Lineups'!$C$2:$C$2000=$A9)*COUNTIFS('Team Lineups'!$K$2:$K$2000,'Team Lineups'!$K$2:$K$2000,'Team Lineups'!$C$2:$C$2000,AK$1))</f>
        <v>0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1</v>
      </c>
      <c r="AO9" cm="1">
        <f t="array" ref="AO9">SUMPRODUCT(('Team Lineups'!$K$2:$K$2000&lt;&gt;"")*('Team Lineups'!$C$2:$C$2000=$A9)*COUNTIFS('Team Lineups'!$K$2:$K$2000,'Team Lineups'!$K$2:$K$2000,'Team Lineups'!$C$2:$C$2000,AO$1))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17</v>
      </c>
      <c r="M12" cm="1">
        <f t="array" ref="M12">SUMPRODUCT(('Team Lineups'!$K$2:$K$2000&lt;&gt;"")*('Team Lineups'!$C$2:$C$2000=$A12)*COUNTIFS('Team Lineups'!$K$2:$K$2000,'Team Lineups'!$K$2:$K$2000,'Team Lineups'!$C$2:$C$2000,M$1))</f>
        <v>6</v>
      </c>
      <c r="N12" cm="1">
        <f t="array" ref="N12">SUMPRODUCT(('Team Lineups'!$K$2:$K$2000&lt;&gt;"")*('Team Lineups'!$C$2:$C$2000=$A12)*COUNTIFS('Team Lineups'!$K$2:$K$2000,'Team Lineups'!$K$2:$K$2000,'Team Lineups'!$C$2:$C$2000,N$1))</f>
        <v>5</v>
      </c>
      <c r="O12" cm="1">
        <f t="array" ref="O12">SUMPRODUCT(('Team Lineups'!$K$2:$K$2000&lt;&gt;"")*('Team Lineups'!$C$2:$C$2000=$A12)*COUNTIFS('Team Lineups'!$K$2:$K$2000,'Team Lineups'!$K$2:$K$2000,'Team Lineups'!$C$2:$C$2000,O$1))</f>
        <v>3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2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4</v>
      </c>
      <c r="AB12" cm="1">
        <f t="array" ref="AB12">SUMPRODUCT(('Team Lineups'!$K$2:$K$2000&lt;&gt;"")*('Team Lineups'!$C$2:$C$2000=$A12)*COUNTIFS('Team Lineups'!$K$2:$K$2000,'Team Lineups'!$K$2:$K$2000,'Team Lineups'!$C$2:$C$2000,AB$1))</f>
        <v>4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2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0</v>
      </c>
      <c r="AK12" cm="1">
        <f t="array" ref="AK12">SUMPRODUCT(('Team Lineups'!$K$2:$K$2000&lt;&gt;"")*('Team Lineups'!$C$2:$C$2000=$A12)*COUNTIFS('Team Lineups'!$K$2:$K$2000,'Team Lineups'!$K$2:$K$2000,'Team Lineups'!$C$2:$C$2000,AK$1))</f>
        <v>0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1</v>
      </c>
      <c r="AO12" cm="1">
        <f t="array" ref="AO12">SUMPRODUCT(('Team Lineups'!$K$2:$K$2000&lt;&gt;"")*('Team Lineups'!$C$2:$C$2000=$A12)*COUNTIFS('Team Lineups'!$K$2:$K$2000,'Team Lineups'!$K$2:$K$2000,'Team Lineups'!$C$2:$C$2000,AO$1))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3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8</v>
      </c>
      <c r="H13" cm="1">
        <f t="array" ref="H13">SUMPRODUCT(('Team Lineups'!$K$2:$K$2000&lt;&gt;"")*('Team Lineups'!$C$2:$C$2000=$A13)*COUNTIFS('Team Lineups'!$K$2:$K$2000,'Team Lineups'!$K$2:$K$2000,'Team Lineups'!$C$2:$C$2000,H$1))</f>
        <v>5</v>
      </c>
      <c r="I13" cm="1">
        <f t="array" ref="I13">SUMPRODUCT(('Team Lineups'!$K$2:$K$2000&lt;&gt;"")*('Team Lineups'!$C$2:$C$2000=$A13)*COUNTIFS('Team Lineups'!$K$2:$K$2000,'Team Lineups'!$K$2:$K$2000,'Team Lineups'!$C$2:$C$2000,I$1))</f>
        <v>6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6</v>
      </c>
      <c r="M13" cm="1">
        <f t="array" ref="M13">SUMPRODUCT(('Team Lineups'!$K$2:$K$2000&lt;&gt;"")*('Team Lineups'!$C$2:$C$2000=$A13)*COUNTIFS('Team Lineups'!$K$2:$K$2000,'Team Lineups'!$K$2:$K$2000,'Team Lineups'!$C$2:$C$2000,M$1))</f>
        <v>17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2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5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4</v>
      </c>
      <c r="AA13" cm="1">
        <f t="array" ref="AA13">SUMPRODUCT(('Team Lineups'!$K$2:$K$2000&lt;&gt;"")*('Team Lineups'!$C$2:$C$2000=$A13)*COUNTIFS('Team Lineups'!$K$2:$K$2000,'Team Lineups'!$K$2:$K$2000,'Team Lineups'!$C$2:$C$2000,AA$1))</f>
        <v>3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2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1</v>
      </c>
      <c r="AK13" cm="1">
        <f t="array" ref="AK13">SUMPRODUCT(('Team Lineups'!$K$2:$K$2000&lt;&gt;"")*('Team Lineups'!$C$2:$C$2000=$A13)*COUNTIFS('Team Lineups'!$K$2:$K$2000,'Team Lineups'!$K$2:$K$2000,'Team Lineups'!$C$2:$C$2000,AK$1))</f>
        <v>0</v>
      </c>
      <c r="AL13" cm="1">
        <f t="array" ref="AL13">SUMPRODUCT(('Team Lineups'!$K$2:$K$2000&lt;&gt;"")*('Team Lineups'!$C$2:$C$2000=$A13)*COUNTIFS('Team Lineups'!$K$2:$K$2000,'Team Lineups'!$K$2:$K$2000,'Team Lineups'!$C$2:$C$2000,AL$1))</f>
        <v>0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0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7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3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3</v>
      </c>
      <c r="I14" cm="1">
        <f t="array" ref="I14">SUMPRODUCT(('Team Lineups'!$K$2:$K$2000&lt;&gt;"")*('Team Lineups'!$C$2:$C$2000=$A14)*COUNTIFS('Team Lineups'!$K$2:$K$2000,'Team Lineups'!$K$2:$K$2000,'Team Lineups'!$C$2:$C$2000,I$1))</f>
        <v>5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5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cm="1">
        <f t="array" ref="N14">SUMPRODUCT(('Team Lineups'!$K$2:$K$2000&lt;&gt;"")*('Team Lineups'!$C$2:$C$2000=$A14)*COUNTIFS('Team Lineups'!$K$2:$K$2000,'Team Lineups'!$K$2:$K$2000,'Team Lineups'!$C$2:$C$2000,N$1))</f>
        <v>11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2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1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0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2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0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0</v>
      </c>
      <c r="H15" cm="1">
        <f t="array" ref="H15">SUMPRODUCT(('Team Lineups'!$K$2:$K$2000&lt;&gt;"")*('Team Lineups'!$C$2:$C$2000=$A15)*COUNTIFS('Team Lineups'!$K$2:$K$2000,'Team Lineups'!$K$2:$K$2000,'Team Lineups'!$C$2:$C$2000,H$1))</f>
        <v>4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3</v>
      </c>
      <c r="M15" cm="1">
        <f t="array" ref="M15">SUMPRODUCT(('Team Lineups'!$K$2:$K$2000&lt;&gt;"")*('Team Lineups'!$C$2:$C$2000=$A15)*COUNTIFS('Team Lineups'!$K$2:$K$2000,'Team Lineups'!$K$2:$K$2000,'Team Lineups'!$C$2:$C$2000,M$1))</f>
        <v>2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cm="1">
        <f t="array" ref="O15">SUMPRODUCT(('Team Lineups'!$K$2:$K$2000&lt;&gt;"")*('Team Lineups'!$C$2:$C$2000=$A15)*COUNTIFS('Team Lineups'!$K$2:$K$2000,'Team Lineups'!$K$2:$K$2000,'Team Lineups'!$C$2:$C$2000,O$1))</f>
        <v>7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4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2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2</v>
      </c>
      <c r="AB15" cm="1">
        <f t="array" ref="AB15">SUMPRODUCT(('Team Lineups'!$K$2:$K$2000&lt;&gt;"")*('Team Lineups'!$C$2:$C$2000=$A15)*COUNTIFS('Team Lineups'!$K$2:$K$2000,'Team Lineups'!$K$2:$K$2000,'Team Lineups'!$C$2:$C$2000,AB$1))</f>
        <v>2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2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0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</row>
    <row r="17" spans="1:41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3</v>
      </c>
      <c r="D17" cm="1">
        <f t="array" ref="D17">SUMPRODUCT(('Team Lineups'!$K$2:$K$2000&lt;&gt;"")*('Team Lineups'!$C$2:$C$2000=$A17)*COUNTIFS('Team Lineups'!$K$2:$K$2000,'Team Lineups'!$K$2:$K$2000,'Team Lineups'!$C$2:$C$2000,D$1))</f>
        <v>3</v>
      </c>
      <c r="E17" cm="1">
        <f t="array" ref="E17">SUMPRODUCT(('Team Lineups'!$K$2:$K$2000&lt;&gt;"")*('Team Lineups'!$C$2:$C$2000=$A17)*COUNTIFS('Team Lineups'!$K$2:$K$2000,'Team Lineups'!$K$2:$K$2000,'Team Lineups'!$C$2:$C$2000,E$1))</f>
        <v>3</v>
      </c>
      <c r="F17" cm="1">
        <f t="array" ref="F17">SUMPRODUCT(('Team Lineups'!$K$2:$K$2000&lt;&gt;"")*('Team Lineups'!$C$2:$C$2000=$A17)*COUNTIFS('Team Lineups'!$K$2:$K$2000,'Team Lineups'!$K$2:$K$2000,'Team Lineups'!$C$2:$C$2000,F$1))</f>
        <v>3</v>
      </c>
      <c r="G17" cm="1">
        <f t="array" ref="G17">SUMPRODUCT(('Team Lineups'!$K$2:$K$2000&lt;&gt;"")*('Team Lineups'!$C$2:$C$2000=$A17)*COUNTIFS('Team Lineups'!$K$2:$K$2000,'Team Lineups'!$K$2:$K$2000,'Team Lineups'!$C$2:$C$2000,G$1))</f>
        <v>4</v>
      </c>
      <c r="H17" cm="1">
        <f t="array" ref="H17">SUMPRODUCT(('Team Lineups'!$K$2:$K$2000&lt;&gt;"")*('Team Lineups'!$C$2:$C$2000=$A17)*COUNTIFS('Team Lineups'!$K$2:$K$2000,'Team Lineups'!$K$2:$K$2000,'Team Lineups'!$C$2:$C$2000,H$1))</f>
        <v>8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5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4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15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4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1</v>
      </c>
      <c r="AA17" cm="1">
        <f t="array" ref="AA17">SUMPRODUCT(('Team Lineups'!$K$2:$K$2000&lt;&gt;"")*('Team Lineups'!$C$2:$C$2000=$A17)*COUNTIFS('Team Lineups'!$K$2:$K$2000,'Team Lineups'!$K$2:$K$2000,'Team Lineups'!$C$2:$C$2000,AA$1))</f>
        <v>3</v>
      </c>
      <c r="AB17" cm="1">
        <f t="array" ref="AB17">SUMPRODUCT(('Team Lineups'!$K$2:$K$2000&lt;&gt;"")*('Team Lineups'!$C$2:$C$2000=$A17)*COUNTIFS('Team Lineups'!$K$2:$K$2000,'Team Lineups'!$K$2:$K$2000,'Team Lineups'!$C$2:$C$2000,AB$1))</f>
        <v>2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0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0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1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0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0</v>
      </c>
      <c r="AO17" cm="1">
        <f t="array" ref="AO17">SUMPRODUCT(('Team Lineups'!$K$2:$K$2000&lt;&gt;"")*('Team Lineups'!$C$2:$C$2000=$A17)*COUNTIFS('Team Lineups'!$K$2:$K$2000,'Team Lineups'!$K$2:$K$2000,'Team Lineups'!$C$2:$C$2000,AO$1))</f>
        <v>1</v>
      </c>
    </row>
    <row r="18" spans="1:41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0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3</v>
      </c>
      <c r="E18" cm="1">
        <f t="array" ref="E18">SUMPRODUCT(('Team Lineups'!$K$2:$K$2000&lt;&gt;"")*('Team Lineups'!$C$2:$C$2000=$A18)*COUNTIFS('Team Lineups'!$K$2:$K$2000,'Team Lineups'!$K$2:$K$2000,'Team Lineups'!$C$2:$C$2000,E$1))</f>
        <v>3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4</v>
      </c>
      <c r="H18" cm="1">
        <f t="array" ref="H18">SUMPRODUCT(('Team Lineups'!$K$2:$K$2000&lt;&gt;"")*('Team Lineups'!$C$2:$C$2000=$A18)*COUNTIFS('Team Lineups'!$K$2:$K$2000,'Team Lineups'!$K$2:$K$2000,'Team Lineups'!$C$2:$C$2000,H$1))</f>
        <v>4</v>
      </c>
      <c r="I18" cm="1">
        <f t="array" ref="I18">SUMPRODUCT(('Team Lineups'!$K$2:$K$2000&lt;&gt;"")*('Team Lineups'!$C$2:$C$2000=$A18)*COUNTIFS('Team Lineups'!$K$2:$K$2000,'Team Lineups'!$K$2:$K$2000,'Team Lineups'!$C$2:$C$2000,I$1))</f>
        <v>3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10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3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0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3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0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</row>
    <row r="19" spans="1:41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3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2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4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12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2</v>
      </c>
      <c r="AB19" cm="1">
        <f t="array" ref="AB19">SUMPRODUCT(('Team Lineups'!$K$2:$K$2000&lt;&gt;"")*('Team Lineups'!$C$2:$C$2000=$A19)*COUNTIFS('Team Lineups'!$K$2:$K$2000,'Team Lineups'!$K$2:$K$2000,'Team Lineups'!$C$2:$C$2000,AB$1))</f>
        <v>2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3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0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1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</row>
    <row r="20" spans="1:41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2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2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2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4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1</v>
      </c>
      <c r="AB20" cm="1">
        <f t="array" ref="AB20">SUMPRODUCT(('Team Lineups'!$K$2:$K$2000&lt;&gt;"")*('Team Lineups'!$C$2:$C$2000=$A20)*COUNTIFS('Team Lineups'!$K$2:$K$2000,'Team Lineups'!$K$2:$K$2000,'Team Lineups'!$C$2:$C$2000,AB$1))</f>
        <v>1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1</v>
      </c>
      <c r="AE20" cm="1">
        <f t="array" ref="AE20">SUMPRODUCT(('Team Lineups'!$K$2:$K$2000&lt;&gt;"")*('Team Lineups'!$C$2:$C$2000=$A20)*COUNTIFS('Team Lineups'!$K$2:$K$2000,'Team Lineups'!$K$2:$K$2000,'Team Lineups'!$C$2:$C$2000,AE$1))</f>
        <v>1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0</v>
      </c>
      <c r="AK20" cm="1">
        <f t="array" ref="AK20">SUMPRODUCT(('Team Lineups'!$K$2:$K$2000&lt;&gt;"")*('Team Lineups'!$C$2:$C$2000=$A20)*COUNTIFS('Team Lineups'!$K$2:$K$2000,'Team Lineups'!$K$2:$K$2000,'Team Lineups'!$C$2:$C$2000,AK$1))</f>
        <v>0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0</v>
      </c>
    </row>
    <row r="21" spans="1:41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</row>
    <row r="22" spans="1:41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</row>
    <row r="23" spans="1:41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</row>
    <row r="24" spans="1:41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</row>
    <row r="25" spans="1:41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</row>
    <row r="26" spans="1:41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1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3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4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1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6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1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</row>
    <row r="27" spans="1:41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2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6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5</v>
      </c>
      <c r="H27" cm="1">
        <f t="array" ref="H27">SUMPRODUCT(('Team Lineups'!$K$2:$K$2000&lt;&gt;"")*('Team Lineups'!$C$2:$C$2000=$A27)*COUNTIFS('Team Lineups'!$K$2:$K$2000,'Team Lineups'!$K$2:$K$2000,'Team Lineups'!$C$2:$C$2000,H$1))</f>
        <v>1</v>
      </c>
      <c r="I27" cm="1">
        <f t="array" ref="I27">SUMPRODUCT(('Team Lineups'!$K$2:$K$2000&lt;&gt;"")*('Team Lineups'!$C$2:$C$2000=$A27)*COUNTIFS('Team Lineups'!$K$2:$K$2000,'Team Lineups'!$K$2:$K$2000,'Team Lineups'!$C$2:$C$2000,I$1))</f>
        <v>4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4</v>
      </c>
      <c r="M27" cm="1">
        <f t="array" ref="M27">SUMPRODUCT(('Team Lineups'!$K$2:$K$2000&lt;&gt;"")*('Team Lineups'!$C$2:$C$2000=$A27)*COUNTIFS('Team Lineups'!$K$2:$K$2000,'Team Lineups'!$K$2:$K$2000,'Team Lineups'!$C$2:$C$2000,M$1))</f>
        <v>3</v>
      </c>
      <c r="N27" cm="1">
        <f t="array" ref="N27">SUMPRODUCT(('Team Lineups'!$K$2:$K$2000&lt;&gt;"")*('Team Lineups'!$C$2:$C$2000=$A27)*COUNTIFS('Team Lineups'!$K$2:$K$2000,'Team Lineups'!$K$2:$K$2000,'Team Lineups'!$C$2:$C$2000,N$1))</f>
        <v>1</v>
      </c>
      <c r="O27" cm="1">
        <f t="array" ref="O27">SUMPRODUCT(('Team Lineups'!$K$2:$K$2000&lt;&gt;"")*('Team Lineups'!$C$2:$C$2000=$A27)*COUNTIFS('Team Lineups'!$K$2:$K$2000,'Team Lineups'!$K$2:$K$2000,'Team Lineups'!$C$2:$C$2000,O$1))</f>
        <v>2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3</v>
      </c>
      <c r="R27" cm="1">
        <f t="array" ref="R27">SUMPRODUCT(('Team Lineups'!$K$2:$K$2000&lt;&gt;"")*('Team Lineups'!$C$2:$C$2000=$A27)*COUNTIFS('Team Lineups'!$K$2:$K$2000,'Team Lineups'!$K$2:$K$2000,'Team Lineups'!$C$2:$C$2000,R$1))</f>
        <v>3</v>
      </c>
      <c r="S27" cm="1">
        <f t="array" ref="S27">SUMPRODUCT(('Team Lineups'!$K$2:$K$2000&lt;&gt;"")*('Team Lineups'!$C$2:$C$2000=$A27)*COUNTIFS('Team Lineups'!$K$2:$K$2000,'Team Lineups'!$K$2:$K$2000,'Team Lineups'!$C$2:$C$2000,S$1))</f>
        <v>2</v>
      </c>
      <c r="T27" cm="1">
        <f t="array" ref="T27">SUMPRODUCT(('Team Lineups'!$K$2:$K$2000&lt;&gt;"")*('Team Lineups'!$C$2:$C$2000=$A27)*COUNTIFS('Team Lineups'!$K$2:$K$2000,'Team Lineups'!$K$2:$K$2000,'Team Lineups'!$C$2:$C$2000,T$1))</f>
        <v>1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cm="1">
        <f t="array" ref="AA27">SUMPRODUCT(('Team Lineups'!$K$2:$K$2000&lt;&gt;"")*('Team Lineups'!$C$2:$C$2000=$A27)*COUNTIFS('Team Lineups'!$K$2:$K$2000,'Team Lineups'!$K$2:$K$2000,'Team Lineups'!$C$2:$C$2000,AA$1))</f>
        <v>11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1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0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0</v>
      </c>
      <c r="AK27" cm="1">
        <f t="array" ref="AK27">SUMPRODUCT(('Team Lineups'!$K$2:$K$2000&lt;&gt;"")*('Team Lineups'!$C$2:$C$2000=$A27)*COUNTIFS('Team Lineups'!$K$2:$K$2000,'Team Lineups'!$K$2:$K$2000,'Team Lineups'!$C$2:$C$2000,AK$1))</f>
        <v>0</v>
      </c>
      <c r="AL27" cm="1">
        <f t="array" ref="AL27">SUMPRODUCT(('Team Lineups'!$K$2:$K$2000&lt;&gt;"")*('Team Lineups'!$C$2:$C$2000=$A27)*COUNTIFS('Team Lineups'!$K$2:$K$2000,'Team Lineups'!$K$2:$K$2000,'Team Lineups'!$C$2:$C$2000,AL$1))</f>
        <v>1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0</v>
      </c>
      <c r="AO27" cm="1">
        <f t="array" ref="AO27">SUMPRODUCT(('Team Lineups'!$K$2:$K$2000&lt;&gt;"")*('Team Lineups'!$C$2:$C$2000=$A27)*COUNTIFS('Team Lineups'!$K$2:$K$2000,'Team Lineups'!$K$2:$K$2000,'Team Lineups'!$C$2:$C$2000,AO$1))</f>
        <v>1</v>
      </c>
    </row>
    <row r="28" spans="1:41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1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4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2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2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2</v>
      </c>
      <c r="T28" cm="1">
        <f t="array" ref="T28">SUMPRODUCT(('Team Lineups'!$K$2:$K$2000&lt;&gt;"")*('Team Lineups'!$C$2:$C$2000=$A28)*COUNTIFS('Team Lineups'!$K$2:$K$2000,'Team Lineups'!$K$2:$K$2000,'Team Lineups'!$C$2:$C$2000,T$1))</f>
        <v>1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2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0</v>
      </c>
      <c r="AL28" cm="1">
        <f t="array" ref="AL28">SUMPRODUCT(('Team Lineups'!$K$2:$K$2000&lt;&gt;"")*('Team Lineups'!$C$2:$C$2000=$A28)*COUNTIFS('Team Lineups'!$K$2:$K$2000,'Team Lineups'!$K$2:$K$2000,'Team Lineups'!$C$2:$C$2000,AL$1))</f>
        <v>1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0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</row>
    <row r="29" spans="1:41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</row>
    <row r="30" spans="1:41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2</v>
      </c>
      <c r="H30" cm="1">
        <f t="array" ref="H30">SUMPRODUCT(('Team Lineups'!$K$2:$K$2000&lt;&gt;"")*('Team Lineups'!$C$2:$C$2000=$A30)*COUNTIFS('Team Lineups'!$K$2:$K$2000,'Team Lineups'!$K$2:$K$2000,'Team Lineups'!$C$2:$C$2000,H$1))</f>
        <v>2</v>
      </c>
      <c r="I30" cm="1">
        <f t="array" ref="I30">SUMPRODUCT(('Team Lineups'!$K$2:$K$2000&lt;&gt;"")*('Team Lineups'!$C$2:$C$2000=$A30)*COUNTIFS('Team Lineups'!$K$2:$K$2000,'Team Lineups'!$K$2:$K$2000,'Team Lineups'!$C$2:$C$2000,I$1))</f>
        <v>3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2</v>
      </c>
      <c r="M30" cm="1">
        <f t="array" ref="M30">SUMPRODUCT(('Team Lineups'!$K$2:$K$2000&lt;&gt;"")*('Team Lineups'!$C$2:$C$2000=$A30)*COUNTIFS('Team Lineups'!$K$2:$K$2000,'Team Lineups'!$K$2:$K$2000,'Team Lineups'!$C$2:$C$2000,M$1))</f>
        <v>2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2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0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1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2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4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0</v>
      </c>
      <c r="AK30" cm="1">
        <f t="array" ref="AK30">SUMPRODUCT(('Team Lineups'!$K$2:$K$2000&lt;&gt;"")*('Team Lineups'!$C$2:$C$2000=$A30)*COUNTIFS('Team Lineups'!$K$2:$K$2000,'Team Lineups'!$K$2:$K$2000,'Team Lineups'!$C$2:$C$2000,AK$1))</f>
        <v>0</v>
      </c>
      <c r="AL30" cm="1">
        <f t="array" ref="AL30">SUMPRODUCT(('Team Lineups'!$K$2:$K$2000&lt;&gt;"")*('Team Lineups'!$C$2:$C$2000=$A30)*COUNTIFS('Team Lineups'!$K$2:$K$2000,'Team Lineups'!$K$2:$K$2000,'Team Lineups'!$C$2:$C$2000,AL$1))</f>
        <v>0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0</v>
      </c>
    </row>
    <row r="31" spans="1:41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1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0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0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0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1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1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cm="1">
        <f t="array" ref="AE31">SUMPRODUCT(('Team Lineups'!$K$2:$K$2000&lt;&gt;"")*('Team Lineups'!$C$2:$C$2000=$A31)*COUNTIFS('Team Lineups'!$K$2:$K$2000,'Team Lineups'!$K$2:$K$2000,'Team Lineups'!$C$2:$C$2000,AE$1))</f>
        <v>4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</row>
    <row r="32" spans="1:41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</row>
    <row r="33" spans="1:41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1</v>
      </c>
      <c r="D33" cm="1">
        <f t="array" ref="D33">SUMPRODUCT(('Team Lineups'!$K$2:$K$2000&lt;&gt;"")*('Team Lineups'!$C$2:$C$2000=$A33)*COUNTIFS('Team Lineups'!$K$2:$K$2000,'Team Lineups'!$K$2:$K$2000,'Team Lineups'!$C$2:$C$2000,D$1))</f>
        <v>0</v>
      </c>
      <c r="E33" cm="1">
        <f t="array" ref="E33">SUMPRODUCT(('Team Lineups'!$K$2:$K$2000&lt;&gt;"")*('Team Lineups'!$C$2:$C$2000=$A33)*COUNTIFS('Team Lineups'!$K$2:$K$2000,'Team Lineups'!$K$2:$K$2000,'Team Lineups'!$C$2:$C$2000,E$1))</f>
        <v>1</v>
      </c>
      <c r="F33" cm="1">
        <f t="array" ref="F33">SUMPRODUCT(('Team Lineups'!$K$2:$K$2000&lt;&gt;"")*('Team Lineups'!$C$2:$C$2000=$A33)*COUNTIFS('Team Lineups'!$K$2:$K$2000,'Team Lineups'!$K$2:$K$2000,'Team Lineups'!$C$2:$C$2000,F$1))</f>
        <v>1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0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0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0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3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0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3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0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</row>
    <row r="34" spans="1:41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</row>
    <row r="35" spans="1:41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</row>
    <row r="36" spans="1:41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2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0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1</v>
      </c>
      <c r="I36" cm="1">
        <f t="array" ref="I36">SUMPRODUCT(('Team Lineups'!$K$2:$K$2000&lt;&gt;"")*('Team Lineups'!$C$2:$C$2000=$A36)*COUNTIFS('Team Lineups'!$K$2:$K$2000,'Team Lineups'!$K$2:$K$2000,'Team Lineups'!$C$2:$C$2000,I$1))</f>
        <v>3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0</v>
      </c>
      <c r="M36" cm="1">
        <f t="array" ref="M36">SUMPRODUCT(('Team Lineups'!$K$2:$K$2000&lt;&gt;"")*('Team Lineups'!$C$2:$C$2000=$A36)*COUNTIFS('Team Lineups'!$K$2:$K$2000,'Team Lineups'!$K$2:$K$2000,'Team Lineups'!$C$2:$C$2000,M$1))</f>
        <v>1</v>
      </c>
      <c r="N36" cm="1">
        <f t="array" ref="N36">SUMPRODUCT(('Team Lineups'!$K$2:$K$2000&lt;&gt;"")*('Team Lineups'!$C$2:$C$2000=$A36)*COUNTIFS('Team Lineups'!$K$2:$K$2000,'Team Lineups'!$K$2:$K$2000,'Team Lineups'!$C$2:$C$2000,N$1))</f>
        <v>2</v>
      </c>
      <c r="O36" cm="1">
        <f t="array" ref="O36">SUMPRODUCT(('Team Lineups'!$K$2:$K$2000&lt;&gt;"")*('Team Lineups'!$C$2:$C$2000=$A36)*COUNTIFS('Team Lineups'!$K$2:$K$2000,'Team Lineups'!$K$2:$K$2000,'Team Lineups'!$C$2:$C$2000,O$1))</f>
        <v>0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1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0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0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0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3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0</v>
      </c>
      <c r="AO36" cm="1">
        <f t="array" ref="AO36">SUMPRODUCT(('Team Lineups'!$K$2:$K$2000&lt;&gt;"")*('Team Lineups'!$C$2:$C$2000=$A36)*COUNTIFS('Team Lineups'!$K$2:$K$2000,'Team Lineups'!$K$2:$K$2000,'Team Lineups'!$C$2:$C$2000,AO$1))</f>
        <v>0</v>
      </c>
    </row>
    <row r="37" spans="1:41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3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0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0</v>
      </c>
      <c r="M37" cm="1">
        <f t="array" ref="M37">SUMPRODUCT(('Team Lineups'!$K$2:$K$2000&lt;&gt;"")*('Team Lineups'!$C$2:$C$2000=$A37)*COUNTIFS('Team Lineups'!$K$2:$K$2000,'Team Lineups'!$K$2:$K$2000,'Team Lineups'!$C$2:$C$2000,M$1))</f>
        <v>0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0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0</v>
      </c>
      <c r="AB37" cm="1">
        <f t="array" ref="AB37">SUMPRODUCT(('Team Lineups'!$K$2:$K$2000&lt;&gt;"")*('Team Lineups'!$C$2:$C$2000=$A37)*COUNTIFS('Team Lineups'!$K$2:$K$2000,'Team Lineups'!$K$2:$K$2000,'Team Lineups'!$C$2:$C$2000,AB$1))</f>
        <v>0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0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3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0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</row>
    <row r="38" spans="1:41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1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0</v>
      </c>
      <c r="E38" cm="1">
        <f t="array" ref="E38">SUMPRODUCT(('Team Lineups'!$K$2:$K$2000&lt;&gt;"")*('Team Lineups'!$C$2:$C$2000=$A38)*COUNTIFS('Team Lineups'!$K$2:$K$2000,'Team Lineups'!$K$2:$K$2000,'Team Lineups'!$C$2:$C$2000,E$1))</f>
        <v>2</v>
      </c>
      <c r="F38" cm="1">
        <f t="array" ref="F38">SUMPRODUCT(('Team Lineups'!$K$2:$K$2000&lt;&gt;"")*('Team Lineups'!$C$2:$C$2000=$A38)*COUNTIFS('Team Lineups'!$K$2:$K$2000,'Team Lineups'!$K$2:$K$2000,'Team Lineups'!$C$2:$C$2000,F$1))</f>
        <v>0</v>
      </c>
      <c r="G38" cm="1">
        <f t="array" ref="G38">SUMPRODUCT(('Team Lineups'!$K$2:$K$2000&lt;&gt;"")*('Team Lineups'!$C$2:$C$2000=$A38)*COUNTIFS('Team Lineups'!$K$2:$K$2000,'Team Lineups'!$K$2:$K$2000,'Team Lineups'!$C$2:$C$2000,G$1))</f>
        <v>2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0</v>
      </c>
      <c r="N38" cm="1">
        <f t="array" ref="N38">SUMPRODUCT(('Team Lineups'!$K$2:$K$2000&lt;&gt;"")*('Team Lineups'!$C$2:$C$2000=$A38)*COUNTIFS('Team Lineups'!$K$2:$K$2000,'Team Lineups'!$K$2:$K$2000,'Team Lineups'!$C$2:$C$2000,N$1))</f>
        <v>0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0</v>
      </c>
      <c r="R38" cm="1">
        <f t="array" ref="R38">SUMPRODUCT(('Team Lineups'!$K$2:$K$2000&lt;&gt;"")*('Team Lineups'!$C$2:$C$2000=$A38)*COUNTIFS('Team Lineups'!$K$2:$K$2000,'Team Lineups'!$K$2:$K$2000,'Team Lineups'!$C$2:$C$2000,R$1))</f>
        <v>3</v>
      </c>
      <c r="S38" cm="1">
        <f t="array" ref="S38">SUMPRODUCT(('Team Lineups'!$K$2:$K$2000&lt;&gt;"")*('Team Lineups'!$C$2:$C$2000=$A38)*COUNTIFS('Team Lineups'!$K$2:$K$2000,'Team Lineups'!$K$2:$K$2000,'Team Lineups'!$C$2:$C$2000,S$1))</f>
        <v>0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1</v>
      </c>
      <c r="AA38" cm="1">
        <f t="array" ref="AA38">SUMPRODUCT(('Team Lineups'!$K$2:$K$2000&lt;&gt;"")*('Team Lineups'!$C$2:$C$2000=$A38)*COUNTIFS('Team Lineups'!$K$2:$K$2000,'Team Lineups'!$K$2:$K$2000,'Team Lineups'!$C$2:$C$2000,AA$1))</f>
        <v>1</v>
      </c>
      <c r="AB38" cm="1">
        <f t="array" ref="AB38">SUMPRODUCT(('Team Lineups'!$K$2:$K$2000&lt;&gt;"")*('Team Lineups'!$C$2:$C$2000=$A38)*COUNTIFS('Team Lineups'!$K$2:$K$2000,'Team Lineups'!$K$2:$K$2000,'Team Lineups'!$C$2:$C$2000,AB$1))</f>
        <v>1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0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4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1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</row>
    <row r="39" spans="1:41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</row>
    <row r="40" spans="1:41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0</v>
      </c>
      <c r="E40" cm="1">
        <f t="array" ref="E40">SUMPRODUCT(('Team Lineups'!$K$2:$K$2000&lt;&gt;"")*('Team Lineups'!$C$2:$C$2000=$A40)*COUNTIFS('Team Lineups'!$K$2:$K$2000,'Team Lineups'!$K$2:$K$2000,'Team Lineups'!$C$2:$C$2000,E$1))</f>
        <v>0</v>
      </c>
      <c r="F40" cm="1">
        <f t="array" ref="F40">SUMPRODUCT(('Team Lineups'!$K$2:$K$2000&lt;&gt;"")*('Team Lineups'!$C$2:$C$2000=$A40)*COUNTIFS('Team Lineups'!$K$2:$K$2000,'Team Lineups'!$K$2:$K$2000,'Team Lineups'!$C$2:$C$2000,F$1))</f>
        <v>0</v>
      </c>
      <c r="G40" cm="1">
        <f t="array" ref="G40">SUMPRODUCT(('Team Lineups'!$K$2:$K$2000&lt;&gt;"")*('Team Lineups'!$C$2:$C$2000=$A40)*COUNTIFS('Team Lineups'!$K$2:$K$2000,'Team Lineups'!$K$2:$K$2000,'Team Lineups'!$C$2:$C$2000,G$1))</f>
        <v>0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1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1</v>
      </c>
      <c r="M40" cm="1">
        <f t="array" ref="M40">SUMPRODUCT(('Team Lineups'!$K$2:$K$2000&lt;&gt;"")*('Team Lineups'!$C$2:$C$2000=$A40)*COUNTIFS('Team Lineups'!$K$2:$K$2000,'Team Lineups'!$K$2:$K$2000,'Team Lineups'!$C$2:$C$2000,M$1))</f>
        <v>0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0</v>
      </c>
      <c r="R40" cm="1">
        <f t="array" ref="R40">SUMPRODUCT(('Team Lineups'!$K$2:$K$2000&lt;&gt;"")*('Team Lineups'!$C$2:$C$2000=$A40)*COUNTIFS('Team Lineups'!$K$2:$K$2000,'Team Lineups'!$K$2:$K$2000,'Team Lineups'!$C$2:$C$2000,R$1))</f>
        <v>0</v>
      </c>
      <c r="S40" cm="1">
        <f t="array" ref="S40">SUMPRODUCT(('Team Lineups'!$K$2:$K$2000&lt;&gt;"")*('Team Lineups'!$C$2:$C$2000=$A40)*COUNTIFS('Team Lineups'!$K$2:$K$2000,'Team Lineups'!$K$2:$K$2000,'Team Lineups'!$C$2:$C$2000,S$1))</f>
        <v>1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0</v>
      </c>
      <c r="AB40" cm="1">
        <f t="array" ref="AB40">SUMPRODUCT(('Team Lineups'!$K$2:$K$2000&lt;&gt;"")*('Team Lineups'!$C$2:$C$2000=$A40)*COUNTIFS('Team Lineups'!$K$2:$K$2000,'Team Lineups'!$K$2:$K$2000,'Team Lineups'!$C$2:$C$2000,AB$1))</f>
        <v>0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0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0</v>
      </c>
      <c r="AK40" cm="1">
        <f t="array" ref="AK40">SUMPRODUCT(('Team Lineups'!$K$2:$K$2000&lt;&gt;"")*('Team Lineups'!$C$2:$C$2000=$A40)*COUNTIFS('Team Lineups'!$K$2:$K$2000,'Team Lineups'!$K$2:$K$2000,'Team Lineups'!$C$2:$C$2000,AK$1))</f>
        <v>0</v>
      </c>
      <c r="AL40" cm="1">
        <f t="array" ref="AL40">SUMPRODUCT(('Team Lineups'!$K$2:$K$2000&lt;&gt;"")*('Team Lineups'!$C$2:$C$2000=$A40)*COUNTIFS('Team Lineups'!$K$2:$K$2000,'Team Lineups'!$K$2:$K$2000,'Team Lineups'!$C$2:$C$2000,AL$1))</f>
        <v>1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2</v>
      </c>
      <c r="AO40" cm="1">
        <f t="array" ref="AO40">SUMPRODUCT(('Team Lineups'!$K$2:$K$2000&lt;&gt;"")*('Team Lineups'!$C$2:$C$2000=$A40)*COUNTIFS('Team Lineups'!$K$2:$K$2000,'Team Lineups'!$K$2:$K$2000,'Team Lineups'!$C$2:$C$2000,AO$1))</f>
        <v>0</v>
      </c>
    </row>
    <row r="41" spans="1:41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0</v>
      </c>
      <c r="G41" cm="1">
        <f t="array" ref="G41">SUMPRODUCT(('Team Lineups'!$K$2:$K$2000&lt;&gt;"")*('Team Lineups'!$C$2:$C$2000=$A41)*COUNTIFS('Team Lineups'!$K$2:$K$2000,'Team Lineups'!$K$2:$K$2000,'Team Lineups'!$C$2:$C$2000,G$1))</f>
        <v>1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0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0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0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1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0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1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0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0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0</v>
      </c>
      <c r="AO41" cm="1">
        <f t="array" ref="AO41">SUMPRODUCT(('Team Lineups'!$K$2:$K$2000&lt;&gt;"")*('Team Lineups'!$C$2:$C$2000=$A41)*COUNTIFS('Team Lineups'!$K$2:$K$2000,'Team Lineups'!$K$2:$K$2000,'Team Lineups'!$C$2:$C$2000,AO$1))</f>
        <v>1</v>
      </c>
    </row>
    <row r="42" spans="1:41" x14ac:dyDescent="0.35">
      <c r="A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2026-03-27T12:52:25Z</dcterms:modified>
</cp:coreProperties>
</file>