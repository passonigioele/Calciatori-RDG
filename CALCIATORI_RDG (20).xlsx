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2AC68744-1B06-420C-BAAC-6B31FC13343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7" i="2" l="1"/>
  <c r="K308" i="2"/>
  <c r="K309" i="2"/>
  <c r="K310" i="2"/>
  <c r="K311" i="2"/>
  <c r="K312" i="2"/>
  <c r="K313" i="2"/>
  <c r="K314" i="2"/>
  <c r="K315" i="2"/>
  <c r="K316" i="2"/>
  <c r="K317" i="2"/>
  <c r="K318" i="2"/>
  <c r="E307" i="2"/>
  <c r="G307" i="2" s="1"/>
  <c r="F307" i="2"/>
  <c r="E308" i="2"/>
  <c r="F308" i="2"/>
  <c r="G308" i="2" s="1"/>
  <c r="E309" i="2"/>
  <c r="G309" i="2" s="1"/>
  <c r="F309" i="2"/>
  <c r="E310" i="2"/>
  <c r="G310" i="2" s="1"/>
  <c r="F310" i="2"/>
  <c r="E311" i="2"/>
  <c r="G311" i="2" s="1"/>
  <c r="F311" i="2"/>
  <c r="E312" i="2"/>
  <c r="F312" i="2"/>
  <c r="G312" i="2" s="1"/>
  <c r="E313" i="2"/>
  <c r="G313" i="2" s="1"/>
  <c r="F313" i="2"/>
  <c r="E314" i="2"/>
  <c r="G314" i="2" s="1"/>
  <c r="F314" i="2"/>
  <c r="E315" i="2"/>
  <c r="G315" i="2" s="1"/>
  <c r="F315" i="2"/>
  <c r="E316" i="2"/>
  <c r="F316" i="2"/>
  <c r="G316" i="2" s="1"/>
  <c r="E317" i="2"/>
  <c r="G317" i="2" s="1"/>
  <c r="F317" i="2"/>
  <c r="E318" i="2"/>
  <c r="G318" i="2" s="1"/>
  <c r="F318" i="2"/>
  <c r="E28" i="1"/>
  <c r="F28" i="1"/>
  <c r="E295" i="2"/>
  <c r="G295" i="2" s="1"/>
  <c r="F295" i="2"/>
  <c r="E296" i="2"/>
  <c r="F296" i="2"/>
  <c r="E297" i="2"/>
  <c r="G297" i="2" s="1"/>
  <c r="F297" i="2"/>
  <c r="E298" i="2"/>
  <c r="F298" i="2"/>
  <c r="E299" i="2"/>
  <c r="G299" i="2" s="1"/>
  <c r="F299" i="2"/>
  <c r="E300" i="2"/>
  <c r="G300" i="2" s="1"/>
  <c r="F300" i="2"/>
  <c r="E301" i="2"/>
  <c r="G301" i="2" s="1"/>
  <c r="F301" i="2"/>
  <c r="E302" i="2"/>
  <c r="F302" i="2"/>
  <c r="E303" i="2"/>
  <c r="G303" i="2" s="1"/>
  <c r="F303" i="2"/>
  <c r="E304" i="2"/>
  <c r="F304" i="2"/>
  <c r="E305" i="2"/>
  <c r="G305" i="2" s="1"/>
  <c r="F305" i="2"/>
  <c r="E306" i="2"/>
  <c r="G306" i="2" s="1"/>
  <c r="F306" i="2"/>
  <c r="E283" i="2"/>
  <c r="G283" i="2" s="1"/>
  <c r="F283" i="2"/>
  <c r="E284" i="2"/>
  <c r="F284" i="2"/>
  <c r="E285" i="2"/>
  <c r="F285" i="2"/>
  <c r="E286" i="2"/>
  <c r="F286" i="2"/>
  <c r="E287" i="2"/>
  <c r="F287" i="2"/>
  <c r="E288" i="2"/>
  <c r="F288" i="2"/>
  <c r="E289" i="2"/>
  <c r="G289" i="2" s="1"/>
  <c r="F289" i="2"/>
  <c r="E290" i="2"/>
  <c r="F290" i="2"/>
  <c r="G290" i="2"/>
  <c r="E291" i="2"/>
  <c r="F291" i="2"/>
  <c r="E292" i="2"/>
  <c r="F292" i="2"/>
  <c r="G292" i="2" s="1"/>
  <c r="E293" i="2"/>
  <c r="F293" i="2"/>
  <c r="G293" i="2" s="1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E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G266" i="2" s="1"/>
  <c r="E267" i="2"/>
  <c r="F267" i="2"/>
  <c r="G267" i="2" s="1"/>
  <c r="E268" i="2"/>
  <c r="F268" i="2"/>
  <c r="E269" i="2"/>
  <c r="F269" i="2"/>
  <c r="G269" i="2" s="1"/>
  <c r="E270" i="2"/>
  <c r="F270" i="2"/>
  <c r="E271" i="2"/>
  <c r="F271" i="2"/>
  <c r="E272" i="2"/>
  <c r="F272" i="2"/>
  <c r="G272" i="2" s="1"/>
  <c r="E273" i="2"/>
  <c r="F273" i="2"/>
  <c r="E274" i="2"/>
  <c r="F274" i="2"/>
  <c r="E275" i="2"/>
  <c r="F275" i="2"/>
  <c r="E276" i="2"/>
  <c r="F276" i="2"/>
  <c r="E277" i="2"/>
  <c r="F277" i="2"/>
  <c r="E278" i="2"/>
  <c r="F278" i="2"/>
  <c r="G278" i="2" s="1"/>
  <c r="E279" i="2"/>
  <c r="F279" i="2"/>
  <c r="E280" i="2"/>
  <c r="F280" i="2"/>
  <c r="E281" i="2"/>
  <c r="F281" i="2"/>
  <c r="G281" i="2" s="1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G246" i="2" s="1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G260" i="2" s="1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G191" i="2" s="1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G123" i="2" s="1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G103" i="2" s="1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D14" i="3" l="1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F45" i="3" s="1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H44" i="3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14" i="3" l="1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/>
  <c r="J5" i="3" s="1"/>
  <c r="I5" i="3" l="1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<sst xmlns="http://schemas.openxmlformats.org/spreadsheetml/2006/main" count="795" uniqueCount="101">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</sst>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9" workbookViewId="0">
      <selection activeCell="G29" sqref="G29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B29" s="2"/>
    </row>
    <row r="30" spans="1:7" x14ac:dyDescent="0.35">
      <c r="B30" s="2"/>
    </row>
    <row r="31" spans="1:7" x14ac:dyDescent="0.35">
      <c r="B31" s="2"/>
    </row>
    <row r="32" spans="1:7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8"/>
  <sheetViews>
    <sheetView tabSelected="1" topLeftCell="A304" workbookViewId="0">
      <selection activeCell="I319" sqref="I319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18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1</v>
      </c>
      <c r="I297">
        <v>1</v>
      </c>
      <c r="J297">
        <v>2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11</v>
      </c>
      <c r="D4">
        <f>SUMIF('Team Lineups'!C:C,A4,'Team Lineups'!E:E)</f>
        <v>74</v>
      </c>
      <c r="E4">
        <f>SUMIF('Team Lineups'!C:C,A4,'Team Lineups'!F:F)</f>
        <v>69</v>
      </c>
      <c r="F4">
        <f t="shared" si="0"/>
        <v>5</v>
      </c>
      <c r="G4">
        <f>COUNTIFS('Team Lineups'!C:C,A4,'Team Lineups'!G:G,"Win")</f>
        <v>5</v>
      </c>
      <c r="H4">
        <f>COUNTIFS('Team Lineups'!C:C,A4,'Team Lineups'!G:G,"Draw")</f>
        <v>2</v>
      </c>
      <c r="I4">
        <f>COUNTIFS('Team Lineups'!C:C,A4,'Team Lineups'!G:G,"Loss")</f>
        <v>4</v>
      </c>
      <c r="J4" s="3">
        <f t="shared" si="3"/>
        <v>0.45454545454545453</v>
      </c>
      <c r="K4" s="3">
        <f t="shared" si="4"/>
        <v>0.36363636363636365</v>
      </c>
      <c r="L4">
        <f>SUMIF('Team Lineups'!C:C,A4,'Team Lineups'!H:H)</f>
        <v>3</v>
      </c>
      <c r="M4">
        <f t="shared" si="1"/>
        <v>0.27272727272727271</v>
      </c>
      <c r="N4">
        <f>SUMIF('Team Lineups'!C:C,A4,'Team Lineups'!I:I)</f>
        <v>3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15</v>
      </c>
      <c r="D5">
        <f>SUMIF('Team Lineups'!C:C,A5,'Team Lineups'!E:E)</f>
        <v>83</v>
      </c>
      <c r="E5">
        <f>SUMIF('Team Lineups'!C:C,A5,'Team Lineups'!F:F)</f>
        <v>105</v>
      </c>
      <c r="F5">
        <f t="shared" si="0"/>
        <v>-22</v>
      </c>
      <c r="G5">
        <f>COUNTIFS('Team Lineups'!C:C,A5,'Team Lineups'!G:G,"Win")</f>
        <v>2</v>
      </c>
      <c r="H5">
        <f>COUNTIFS('Team Lineups'!C:C,A5,'Team Lineups'!G:G,"Draw")</f>
        <v>3</v>
      </c>
      <c r="I5">
        <f>COUNTIFS('Team Lineups'!C:C,A5,'Team Lineups'!G:G,"Loss")</f>
        <v>10</v>
      </c>
      <c r="J5" s="3">
        <f t="shared" si="3"/>
        <v>0.13333333333333333</v>
      </c>
      <c r="K5" s="3">
        <f t="shared" si="4"/>
        <v>0.66666666666666663</v>
      </c>
      <c r="L5">
        <f>SUMIF('Team Lineups'!C:C,A5,'Team Lineups'!H:H)</f>
        <v>20</v>
      </c>
      <c r="M5">
        <f t="shared" si="1"/>
        <v>1.3333333333333333</v>
      </c>
      <c r="N5">
        <f>SUMIF('Team Lineups'!C:C,A5,'Team Lineups'!I:I)</f>
        <v>18</v>
      </c>
      <c r="O5">
        <f>COUNTIF(Matches!G:G,A5)</f>
        <v>2</v>
      </c>
      <c r="P5">
        <f t="shared" si="2"/>
        <v>0.13333333333333333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10</v>
      </c>
      <c r="D6">
        <f>SUMIF('Team Lineups'!C:C,A6,'Team Lineups'!E:E)</f>
        <v>55</v>
      </c>
      <c r="E6">
        <f>SUMIF('Team Lineups'!C:C,A6,'Team Lineups'!F:F)</f>
        <v>55</v>
      </c>
      <c r="F6">
        <f t="shared" si="0"/>
        <v>0</v>
      </c>
      <c r="G6">
        <f>COUNTIFS('Team Lineups'!C:C,A6,'Team Lineups'!G:G,"Win")</f>
        <v>4</v>
      </c>
      <c r="H6">
        <f>COUNTIFS('Team Lineups'!C:C,A6,'Team Lineups'!G:G,"Draw")</f>
        <v>4</v>
      </c>
      <c r="I6">
        <f>COUNTIFS('Team Lineups'!C:C,A6,'Team Lineups'!G:G,"Loss")</f>
        <v>2</v>
      </c>
      <c r="J6" s="3">
        <f t="shared" si="3"/>
        <v>0.4</v>
      </c>
      <c r="K6" s="3">
        <f t="shared" si="4"/>
        <v>0.2</v>
      </c>
      <c r="L6">
        <f>SUMIF('Team Lineups'!C:C,A6,'Team Lineups'!H:H)</f>
        <v>8</v>
      </c>
      <c r="M6">
        <f t="shared" si="1"/>
        <v>0.8</v>
      </c>
      <c r="N6">
        <f>SUMIF('Team Lineups'!C:C,A6,'Team Lineups'!I:I)</f>
        <v>7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19</v>
      </c>
      <c r="D7">
        <f>SUMIF('Team Lineups'!C:C,A7,'Team Lineups'!E:E)</f>
        <v>128</v>
      </c>
      <c r="E7">
        <f>SUMIF('Team Lineups'!C:C,A7,'Team Lineups'!F:F)</f>
        <v>137</v>
      </c>
      <c r="F7">
        <f t="shared" si="0"/>
        <v>-9</v>
      </c>
      <c r="G7">
        <f>COUNTIFS('Team Lineups'!C:C,A7,'Team Lineups'!G:G,"Win")</f>
        <v>6</v>
      </c>
      <c r="H7">
        <f>COUNTIFS('Team Lineups'!C:C,A7,'Team Lineups'!G:G,"Draw")</f>
        <v>4</v>
      </c>
      <c r="I7">
        <f>COUNTIFS('Team Lineups'!C:C,A7,'Team Lineups'!G:G,"Loss")</f>
        <v>8</v>
      </c>
      <c r="J7" s="3">
        <f t="shared" si="3"/>
        <v>0.31578947368421051</v>
      </c>
      <c r="K7" s="3">
        <f t="shared" si="4"/>
        <v>0.42105263157894735</v>
      </c>
      <c r="L7">
        <f>SUMIF('Team Lineups'!C:C,A7,'Team Lineups'!H:H)</f>
        <v>21</v>
      </c>
      <c r="M7">
        <f t="shared" si="1"/>
        <v>1.1052631578947369</v>
      </c>
      <c r="N7">
        <f>SUMIF('Team Lineups'!C:C,A7,'Team Lineups'!I:I)</f>
        <v>19</v>
      </c>
      <c r="O7">
        <f>COUNTIF(Matches!G:G,A7)</f>
        <v>0</v>
      </c>
      <c r="P7">
        <f t="shared" si="2"/>
        <v>0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16</v>
      </c>
      <c r="D8">
        <f>SUMIF('Team Lineups'!C:C,A8,'Team Lineups'!E:E)</f>
        <v>113</v>
      </c>
      <c r="E8">
        <f>SUMIF('Team Lineups'!C:C,A8,'Team Lineups'!F:F)</f>
        <v>100</v>
      </c>
      <c r="F8">
        <f t="shared" si="0"/>
        <v>13</v>
      </c>
      <c r="G8">
        <f>COUNTIFS('Team Lineups'!C:C,A8,'Team Lineups'!G:G,"Win")</f>
        <v>8</v>
      </c>
      <c r="H8">
        <f>COUNTIFS('Team Lineups'!C:C,A8,'Team Lineups'!G:G,"Draw")</f>
        <v>4</v>
      </c>
      <c r="I8">
        <f>COUNTIFS('Team Lineups'!C:C,A8,'Team Lineups'!G:G,"Loss")</f>
        <v>4</v>
      </c>
      <c r="J8" s="3">
        <f t="shared" si="3"/>
        <v>0.5</v>
      </c>
      <c r="K8" s="3">
        <f t="shared" si="4"/>
        <v>0.25</v>
      </c>
      <c r="L8">
        <f>SUMIF('Team Lineups'!C:C,A8,'Team Lineups'!H:H)</f>
        <v>35</v>
      </c>
      <c r="M8">
        <f t="shared" si="1"/>
        <v>2.1875</v>
      </c>
      <c r="N8">
        <f>SUMIF('Team Lineups'!C:C,A8,'Team Lineups'!I:I)</f>
        <v>17</v>
      </c>
      <c r="O8">
        <f>COUNTIF(Matches!G:G,A8)</f>
        <v>3</v>
      </c>
      <c r="P8">
        <f t="shared" si="2"/>
        <v>0.1875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12</v>
      </c>
      <c r="D9">
        <f>SUMIF('Team Lineups'!C:C,A9,'Team Lineups'!E:E)</f>
        <v>62</v>
      </c>
      <c r="E9">
        <f>SUMIF('Team Lineups'!C:C,A9,'Team Lineups'!F:F)</f>
        <v>69</v>
      </c>
      <c r="F9">
        <f t="shared" si="0"/>
        <v>-7</v>
      </c>
      <c r="G9">
        <f>COUNTIFS('Team Lineups'!C:C,A9,'Team Lineups'!G:G,"Win")</f>
        <v>4</v>
      </c>
      <c r="H9">
        <f>COUNTIFS('Team Lineups'!C:C,A9,'Team Lineups'!G:G,"Draw")</f>
        <v>2</v>
      </c>
      <c r="I9">
        <f>COUNTIFS('Team Lineups'!C:C,A9,'Team Lineups'!G:G,"Loss")</f>
        <v>6</v>
      </c>
      <c r="J9" s="3">
        <f t="shared" si="3"/>
        <v>0.33333333333333331</v>
      </c>
      <c r="K9" s="3">
        <f t="shared" si="4"/>
        <v>0.5</v>
      </c>
      <c r="L9">
        <f>SUMIF('Team Lineups'!C:C,A9,'Team Lineups'!H:H)</f>
        <v>9</v>
      </c>
      <c r="M9">
        <f t="shared" si="1"/>
        <v>0.75</v>
      </c>
      <c r="N9">
        <f>SUMIF('Team Lineups'!C:C,A9,'Team Lineups'!I:I)</f>
        <v>4</v>
      </c>
      <c r="O9">
        <f>COUNTIF(Matches!G:G,A9)</f>
        <v>1</v>
      </c>
      <c r="P9">
        <f t="shared" si="2"/>
        <v>8.3333333333333329E-2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18</v>
      </c>
      <c r="D12">
        <f>SUMIF('Team Lineups'!C:C,A12,'Team Lineups'!E:E)</f>
        <v>116</v>
      </c>
      <c r="E12">
        <f>SUMIF('Team Lineups'!C:C,A12,'Team Lineups'!F:F)</f>
        <v>125</v>
      </c>
      <c r="F12">
        <f t="shared" si="0"/>
        <v>-9</v>
      </c>
      <c r="G12">
        <f>COUNTIFS('Team Lineups'!C:C,A12,'Team Lineups'!G:G,"Win")</f>
        <v>6</v>
      </c>
      <c r="H12">
        <f>COUNTIFS('Team Lineups'!C:C,A12,'Team Lineups'!G:G,"Draw")</f>
        <v>2</v>
      </c>
      <c r="I12">
        <f>COUNTIFS('Team Lineups'!C:C,A12,'Team Lineups'!G:G,"Loss")</f>
        <v>10</v>
      </c>
      <c r="J12" s="3">
        <f t="shared" si="3"/>
        <v>0.33333333333333331</v>
      </c>
      <c r="K12" s="3">
        <f t="shared" si="4"/>
        <v>0.55555555555555558</v>
      </c>
      <c r="L12">
        <f>SUMIF('Team Lineups'!C:C,A12,'Team Lineups'!H:H)</f>
        <v>28</v>
      </c>
      <c r="M12">
        <f t="shared" si="1"/>
        <v>1.5555555555555556</v>
      </c>
      <c r="N12">
        <f>SUMIF('Team Lineups'!C:C,A12,'Team Lineups'!I:I)</f>
        <v>9</v>
      </c>
      <c r="O12">
        <f>COUNTIF(Matches!G:G,A12)</f>
        <v>1</v>
      </c>
      <c r="P12">
        <f t="shared" si="2"/>
        <v>5.5555555555555552E-2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4</v>
      </c>
      <c r="D14">
        <f>SUMIF('Team Lineups'!C:C,A14,'Team Lineups'!E:E)</f>
        <v>32</v>
      </c>
      <c r="E14">
        <f>SUMIF('Team Lineups'!C:C,A14,'Team Lineups'!F:F)</f>
        <v>37</v>
      </c>
      <c r="F14">
        <f t="shared" si="0"/>
        <v>-5</v>
      </c>
      <c r="G14">
        <f>COUNTIFS('Team Lineups'!C:C,A14,'Team Lineups'!G:G,"Win")</f>
        <v>1</v>
      </c>
      <c r="H14">
        <f>COUNTIFS('Team Lineups'!C:C,A14,'Team Lineups'!G:G,"Draw")</f>
        <v>0</v>
      </c>
      <c r="I14">
        <f>COUNTIFS('Team Lineups'!C:C,A14,'Team Lineups'!G:G,"Loss")</f>
        <v>3</v>
      </c>
      <c r="J14" s="3">
        <f t="shared" si="3"/>
        <v>0.25</v>
      </c>
      <c r="K14" s="3">
        <f t="shared" si="4"/>
        <v>0.75</v>
      </c>
      <c r="L14">
        <f>SUMIF('Team Lineups'!C:C,A14,'Team Lineups'!H:H)</f>
        <v>0</v>
      </c>
      <c r="M14">
        <f t="shared" si="1"/>
        <v>0</v>
      </c>
      <c r="N14">
        <f>SUMIF('Team Lineups'!C:C,A14,'Team Lineups'!I:I)</f>
        <v>3</v>
      </c>
      <c r="O14">
        <f>COUNTIF(Matches!G:G,A14)</f>
        <v>1</v>
      </c>
      <c r="P14">
        <f t="shared" si="2"/>
        <v>0.25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4</v>
      </c>
      <c r="D15">
        <f>SUMIF('Team Lineups'!C:C,A15,'Team Lineups'!E:E)</f>
        <v>22</v>
      </c>
      <c r="E15">
        <f>SUMIF('Team Lineups'!C:C,A15,'Team Lineups'!F:F)</f>
        <v>22</v>
      </c>
      <c r="F15">
        <f t="shared" si="0"/>
        <v>0</v>
      </c>
      <c r="G15">
        <f>COUNTIFS('Team Lineups'!C:C,A15,'Team Lineups'!G:G,"Win")</f>
        <v>1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0.25</v>
      </c>
      <c r="K15" s="3">
        <f t="shared" si="4"/>
        <v>0.25</v>
      </c>
      <c r="L15">
        <f>SUMIF('Team Lineups'!C:C,A15,'Team Lineups'!H:H)</f>
        <v>1</v>
      </c>
      <c r="M15">
        <f t="shared" si="1"/>
        <v>0.25</v>
      </c>
      <c r="N15">
        <f>SUMIF('Team Lineups'!C:C,A15,'Team Lineups'!I:I)</f>
        <v>1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16</v>
      </c>
      <c r="D16">
        <f>SUMIF('Team Lineups'!C:C,A16,'Team Lineups'!E:E)</f>
        <v>82</v>
      </c>
      <c r="E16">
        <f>SUMIF('Team Lineups'!C:C,A16,'Team Lineups'!F:F)</f>
        <v>93</v>
      </c>
      <c r="F16">
        <f t="shared" si="0"/>
        <v>-11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8</v>
      </c>
      <c r="J16" s="3">
        <f t="shared" si="3"/>
        <v>0.25</v>
      </c>
      <c r="K16" s="3">
        <f t="shared" si="4"/>
        <v>0.5</v>
      </c>
      <c r="L16">
        <f>SUMIF('Team Lineups'!C:C,A16,'Team Lineups'!H:H)</f>
        <v>7</v>
      </c>
      <c r="M16">
        <f t="shared" si="1"/>
        <v>0.4375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16</v>
      </c>
      <c r="D17">
        <f>SUMIF('Team Lineups'!C:C,A17,'Team Lineups'!E:E)</f>
        <v>94</v>
      </c>
      <c r="E17">
        <f>SUMIF('Team Lineups'!C:C,A17,'Team Lineups'!F:F)</f>
        <v>84</v>
      </c>
      <c r="F17">
        <f t="shared" si="0"/>
        <v>10</v>
      </c>
      <c r="G17">
        <f>COUNTIFS('Team Lineups'!C:C,A17,'Team Lineups'!G:G,"Win")</f>
        <v>8</v>
      </c>
      <c r="H17">
        <f>COUNTIFS('Team Lineups'!C:C,A17,'Team Lineups'!G:G,"Draw")</f>
        <v>4</v>
      </c>
      <c r="I17">
        <f>COUNTIFS('Team Lineups'!C:C,A17,'Team Lineups'!G:G,"Loss")</f>
        <v>4</v>
      </c>
      <c r="J17" s="3">
        <f t="shared" si="3"/>
        <v>0.5</v>
      </c>
      <c r="K17" s="3">
        <f t="shared" si="4"/>
        <v>0.25</v>
      </c>
      <c r="L17">
        <f>SUMIF('Team Lineups'!C:C,A17,'Team Lineups'!H:H)</f>
        <v>5</v>
      </c>
      <c r="M17">
        <f t="shared" si="1"/>
        <v>0.3125</v>
      </c>
      <c r="N17">
        <f>SUMIF('Team Lineups'!C:C,A17,'Team Lineups'!I:I)</f>
        <v>11</v>
      </c>
      <c r="O17">
        <f>COUNTIF(Matches!G:G,A17)</f>
        <v>1</v>
      </c>
      <c r="P17">
        <f t="shared" si="2"/>
        <v>6.25E-2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13</v>
      </c>
      <c r="D18">
        <f>SUMIF('Team Lineups'!C:C,A18,'Team Lineups'!E:E)</f>
        <v>98</v>
      </c>
      <c r="E18">
        <f>SUMIF('Team Lineups'!C:C,A18,'Team Lineups'!F:F)</f>
        <v>98</v>
      </c>
      <c r="F18">
        <f t="shared" si="0"/>
        <v>0</v>
      </c>
      <c r="G18">
        <f>COUNTIFS('Team Lineups'!C:C,A18,'Team Lineups'!G:G,"Win")</f>
        <v>6</v>
      </c>
      <c r="H18">
        <f>COUNTIFS('Team Lineups'!C:C,A18,'Team Lineups'!G:G,"Draw")</f>
        <v>2</v>
      </c>
      <c r="I18">
        <f>COUNTIFS('Team Lineups'!C:C,A18,'Team Lineups'!G:G,"Loss")</f>
        <v>5</v>
      </c>
      <c r="J18" s="3">
        <f t="shared" si="3"/>
        <v>0.46153846153846156</v>
      </c>
      <c r="K18" s="3">
        <f t="shared" si="4"/>
        <v>0.38461538461538464</v>
      </c>
      <c r="L18">
        <f>SUMIF('Team Lineups'!C:C,A18,'Team Lineups'!H:H)</f>
        <v>8</v>
      </c>
      <c r="M18">
        <f t="shared" si="1"/>
        <v>0.61538461538461542</v>
      </c>
      <c r="N18">
        <f>SUMIF('Team Lineups'!C:C,A18,'Team Lineups'!I:I)</f>
        <v>5</v>
      </c>
      <c r="O18">
        <f>COUNTIF(Matches!G:G,A18)</f>
        <v>1</v>
      </c>
      <c r="P18">
        <f t="shared" si="2"/>
        <v>7.6923076923076927E-2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6</v>
      </c>
      <c r="D21">
        <f>SUMIF('Team Lineups'!C:C,A21,'Team Lineups'!E:E)</f>
        <v>41</v>
      </c>
      <c r="E21">
        <f>SUMIF('Team Lineups'!C:C,A21,'Team Lineups'!F:F)</f>
        <v>47</v>
      </c>
      <c r="F21">
        <f t="shared" si="0"/>
        <v>-6</v>
      </c>
      <c r="G21">
        <f>COUNTIFS('Team Lineups'!C:C,A21,'Team Lineups'!G:G,"Win")</f>
        <v>1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0.16666666666666666</v>
      </c>
      <c r="K21" s="3">
        <f t="shared" si="4"/>
        <v>0.66666666666666663</v>
      </c>
      <c r="L21">
        <f>SUMIF('Team Lineups'!C:C,A21,'Team Lineups'!H:H)</f>
        <v>3</v>
      </c>
      <c r="M21">
        <f t="shared" si="1"/>
        <v>0.5</v>
      </c>
      <c r="N21">
        <f>SUMIF('Team Lineups'!C:C,A21,'Team Lineups'!I:I)</f>
        <v>7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19</v>
      </c>
      <c r="D23">
        <f>SUMIF('Team Lineups'!C:C,A23,'Team Lineups'!E:E)</f>
        <v>122</v>
      </c>
      <c r="E23">
        <f>SUMIF('Team Lineups'!C:C,A23,'Team Lineups'!F:F)</f>
        <v>114</v>
      </c>
      <c r="F23">
        <f t="shared" si="0"/>
        <v>8</v>
      </c>
      <c r="G23">
        <f>COUNTIFS('Team Lineups'!C:C,A23,'Team Lineups'!G:G,"Win")</f>
        <v>8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0.42105263157894735</v>
      </c>
      <c r="K23" s="3">
        <f t="shared" si="4"/>
        <v>0.36842105263157893</v>
      </c>
      <c r="L23">
        <f>SUMIF('Team Lineups'!C:C,A23,'Team Lineups'!H:H)</f>
        <v>25</v>
      </c>
      <c r="M23">
        <f t="shared" si="1"/>
        <v>1.3157894736842106</v>
      </c>
      <c r="N23">
        <f>SUMIF('Team Lineups'!C:C,A23,'Team Lineups'!I:I)</f>
        <v>10</v>
      </c>
      <c r="O23">
        <f>COUNTIF(Matches!G:G,A23)</f>
        <v>4</v>
      </c>
      <c r="P23">
        <f t="shared" si="2"/>
        <v>0.21052631578947367</v>
      </c>
      <c r="Q23">
        <f>SUMIF('Team Lineups'!C:C,A23,'Team Lineups'!J:J)</f>
        <v>2</v>
      </c>
    </row>
    <row r="24" spans="1:17" x14ac:dyDescent="0.35">
      <c r="A24" t="s">
        <v>25</v>
      </c>
      <c r="C24">
        <f>COUNTIF('Team Lineups'!C:C,A24)</f>
        <v>20</v>
      </c>
      <c r="D24">
        <f>SUMIF('Team Lineups'!C:C,A24,'Team Lineups'!E:E)</f>
        <v>125</v>
      </c>
      <c r="E24">
        <f>SUMIF('Team Lineups'!C:C,A24,'Team Lineups'!F:F)</f>
        <v>128</v>
      </c>
      <c r="F24">
        <f t="shared" si="0"/>
        <v>-3</v>
      </c>
      <c r="G24">
        <f>COUNTIFS('Team Lineups'!C:C,A24,'Team Lineups'!G:G,"Win")</f>
        <v>5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0.25</v>
      </c>
      <c r="K24" s="3">
        <f t="shared" si="4"/>
        <v>0.5</v>
      </c>
      <c r="L24">
        <f>SUMIF('Team Lineups'!C:C,A24,'Team Lineups'!H:H)</f>
        <v>11</v>
      </c>
      <c r="M24">
        <f t="shared" si="1"/>
        <v>0.55000000000000004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17</v>
      </c>
      <c r="D25">
        <f>SUMIF('Team Lineups'!C:C,A25,'Team Lineups'!E:E)</f>
        <v>115</v>
      </c>
      <c r="E25">
        <f>SUMIF('Team Lineups'!C:C,A25,'Team Lineups'!F:F)</f>
        <v>103</v>
      </c>
      <c r="F25">
        <f t="shared" si="0"/>
        <v>12</v>
      </c>
      <c r="G25">
        <f>COUNTIFS('Team Lineups'!C:C,A25,'Team Lineups'!G:G,"Win")</f>
        <v>9</v>
      </c>
      <c r="H25">
        <f>COUNTIFS('Team Lineups'!C:C,A25,'Team Lineups'!G:G,"Draw")</f>
        <v>4</v>
      </c>
      <c r="I25">
        <f>COUNTIFS('Team Lineups'!C:C,A25,'Team Lineups'!G:G,"Loss")</f>
        <v>4</v>
      </c>
      <c r="J25" s="3">
        <f t="shared" si="3"/>
        <v>0.52941176470588236</v>
      </c>
      <c r="K25" s="3">
        <f t="shared" si="4"/>
        <v>0.23529411764705882</v>
      </c>
      <c r="L25">
        <f>SUMIF('Team Lineups'!C:C,A25,'Team Lineups'!H:H)</f>
        <v>24</v>
      </c>
      <c r="M25">
        <f t="shared" si="1"/>
        <v>1.411764705882353</v>
      </c>
      <c r="N25">
        <f>SUMIF('Team Lineups'!C:C,A25,'Team Lineups'!I:I)</f>
        <v>9</v>
      </c>
      <c r="O25">
        <f>COUNTIF(Matches!G:G,A25)</f>
        <v>1</v>
      </c>
      <c r="P25">
        <f t="shared" si="2"/>
        <v>5.8823529411764705E-2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8</v>
      </c>
      <c r="D26">
        <f>SUMIF('Team Lineups'!C:C,A26,'Team Lineups'!E:E)</f>
        <v>37</v>
      </c>
      <c r="E26">
        <f>SUMIF('Team Lineups'!C:C,A26,'Team Lineups'!F:F)</f>
        <v>42</v>
      </c>
      <c r="F26">
        <f t="shared" si="0"/>
        <v>-5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5</v>
      </c>
      <c r="J26" s="3">
        <f t="shared" si="3"/>
        <v>0.25</v>
      </c>
      <c r="K26" s="3">
        <f t="shared" si="4"/>
        <v>0.625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3</v>
      </c>
      <c r="O26">
        <f>COUNTIF(Matches!G:G,A26)</f>
        <v>1</v>
      </c>
      <c r="P26">
        <f t="shared" si="2"/>
        <v>0.125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14</v>
      </c>
      <c r="D33">
        <f>SUMIF('Team Lineups'!C:C,A33,'Team Lineups'!E:E)</f>
        <v>101</v>
      </c>
      <c r="E33">
        <f>SUMIF('Team Lineups'!C:C,A33,'Team Lineups'!F:F)</f>
        <v>94</v>
      </c>
      <c r="F33">
        <f t="shared" si="5"/>
        <v>7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6"/>
        <v>0.5</v>
      </c>
      <c r="K33" s="3">
        <f t="shared" si="4"/>
        <v>0.2857142857142857</v>
      </c>
      <c r="L33">
        <f>SUMIF('Team Lineups'!C:C,A33,'Team Lineups'!H:H)</f>
        <v>43</v>
      </c>
      <c r="M33">
        <f t="shared" si="7"/>
        <v>3.0714285714285716</v>
      </c>
      <c r="N33">
        <f>SUMIF('Team Lineups'!C:C,A33,'Team Lineups'!I:I)</f>
        <v>15</v>
      </c>
      <c r="O33">
        <f>COUNTIF(Matches!G:G,A33)</f>
        <v>2</v>
      </c>
      <c r="P33">
        <f t="shared" si="8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5</v>
      </c>
      <c r="D34">
        <f>SUMIF('Team Lineups'!C:C,A34,'Team Lineups'!E:E)</f>
        <v>26</v>
      </c>
      <c r="E34">
        <f>SUMIF('Team Lineups'!C:C,A34,'Team Lineups'!F:F)</f>
        <v>25</v>
      </c>
      <c r="F34">
        <f t="shared" si="5"/>
        <v>1</v>
      </c>
      <c r="G34">
        <f>COUNTIFS('Team Lineups'!C:C,A34,'Team Lineups'!G:G,"Win")</f>
        <v>2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0.4</v>
      </c>
      <c r="K34" s="3">
        <f t="shared" si="4"/>
        <v>0.4</v>
      </c>
      <c r="L34">
        <f>SUMIF('Team Lineups'!C:C,A34,'Team Lineups'!H:H)</f>
        <v>5</v>
      </c>
      <c r="M34">
        <f t="shared" si="7"/>
        <v>1</v>
      </c>
      <c r="N34">
        <f>SUMIF('Team Lineups'!C:C,A34,'Team Lineups'!I:I)</f>
        <v>2</v>
      </c>
      <c r="O34">
        <f>COUNTIF(Matches!G:G,A34)</f>
        <v>2</v>
      </c>
      <c r="P34">
        <f t="shared" si="8"/>
        <v>0.4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5</v>
      </c>
      <c r="D35">
        <f>SUMIF('Team Lineups'!C:C,A35,'Team Lineups'!E:E)</f>
        <v>20</v>
      </c>
      <c r="E35">
        <f>SUMIF('Team Lineups'!C:C,A35,'Team Lineups'!F:F)</f>
        <v>32</v>
      </c>
      <c r="F35">
        <f t="shared" ref="F35" si="9">D35-E35</f>
        <v>-12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1</v>
      </c>
      <c r="M35">
        <f t="shared" ref="M35" si="11">L35/C35</f>
        <v>0.2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5</v>
      </c>
      <c r="D37">
        <f>SUMIF('Team Lineups'!C:C,A37,'Team Lineups'!E:E)</f>
        <v>31</v>
      </c>
      <c r="E37">
        <f>SUMIF('Team Lineups'!C:C,A37,'Team Lineups'!F:F)</f>
        <v>25</v>
      </c>
      <c r="F37">
        <f t="shared" ref="F37:F42" si="17">D37-E37</f>
        <v>6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0</v>
      </c>
      <c r="J37" s="3">
        <f t="shared" ref="J37:J42" si="18">G37/C37</f>
        <v>0.8</v>
      </c>
      <c r="K37" s="3">
        <f t="shared" ref="K37:K42" si="19">I37/C37</f>
        <v>0</v>
      </c>
      <c r="L37">
        <f>SUMIF('Team Lineups'!C:C,A37,'Team Lineups'!H:H)</f>
        <v>3</v>
      </c>
      <c r="M37">
        <f t="shared" ref="M37:M42" si="20">L37/C37</f>
        <v>0.6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4</v>
      </c>
      <c r="D39">
        <f>SUMIF('Team Lineups'!C:C,A39,'Team Lineups'!E:E)</f>
        <v>22</v>
      </c>
      <c r="E39">
        <f>SUMIF('Team Lineups'!C:C,A39,'Team Lineups'!F:F)</f>
        <v>18</v>
      </c>
      <c r="F39">
        <f t="shared" si="17"/>
        <v>4</v>
      </c>
      <c r="G39">
        <f>COUNTIFS('Team Lineups'!C:C,A39,'Team Lineups'!G:G,"Win")</f>
        <v>2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0.5</v>
      </c>
      <c r="K39" s="3">
        <f t="shared" si="19"/>
        <v>0.5</v>
      </c>
      <c r="L39">
        <f>SUMIF('Team Lineups'!C:C,A39,'Team Lineups'!H:H)</f>
        <v>4</v>
      </c>
      <c r="M39">
        <f t="shared" si="20"/>
        <v>1</v>
      </c>
      <c r="N39">
        <f>SUMIF('Team Lineups'!C:C,A39,'Team Lineups'!I:I)</f>
        <v>1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3</v>
      </c>
      <c r="D41">
        <f>SUMIF('Team Lineups'!C:C,A41,'Team Lineups'!E:E)</f>
        <v>14</v>
      </c>
      <c r="E41">
        <f>SUMIF('Team Lineups'!C:C,A41,'Team Lineups'!F:F)</f>
        <v>14</v>
      </c>
      <c r="F41">
        <f t="shared" si="17"/>
        <v>0</v>
      </c>
      <c r="G41">
        <f>COUNTIFS('Team Lineups'!C:C,A41,'Team Lineups'!G:G,"Win")</f>
        <v>1</v>
      </c>
      <c r="H41">
        <f>COUNTIFS('Team Lineups'!C:C,A41,'Team Lineups'!G:G,"Draw")</f>
        <v>1</v>
      </c>
      <c r="I41">
        <f>COUNTIFS('Team Lineups'!C:C,A41,'Team Lineups'!G:G,"Loss")</f>
        <v>1</v>
      </c>
      <c r="J41" s="3">
        <f t="shared" si="18"/>
        <v>0.33333333333333331</v>
      </c>
      <c r="K41" s="3">
        <f t="shared" si="19"/>
        <v>0.33333333333333331</v>
      </c>
      <c r="L41">
        <f>SUMIF('Team Lineups'!C:C,A41,'Team Lineups'!H:H)</f>
        <v>3</v>
      </c>
      <c r="M41">
        <f t="shared" si="20"/>
        <v>1</v>
      </c>
      <c r="N41">
        <f>SUMIF('Team Lineups'!C:C,A41,'Team Lineups'!I:I)</f>
        <v>0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5</v>
      </c>
      <c r="D42">
        <f>SUMIF('Team Lineups'!C:C,A42,'Team Lineups'!E:E)</f>
        <v>32</v>
      </c>
      <c r="E42">
        <f>SUMIF('Team Lineups'!C:C,A42,'Team Lineups'!F:F)</f>
        <v>31</v>
      </c>
      <c r="F42">
        <f t="shared" si="17"/>
        <v>1</v>
      </c>
      <c r="G42">
        <f>COUNTIFS('Team Lineups'!C:C,A42,'Team Lineups'!G:G,"Win")</f>
        <v>2</v>
      </c>
      <c r="H42">
        <f>COUNTIFS('Team Lineups'!C:C,A42,'Team Lineups'!G:G,"Draw")</f>
        <v>1</v>
      </c>
      <c r="I42">
        <f>COUNTIFS('Team Lineups'!C:C,A42,'Team Lineups'!G:G,"Loss")</f>
        <v>2</v>
      </c>
      <c r="J42" s="3">
        <f t="shared" si="18"/>
        <v>0.4</v>
      </c>
      <c r="K42" s="3">
        <f t="shared" si="19"/>
        <v>0.4</v>
      </c>
      <c r="L42">
        <f>SUMIF('Team Lineups'!C:C,A42,'Team Lineups'!H:H)</f>
        <v>4</v>
      </c>
      <c r="M42">
        <f t="shared" si="20"/>
        <v>0.8</v>
      </c>
      <c r="N42">
        <f>SUMIF('Team Lineups'!C:C,A42,'Team Lineups'!I:I)</f>
        <v>1</v>
      </c>
      <c r="O42">
        <f>COUNTIF(Matches!G:G,A42)</f>
        <v>0</v>
      </c>
      <c r="P42">
        <f t="shared" si="21"/>
        <v>0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1</v>
      </c>
      <c r="D44">
        <f>SUMIF('Team Lineups'!C:C,A44,'Team Lineups'!E:E)</f>
        <v>14</v>
      </c>
      <c r="E44">
        <f>SUMIF('Team Lineups'!C:C,A44,'Team Lineups'!F:F)</f>
        <v>10</v>
      </c>
      <c r="F44">
        <f t="shared" ref="F44" si="27">D44-E44</f>
        <v>4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1</v>
      </c>
      <c r="M44">
        <f t="shared" ref="M44" si="30">L44/C44</f>
        <v>1</v>
      </c>
      <c r="N44">
        <f>SUMIF('Team Lineups'!C:C,A44,'Team Lineups'!I:I)</f>
        <v>1</v>
      </c>
      <c r="O44">
        <f>COUNTIF(Matches!G:G,A44)</f>
        <v>0</v>
      </c>
      <c r="P44">
        <f t="shared" ref="P44" si="31">O44/C44</f>
        <v>0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1</v>
      </c>
      <c r="D45">
        <f>SUMIF('Team Lineups'!C:C,A45,'Team Lineups'!E:E)</f>
        <v>5</v>
      </c>
      <c r="E45">
        <f>SUMIF('Team Lineups'!C:C,A45,'Team Lineups'!F:F)</f>
        <v>4</v>
      </c>
      <c r="F45">
        <f t="shared" ref="F45" si="32">D45-E45</f>
        <v>1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ref="J45" si="33">G45/C45</f>
        <v>1</v>
      </c>
      <c r="K45" s="3">
        <f t="shared" ref="K45" si="34">I45/C45</f>
        <v>0</v>
      </c>
      <c r="L45">
        <f>SUMIF('Team Lineups'!C:C,A45,'Team Lineups'!H:H)</f>
        <v>1</v>
      </c>
      <c r="M45">
        <f t="shared" ref="M45" si="35">L45/C45</f>
        <v>1</v>
      </c>
      <c r="N45">
        <f>SUMIF('Team Lineups'!C:C,A45,'Team Lineups'!I:I)</f>
        <v>0</v>
      </c>
      <c r="O45">
        <f>COUNTIF(Matches!G:G,A45)</f>
        <v>1</v>
      </c>
      <c r="P45">
        <f t="shared" ref="P45" si="36">O45/C45</f>
        <v>1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opLeftCell="K1" workbookViewId="0">
      <selection activeCell="AQ42" sqref="AQ42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15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5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7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3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2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1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16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7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3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1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0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0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cm="1">
        <f t="array" ref="E5">SUMPRODUCT(('Team Lineups'!$K$2:$K$2000&lt;&gt;"")*('Team Lineups'!$C$2:$C$2000=$A5)*COUNTIFS('Team Lineups'!$K$2:$K$2000,'Team Lineups'!$K$2:$K$2000,'Team Lineups'!$C$2:$C$2000,E$1))</f>
        <v>16</v>
      </c>
      <c r="F5" cm="1">
        <f t="array" ref="F5">SUMPRODUCT(('Team Lineups'!$K$2:$K$2000&lt;&gt;"")*('Team Lineups'!$C$2:$C$2000=$A5)*COUNTIFS('Team Lineups'!$K$2:$K$2000,'Team Lineups'!$K$2:$K$2000,'Team Lineups'!$C$2:$C$2000,F$1))</f>
        <v>6</v>
      </c>
      <c r="G5" cm="1">
        <f t="array" ref="G5">SUMPRODUCT(('Team Lineups'!$K$2:$K$2000&lt;&gt;"")*('Team Lineups'!$C$2:$C$2000=$A5)*COUNTIFS('Team Lineups'!$K$2:$K$2000,'Team Lineups'!$K$2:$K$2000,'Team Lineups'!$C$2:$C$2000,G$1))</f>
        <v>7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3</v>
      </c>
      <c r="N5" cm="1">
        <f t="array" ref="N5">SUMPRODUCT(('Team Lineups'!$K$2:$K$2000&lt;&gt;"")*('Team Lineups'!$C$2:$C$2000=$A5)*COUNTIFS('Team Lineups'!$K$2:$K$2000,'Team Lineups'!$K$2:$K$2000,'Team Lineups'!$C$2:$C$2000,N$1))</f>
        <v>4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4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1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2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3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1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7</v>
      </c>
      <c r="E6" cm="1">
        <f t="array" ref="E6">SUMPRODUCT(('Team Lineups'!$K$2:$K$2000&lt;&gt;"")*('Team Lineups'!$C$2:$C$2000=$A6)*COUNTIFS('Team Lineups'!$K$2:$K$2000,'Team Lineups'!$K$2:$K$2000,'Team Lineups'!$C$2:$C$2000,E$1))</f>
        <v>6</v>
      </c>
      <c r="F6" cm="1">
        <f t="array" ref="F6">SUMPRODUCT(('Team Lineups'!$K$2:$K$2000&lt;&gt;"")*('Team Lineups'!$C$2:$C$2000=$A6)*COUNTIFS('Team Lineups'!$K$2:$K$2000,'Team Lineups'!$K$2:$K$2000,'Team Lineups'!$C$2:$C$2000,F$1))</f>
        <v>13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4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2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0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0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  <c r="AP6" cm="1">
        <f t="array" ref="AP6">SUMPRODUCT(('Team Lineups'!$K$2:$K$2000&lt;&gt;"")*('Team Lineups'!$C$2:$C$2000=$A6)*COUNTIFS('Team Lineups'!$K$2:$K$2000,'Team Lineups'!$K$2:$K$2000,'Team Lineups'!$C$2:$C$2000,AP$1))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5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7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19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5</v>
      </c>
      <c r="R7" cm="1">
        <f t="array" ref="R7">SUMPRODUCT(('Team Lineups'!$K$2:$K$2000&lt;&gt;"")*('Team Lineups'!$C$2:$C$2000=$A7)*COUNTIFS('Team Lineups'!$K$2:$K$2000,'Team Lineups'!$K$2:$K$2000,'Team Lineups'!$C$2:$C$2000,R$1))</f>
        <v>5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3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3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2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1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  <c r="AP7" cm="1">
        <f t="array" ref="AP7">SUMPRODUCT(('Team Lineups'!$K$2:$K$2000&lt;&gt;"")*('Team Lineups'!$C$2:$C$2000=$A7)*COUNTIFS('Team Lineups'!$K$2:$K$2000,'Team Lineups'!$K$2:$K$2000,'Team Lineups'!$C$2:$C$2000,AP$1))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16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6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1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20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2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6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3</v>
      </c>
      <c r="AE9" cm="1">
        <f t="array" ref="AE9">SUMPRODUCT(('Team Lineups'!$K$2:$K$2000&lt;&gt;"")*('Team Lineups'!$C$2:$C$2000=$A9)*COUNTIFS('Team Lineups'!$K$2:$K$2000,'Team Lineups'!$K$2:$K$2000,'Team Lineups'!$C$2:$C$2000,AE$1))</f>
        <v>1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3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0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17</v>
      </c>
      <c r="M12" cm="1">
        <f t="array" ref="M12">SUMPRODUCT(('Team Lineups'!$K$2:$K$2000&lt;&gt;"")*('Team Lineups'!$C$2:$C$2000=$A12)*COUNTIFS('Team Lineups'!$K$2:$K$2000,'Team Lineups'!$K$2:$K$2000,'Team Lineups'!$C$2:$C$2000,M$1))</f>
        <v>6</v>
      </c>
      <c r="N12" cm="1">
        <f t="array" ref="N12">SUMPRODUCT(('Team Lineups'!$K$2:$K$2000&lt;&gt;"")*('Team Lineups'!$C$2:$C$2000=$A12)*COUNTIFS('Team Lineups'!$K$2:$K$2000,'Team Lineups'!$K$2:$K$2000,'Team Lineups'!$C$2:$C$2000,N$1))</f>
        <v>5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2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4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2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0</v>
      </c>
      <c r="AK12" cm="1">
        <f t="array" ref="AK12">SUMPRODUCT(('Team Lineups'!$K$2:$K$2000&lt;&gt;"")*('Team Lineups'!$C$2:$C$2000=$A12)*COUNTIFS('Team Lineups'!$K$2:$K$2000,'Team Lineups'!$K$2:$K$2000,'Team Lineups'!$C$2:$C$2000,AK$1))</f>
        <v>0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1</v>
      </c>
      <c r="AO12" cm="1">
        <f t="array" ref="AO12">SUMPRODUCT(('Team Lineups'!$K$2:$K$2000&lt;&gt;"")*('Team Lineups'!$C$2:$C$2000=$A12)*COUNTIFS('Team Lineups'!$K$2:$K$2000,'Team Lineups'!$K$2:$K$2000,'Team Lineups'!$C$2:$C$2000,AO$1))</f>
        <v>0</v>
      </c>
      <c r="AP12" cm="1">
        <f t="array" ref="AP12">SUMPRODUCT(('Team Lineups'!$K$2:$K$2000&lt;&gt;"")*('Team Lineups'!$C$2:$C$2000=$A12)*COUNTIFS('Team Lineups'!$K$2:$K$2000,'Team Lineups'!$K$2:$K$2000,'Team Lineups'!$C$2:$C$2000,AP$1))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3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6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6</v>
      </c>
      <c r="M13" cm="1">
        <f t="array" ref="M13">SUMPRODUCT(('Team Lineups'!$K$2:$K$2000&lt;&gt;"")*('Team Lineups'!$C$2:$C$2000=$A13)*COUNTIFS('Team Lineups'!$K$2:$K$2000,'Team Lineups'!$K$2:$K$2000,'Team Lineups'!$C$2:$C$2000,M$1))</f>
        <v>19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3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6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4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1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0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1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7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4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5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cm="1">
        <f t="array" ref="N14">SUMPRODUCT(('Team Lineups'!$K$2:$K$2000&lt;&gt;"")*('Team Lineups'!$C$2:$C$2000=$A14)*COUNTIFS('Team Lineups'!$K$2:$K$2000,'Team Lineups'!$K$2:$K$2000,'Team Lineups'!$C$2:$C$2000,N$1))</f>
        <v>12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2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2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0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0</v>
      </c>
      <c r="AP14" cm="1">
        <f t="array" ref="AP14">SUMPRODUCT(('Team Lineups'!$K$2:$K$2000&lt;&gt;"")*('Team Lineups'!$C$2:$C$2000=$A14)*COUNTIFS('Team Lineups'!$K$2:$K$2000,'Team Lineups'!$K$2:$K$2000,'Team Lineups'!$C$2:$C$2000,AP$1))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3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cm="1">
        <f t="array" ref="O15">SUMPRODUCT(('Team Lineups'!$K$2:$K$2000&lt;&gt;"")*('Team Lineups'!$C$2:$C$2000=$A15)*COUNTIFS('Team Lineups'!$K$2:$K$2000,'Team Lineups'!$K$2:$K$2000,'Team Lineups'!$C$2:$C$2000,O$1))</f>
        <v>8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5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2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0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4</v>
      </c>
      <c r="F17" cm="1">
        <f t="array" ref="F17">SUMPRODUCT(('Team Lineups'!$K$2:$K$2000&lt;&gt;"")*('Team Lineups'!$C$2:$C$2000=$A17)*COUNTIFS('Team Lineups'!$K$2:$K$2000,'Team Lineups'!$K$2:$K$2000,'Team Lineups'!$C$2:$C$2000,F$1))</f>
        <v>4</v>
      </c>
      <c r="G17" cm="1">
        <f t="array" ref="G17">SUMPRODUCT(('Team Lineups'!$K$2:$K$2000&lt;&gt;"")*('Team Lineups'!$C$2:$C$2000=$A17)*COUNTIFS('Team Lineups'!$K$2:$K$2000,'Team Lineups'!$K$2:$K$2000,'Team Lineups'!$C$2:$C$2000,G$1))</f>
        <v>5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6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5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18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3</v>
      </c>
      <c r="AB17" cm="1">
        <f t="array" ref="AB17">SUMPRODUCT(('Team Lineups'!$K$2:$K$2000&lt;&gt;"")*('Team Lineups'!$C$2:$C$2000=$A17)*COUNTIFS('Team Lineups'!$K$2:$K$2000,'Team Lineups'!$K$2:$K$2000,'Team Lineups'!$C$2:$C$2000,AB$1))</f>
        <v>3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1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1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1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3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5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11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4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3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0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0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2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2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4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1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1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0</v>
      </c>
      <c r="AK20" cm="1">
        <f t="array" ref="AK20">SUMPRODUCT(('Team Lineups'!$K$2:$K$2000&lt;&gt;"")*('Team Lineups'!$C$2:$C$2000=$A20)*COUNTIFS('Team Lineups'!$K$2:$K$2000,'Team Lineups'!$K$2:$K$2000,'Team Lineups'!$C$2:$C$2000,AK$1))</f>
        <v>0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0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1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3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6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1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3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6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4</v>
      </c>
      <c r="N27" cm="1">
        <f t="array" ref="N27">SUMPRODUCT(('Team Lineups'!$K$2:$K$2000&lt;&gt;"")*('Team Lineups'!$C$2:$C$2000=$A27)*COUNTIFS('Team Lineups'!$K$2:$K$2000,'Team Lineups'!$K$2:$K$2000,'Team Lineups'!$C$2:$C$2000,N$1))</f>
        <v>2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3</v>
      </c>
      <c r="R27" cm="1">
        <f t="array" ref="R27">SUMPRODUCT(('Team Lineups'!$K$2:$K$2000&lt;&gt;"")*('Team Lineups'!$C$2:$C$2000=$A27)*COUNTIFS('Team Lineups'!$K$2:$K$2000,'Team Lineups'!$K$2:$K$2000,'Team Lineups'!$C$2:$C$2000,R$1))</f>
        <v>4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14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0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1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2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4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2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3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1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10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2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0</v>
      </c>
      <c r="AL28" cm="1">
        <f t="array" ref="AL28">SUMPRODUCT(('Team Lineups'!$K$2:$K$2000&lt;&gt;"")*('Team Lineups'!$C$2:$C$2000=$A28)*COUNTIFS('Team Lineups'!$K$2:$K$2000,'Team Lineups'!$K$2:$K$2000,'Team Lineups'!$C$2:$C$2000,AL$1))</f>
        <v>2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0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3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3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2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1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2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5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0</v>
      </c>
      <c r="AL30" cm="1">
        <f t="array" ref="AL30">SUMPRODUCT(('Team Lineups'!$K$2:$K$2000&lt;&gt;"")*('Team Lineups'!$C$2:$C$2000=$A30)*COUNTIFS('Team Lineups'!$K$2:$K$2000,'Team Lineups'!$K$2:$K$2000,'Team Lineups'!$C$2:$C$2000,AL$1))</f>
        <v>0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0</v>
      </c>
      <c r="AP30" cm="1">
        <f t="array" ref="AP30">SUMPRODUCT(('Team Lineups'!$K$2:$K$2000&lt;&gt;"")*('Team Lineups'!$C$2:$C$2000=$A30)*COUNTIFS('Team Lineups'!$K$2:$K$2000,'Team Lineups'!$K$2:$K$2000,'Team Lineups'!$C$2:$C$2000,AP$1))</f>
        <v>0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1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cm="1">
        <f t="array" ref="AE31">SUMPRODUCT(('Team Lineups'!$K$2:$K$2000&lt;&gt;"")*('Team Lineups'!$C$2:$C$2000=$A31)*COUNTIFS('Team Lineups'!$K$2:$K$2000,'Team Lineups'!$K$2:$K$2000,'Team Lineups'!$C$2:$C$2000,AE$1))</f>
        <v>5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1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2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5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0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1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2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0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1</v>
      </c>
      <c r="I36" cm="1">
        <f t="array" ref="I36">SUMPRODUCT(('Team Lineups'!$K$2:$K$2000&lt;&gt;"")*('Team Lineups'!$C$2:$C$2000=$A36)*COUNTIFS('Team Lineups'!$K$2:$K$2000,'Team Lineups'!$K$2:$K$2000,'Team Lineups'!$C$2:$C$2000,I$1))</f>
        <v>3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0</v>
      </c>
      <c r="M36" cm="1">
        <f t="array" ref="M36">SUMPRODUCT(('Team Lineups'!$K$2:$K$2000&lt;&gt;"")*('Team Lineups'!$C$2:$C$2000=$A36)*COUNTIFS('Team Lineups'!$K$2:$K$2000,'Team Lineups'!$K$2:$K$2000,'Team Lineups'!$C$2:$C$2000,M$1))</f>
        <v>1</v>
      </c>
      <c r="N36" cm="1">
        <f t="array" ref="N36">SUMPRODUCT(('Team Lineups'!$K$2:$K$2000&lt;&gt;"")*('Team Lineups'!$C$2:$C$2000=$A36)*COUNTIFS('Team Lineups'!$K$2:$K$2000,'Team Lineups'!$K$2:$K$2000,'Team Lineups'!$C$2:$C$2000,N$1))</f>
        <v>2</v>
      </c>
      <c r="O36" cm="1">
        <f t="array" ref="O36">SUMPRODUCT(('Team Lineups'!$K$2:$K$2000&lt;&gt;"")*('Team Lineups'!$C$2:$C$2000=$A36)*COUNTIFS('Team Lineups'!$K$2:$K$2000,'Team Lineups'!$K$2:$K$2000,'Team Lineups'!$C$2:$C$2000,O$1))</f>
        <v>0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1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0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0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3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0</v>
      </c>
      <c r="AO36" cm="1">
        <f t="array" ref="AO36">SUMPRODUCT(('Team Lineups'!$K$2:$K$2000&lt;&gt;"")*('Team Lineups'!$C$2:$C$2000=$A36)*COUNTIFS('Team Lineups'!$K$2:$K$2000,'Team Lineups'!$K$2:$K$2000,'Team Lineups'!$C$2:$C$2000,AO$1))</f>
        <v>0</v>
      </c>
      <c r="AP36" cm="1">
        <f t="array" ref="AP36">SUMPRODUCT(('Team Lineups'!$K$2:$K$2000&lt;&gt;"")*('Team Lineups'!$C$2:$C$2000=$A36)*COUNTIFS('Team Lineups'!$K$2:$K$2000,'Team Lineups'!$K$2:$K$2000,'Team Lineups'!$C$2:$C$2000,AP$1))</f>
        <v>0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0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0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0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0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4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1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0</v>
      </c>
      <c r="E38" cm="1">
        <f t="array" ref="E38">SUMPRODUCT(('Team Lineups'!$K$2:$K$2000&lt;&gt;"")*('Team Lineups'!$C$2:$C$2000=$A38)*COUNTIFS('Team Lineups'!$K$2:$K$2000,'Team Lineups'!$K$2:$K$2000,'Team Lineups'!$C$2:$C$2000,E$1))</f>
        <v>3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2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0</v>
      </c>
      <c r="N38" cm="1">
        <f t="array" ref="N38">SUMPRODUCT(('Team Lineups'!$K$2:$K$2000&lt;&gt;"")*('Team Lineups'!$C$2:$C$2000=$A38)*COUNTIFS('Team Lineups'!$K$2:$K$2000,'Team Lineups'!$K$2:$K$2000,'Team Lineups'!$C$2:$C$2000,N$1))</f>
        <v>0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1</v>
      </c>
      <c r="R38" cm="1">
        <f t="array" ref="R38">SUMPRODUCT(('Team Lineups'!$K$2:$K$2000&lt;&gt;"")*('Team Lineups'!$C$2:$C$2000=$A38)*COUNTIFS('Team Lineups'!$K$2:$K$2000,'Team Lineups'!$K$2:$K$2000,'Team Lineups'!$C$2:$C$2000,R$1))</f>
        <v>3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1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2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0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5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2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0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0</v>
      </c>
      <c r="E40" cm="1">
        <f t="array" ref="E40">SUMPRODUCT(('Team Lineups'!$K$2:$K$2000&lt;&gt;"")*('Team Lineups'!$C$2:$C$2000=$A40)*COUNTIFS('Team Lineups'!$K$2:$K$2000,'Team Lineups'!$K$2:$K$2000,'Team Lineups'!$C$2:$C$2000,E$1))</f>
        <v>1</v>
      </c>
      <c r="F40" cm="1">
        <f t="array" ref="F40">SUMPRODUCT(('Team Lineups'!$K$2:$K$2000&lt;&gt;"")*('Team Lineups'!$C$2:$C$2000=$A40)*COUNTIFS('Team Lineups'!$K$2:$K$2000,'Team Lineups'!$K$2:$K$2000,'Team Lineups'!$C$2:$C$2000,F$1))</f>
        <v>0</v>
      </c>
      <c r="G40" cm="1">
        <f t="array" ref="G40">SUMPRODUCT(('Team Lineups'!$K$2:$K$2000&lt;&gt;"")*('Team Lineups'!$C$2:$C$2000=$A40)*COUNTIFS('Team Lineups'!$K$2:$K$2000,'Team Lineups'!$K$2:$K$2000,'Team Lineups'!$C$2:$C$2000,G$1))</f>
        <v>1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1</v>
      </c>
      <c r="M40" cm="1">
        <f t="array" ref="M40">SUMPRODUCT(('Team Lineups'!$K$2:$K$2000&lt;&gt;"")*('Team Lineups'!$C$2:$C$2000=$A40)*COUNTIFS('Team Lineups'!$K$2:$K$2000,'Team Lineups'!$K$2:$K$2000,'Team Lineups'!$C$2:$C$2000,M$1))</f>
        <v>1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1</v>
      </c>
      <c r="R40" cm="1">
        <f t="array" ref="R40">SUMPRODUCT(('Team Lineups'!$K$2:$K$2000&lt;&gt;"")*('Team Lineups'!$C$2:$C$2000=$A40)*COUNTIFS('Team Lineups'!$K$2:$K$2000,'Team Lineups'!$K$2:$K$2000,'Team Lineups'!$C$2:$C$2000,R$1))</f>
        <v>0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0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0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2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4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  <c r="AP40" cm="1">
        <f t="array" ref="AP40">SUMPRODUCT(('Team Lineups'!$K$2:$K$2000&lt;&gt;"")*('Team Lineups'!$C$2:$C$2000=$A40)*COUNTIFS('Team Lineups'!$K$2:$K$2000,'Team Lineups'!$K$2:$K$2000,'Team Lineups'!$C$2:$C$2000,AP$1))</f>
        <v>0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0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0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0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0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1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0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0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1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0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0</v>
      </c>
      <c r="E42" cm="1">
        <f t="array" ref="E42">SUMPRODUCT(('Team Lineups'!$K$2:$K$2000&lt;&gt;"")*('Team Lineups'!$C$2:$C$2000=$A42)*COUNTIFS('Team Lineups'!$K$2:$K$2000,'Team Lineups'!$K$2:$K$2000,'Team Lineups'!$C$2:$C$2000,E$1))</f>
        <v>1</v>
      </c>
      <c r="F42" cm="1">
        <f t="array" ref="F42">SUMPRODUCT(('Team Lineups'!$K$2:$K$2000&lt;&gt;"")*('Team Lineups'!$C$2:$C$2000=$A42)*COUNTIFS('Team Lineups'!$K$2:$K$2000,'Team Lineups'!$K$2:$K$2000,'Team Lineups'!$C$2:$C$2000,F$1))</f>
        <v>0</v>
      </c>
      <c r="G42" cm="1">
        <f t="array" ref="G42">SUMPRODUCT(('Team Lineups'!$K$2:$K$2000&lt;&gt;"")*('Team Lineups'!$C$2:$C$2000=$A42)*COUNTIFS('Team Lineups'!$K$2:$K$2000,'Team Lineups'!$K$2:$K$2000,'Team Lineups'!$C$2:$C$2000,G$1))</f>
        <v>0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0</v>
      </c>
      <c r="M42" cm="1">
        <f t="array" ref="M42">SUMPRODUCT(('Team Lineups'!$K$2:$K$2000&lt;&gt;"")*('Team Lineups'!$C$2:$C$2000=$A42)*COUNTIFS('Team Lineups'!$K$2:$K$2000,'Team Lineups'!$K$2:$K$2000,'Team Lineups'!$C$2:$C$2000,M$1))</f>
        <v>0</v>
      </c>
      <c r="N42" cm="1">
        <f t="array" ref="N42">SUMPRODUCT(('Team Lineups'!$K$2:$K$2000&lt;&gt;"")*('Team Lineups'!$C$2:$C$2000=$A42)*COUNTIFS('Team Lineups'!$K$2:$K$2000,'Team Lineups'!$K$2:$K$2000,'Team Lineups'!$C$2:$C$2000,N$1))</f>
        <v>1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0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0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0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1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0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0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1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2026-04-20T18:32:55Z</dcterms:modified>
</cp:coreProperties>
</file>