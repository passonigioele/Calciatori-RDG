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p000048\Downloads\"/>
    </mc:Choice>
  </mc:AlternateContent>
  <xr:revisionPtr revIDLastSave="0" documentId="13_ncr:1_{BF6CEEC6-7463-4B95-A40A-F272F92CCB6F}" xr6:coauthVersionLast="47" xr6:coauthVersionMax="47" xr10:uidLastSave="{00000000-0000-0000-0000-000000000000}"/>
  <bookViews>
    <workbookView xWindow="20" yWindow="380" windowWidth="19180" windowHeight="10060" activeTab="2" xr2:uid="{00000000-000D-0000-FFFF-FFFF00000000}"/>
  </bookViews>
  <sheets>
    <sheet name="Players" sheetId="3" r:id="rId1"/>
    <sheet name="Matches" sheetId="1" r:id="rId2"/>
    <sheet name="Team Lineups" sheetId="2" r:id="rId3"/>
    <sheet name="Sheet2" sheetId="6" r:id="rId4"/>
  </sheets>
  <definedNames>
    <definedName name="_xlnm._FilterDatabase" localSheetId="0" hidden="1">Players!$A$1:$P$27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2" i="6" l="1" a="1"/>
  <c r="AV3" i="6" a="1"/>
  <c r="AV4" i="6" a="1"/>
  <c r="AV5" i="6" a="1"/>
  <c r="AV6" i="6" a="1"/>
  <c r="AV7" i="6" a="1"/>
  <c r="AV8" i="6" a="1"/>
  <c r="AV9" i="6" a="1"/>
  <c r="AV10" i="6" a="1"/>
  <c r="AV11" i="6" a="1"/>
  <c r="AV12" i="6" a="1"/>
  <c r="AV13" i="6" a="1"/>
  <c r="AV14" i="6" a="1"/>
  <c r="AV15" i="6" a="1"/>
  <c r="AV16" i="6" a="1"/>
  <c r="AV17" i="6" a="1"/>
  <c r="AV18" i="6" a="1"/>
  <c r="AV19" i="6" a="1"/>
  <c r="AV20" i="6" a="1"/>
  <c r="AV21" i="6" a="1"/>
  <c r="AV22" i="6" a="1"/>
  <c r="AV23" i="6" a="1"/>
  <c r="AV24" i="6" a="1"/>
  <c r="AV25" i="6" a="1"/>
  <c r="AV26" i="6" a="1"/>
  <c r="AV27" i="6" a="1"/>
  <c r="AV28" i="6" a="1"/>
  <c r="AV29" i="6" a="1"/>
  <c r="AV30" i="6" a="1"/>
  <c r="AV31" i="6" a="1"/>
  <c r="AV32" i="6" a="1"/>
  <c r="AV33" i="6" a="1"/>
  <c r="AV34" i="6" a="1"/>
  <c r="AV35" i="6" a="1"/>
  <c r="AV36" i="6" a="1"/>
  <c r="AV37" i="6" a="1"/>
  <c r="AV38" i="6" a="1"/>
  <c r="AV39" i="6" a="1"/>
  <c r="AV40" i="6" a="1"/>
  <c r="AV41" i="6" a="1"/>
  <c r="AV42" i="6" a="1"/>
  <c r="AV43" i="6" a="1"/>
  <c r="AV44" i="6" a="1"/>
  <c r="AV45" i="6" a="1"/>
  <c r="AV46" i="6" a="1"/>
  <c r="AV47" i="6" a="1"/>
  <c r="AV48" i="6" a="1"/>
  <c r="B48" i="6" a="1"/>
  <c r="C48" i="6" a="1"/>
  <c r="D48" i="6" a="1"/>
  <c r="E48" i="6" a="1"/>
  <c r="F48" i="6" a="1"/>
  <c r="G48" i="6" a="1"/>
  <c r="H48" i="6" a="1"/>
  <c r="I48" i="6" a="1"/>
  <c r="J48" i="6" a="1"/>
  <c r="K48" i="6" a="1"/>
  <c r="L48" i="6" a="1"/>
  <c r="M48" i="6" a="1"/>
  <c r="N48" i="6" a="1"/>
  <c r="O48" i="6" a="1"/>
  <c r="P48" i="6" a="1"/>
  <c r="Q48" i="6" a="1"/>
  <c r="R48" i="6" a="1"/>
  <c r="S48" i="6" a="1"/>
  <c r="T48" i="6" a="1"/>
  <c r="U48" i="6" a="1"/>
  <c r="V48" i="6" a="1"/>
  <c r="W48" i="6" a="1"/>
  <c r="X48" i="6" a="1"/>
  <c r="Y48" i="6" a="1"/>
  <c r="Z48" i="6" a="1"/>
  <c r="AA48" i="6" a="1"/>
  <c r="AB48" i="6" a="1"/>
  <c r="AC48" i="6" a="1"/>
  <c r="AD48" i="6" a="1"/>
  <c r="AE48" i="6" a="1"/>
  <c r="AF48" i="6" a="1"/>
  <c r="AG48" i="6" a="1"/>
  <c r="AH48" i="6" a="1"/>
  <c r="AI48" i="6" a="1"/>
  <c r="AJ48" i="6" a="1"/>
  <c r="AK48" i="6" a="1"/>
  <c r="AL48" i="6" a="1"/>
  <c r="AM48" i="6" a="1"/>
  <c r="AN48" i="6" a="1"/>
  <c r="AO48" i="6" a="1"/>
  <c r="AP48" i="6" a="1"/>
  <c r="AQ48" i="6" a="1"/>
  <c r="AR48" i="6" a="1"/>
  <c r="AS48" i="6" a="1"/>
  <c r="AT48" i="6" a="1"/>
  <c r="AU48" i="6" a="1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E527" i="2"/>
  <c r="F527" i="2"/>
  <c r="G527" i="2"/>
  <c r="E528" i="2"/>
  <c r="F528" i="2"/>
  <c r="G528" i="2"/>
  <c r="E529" i="2"/>
  <c r="F529" i="2"/>
  <c r="G529" i="2"/>
  <c r="E530" i="2"/>
  <c r="F530" i="2"/>
  <c r="G530" i="2"/>
  <c r="E531" i="2"/>
  <c r="F531" i="2"/>
  <c r="G531" i="2"/>
  <c r="E532" i="2"/>
  <c r="F532" i="2"/>
  <c r="G532" i="2"/>
  <c r="E533" i="2"/>
  <c r="F533" i="2"/>
  <c r="G533" i="2"/>
  <c r="E534" i="2"/>
  <c r="F534" i="2"/>
  <c r="G534" i="2"/>
  <c r="E535" i="2"/>
  <c r="F535" i="2"/>
  <c r="G535" i="2"/>
  <c r="E536" i="2"/>
  <c r="F536" i="2"/>
  <c r="G536" i="2"/>
  <c r="E537" i="2"/>
  <c r="F537" i="2"/>
  <c r="G537" i="2"/>
  <c r="E538" i="2"/>
  <c r="F538" i="2"/>
  <c r="G538" i="2"/>
  <c r="E539" i="2"/>
  <c r="F539" i="2"/>
  <c r="G539" i="2"/>
  <c r="E540" i="2"/>
  <c r="F540" i="2"/>
  <c r="G540" i="2"/>
  <c r="K527" i="2"/>
  <c r="E47" i="1"/>
  <c r="F47" i="1"/>
  <c r="C49" i="3"/>
  <c r="D49" i="3"/>
  <c r="E49" i="3"/>
  <c r="G49" i="3"/>
  <c r="H49" i="3"/>
  <c r="I49" i="3"/>
  <c r="L49" i="3"/>
  <c r="N49" i="3"/>
  <c r="O49" i="3"/>
  <c r="Q49" i="3"/>
  <c r="A2" i="6" a="1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E507" i="2"/>
  <c r="F507" i="2"/>
  <c r="G507" i="2"/>
  <c r="E508" i="2"/>
  <c r="F508" i="2"/>
  <c r="G508" i="2"/>
  <c r="E509" i="2"/>
  <c r="F509" i="2"/>
  <c r="G509" i="2"/>
  <c r="E510" i="2"/>
  <c r="F510" i="2"/>
  <c r="G510" i="2"/>
  <c r="E511" i="2"/>
  <c r="F511" i="2"/>
  <c r="G511" i="2"/>
  <c r="E512" i="2"/>
  <c r="F512" i="2"/>
  <c r="E513" i="2"/>
  <c r="F513" i="2"/>
  <c r="G513" i="2"/>
  <c r="E514" i="2"/>
  <c r="F514" i="2"/>
  <c r="E515" i="2"/>
  <c r="F515" i="2"/>
  <c r="G515" i="2"/>
  <c r="E516" i="2"/>
  <c r="F516" i="2"/>
  <c r="E517" i="2"/>
  <c r="F517" i="2"/>
  <c r="E518" i="2"/>
  <c r="F518" i="2"/>
  <c r="E519" i="2"/>
  <c r="F519" i="2"/>
  <c r="E520" i="2"/>
  <c r="F520" i="2"/>
  <c r="E521" i="2"/>
  <c r="F521" i="2"/>
  <c r="E522" i="2"/>
  <c r="F522" i="2"/>
  <c r="E523" i="2"/>
  <c r="F523" i="2"/>
  <c r="E524" i="2"/>
  <c r="F524" i="2"/>
  <c r="G524" i="2"/>
  <c r="E525" i="2"/>
  <c r="F525" i="2"/>
  <c r="E526" i="2"/>
  <c r="F526" i="2"/>
  <c r="G526" i="2"/>
  <c r="C48" i="3"/>
  <c r="D48" i="3"/>
  <c r="E48" i="3"/>
  <c r="G48" i="3"/>
  <c r="H48" i="3"/>
  <c r="I48" i="3"/>
  <c r="L48" i="3"/>
  <c r="N48" i="3"/>
  <c r="O48" i="3"/>
  <c r="Q48" i="3"/>
  <c r="E45" i="1"/>
  <c r="F45" i="1"/>
  <c r="E46" i="1"/>
  <c r="F46" i="1"/>
  <c r="K496" i="2"/>
  <c r="K497" i="2"/>
  <c r="K498" i="2"/>
  <c r="K499" i="2"/>
  <c r="K500" i="2"/>
  <c r="K501" i="2"/>
  <c r="K502" i="2"/>
  <c r="K503" i="2"/>
  <c r="K504" i="2"/>
  <c r="K505" i="2"/>
  <c r="K506" i="2"/>
  <c r="C47" i="3"/>
  <c r="L47" i="3"/>
  <c r="N47" i="3"/>
  <c r="O47" i="3"/>
  <c r="Q47" i="3"/>
  <c r="E495" i="2"/>
  <c r="F495" i="2"/>
  <c r="E496" i="2"/>
  <c r="F496" i="2"/>
  <c r="E497" i="2"/>
  <c r="F497" i="2"/>
  <c r="E498" i="2"/>
  <c r="F498" i="2"/>
  <c r="E499" i="2"/>
  <c r="F499" i="2"/>
  <c r="E500" i="2"/>
  <c r="F500" i="2"/>
  <c r="E501" i="2"/>
  <c r="F501" i="2"/>
  <c r="E502" i="2"/>
  <c r="F502" i="2"/>
  <c r="E503" i="2"/>
  <c r="F503" i="2"/>
  <c r="E504" i="2"/>
  <c r="F504" i="2"/>
  <c r="E505" i="2"/>
  <c r="F505" i="2"/>
  <c r="E506" i="2"/>
  <c r="F506" i="2"/>
  <c r="F494" i="2"/>
  <c r="K495" i="2"/>
  <c r="E44" i="1"/>
  <c r="F44" i="1"/>
  <c r="E475" i="2"/>
  <c r="F475" i="2"/>
  <c r="E476" i="2"/>
  <c r="F476" i="2"/>
  <c r="E477" i="2"/>
  <c r="F477" i="2"/>
  <c r="E478" i="2"/>
  <c r="F478" i="2"/>
  <c r="E479" i="2"/>
  <c r="F479" i="2"/>
  <c r="E480" i="2"/>
  <c r="F480" i="2"/>
  <c r="E481" i="2"/>
  <c r="F481" i="2"/>
  <c r="E482" i="2"/>
  <c r="F482" i="2"/>
  <c r="E483" i="2"/>
  <c r="F483" i="2"/>
  <c r="E484" i="2"/>
  <c r="F484" i="2"/>
  <c r="E485" i="2"/>
  <c r="F485" i="2"/>
  <c r="E486" i="2"/>
  <c r="F486" i="2"/>
  <c r="E487" i="2"/>
  <c r="F487" i="2"/>
  <c r="E488" i="2"/>
  <c r="F488" i="2"/>
  <c r="E489" i="2"/>
  <c r="F489" i="2"/>
  <c r="E490" i="2"/>
  <c r="F490" i="2"/>
  <c r="E491" i="2"/>
  <c r="F491" i="2"/>
  <c r="E492" i="2"/>
  <c r="F492" i="2"/>
  <c r="E493" i="2"/>
  <c r="F493" i="2"/>
  <c r="E494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80" i="2"/>
  <c r="K479" i="2"/>
  <c r="K478" i="2"/>
  <c r="K477" i="2"/>
  <c r="K476" i="2"/>
  <c r="K475" i="2"/>
  <c r="E42" i="1"/>
  <c r="F42" i="1"/>
  <c r="E43" i="1"/>
  <c r="F43" i="1"/>
  <c r="K463" i="2"/>
  <c r="K464" i="2"/>
  <c r="K465" i="2"/>
  <c r="K466" i="2"/>
  <c r="K467" i="2"/>
  <c r="K468" i="2"/>
  <c r="K469" i="2"/>
  <c r="K470" i="2"/>
  <c r="K471" i="2"/>
  <c r="K472" i="2"/>
  <c r="K473" i="2"/>
  <c r="K474" i="2"/>
  <c r="E463" i="2"/>
  <c r="F463" i="2"/>
  <c r="E464" i="2"/>
  <c r="F464" i="2"/>
  <c r="E465" i="2"/>
  <c r="F465" i="2"/>
  <c r="E466" i="2"/>
  <c r="F466" i="2"/>
  <c r="E467" i="2"/>
  <c r="F467" i="2"/>
  <c r="E468" i="2"/>
  <c r="F468" i="2"/>
  <c r="E469" i="2"/>
  <c r="F469" i="2"/>
  <c r="E470" i="2"/>
  <c r="F470" i="2"/>
  <c r="E471" i="2"/>
  <c r="F471" i="2"/>
  <c r="E472" i="2"/>
  <c r="F472" i="2"/>
  <c r="E473" i="2"/>
  <c r="F473" i="2"/>
  <c r="E474" i="2"/>
  <c r="F474" i="2"/>
  <c r="E41" i="1"/>
  <c r="F41" i="1"/>
  <c r="E449" i="2"/>
  <c r="F449" i="2"/>
  <c r="E450" i="2"/>
  <c r="F450" i="2"/>
  <c r="E451" i="2"/>
  <c r="F451" i="2"/>
  <c r="E452" i="2"/>
  <c r="F452" i="2"/>
  <c r="E453" i="2"/>
  <c r="F453" i="2"/>
  <c r="E454" i="2"/>
  <c r="F454" i="2"/>
  <c r="E455" i="2"/>
  <c r="F455" i="2"/>
  <c r="E456" i="2"/>
  <c r="F456" i="2"/>
  <c r="E457" i="2"/>
  <c r="F457" i="2"/>
  <c r="E458" i="2"/>
  <c r="F458" i="2"/>
  <c r="E459" i="2"/>
  <c r="F459" i="2"/>
  <c r="E460" i="2"/>
  <c r="F460" i="2"/>
  <c r="E461" i="2"/>
  <c r="F461" i="2"/>
  <c r="E462" i="2"/>
  <c r="F462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49" i="2"/>
  <c r="E40" i="1"/>
  <c r="F40" i="1"/>
  <c r="K438" i="2"/>
  <c r="K439" i="2"/>
  <c r="K440" i="2"/>
  <c r="K441" i="2"/>
  <c r="K442" i="2"/>
  <c r="K443" i="2"/>
  <c r="K444" i="2"/>
  <c r="K445" i="2"/>
  <c r="K446" i="2"/>
  <c r="K447" i="2"/>
  <c r="K448" i="2"/>
  <c r="E437" i="2"/>
  <c r="F437" i="2"/>
  <c r="E438" i="2"/>
  <c r="F438" i="2"/>
  <c r="E439" i="2"/>
  <c r="F439" i="2"/>
  <c r="E440" i="2"/>
  <c r="F440" i="2"/>
  <c r="E441" i="2"/>
  <c r="F441" i="2"/>
  <c r="E442" i="2"/>
  <c r="F442" i="2"/>
  <c r="E443" i="2"/>
  <c r="F443" i="2"/>
  <c r="E444" i="2"/>
  <c r="F444" i="2"/>
  <c r="E445" i="2"/>
  <c r="F445" i="2"/>
  <c r="E446" i="2"/>
  <c r="F446" i="2"/>
  <c r="E447" i="2"/>
  <c r="F447" i="2"/>
  <c r="E448" i="2"/>
  <c r="F448" i="2"/>
  <c r="K437" i="2"/>
  <c r="E39" i="1"/>
  <c r="F39" i="1"/>
  <c r="C46" i="3"/>
  <c r="L46" i="3"/>
  <c r="N46" i="3"/>
  <c r="O46" i="3"/>
  <c r="Q46" i="3"/>
  <c r="E417" i="2"/>
  <c r="F417" i="2"/>
  <c r="E418" i="2"/>
  <c r="F418" i="2"/>
  <c r="E419" i="2"/>
  <c r="F419" i="2"/>
  <c r="E420" i="2"/>
  <c r="F420" i="2"/>
  <c r="E421" i="2"/>
  <c r="F421" i="2"/>
  <c r="E422" i="2"/>
  <c r="F422" i="2"/>
  <c r="E423" i="2"/>
  <c r="F423" i="2"/>
  <c r="E424" i="2"/>
  <c r="F424" i="2"/>
  <c r="E425" i="2"/>
  <c r="F425" i="2"/>
  <c r="E426" i="2"/>
  <c r="F426" i="2"/>
  <c r="E427" i="2"/>
  <c r="F427" i="2"/>
  <c r="G427" i="2"/>
  <c r="E428" i="2"/>
  <c r="F428" i="2"/>
  <c r="E429" i="2"/>
  <c r="F429" i="2"/>
  <c r="E430" i="2"/>
  <c r="F430" i="2"/>
  <c r="E431" i="2"/>
  <c r="F431" i="2"/>
  <c r="G431" i="2"/>
  <c r="E432" i="2"/>
  <c r="F432" i="2"/>
  <c r="E433" i="2"/>
  <c r="F433" i="2"/>
  <c r="E434" i="2"/>
  <c r="F434" i="2"/>
  <c r="E435" i="2"/>
  <c r="F435" i="2"/>
  <c r="E436" i="2"/>
  <c r="F43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E37" i="1"/>
  <c r="F37" i="1"/>
  <c r="E38" i="1"/>
  <c r="F38" i="1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E403" i="2"/>
  <c r="F403" i="2"/>
  <c r="E404" i="2"/>
  <c r="F404" i="2"/>
  <c r="E405" i="2"/>
  <c r="F405" i="2"/>
  <c r="E406" i="2"/>
  <c r="F406" i="2"/>
  <c r="E407" i="2"/>
  <c r="F407" i="2"/>
  <c r="E408" i="2"/>
  <c r="F408" i="2"/>
  <c r="E409" i="2"/>
  <c r="F409" i="2"/>
  <c r="E410" i="2"/>
  <c r="F410" i="2"/>
  <c r="E411" i="2"/>
  <c r="F411" i="2"/>
  <c r="E412" i="2"/>
  <c r="F412" i="2"/>
  <c r="E413" i="2"/>
  <c r="F413" i="2"/>
  <c r="E414" i="2"/>
  <c r="F414" i="2"/>
  <c r="E415" i="2"/>
  <c r="F415" i="2"/>
  <c r="E416" i="2"/>
  <c r="F416" i="2"/>
  <c r="K403" i="2"/>
  <c r="E36" i="1"/>
  <c r="F36" i="1"/>
  <c r="E35" i="1"/>
  <c r="F35" i="1"/>
  <c r="K391" i="2"/>
  <c r="K392" i="2"/>
  <c r="K393" i="2"/>
  <c r="K394" i="2"/>
  <c r="K395" i="2"/>
  <c r="K396" i="2"/>
  <c r="K397" i="2"/>
  <c r="K398" i="2"/>
  <c r="K399" i="2"/>
  <c r="K400" i="2"/>
  <c r="K401" i="2"/>
  <c r="K402" i="2"/>
  <c r="E375" i="2"/>
  <c r="F375" i="2"/>
  <c r="E376" i="2"/>
  <c r="F376" i="2"/>
  <c r="E377" i="2"/>
  <c r="F377" i="2"/>
  <c r="E378" i="2"/>
  <c r="F378" i="2"/>
  <c r="E379" i="2"/>
  <c r="F379" i="2"/>
  <c r="E380" i="2"/>
  <c r="F380" i="2"/>
  <c r="E381" i="2"/>
  <c r="F381" i="2"/>
  <c r="E382" i="2"/>
  <c r="F382" i="2"/>
  <c r="E383" i="2"/>
  <c r="F383" i="2"/>
  <c r="E384" i="2"/>
  <c r="F384" i="2"/>
  <c r="E385" i="2"/>
  <c r="F385" i="2"/>
  <c r="E386" i="2"/>
  <c r="F386" i="2"/>
  <c r="E387" i="2"/>
  <c r="F387" i="2"/>
  <c r="E388" i="2"/>
  <c r="F388" i="2"/>
  <c r="E389" i="2"/>
  <c r="F389" i="2"/>
  <c r="E390" i="2"/>
  <c r="F390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E34" i="1"/>
  <c r="F34" i="1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E359" i="2"/>
  <c r="F359" i="2"/>
  <c r="E360" i="2"/>
  <c r="F360" i="2"/>
  <c r="E361" i="2"/>
  <c r="F361" i="2"/>
  <c r="E362" i="2"/>
  <c r="F362" i="2"/>
  <c r="E363" i="2"/>
  <c r="F363" i="2"/>
  <c r="E364" i="2"/>
  <c r="F364" i="2"/>
  <c r="E365" i="2"/>
  <c r="F365" i="2"/>
  <c r="E366" i="2"/>
  <c r="F366" i="2"/>
  <c r="E367" i="2"/>
  <c r="F367" i="2"/>
  <c r="E368" i="2"/>
  <c r="F368" i="2"/>
  <c r="E369" i="2"/>
  <c r="F369" i="2"/>
  <c r="E370" i="2"/>
  <c r="F370" i="2"/>
  <c r="E371" i="2"/>
  <c r="F371" i="2"/>
  <c r="E372" i="2"/>
  <c r="F372" i="2"/>
  <c r="E373" i="2"/>
  <c r="F373" i="2"/>
  <c r="E374" i="2"/>
  <c r="F374" i="2"/>
  <c r="K359" i="2"/>
  <c r="E33" i="1"/>
  <c r="F33" i="1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E339" i="2"/>
  <c r="F339" i="2"/>
  <c r="E340" i="2"/>
  <c r="F340" i="2"/>
  <c r="E341" i="2"/>
  <c r="F341" i="2"/>
  <c r="E342" i="2"/>
  <c r="F342" i="2"/>
  <c r="E343" i="2"/>
  <c r="F343" i="2"/>
  <c r="E344" i="2"/>
  <c r="F344" i="2"/>
  <c r="E345" i="2"/>
  <c r="F345" i="2"/>
  <c r="E346" i="2"/>
  <c r="F346" i="2"/>
  <c r="E347" i="2"/>
  <c r="F347" i="2"/>
  <c r="E348" i="2"/>
  <c r="F348" i="2"/>
  <c r="E349" i="2"/>
  <c r="F349" i="2"/>
  <c r="E350" i="2"/>
  <c r="F350" i="2"/>
  <c r="E351" i="2"/>
  <c r="F351" i="2"/>
  <c r="E352" i="2"/>
  <c r="F352" i="2"/>
  <c r="E353" i="2"/>
  <c r="F353" i="2"/>
  <c r="E354" i="2"/>
  <c r="F354" i="2"/>
  <c r="E355" i="2"/>
  <c r="F355" i="2"/>
  <c r="E356" i="2"/>
  <c r="F356" i="2"/>
  <c r="E357" i="2"/>
  <c r="F357" i="2"/>
  <c r="E358" i="2"/>
  <c r="F358" i="2"/>
  <c r="E31" i="1"/>
  <c r="F31" i="1"/>
  <c r="E32" i="1"/>
  <c r="F32" i="1"/>
  <c r="E319" i="2"/>
  <c r="F319" i="2"/>
  <c r="E320" i="2"/>
  <c r="F320" i="2"/>
  <c r="E321" i="2"/>
  <c r="F321" i="2"/>
  <c r="E322" i="2"/>
  <c r="F322" i="2"/>
  <c r="E323" i="2"/>
  <c r="F323" i="2"/>
  <c r="E324" i="2"/>
  <c r="F324" i="2"/>
  <c r="E325" i="2"/>
  <c r="F325" i="2"/>
  <c r="E326" i="2"/>
  <c r="F326" i="2"/>
  <c r="E327" i="2"/>
  <c r="F327" i="2"/>
  <c r="E328" i="2"/>
  <c r="F328" i="2"/>
  <c r="E329" i="2"/>
  <c r="F329" i="2"/>
  <c r="E330" i="2"/>
  <c r="F330" i="2"/>
  <c r="E331" i="2"/>
  <c r="F331" i="2"/>
  <c r="E332" i="2"/>
  <c r="F332" i="2"/>
  <c r="E333" i="2"/>
  <c r="F333" i="2"/>
  <c r="E334" i="2"/>
  <c r="F334" i="2"/>
  <c r="E335" i="2"/>
  <c r="F335" i="2"/>
  <c r="E336" i="2"/>
  <c r="F336" i="2"/>
  <c r="E337" i="2"/>
  <c r="F337" i="2"/>
  <c r="E338" i="2"/>
  <c r="F338" i="2"/>
  <c r="K329" i="2"/>
  <c r="K330" i="2"/>
  <c r="K331" i="2"/>
  <c r="K332" i="2"/>
  <c r="K333" i="2"/>
  <c r="K334" i="2"/>
  <c r="K335" i="2"/>
  <c r="K336" i="2"/>
  <c r="K337" i="2"/>
  <c r="K338" i="2"/>
  <c r="E29" i="1"/>
  <c r="F29" i="1"/>
  <c r="E30" i="1"/>
  <c r="F30" i="1"/>
  <c r="K328" i="2"/>
  <c r="K327" i="2"/>
  <c r="K326" i="2"/>
  <c r="K325" i="2"/>
  <c r="K324" i="2"/>
  <c r="K323" i="2"/>
  <c r="K322" i="2"/>
  <c r="K321" i="2"/>
  <c r="K320" i="2"/>
  <c r="K319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E307" i="2"/>
  <c r="F307" i="2"/>
  <c r="E308" i="2"/>
  <c r="F308" i="2"/>
  <c r="E309" i="2"/>
  <c r="F309" i="2"/>
  <c r="E310" i="2"/>
  <c r="F310" i="2"/>
  <c r="E311" i="2"/>
  <c r="F311" i="2"/>
  <c r="E312" i="2"/>
  <c r="F312" i="2"/>
  <c r="E313" i="2"/>
  <c r="F313" i="2"/>
  <c r="E314" i="2"/>
  <c r="F314" i="2"/>
  <c r="E315" i="2"/>
  <c r="F315" i="2"/>
  <c r="E316" i="2"/>
  <c r="F316" i="2"/>
  <c r="E317" i="2"/>
  <c r="F317" i="2"/>
  <c r="E318" i="2"/>
  <c r="F318" i="2"/>
  <c r="E28" i="1"/>
  <c r="F28" i="1"/>
  <c r="E295" i="2"/>
  <c r="F295" i="2"/>
  <c r="E296" i="2"/>
  <c r="F296" i="2"/>
  <c r="E297" i="2"/>
  <c r="F297" i="2"/>
  <c r="E298" i="2"/>
  <c r="F298" i="2"/>
  <c r="E299" i="2"/>
  <c r="F299" i="2"/>
  <c r="E300" i="2"/>
  <c r="F300" i="2"/>
  <c r="E301" i="2"/>
  <c r="F301" i="2"/>
  <c r="E302" i="2"/>
  <c r="F302" i="2"/>
  <c r="E303" i="2"/>
  <c r="F303" i="2"/>
  <c r="E304" i="2"/>
  <c r="F304" i="2"/>
  <c r="E305" i="2"/>
  <c r="F305" i="2"/>
  <c r="E306" i="2"/>
  <c r="F306" i="2"/>
  <c r="E283" i="2"/>
  <c r="F283" i="2"/>
  <c r="E284" i="2"/>
  <c r="F284" i="2"/>
  <c r="E285" i="2"/>
  <c r="F285" i="2"/>
  <c r="E286" i="2"/>
  <c r="F286" i="2"/>
  <c r="E287" i="2"/>
  <c r="F287" i="2"/>
  <c r="E288" i="2"/>
  <c r="F288" i="2"/>
  <c r="E289" i="2"/>
  <c r="F289" i="2"/>
  <c r="E290" i="2"/>
  <c r="F290" i="2"/>
  <c r="E291" i="2"/>
  <c r="F291" i="2"/>
  <c r="E292" i="2"/>
  <c r="F292" i="2"/>
  <c r="E293" i="2"/>
  <c r="F293" i="2"/>
  <c r="E294" i="2"/>
  <c r="F294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283" i="2"/>
  <c r="C45" i="3"/>
  <c r="L45" i="3"/>
  <c r="N45" i="3"/>
  <c r="O45" i="3"/>
  <c r="Q45" i="3"/>
  <c r="E27" i="1"/>
  <c r="F27" i="1"/>
  <c r="E26" i="1"/>
  <c r="F26" i="1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E263" i="2"/>
  <c r="F263" i="2"/>
  <c r="E264" i="2"/>
  <c r="F264" i="2"/>
  <c r="E265" i="2"/>
  <c r="F265" i="2"/>
  <c r="E266" i="2"/>
  <c r="F266" i="2"/>
  <c r="E267" i="2"/>
  <c r="F267" i="2"/>
  <c r="E268" i="2"/>
  <c r="F268" i="2"/>
  <c r="E269" i="2"/>
  <c r="F269" i="2"/>
  <c r="E270" i="2"/>
  <c r="F270" i="2"/>
  <c r="E271" i="2"/>
  <c r="F271" i="2"/>
  <c r="E272" i="2"/>
  <c r="F272" i="2"/>
  <c r="E273" i="2"/>
  <c r="F273" i="2"/>
  <c r="E274" i="2"/>
  <c r="F274" i="2"/>
  <c r="E275" i="2"/>
  <c r="F275" i="2"/>
  <c r="E276" i="2"/>
  <c r="F276" i="2"/>
  <c r="E277" i="2"/>
  <c r="F277" i="2"/>
  <c r="E278" i="2"/>
  <c r="F278" i="2"/>
  <c r="E279" i="2"/>
  <c r="F279" i="2"/>
  <c r="E280" i="2"/>
  <c r="F280" i="2"/>
  <c r="E281" i="2"/>
  <c r="F281" i="2"/>
  <c r="E282" i="2"/>
  <c r="F282" i="2"/>
  <c r="C44" i="3"/>
  <c r="L44" i="3"/>
  <c r="N44" i="3"/>
  <c r="O44" i="3"/>
  <c r="Q44" i="3"/>
  <c r="E24" i="1"/>
  <c r="F24" i="1"/>
  <c r="E25" i="1"/>
  <c r="F25" i="1"/>
  <c r="C43" i="3"/>
  <c r="L43" i="3"/>
  <c r="N43" i="3"/>
  <c r="O43" i="3"/>
  <c r="Q43" i="3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E243" i="2"/>
  <c r="F243" i="2"/>
  <c r="E244" i="2"/>
  <c r="F244" i="2"/>
  <c r="E245" i="2"/>
  <c r="F245" i="2"/>
  <c r="E246" i="2"/>
  <c r="F246" i="2"/>
  <c r="E247" i="2"/>
  <c r="F247" i="2"/>
  <c r="E248" i="2"/>
  <c r="F248" i="2"/>
  <c r="E249" i="2"/>
  <c r="F249" i="2"/>
  <c r="E250" i="2"/>
  <c r="F250" i="2"/>
  <c r="E251" i="2"/>
  <c r="F251" i="2"/>
  <c r="E252" i="2"/>
  <c r="F252" i="2"/>
  <c r="E253" i="2"/>
  <c r="F253" i="2"/>
  <c r="E254" i="2"/>
  <c r="F254" i="2"/>
  <c r="E255" i="2"/>
  <c r="F255" i="2"/>
  <c r="E256" i="2"/>
  <c r="F256" i="2"/>
  <c r="E257" i="2"/>
  <c r="F257" i="2"/>
  <c r="E258" i="2"/>
  <c r="F258" i="2"/>
  <c r="E259" i="2"/>
  <c r="F259" i="2"/>
  <c r="E260" i="2"/>
  <c r="F260" i="2"/>
  <c r="E261" i="2"/>
  <c r="F261" i="2"/>
  <c r="E262" i="2"/>
  <c r="F262" i="2"/>
  <c r="E21" i="1"/>
  <c r="E22" i="1"/>
  <c r="E23" i="1"/>
  <c r="F22" i="1"/>
  <c r="F23" i="1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E223" i="2"/>
  <c r="F223" i="2"/>
  <c r="E224" i="2"/>
  <c r="F224" i="2"/>
  <c r="E225" i="2"/>
  <c r="F225" i="2"/>
  <c r="E226" i="2"/>
  <c r="F226" i="2"/>
  <c r="E227" i="2"/>
  <c r="F227" i="2"/>
  <c r="E228" i="2"/>
  <c r="F228" i="2"/>
  <c r="E229" i="2"/>
  <c r="F229" i="2"/>
  <c r="E230" i="2"/>
  <c r="F230" i="2"/>
  <c r="E231" i="2"/>
  <c r="F231" i="2"/>
  <c r="E232" i="2"/>
  <c r="F232" i="2"/>
  <c r="E213" i="2"/>
  <c r="F213" i="2"/>
  <c r="E214" i="2"/>
  <c r="F214" i="2"/>
  <c r="E215" i="2"/>
  <c r="F215" i="2"/>
  <c r="E216" i="2"/>
  <c r="F216" i="2"/>
  <c r="E217" i="2"/>
  <c r="F217" i="2"/>
  <c r="E218" i="2"/>
  <c r="F218" i="2"/>
  <c r="E219" i="2"/>
  <c r="F219" i="2"/>
  <c r="E220" i="2"/>
  <c r="F220" i="2"/>
  <c r="E221" i="2"/>
  <c r="F221" i="2"/>
  <c r="E222" i="2"/>
  <c r="F222" i="2"/>
  <c r="E203" i="2"/>
  <c r="F203" i="2"/>
  <c r="E204" i="2"/>
  <c r="F204" i="2"/>
  <c r="E205" i="2"/>
  <c r="F205" i="2"/>
  <c r="E206" i="2"/>
  <c r="F206" i="2"/>
  <c r="E207" i="2"/>
  <c r="F207" i="2"/>
  <c r="E208" i="2"/>
  <c r="F208" i="2"/>
  <c r="E209" i="2"/>
  <c r="F209" i="2"/>
  <c r="E210" i="2"/>
  <c r="F210" i="2"/>
  <c r="E211" i="2"/>
  <c r="F211" i="2"/>
  <c r="E212" i="2"/>
  <c r="F212" i="2"/>
  <c r="K212" i="2"/>
  <c r="K211" i="2"/>
  <c r="K210" i="2"/>
  <c r="K209" i="2"/>
  <c r="K208" i="2"/>
  <c r="K207" i="2"/>
  <c r="K206" i="2"/>
  <c r="K205" i="2"/>
  <c r="K204" i="2"/>
  <c r="K203" i="2"/>
  <c r="E19" i="1"/>
  <c r="F19" i="1"/>
  <c r="E20" i="1"/>
  <c r="F20" i="1"/>
  <c r="F21" i="1"/>
  <c r="E18" i="1"/>
  <c r="F18" i="1"/>
  <c r="C37" i="3"/>
  <c r="L37" i="3"/>
  <c r="N37" i="3"/>
  <c r="O37" i="3"/>
  <c r="Q37" i="3"/>
  <c r="C38" i="3"/>
  <c r="L38" i="3"/>
  <c r="N38" i="3"/>
  <c r="O38" i="3"/>
  <c r="Q38" i="3"/>
  <c r="C39" i="3"/>
  <c r="L39" i="3"/>
  <c r="N39" i="3"/>
  <c r="O39" i="3"/>
  <c r="Q39" i="3"/>
  <c r="C40" i="3"/>
  <c r="L40" i="3"/>
  <c r="N40" i="3"/>
  <c r="O40" i="3"/>
  <c r="Q40" i="3"/>
  <c r="C41" i="3"/>
  <c r="L41" i="3"/>
  <c r="N41" i="3"/>
  <c r="O41" i="3"/>
  <c r="Q41" i="3"/>
  <c r="C42" i="3"/>
  <c r="L42" i="3"/>
  <c r="N42" i="3"/>
  <c r="O42" i="3"/>
  <c r="Q42" i="3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E189" i="2"/>
  <c r="F189" i="2"/>
  <c r="E190" i="2"/>
  <c r="F190" i="2"/>
  <c r="E191" i="2"/>
  <c r="F191" i="2"/>
  <c r="E192" i="2"/>
  <c r="F192" i="2"/>
  <c r="E193" i="2"/>
  <c r="F193" i="2"/>
  <c r="E194" i="2"/>
  <c r="F194" i="2"/>
  <c r="E195" i="2"/>
  <c r="F195" i="2"/>
  <c r="E196" i="2"/>
  <c r="F196" i="2"/>
  <c r="E197" i="2"/>
  <c r="F197" i="2"/>
  <c r="E198" i="2"/>
  <c r="F198" i="2"/>
  <c r="E199" i="2"/>
  <c r="F199" i="2"/>
  <c r="E200" i="2"/>
  <c r="F200" i="2"/>
  <c r="E201" i="2"/>
  <c r="F201" i="2"/>
  <c r="E202" i="2"/>
  <c r="F202" i="2"/>
  <c r="E17" i="1"/>
  <c r="F17" i="1"/>
  <c r="E175" i="2"/>
  <c r="F175" i="2"/>
  <c r="E176" i="2"/>
  <c r="F176" i="2"/>
  <c r="E177" i="2"/>
  <c r="F177" i="2"/>
  <c r="E178" i="2"/>
  <c r="F178" i="2"/>
  <c r="E179" i="2"/>
  <c r="F179" i="2"/>
  <c r="E180" i="2"/>
  <c r="F180" i="2"/>
  <c r="E181" i="2"/>
  <c r="F181" i="2"/>
  <c r="E182" i="2"/>
  <c r="F182" i="2"/>
  <c r="E183" i="2"/>
  <c r="F183" i="2"/>
  <c r="E184" i="2"/>
  <c r="F184" i="2"/>
  <c r="E185" i="2"/>
  <c r="F185" i="2"/>
  <c r="E186" i="2"/>
  <c r="F186" i="2"/>
  <c r="E187" i="2"/>
  <c r="F187" i="2"/>
  <c r="E188" i="2"/>
  <c r="F188" i="2"/>
  <c r="K183" i="2"/>
  <c r="K184" i="2"/>
  <c r="K185" i="2"/>
  <c r="K186" i="2"/>
  <c r="K187" i="2"/>
  <c r="K188" i="2"/>
  <c r="K182" i="2"/>
  <c r="K181" i="2"/>
  <c r="K180" i="2"/>
  <c r="K179" i="2"/>
  <c r="K178" i="2"/>
  <c r="K177" i="2"/>
  <c r="K176" i="2"/>
  <c r="K175" i="2"/>
  <c r="E16" i="1"/>
  <c r="F16" i="1"/>
  <c r="K165" i="2"/>
  <c r="K166" i="2"/>
  <c r="K167" i="2"/>
  <c r="K168" i="2"/>
  <c r="K169" i="2"/>
  <c r="K170" i="2"/>
  <c r="K171" i="2"/>
  <c r="K172" i="2"/>
  <c r="K173" i="2"/>
  <c r="K174" i="2"/>
  <c r="E14" i="1"/>
  <c r="F14" i="1"/>
  <c r="E15" i="1"/>
  <c r="F15" i="1"/>
  <c r="C36" i="3"/>
  <c r="L36" i="3"/>
  <c r="N36" i="3"/>
  <c r="O36" i="3"/>
  <c r="Q36" i="3"/>
  <c r="K164" i="2"/>
  <c r="K163" i="2"/>
  <c r="K162" i="2"/>
  <c r="K161" i="2"/>
  <c r="K160" i="2"/>
  <c r="K159" i="2"/>
  <c r="K158" i="2"/>
  <c r="K157" i="2"/>
  <c r="K156" i="2"/>
  <c r="K155" i="2"/>
  <c r="C35" i="3"/>
  <c r="L35" i="3"/>
  <c r="N35" i="3"/>
  <c r="O35" i="3"/>
  <c r="Q35" i="3"/>
  <c r="Q34" i="3"/>
  <c r="O34" i="3"/>
  <c r="N34" i="3"/>
  <c r="L34" i="3"/>
  <c r="C34" i="3"/>
  <c r="Q33" i="3"/>
  <c r="O33" i="3"/>
  <c r="N33" i="3"/>
  <c r="L33" i="3"/>
  <c r="C33" i="3"/>
  <c r="Q32" i="3"/>
  <c r="O32" i="3"/>
  <c r="N32" i="3"/>
  <c r="L32" i="3"/>
  <c r="C32" i="3"/>
  <c r="Q31" i="3"/>
  <c r="O31" i="3"/>
  <c r="N31" i="3"/>
  <c r="L31" i="3"/>
  <c r="C31" i="3"/>
  <c r="Q30" i="3"/>
  <c r="O30" i="3"/>
  <c r="N30" i="3"/>
  <c r="L30" i="3"/>
  <c r="C30" i="3"/>
  <c r="Q29" i="3"/>
  <c r="O29" i="3"/>
  <c r="N29" i="3"/>
  <c r="L29" i="3"/>
  <c r="C29" i="3"/>
  <c r="Q28" i="3"/>
  <c r="O28" i="3"/>
  <c r="N28" i="3"/>
  <c r="L28" i="3"/>
  <c r="C28" i="3"/>
  <c r="Q27" i="3"/>
  <c r="O27" i="3"/>
  <c r="N27" i="3"/>
  <c r="L27" i="3"/>
  <c r="C27" i="3"/>
  <c r="Q26" i="3"/>
  <c r="O26" i="3"/>
  <c r="N26" i="3"/>
  <c r="L26" i="3"/>
  <c r="C26" i="3"/>
  <c r="Q25" i="3"/>
  <c r="O25" i="3"/>
  <c r="N25" i="3"/>
  <c r="L25" i="3"/>
  <c r="C25" i="3"/>
  <c r="Q24" i="3"/>
  <c r="O24" i="3"/>
  <c r="N24" i="3"/>
  <c r="L24" i="3"/>
  <c r="C24" i="3"/>
  <c r="Q23" i="3"/>
  <c r="O23" i="3"/>
  <c r="N23" i="3"/>
  <c r="L23" i="3"/>
  <c r="C23" i="3"/>
  <c r="Q22" i="3"/>
  <c r="O22" i="3"/>
  <c r="N22" i="3"/>
  <c r="L22" i="3"/>
  <c r="C22" i="3"/>
  <c r="Q21" i="3"/>
  <c r="O21" i="3"/>
  <c r="N21" i="3"/>
  <c r="L21" i="3"/>
  <c r="C21" i="3"/>
  <c r="Q20" i="3"/>
  <c r="O20" i="3"/>
  <c r="N20" i="3"/>
  <c r="L20" i="3"/>
  <c r="C20" i="3"/>
  <c r="Q19" i="3"/>
  <c r="O19" i="3"/>
  <c r="N19" i="3"/>
  <c r="L19" i="3"/>
  <c r="C19" i="3"/>
  <c r="Q18" i="3"/>
  <c r="O18" i="3"/>
  <c r="N18" i="3"/>
  <c r="L18" i="3"/>
  <c r="C18" i="3"/>
  <c r="Q17" i="3"/>
  <c r="O17" i="3"/>
  <c r="N17" i="3"/>
  <c r="L17" i="3"/>
  <c r="C17" i="3"/>
  <c r="Q16" i="3"/>
  <c r="O16" i="3"/>
  <c r="N16" i="3"/>
  <c r="L16" i="3"/>
  <c r="C16" i="3"/>
  <c r="Q15" i="3"/>
  <c r="O15" i="3"/>
  <c r="N15" i="3"/>
  <c r="L15" i="3"/>
  <c r="C15" i="3"/>
  <c r="Q14" i="3"/>
  <c r="O14" i="3"/>
  <c r="N14" i="3"/>
  <c r="L14" i="3"/>
  <c r="C14" i="3"/>
  <c r="Q13" i="3"/>
  <c r="O13" i="3"/>
  <c r="N13" i="3"/>
  <c r="L13" i="3"/>
  <c r="I13" i="3"/>
  <c r="H13" i="3"/>
  <c r="G13" i="3"/>
  <c r="E13" i="3"/>
  <c r="D13" i="3"/>
  <c r="C13" i="3"/>
  <c r="Q12" i="3"/>
  <c r="O12" i="3"/>
  <c r="N12" i="3"/>
  <c r="L12" i="3"/>
  <c r="C12" i="3"/>
  <c r="Q11" i="3"/>
  <c r="O11" i="3"/>
  <c r="N11" i="3"/>
  <c r="L11" i="3"/>
  <c r="E11" i="3"/>
  <c r="D11" i="3"/>
  <c r="C11" i="3"/>
  <c r="Q10" i="3"/>
  <c r="O10" i="3"/>
  <c r="N10" i="3"/>
  <c r="L10" i="3"/>
  <c r="C10" i="3"/>
  <c r="Q9" i="3"/>
  <c r="O9" i="3"/>
  <c r="N9" i="3"/>
  <c r="L9" i="3"/>
  <c r="C9" i="3"/>
  <c r="Q8" i="3"/>
  <c r="O8" i="3"/>
  <c r="N8" i="3"/>
  <c r="L8" i="3"/>
  <c r="C8" i="3"/>
  <c r="Q7" i="3"/>
  <c r="O7" i="3"/>
  <c r="N7" i="3"/>
  <c r="L7" i="3"/>
  <c r="C7" i="3"/>
  <c r="Q6" i="3"/>
  <c r="O6" i="3"/>
  <c r="N6" i="3"/>
  <c r="L6" i="3"/>
  <c r="C6" i="3"/>
  <c r="Q5" i="3"/>
  <c r="O5" i="3"/>
  <c r="N5" i="3"/>
  <c r="L5" i="3"/>
  <c r="C5" i="3"/>
  <c r="Q4" i="3"/>
  <c r="O4" i="3"/>
  <c r="N4" i="3"/>
  <c r="L4" i="3"/>
  <c r="C4" i="3"/>
  <c r="Q3" i="3"/>
  <c r="O3" i="3"/>
  <c r="N3" i="3"/>
  <c r="L3" i="3"/>
  <c r="C3" i="3"/>
  <c r="Q2" i="3"/>
  <c r="O2" i="3"/>
  <c r="N2" i="3"/>
  <c r="L2" i="3"/>
  <c r="C2" i="3"/>
  <c r="K154" i="2"/>
  <c r="F154" i="2"/>
  <c r="E154" i="2"/>
  <c r="K153" i="2"/>
  <c r="F153" i="2"/>
  <c r="E153" i="2"/>
  <c r="K152" i="2"/>
  <c r="F152" i="2"/>
  <c r="E152" i="2"/>
  <c r="G152" i="2" s="1"/>
  <c r="K151" i="2"/>
  <c r="F151" i="2"/>
  <c r="E151" i="2"/>
  <c r="K150" i="2"/>
  <c r="F150" i="2"/>
  <c r="E150" i="2"/>
  <c r="K149" i="2"/>
  <c r="F149" i="2"/>
  <c r="E149" i="2"/>
  <c r="K148" i="2"/>
  <c r="F148" i="2"/>
  <c r="E148" i="2"/>
  <c r="K147" i="2"/>
  <c r="F147" i="2"/>
  <c r="E147" i="2"/>
  <c r="K146" i="2"/>
  <c r="F146" i="2"/>
  <c r="E146" i="2"/>
  <c r="K145" i="2"/>
  <c r="F145" i="2"/>
  <c r="E145" i="2"/>
  <c r="K144" i="2"/>
  <c r="F144" i="2"/>
  <c r="E144" i="2"/>
  <c r="K143" i="2"/>
  <c r="F143" i="2"/>
  <c r="E143" i="2"/>
  <c r="K142" i="2"/>
  <c r="F142" i="2"/>
  <c r="E142" i="2"/>
  <c r="K141" i="2"/>
  <c r="F141" i="2"/>
  <c r="E141" i="2"/>
  <c r="K140" i="2"/>
  <c r="F140" i="2"/>
  <c r="E140" i="2"/>
  <c r="K139" i="2"/>
  <c r="F139" i="2"/>
  <c r="E139" i="2"/>
  <c r="K138" i="2"/>
  <c r="F138" i="2"/>
  <c r="E138" i="2"/>
  <c r="K137" i="2"/>
  <c r="F137" i="2"/>
  <c r="E137" i="2"/>
  <c r="K136" i="2"/>
  <c r="F136" i="2"/>
  <c r="E136" i="2"/>
  <c r="K135" i="2"/>
  <c r="F135" i="2"/>
  <c r="E135" i="2"/>
  <c r="K134" i="2"/>
  <c r="F134" i="2"/>
  <c r="E134" i="2"/>
  <c r="K133" i="2"/>
  <c r="F133" i="2"/>
  <c r="E133" i="2"/>
  <c r="K132" i="2"/>
  <c r="F132" i="2"/>
  <c r="E132" i="2"/>
  <c r="K131" i="2"/>
  <c r="F131" i="2"/>
  <c r="E131" i="2"/>
  <c r="K130" i="2"/>
  <c r="F130" i="2"/>
  <c r="E130" i="2"/>
  <c r="K129" i="2"/>
  <c r="F129" i="2"/>
  <c r="E129" i="2"/>
  <c r="G129" i="2" s="1"/>
  <c r="K128" i="2"/>
  <c r="F128" i="2"/>
  <c r="E128" i="2"/>
  <c r="K127" i="2"/>
  <c r="F127" i="2"/>
  <c r="E127" i="2"/>
  <c r="K126" i="2"/>
  <c r="F126" i="2"/>
  <c r="E126" i="2"/>
  <c r="K125" i="2"/>
  <c r="F125" i="2"/>
  <c r="E125" i="2"/>
  <c r="K124" i="2"/>
  <c r="F124" i="2"/>
  <c r="E124" i="2"/>
  <c r="K123" i="2"/>
  <c r="F123" i="2"/>
  <c r="E123" i="2"/>
  <c r="K122" i="2"/>
  <c r="F122" i="2"/>
  <c r="E122" i="2"/>
  <c r="K121" i="2"/>
  <c r="F121" i="2"/>
  <c r="E121" i="2"/>
  <c r="K120" i="2"/>
  <c r="F120" i="2"/>
  <c r="E120" i="2"/>
  <c r="K119" i="2"/>
  <c r="F119" i="2"/>
  <c r="E119" i="2"/>
  <c r="K118" i="2"/>
  <c r="F118" i="2"/>
  <c r="E118" i="2"/>
  <c r="K117" i="2"/>
  <c r="F117" i="2"/>
  <c r="E117" i="2"/>
  <c r="K116" i="2"/>
  <c r="F116" i="2"/>
  <c r="E116" i="2"/>
  <c r="K115" i="2"/>
  <c r="F115" i="2"/>
  <c r="E115" i="2"/>
  <c r="K114" i="2"/>
  <c r="F114" i="2"/>
  <c r="E114" i="2"/>
  <c r="K113" i="2"/>
  <c r="F113" i="2"/>
  <c r="E113" i="2"/>
  <c r="K112" i="2"/>
  <c r="F112" i="2"/>
  <c r="E112" i="2"/>
  <c r="K111" i="2"/>
  <c r="F111" i="2"/>
  <c r="E111" i="2"/>
  <c r="K110" i="2"/>
  <c r="F110" i="2"/>
  <c r="E110" i="2"/>
  <c r="K109" i="2"/>
  <c r="F109" i="2"/>
  <c r="E109" i="2"/>
  <c r="K108" i="2"/>
  <c r="F108" i="2"/>
  <c r="E108" i="2"/>
  <c r="K107" i="2"/>
  <c r="F107" i="2"/>
  <c r="E107" i="2"/>
  <c r="K106" i="2"/>
  <c r="F106" i="2"/>
  <c r="E106" i="2"/>
  <c r="K105" i="2"/>
  <c r="F105" i="2"/>
  <c r="E105" i="2"/>
  <c r="K104" i="2"/>
  <c r="F104" i="2"/>
  <c r="E104" i="2"/>
  <c r="K103" i="2"/>
  <c r="F103" i="2"/>
  <c r="E103" i="2"/>
  <c r="K102" i="2"/>
  <c r="F102" i="2"/>
  <c r="E102" i="2"/>
  <c r="K101" i="2"/>
  <c r="F101" i="2"/>
  <c r="E101" i="2"/>
  <c r="G101" i="2" s="1"/>
  <c r="K100" i="2"/>
  <c r="F100" i="2"/>
  <c r="E100" i="2"/>
  <c r="G100" i="2" s="1"/>
  <c r="K99" i="2"/>
  <c r="F99" i="2"/>
  <c r="E99" i="2"/>
  <c r="K98" i="2"/>
  <c r="F98" i="2"/>
  <c r="E98" i="2"/>
  <c r="K97" i="2"/>
  <c r="F97" i="2"/>
  <c r="E97" i="2"/>
  <c r="K96" i="2"/>
  <c r="F96" i="2"/>
  <c r="E27" i="3" s="1"/>
  <c r="E96" i="2"/>
  <c r="K95" i="2"/>
  <c r="F95" i="2"/>
  <c r="E95" i="2"/>
  <c r="K94" i="2"/>
  <c r="F94" i="2"/>
  <c r="E94" i="2"/>
  <c r="K93" i="2"/>
  <c r="F93" i="2"/>
  <c r="E93" i="2"/>
  <c r="K92" i="2"/>
  <c r="F92" i="2"/>
  <c r="E92" i="2"/>
  <c r="K91" i="2"/>
  <c r="F91" i="2"/>
  <c r="E91" i="2"/>
  <c r="K90" i="2"/>
  <c r="F90" i="2"/>
  <c r="E90" i="2"/>
  <c r="K89" i="2"/>
  <c r="F89" i="2"/>
  <c r="E89" i="2"/>
  <c r="K88" i="2"/>
  <c r="F88" i="2"/>
  <c r="E88" i="2"/>
  <c r="K87" i="2"/>
  <c r="F87" i="2"/>
  <c r="E87" i="2"/>
  <c r="K86" i="2"/>
  <c r="F86" i="2"/>
  <c r="E86" i="2"/>
  <c r="K85" i="2"/>
  <c r="F85" i="2"/>
  <c r="E85" i="2"/>
  <c r="K84" i="2"/>
  <c r="F84" i="2"/>
  <c r="E84" i="2"/>
  <c r="K83" i="2"/>
  <c r="F83" i="2"/>
  <c r="E83" i="2"/>
  <c r="K82" i="2"/>
  <c r="F82" i="2"/>
  <c r="E82" i="2"/>
  <c r="K81" i="2"/>
  <c r="F81" i="2"/>
  <c r="E81" i="2"/>
  <c r="K80" i="2"/>
  <c r="F80" i="2"/>
  <c r="E80" i="2"/>
  <c r="K79" i="2"/>
  <c r="F79" i="2"/>
  <c r="E79" i="2"/>
  <c r="K78" i="2"/>
  <c r="F78" i="2"/>
  <c r="E78" i="2"/>
  <c r="K77" i="2"/>
  <c r="E77" i="2"/>
  <c r="G77" i="2" s="1"/>
  <c r="K76" i="2"/>
  <c r="F76" i="2"/>
  <c r="E76" i="2"/>
  <c r="K75" i="2"/>
  <c r="F75" i="2"/>
  <c r="E75" i="2"/>
  <c r="K74" i="2"/>
  <c r="F74" i="2"/>
  <c r="E74" i="2"/>
  <c r="K73" i="2"/>
  <c r="F73" i="2"/>
  <c r="E73" i="2"/>
  <c r="K72" i="2"/>
  <c r="F72" i="2"/>
  <c r="E72" i="2"/>
  <c r="K71" i="2"/>
  <c r="F71" i="2"/>
  <c r="E71" i="2"/>
  <c r="K70" i="2"/>
  <c r="F70" i="2"/>
  <c r="E70" i="2"/>
  <c r="K69" i="2"/>
  <c r="F69" i="2"/>
  <c r="E69" i="2"/>
  <c r="G69" i="2" s="1"/>
  <c r="K68" i="2"/>
  <c r="F68" i="2"/>
  <c r="E68" i="2"/>
  <c r="K67" i="2"/>
  <c r="F67" i="2"/>
  <c r="E67" i="2"/>
  <c r="K66" i="2"/>
  <c r="F66" i="2"/>
  <c r="E66" i="2"/>
  <c r="K65" i="2"/>
  <c r="F65" i="2"/>
  <c r="E65" i="2"/>
  <c r="K64" i="2"/>
  <c r="F64" i="2"/>
  <c r="E64" i="2"/>
  <c r="K63" i="2"/>
  <c r="F63" i="2"/>
  <c r="E63" i="2"/>
  <c r="K62" i="2"/>
  <c r="F62" i="2"/>
  <c r="E62" i="2"/>
  <c r="K61" i="2"/>
  <c r="F61" i="2"/>
  <c r="E61" i="2"/>
  <c r="K60" i="2"/>
  <c r="F60" i="2"/>
  <c r="E60" i="2"/>
  <c r="K59" i="2"/>
  <c r="F59" i="2"/>
  <c r="E59" i="2"/>
  <c r="K58" i="2"/>
  <c r="F58" i="2"/>
  <c r="E58" i="2"/>
  <c r="K57" i="2"/>
  <c r="F57" i="2"/>
  <c r="E57" i="2"/>
  <c r="K56" i="2"/>
  <c r="F56" i="2"/>
  <c r="E56" i="2"/>
  <c r="K55" i="2"/>
  <c r="F55" i="2"/>
  <c r="E55" i="2"/>
  <c r="K54" i="2"/>
  <c r="F54" i="2"/>
  <c r="E54" i="2"/>
  <c r="K53" i="2"/>
  <c r="F53" i="2"/>
  <c r="E53" i="2"/>
  <c r="K52" i="2"/>
  <c r="F52" i="2"/>
  <c r="E52" i="2"/>
  <c r="K51" i="2"/>
  <c r="F51" i="2"/>
  <c r="E51" i="2"/>
  <c r="K50" i="2"/>
  <c r="F50" i="2"/>
  <c r="E32" i="3" s="1"/>
  <c r="E50" i="2"/>
  <c r="K49" i="2"/>
  <c r="F49" i="2"/>
  <c r="E49" i="2"/>
  <c r="K48" i="2"/>
  <c r="F48" i="2"/>
  <c r="E48" i="2"/>
  <c r="K47" i="2"/>
  <c r="F47" i="2"/>
  <c r="E47" i="2"/>
  <c r="K46" i="2"/>
  <c r="F46" i="2"/>
  <c r="E46" i="2"/>
  <c r="K45" i="2"/>
  <c r="F45" i="2"/>
  <c r="E31" i="3" s="1"/>
  <c r="E45" i="2"/>
  <c r="K44" i="2"/>
  <c r="F44" i="2"/>
  <c r="E44" i="2"/>
  <c r="K43" i="2"/>
  <c r="F43" i="2"/>
  <c r="E43" i="2"/>
  <c r="K42" i="2"/>
  <c r="F42" i="2"/>
  <c r="E42" i="2"/>
  <c r="K41" i="2"/>
  <c r="F41" i="2"/>
  <c r="E41" i="2"/>
  <c r="K40" i="2"/>
  <c r="F40" i="2"/>
  <c r="E40" i="2"/>
  <c r="K39" i="2"/>
  <c r="F39" i="2"/>
  <c r="E28" i="3" s="1"/>
  <c r="E39" i="2"/>
  <c r="K38" i="2"/>
  <c r="F38" i="2"/>
  <c r="E38" i="2"/>
  <c r="K37" i="2"/>
  <c r="F37" i="2"/>
  <c r="E37" i="2"/>
  <c r="K36" i="2"/>
  <c r="F36" i="2"/>
  <c r="E36" i="2"/>
  <c r="K35" i="2"/>
  <c r="F35" i="2"/>
  <c r="E35" i="2"/>
  <c r="K34" i="2"/>
  <c r="F34" i="2"/>
  <c r="E34" i="2"/>
  <c r="K33" i="2"/>
  <c r="F33" i="2"/>
  <c r="E33" i="2"/>
  <c r="K32" i="2"/>
  <c r="F32" i="2"/>
  <c r="E32" i="2"/>
  <c r="K31" i="2"/>
  <c r="F31" i="2"/>
  <c r="E31" i="2"/>
  <c r="K30" i="2"/>
  <c r="F30" i="2"/>
  <c r="E30" i="2"/>
  <c r="K29" i="2"/>
  <c r="F29" i="2"/>
  <c r="E29" i="2"/>
  <c r="K28" i="2"/>
  <c r="F28" i="2"/>
  <c r="E28" i="2"/>
  <c r="K27" i="2"/>
  <c r="F27" i="2"/>
  <c r="E27" i="2"/>
  <c r="K26" i="2"/>
  <c r="F26" i="2"/>
  <c r="E26" i="2"/>
  <c r="K25" i="2"/>
  <c r="F25" i="2"/>
  <c r="E25" i="2"/>
  <c r="B25" i="2"/>
  <c r="K24" i="2"/>
  <c r="F24" i="2"/>
  <c r="E24" i="2"/>
  <c r="B24" i="2"/>
  <c r="K23" i="2"/>
  <c r="F23" i="2"/>
  <c r="E23" i="2"/>
  <c r="B23" i="2"/>
  <c r="K22" i="2"/>
  <c r="F22" i="2"/>
  <c r="E22" i="2"/>
  <c r="B22" i="2"/>
  <c r="K21" i="2"/>
  <c r="F21" i="2"/>
  <c r="E21" i="2"/>
  <c r="B21" i="2"/>
  <c r="K20" i="2"/>
  <c r="F20" i="2"/>
  <c r="E20" i="2"/>
  <c r="B20" i="2"/>
  <c r="K19" i="2"/>
  <c r="F19" i="2"/>
  <c r="E19" i="2"/>
  <c r="G19" i="2" s="1"/>
  <c r="B19" i="2"/>
  <c r="K18" i="2"/>
  <c r="F18" i="2"/>
  <c r="E18" i="2"/>
  <c r="B18" i="2"/>
  <c r="K17" i="2"/>
  <c r="F17" i="2"/>
  <c r="E17" i="2"/>
  <c r="B17" i="2"/>
  <c r="K16" i="2"/>
  <c r="F16" i="2"/>
  <c r="E16" i="2"/>
  <c r="B16" i="2"/>
  <c r="K15" i="2"/>
  <c r="F15" i="2"/>
  <c r="E15" i="2"/>
  <c r="B15" i="2"/>
  <c r="K14" i="2"/>
  <c r="F14" i="2"/>
  <c r="E14" i="2"/>
  <c r="B14" i="2"/>
  <c r="K13" i="2"/>
  <c r="F13" i="2"/>
  <c r="E13" i="2"/>
  <c r="B13" i="2"/>
  <c r="K12" i="2"/>
  <c r="F12" i="2"/>
  <c r="E12" i="2"/>
  <c r="B12" i="2"/>
  <c r="K11" i="2"/>
  <c r="F11" i="2"/>
  <c r="E20" i="3" s="1"/>
  <c r="E11" i="2"/>
  <c r="B11" i="2"/>
  <c r="K10" i="2"/>
  <c r="F10" i="2"/>
  <c r="E10" i="2"/>
  <c r="B10" i="2"/>
  <c r="K9" i="2"/>
  <c r="F9" i="2"/>
  <c r="E9" i="2"/>
  <c r="B9" i="2"/>
  <c r="K8" i="2"/>
  <c r="F8" i="2"/>
  <c r="E8" i="2"/>
  <c r="B8" i="2"/>
  <c r="K7" i="2"/>
  <c r="F7" i="2"/>
  <c r="E7" i="2"/>
  <c r="B7" i="2"/>
  <c r="K6" i="2"/>
  <c r="F6" i="2"/>
  <c r="E6" i="2"/>
  <c r="B6" i="2"/>
  <c r="K5" i="2"/>
  <c r="F5" i="2"/>
  <c r="E5" i="2"/>
  <c r="B5" i="2"/>
  <c r="K4" i="2"/>
  <c r="F4" i="2"/>
  <c r="E4" i="2"/>
  <c r="B4" i="2"/>
  <c r="K3" i="2"/>
  <c r="F3" i="2"/>
  <c r="E3" i="2"/>
  <c r="B3" i="2"/>
  <c r="K2" i="2"/>
  <c r="F2" i="2"/>
  <c r="E2" i="2"/>
  <c r="B2" i="2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  <c r="F4" i="1"/>
  <c r="E4" i="1"/>
  <c r="F3" i="1"/>
  <c r="E3" i="1"/>
  <c r="F2" i="1"/>
  <c r="E2" i="1"/>
  <c r="G104" i="2" l="1"/>
  <c r="G88" i="2"/>
  <c r="G525" i="2"/>
  <c r="G512" i="2"/>
  <c r="G514" i="2"/>
  <c r="G516" i="2"/>
  <c r="G517" i="2"/>
  <c r="G518" i="2"/>
  <c r="G519" i="2"/>
  <c r="G520" i="2"/>
  <c r="G521" i="2"/>
  <c r="G522" i="2"/>
  <c r="G523" i="2"/>
  <c r="G137" i="2"/>
  <c r="G120" i="2"/>
  <c r="E30" i="3"/>
  <c r="K49" i="3"/>
  <c r="P49" i="3"/>
  <c r="J49" i="3"/>
  <c r="M49" i="3"/>
  <c r="F49" i="3"/>
  <c r="F48" i="3"/>
  <c r="K48" i="3"/>
  <c r="M48" i="3"/>
  <c r="J48" i="3"/>
  <c r="P48" i="3"/>
  <c r="G483" i="2"/>
  <c r="G479" i="2"/>
  <c r="G480" i="2"/>
  <c r="G481" i="2"/>
  <c r="G478" i="2"/>
  <c r="G482" i="2"/>
  <c r="G477" i="2"/>
  <c r="G485" i="2"/>
  <c r="G486" i="2"/>
  <c r="G487" i="2"/>
  <c r="G488" i="2"/>
  <c r="G489" i="2"/>
  <c r="G484" i="2"/>
  <c r="E47" i="3"/>
  <c r="G476" i="2"/>
  <c r="D47" i="3"/>
  <c r="G494" i="2"/>
  <c r="G475" i="2"/>
  <c r="M47" i="3"/>
  <c r="P47" i="3"/>
  <c r="G497" i="2"/>
  <c r="G498" i="2"/>
  <c r="G501" i="2"/>
  <c r="G505" i="2"/>
  <c r="G495" i="2"/>
  <c r="G500" i="2"/>
  <c r="G504" i="2"/>
  <c r="G506" i="2"/>
  <c r="G496" i="2"/>
  <c r="G499" i="2"/>
  <c r="G502" i="2"/>
  <c r="G503" i="2"/>
  <c r="G492" i="2"/>
  <c r="G491" i="2"/>
  <c r="G490" i="2"/>
  <c r="G493" i="2"/>
  <c r="G13" i="2"/>
  <c r="G440" i="2"/>
  <c r="G420" i="2"/>
  <c r="G48" i="2"/>
  <c r="G448" i="2"/>
  <c r="G463" i="2"/>
  <c r="G464" i="2"/>
  <c r="G466" i="2"/>
  <c r="G467" i="2"/>
  <c r="G473" i="2"/>
  <c r="G452" i="2"/>
  <c r="G438" i="2"/>
  <c r="G439" i="2"/>
  <c r="G441" i="2"/>
  <c r="G379" i="2"/>
  <c r="G465" i="2"/>
  <c r="G468" i="2"/>
  <c r="G469" i="2"/>
  <c r="G470" i="2"/>
  <c r="G471" i="2"/>
  <c r="G472" i="2"/>
  <c r="G450" i="2"/>
  <c r="G451" i="2"/>
  <c r="G437" i="2"/>
  <c r="G442" i="2"/>
  <c r="G443" i="2"/>
  <c r="G444" i="2"/>
  <c r="G445" i="2"/>
  <c r="G446" i="2"/>
  <c r="G474" i="2"/>
  <c r="G449" i="2"/>
  <c r="G447" i="2"/>
  <c r="G453" i="2"/>
  <c r="G454" i="2"/>
  <c r="G457" i="2"/>
  <c r="G462" i="2"/>
  <c r="G455" i="2"/>
  <c r="G459" i="2"/>
  <c r="G460" i="2"/>
  <c r="G456" i="2"/>
  <c r="G458" i="2"/>
  <c r="G461" i="2"/>
  <c r="G421" i="2"/>
  <c r="G429" i="2"/>
  <c r="G419" i="2"/>
  <c r="G422" i="2"/>
  <c r="G423" i="2"/>
  <c r="G424" i="2"/>
  <c r="G425" i="2"/>
  <c r="G426" i="2"/>
  <c r="G428" i="2"/>
  <c r="G430" i="2"/>
  <c r="G432" i="2"/>
  <c r="G433" i="2"/>
  <c r="G434" i="2"/>
  <c r="G435" i="2"/>
  <c r="G436" i="2"/>
  <c r="G403" i="2"/>
  <c r="G153" i="2"/>
  <c r="E46" i="3"/>
  <c r="G46" i="3"/>
  <c r="I46" i="3"/>
  <c r="G417" i="2"/>
  <c r="D46" i="3"/>
  <c r="H46" i="3"/>
  <c r="G418" i="2"/>
  <c r="E22" i="3"/>
  <c r="D22" i="3"/>
  <c r="G128" i="2"/>
  <c r="G80" i="2"/>
  <c r="P46" i="3"/>
  <c r="M46" i="3"/>
  <c r="G406" i="2"/>
  <c r="G407" i="2"/>
  <c r="G408" i="2"/>
  <c r="G410" i="2"/>
  <c r="G411" i="2"/>
  <c r="G415" i="2"/>
  <c r="G405" i="2"/>
  <c r="G409" i="2"/>
  <c r="G413" i="2"/>
  <c r="G416" i="2"/>
  <c r="G404" i="2"/>
  <c r="G412" i="2"/>
  <c r="G414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G362" i="2"/>
  <c r="G374" i="2"/>
  <c r="G381" i="2"/>
  <c r="G389" i="2"/>
  <c r="G377" i="2"/>
  <c r="G386" i="2"/>
  <c r="G390" i="2"/>
  <c r="G385" i="2"/>
  <c r="G378" i="2"/>
  <c r="G382" i="2"/>
  <c r="G376" i="2"/>
  <c r="G387" i="2"/>
  <c r="G375" i="2"/>
  <c r="G384" i="2"/>
  <c r="G383" i="2"/>
  <c r="G388" i="2"/>
  <c r="G380" i="2"/>
  <c r="G63" i="2"/>
  <c r="G367" i="2"/>
  <c r="G361" i="2"/>
  <c r="G363" i="2"/>
  <c r="G372" i="2"/>
  <c r="G366" i="2"/>
  <c r="G359" i="2"/>
  <c r="G370" i="2"/>
  <c r="G368" i="2"/>
  <c r="G373" i="2"/>
  <c r="G371" i="2"/>
  <c r="G360" i="2"/>
  <c r="G365" i="2"/>
  <c r="G99" i="2"/>
  <c r="G103" i="2"/>
  <c r="G107" i="2"/>
  <c r="G119" i="2"/>
  <c r="G123" i="2"/>
  <c r="G139" i="2"/>
  <c r="G143" i="2"/>
  <c r="G151" i="2"/>
  <c r="G364" i="2"/>
  <c r="G369" i="2"/>
  <c r="G357" i="2"/>
  <c r="G345" i="2"/>
  <c r="G353" i="2"/>
  <c r="G347" i="2"/>
  <c r="G341" i="2"/>
  <c r="G349" i="2"/>
  <c r="G348" i="2"/>
  <c r="G342" i="2"/>
  <c r="G339" i="2"/>
  <c r="G356" i="2"/>
  <c r="G344" i="2"/>
  <c r="G331" i="2"/>
  <c r="G355" i="2"/>
  <c r="G343" i="2"/>
  <c r="G334" i="2"/>
  <c r="G337" i="2"/>
  <c r="G351" i="2"/>
  <c r="G340" i="2"/>
  <c r="G350" i="2"/>
  <c r="G346" i="2"/>
  <c r="G354" i="2"/>
  <c r="G352" i="2"/>
  <c r="G358" i="2"/>
  <c r="G335" i="2"/>
  <c r="G324" i="2"/>
  <c r="G326" i="2"/>
  <c r="G325" i="2"/>
  <c r="G319" i="2"/>
  <c r="G322" i="2"/>
  <c r="G321" i="2"/>
  <c r="G323" i="2"/>
  <c r="G330" i="2"/>
  <c r="G338" i="2"/>
  <c r="G333" i="2"/>
  <c r="G327" i="2"/>
  <c r="G332" i="2"/>
  <c r="G336" i="2"/>
  <c r="G329" i="2"/>
  <c r="G320" i="2"/>
  <c r="G328" i="2"/>
  <c r="G290" i="2"/>
  <c r="E45" i="3"/>
  <c r="G191" i="2"/>
  <c r="G278" i="2"/>
  <c r="G272" i="2"/>
  <c r="G266" i="2"/>
  <c r="G260" i="2"/>
  <c r="G281" i="2"/>
  <c r="G269" i="2"/>
  <c r="G292" i="2"/>
  <c r="G305" i="2"/>
  <c r="G303" i="2"/>
  <c r="G310" i="2"/>
  <c r="G299" i="2"/>
  <c r="G306" i="2"/>
  <c r="G300" i="2"/>
  <c r="G313" i="2"/>
  <c r="G307" i="2"/>
  <c r="G317" i="2"/>
  <c r="G316" i="2"/>
  <c r="G246" i="2"/>
  <c r="G267" i="2"/>
  <c r="G315" i="2"/>
  <c r="G309" i="2"/>
  <c r="G293" i="2"/>
  <c r="G312" i="2"/>
  <c r="G318" i="2"/>
  <c r="G311" i="2"/>
  <c r="G297" i="2"/>
  <c r="G308" i="2"/>
  <c r="G289" i="2"/>
  <c r="G283" i="2"/>
  <c r="G301" i="2"/>
  <c r="G295" i="2"/>
  <c r="G314" i="2"/>
  <c r="G287" i="2"/>
  <c r="G304" i="2"/>
  <c r="G298" i="2"/>
  <c r="G302" i="2"/>
  <c r="G296" i="2"/>
  <c r="G280" i="2"/>
  <c r="G274" i="2"/>
  <c r="G291" i="2"/>
  <c r="G286" i="2"/>
  <c r="G102" i="2"/>
  <c r="G106" i="2"/>
  <c r="G122" i="2"/>
  <c r="G126" i="2"/>
  <c r="G134" i="2"/>
  <c r="G138" i="2"/>
  <c r="G142" i="2"/>
  <c r="G146" i="2"/>
  <c r="G150" i="2"/>
  <c r="G284" i="2"/>
  <c r="G244" i="2"/>
  <c r="G277" i="2"/>
  <c r="G294" i="2"/>
  <c r="G193" i="2"/>
  <c r="M45" i="3"/>
  <c r="P45" i="3"/>
  <c r="G285" i="2"/>
  <c r="G43" i="2"/>
  <c r="G279" i="2"/>
  <c r="G288" i="2"/>
  <c r="D45" i="3"/>
  <c r="D43" i="3"/>
  <c r="G270" i="2"/>
  <c r="G276" i="2"/>
  <c r="G254" i="2"/>
  <c r="G253" i="2"/>
  <c r="G259" i="2"/>
  <c r="G30" i="2"/>
  <c r="G271" i="2"/>
  <c r="G273" i="2"/>
  <c r="G275" i="2"/>
  <c r="G282" i="2"/>
  <c r="G264" i="2"/>
  <c r="G248" i="2"/>
  <c r="G265" i="2"/>
  <c r="G268" i="2"/>
  <c r="G252" i="2"/>
  <c r="G257" i="2"/>
  <c r="G262" i="2"/>
  <c r="G228" i="2"/>
  <c r="G230" i="2"/>
  <c r="G263" i="2"/>
  <c r="G98" i="2"/>
  <c r="G251" i="2"/>
  <c r="G73" i="2"/>
  <c r="G37" i="2"/>
  <c r="G28" i="2"/>
  <c r="G258" i="2"/>
  <c r="M44" i="3"/>
  <c r="P44" i="3"/>
  <c r="P43" i="3"/>
  <c r="K13" i="3"/>
  <c r="J13" i="3"/>
  <c r="G243" i="2"/>
  <c r="G229" i="2"/>
  <c r="E43" i="3"/>
  <c r="G247" i="2"/>
  <c r="G245" i="2"/>
  <c r="G261" i="2"/>
  <c r="G249" i="2"/>
  <c r="G250" i="2"/>
  <c r="G255" i="2"/>
  <c r="D38" i="3"/>
  <c r="G130" i="2"/>
  <c r="G256" i="2"/>
  <c r="G105" i="2"/>
  <c r="G22" i="2"/>
  <c r="F13" i="3"/>
  <c r="M43" i="3"/>
  <c r="M39" i="3"/>
  <c r="M38" i="3"/>
  <c r="P41" i="3"/>
  <c r="M41" i="3"/>
  <c r="M42" i="3"/>
  <c r="G199" i="2"/>
  <c r="G175" i="2"/>
  <c r="G79" i="2"/>
  <c r="G180" i="2"/>
  <c r="E234" i="2"/>
  <c r="F241" i="2"/>
  <c r="E235" i="2"/>
  <c r="D39" i="3" s="1"/>
  <c r="F240" i="2"/>
  <c r="F242" i="2"/>
  <c r="E40" i="3" s="1"/>
  <c r="E233" i="2"/>
  <c r="F239" i="2"/>
  <c r="E237" i="2"/>
  <c r="F238" i="2"/>
  <c r="E236" i="2"/>
  <c r="G202" i="2"/>
  <c r="G195" i="2"/>
  <c r="G194" i="2"/>
  <c r="G231" i="2"/>
  <c r="G176" i="2"/>
  <c r="G125" i="2"/>
  <c r="G213" i="2"/>
  <c r="G204" i="2"/>
  <c r="G182" i="2"/>
  <c r="G32" i="2"/>
  <c r="G184" i="2"/>
  <c r="G218" i="2"/>
  <c r="G225" i="2"/>
  <c r="G215" i="2"/>
  <c r="G206" i="2"/>
  <c r="G200" i="2"/>
  <c r="G177" i="2"/>
  <c r="G185" i="2"/>
  <c r="G190" i="2"/>
  <c r="G201" i="2"/>
  <c r="F233" i="2"/>
  <c r="F236" i="2"/>
  <c r="E241" i="2"/>
  <c r="F235" i="2"/>
  <c r="E238" i="2"/>
  <c r="E242" i="2"/>
  <c r="D40" i="3" s="1"/>
  <c r="F234" i="2"/>
  <c r="F237" i="2"/>
  <c r="E239" i="2"/>
  <c r="E240" i="2"/>
  <c r="G224" i="2"/>
  <c r="G211" i="2"/>
  <c r="G223" i="2"/>
  <c r="G226" i="2"/>
  <c r="G214" i="2"/>
  <c r="G216" i="2"/>
  <c r="G210" i="2"/>
  <c r="G127" i="2"/>
  <c r="G81" i="2"/>
  <c r="G187" i="2"/>
  <c r="G217" i="2"/>
  <c r="G221" i="2"/>
  <c r="G222" i="2"/>
  <c r="G203" i="2"/>
  <c r="G208" i="2"/>
  <c r="G209" i="2"/>
  <c r="G212" i="2"/>
  <c r="G179" i="2"/>
  <c r="G186" i="2"/>
  <c r="E37" i="3"/>
  <c r="G232" i="2"/>
  <c r="D37" i="3"/>
  <c r="G227" i="2"/>
  <c r="G219" i="2"/>
  <c r="G178" i="2"/>
  <c r="G207" i="2"/>
  <c r="E38" i="3"/>
  <c r="G205" i="2"/>
  <c r="P38" i="3"/>
  <c r="P39" i="3"/>
  <c r="P42" i="3"/>
  <c r="M40" i="3"/>
  <c r="P40" i="3"/>
  <c r="M37" i="3"/>
  <c r="P37" i="3"/>
  <c r="G220" i="2"/>
  <c r="P12" i="3"/>
  <c r="G97" i="2"/>
  <c r="G196" i="2"/>
  <c r="G198" i="2"/>
  <c r="G111" i="2"/>
  <c r="G181" i="2"/>
  <c r="G135" i="2"/>
  <c r="G29" i="2"/>
  <c r="G38" i="2"/>
  <c r="G21" i="2"/>
  <c r="G31" i="2"/>
  <c r="G112" i="2"/>
  <c r="G183" i="2"/>
  <c r="G116" i="2"/>
  <c r="G115" i="2"/>
  <c r="G114" i="2"/>
  <c r="G93" i="2"/>
  <c r="G91" i="2"/>
  <c r="G133" i="2"/>
  <c r="G62" i="2"/>
  <c r="G110" i="2"/>
  <c r="G87" i="2"/>
  <c r="G49" i="2"/>
  <c r="G42" i="2"/>
  <c r="G74" i="2"/>
  <c r="G66" i="2"/>
  <c r="G36" i="2"/>
  <c r="G70" i="2"/>
  <c r="G78" i="2"/>
  <c r="G109" i="2"/>
  <c r="G189" i="2"/>
  <c r="G197" i="2"/>
  <c r="G59" i="2"/>
  <c r="G121" i="2"/>
  <c r="G117" i="2"/>
  <c r="G65" i="2"/>
  <c r="G56" i="2"/>
  <c r="G72" i="2"/>
  <c r="G46" i="2"/>
  <c r="G131" i="2"/>
  <c r="G192" i="2"/>
  <c r="G57" i="2"/>
  <c r="G51" i="2"/>
  <c r="G35" i="2"/>
  <c r="G132" i="2"/>
  <c r="G113" i="2"/>
  <c r="G94" i="2"/>
  <c r="G188" i="2"/>
  <c r="G54" i="2"/>
  <c r="G14" i="2"/>
  <c r="F11" i="3"/>
  <c r="M36" i="3"/>
  <c r="P36" i="3"/>
  <c r="M35" i="3"/>
  <c r="P35" i="3"/>
  <c r="G118" i="2"/>
  <c r="G41" i="2"/>
  <c r="P23" i="3"/>
  <c r="P8" i="3"/>
  <c r="P7" i="3"/>
  <c r="P10" i="3"/>
  <c r="P9" i="3"/>
  <c r="P5" i="3"/>
  <c r="P4" i="3"/>
  <c r="P6" i="3"/>
  <c r="P11" i="3"/>
  <c r="P13" i="3"/>
  <c r="G147" i="2"/>
  <c r="G144" i="2"/>
  <c r="G141" i="2"/>
  <c r="G124" i="2"/>
  <c r="G86" i="2"/>
  <c r="G85" i="2"/>
  <c r="G75" i="2"/>
  <c r="G67" i="2"/>
  <c r="G64" i="2"/>
  <c r="G52" i="2"/>
  <c r="G148" i="2"/>
  <c r="G140" i="2"/>
  <c r="G71" i="2"/>
  <c r="G17" i="2"/>
  <c r="G154" i="2"/>
  <c r="G26" i="2"/>
  <c r="P15" i="3"/>
  <c r="P3" i="3"/>
  <c r="P14" i="3"/>
  <c r="P34" i="3"/>
  <c r="P30" i="3"/>
  <c r="P31" i="3"/>
  <c r="P28" i="3"/>
  <c r="P26" i="3"/>
  <c r="P24" i="3"/>
  <c r="P22" i="3"/>
  <c r="P19" i="3"/>
  <c r="P18" i="3"/>
  <c r="P2" i="3"/>
  <c r="P16" i="3"/>
  <c r="P33" i="3"/>
  <c r="P32" i="3"/>
  <c r="P29" i="3"/>
  <c r="P27" i="3"/>
  <c r="P25" i="3"/>
  <c r="P21" i="3"/>
  <c r="P17" i="3"/>
  <c r="P20" i="3"/>
  <c r="G145" i="2"/>
  <c r="G33" i="2"/>
  <c r="G108" i="2"/>
  <c r="G89" i="2"/>
  <c r="G68" i="2"/>
  <c r="G50" i="2"/>
  <c r="D32" i="3"/>
  <c r="F32" i="3" s="1"/>
  <c r="G45" i="2"/>
  <c r="D31" i="3"/>
  <c r="F31" i="3" s="1"/>
  <c r="G44" i="2"/>
  <c r="D30" i="3"/>
  <c r="G76" i="2"/>
  <c r="G136" i="2"/>
  <c r="G92" i="2"/>
  <c r="G83" i="2"/>
  <c r="G53" i="2"/>
  <c r="G95" i="2"/>
  <c r="G82" i="2"/>
  <c r="E29" i="3"/>
  <c r="E10" i="3"/>
  <c r="F161" i="2"/>
  <c r="F162" i="2"/>
  <c r="F160" i="2"/>
  <c r="E3" i="3" s="1"/>
  <c r="F163" i="2"/>
  <c r="E34" i="3" s="1"/>
  <c r="E156" i="2"/>
  <c r="E155" i="2"/>
  <c r="E157" i="2"/>
  <c r="E158" i="2"/>
  <c r="E159" i="2"/>
  <c r="F164" i="2"/>
  <c r="E26" i="3" s="1"/>
  <c r="E163" i="2"/>
  <c r="E162" i="2"/>
  <c r="E164" i="2"/>
  <c r="D26" i="3" s="1"/>
  <c r="F159" i="2"/>
  <c r="F158" i="2"/>
  <c r="E5" i="3" s="1"/>
  <c r="F157" i="2"/>
  <c r="F155" i="2"/>
  <c r="F156" i="2"/>
  <c r="E160" i="2"/>
  <c r="E161" i="2"/>
  <c r="F170" i="2"/>
  <c r="E9" i="3" s="1"/>
  <c r="F172" i="2"/>
  <c r="E8" i="3" s="1"/>
  <c r="E166" i="2"/>
  <c r="E169" i="2"/>
  <c r="F173" i="2"/>
  <c r="E24" i="3" s="1"/>
  <c r="E168" i="2"/>
  <c r="E167" i="2"/>
  <c r="D19" i="3" s="1"/>
  <c r="F171" i="2"/>
  <c r="E25" i="3" s="1"/>
  <c r="F174" i="2"/>
  <c r="E15" i="3" s="1"/>
  <c r="E165" i="2"/>
  <c r="F166" i="2"/>
  <c r="E173" i="2"/>
  <c r="F165" i="2"/>
  <c r="E170" i="2"/>
  <c r="D9" i="3" s="1"/>
  <c r="E172" i="2"/>
  <c r="D8" i="3" s="1"/>
  <c r="E174" i="2"/>
  <c r="F169" i="2"/>
  <c r="E36" i="3" s="1"/>
  <c r="F167" i="2"/>
  <c r="E19" i="3" s="1"/>
  <c r="E171" i="2"/>
  <c r="F168" i="2"/>
  <c r="G61" i="2"/>
  <c r="M10" i="3"/>
  <c r="M9" i="3"/>
  <c r="M8" i="3"/>
  <c r="M7" i="3"/>
  <c r="M6" i="3"/>
  <c r="M5" i="3"/>
  <c r="M4" i="3"/>
  <c r="M3" i="3"/>
  <c r="M2" i="3"/>
  <c r="M21" i="3"/>
  <c r="M20" i="3"/>
  <c r="M19" i="3"/>
  <c r="M18" i="3"/>
  <c r="M16" i="3"/>
  <c r="M15" i="3"/>
  <c r="M12" i="3"/>
  <c r="M11" i="3"/>
  <c r="M13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17" i="3"/>
  <c r="M14" i="3"/>
  <c r="G149" i="2"/>
  <c r="G90" i="2"/>
  <c r="G58" i="2"/>
  <c r="G47" i="2"/>
  <c r="G20" i="2"/>
  <c r="E2" i="3"/>
  <c r="G96" i="2"/>
  <c r="D27" i="3"/>
  <c r="F27" i="3" s="1"/>
  <c r="G84" i="2"/>
  <c r="G55" i="2"/>
  <c r="D29" i="3"/>
  <c r="G40" i="2"/>
  <c r="G39" i="2"/>
  <c r="D28" i="3"/>
  <c r="F28" i="3" s="1"/>
  <c r="G34" i="2"/>
  <c r="D10" i="3"/>
  <c r="G27" i="2"/>
  <c r="G25" i="2"/>
  <c r="G24" i="2"/>
  <c r="G23" i="2"/>
  <c r="G18" i="2"/>
  <c r="G16" i="2"/>
  <c r="G15" i="2"/>
  <c r="G12" i="2"/>
  <c r="D20" i="3"/>
  <c r="F20" i="3" s="1"/>
  <c r="G11" i="2"/>
  <c r="D2" i="3"/>
  <c r="G10" i="2"/>
  <c r="G9" i="2"/>
  <c r="G8" i="2"/>
  <c r="G7" i="2"/>
  <c r="G6" i="2"/>
  <c r="G5" i="2"/>
  <c r="G4" i="2"/>
  <c r="G3" i="2"/>
  <c r="G2" i="2"/>
  <c r="F47" i="3" l="1"/>
  <c r="F30" i="3"/>
  <c r="I11" i="3"/>
  <c r="K11" i="3" s="1"/>
  <c r="H11" i="3"/>
  <c r="G11" i="3"/>
  <c r="J11" i="3" s="1"/>
  <c r="G47" i="3"/>
  <c r="J47" i="3" s="1"/>
  <c r="H47" i="3"/>
  <c r="I47" i="3"/>
  <c r="K47" i="3" s="1"/>
  <c r="G399" i="2"/>
  <c r="G391" i="2"/>
  <c r="G392" i="2"/>
  <c r="D44" i="3"/>
  <c r="E44" i="3"/>
  <c r="G395" i="2"/>
  <c r="G396" i="2"/>
  <c r="G398" i="2"/>
  <c r="G400" i="2"/>
  <c r="F46" i="3"/>
  <c r="K46" i="3"/>
  <c r="J46" i="3"/>
  <c r="F22" i="3"/>
  <c r="G394" i="2"/>
  <c r="D41" i="3"/>
  <c r="D4" i="3"/>
  <c r="D14" i="3"/>
  <c r="E14" i="3"/>
  <c r="E41" i="3"/>
  <c r="D42" i="3"/>
  <c r="E18" i="3"/>
  <c r="D33" i="3"/>
  <c r="E33" i="3"/>
  <c r="D21" i="3"/>
  <c r="D7" i="3"/>
  <c r="E7" i="3"/>
  <c r="E21" i="3"/>
  <c r="D18" i="3"/>
  <c r="H22" i="3"/>
  <c r="G22" i="3"/>
  <c r="J22" i="3" s="1"/>
  <c r="I22" i="3"/>
  <c r="K22" i="3" s="1"/>
  <c r="G393" i="2"/>
  <c r="G397" i="2"/>
  <c r="G401" i="2"/>
  <c r="G402" i="2"/>
  <c r="F45" i="3"/>
  <c r="I45" i="3"/>
  <c r="K45" i="3" s="1"/>
  <c r="G45" i="3"/>
  <c r="J45" i="3" s="1"/>
  <c r="H45" i="3"/>
  <c r="F43" i="3"/>
  <c r="I43" i="3"/>
  <c r="K43" i="3" s="1"/>
  <c r="G43" i="3"/>
  <c r="J43" i="3" s="1"/>
  <c r="H43" i="3"/>
  <c r="F38" i="3"/>
  <c r="G233" i="2"/>
  <c r="G236" i="2"/>
  <c r="G241" i="2"/>
  <c r="G238" i="2"/>
  <c r="G242" i="2"/>
  <c r="G239" i="2"/>
  <c r="G240" i="2"/>
  <c r="E6" i="3"/>
  <c r="D17" i="3"/>
  <c r="E16" i="3"/>
  <c r="E12" i="3"/>
  <c r="E35" i="3"/>
  <c r="E23" i="3"/>
  <c r="F37" i="3"/>
  <c r="I37" i="3"/>
  <c r="K37" i="3" s="1"/>
  <c r="G37" i="3"/>
  <c r="J37" i="3" s="1"/>
  <c r="H37" i="3"/>
  <c r="E42" i="3"/>
  <c r="G237" i="2"/>
  <c r="E39" i="3"/>
  <c r="F39" i="3" s="1"/>
  <c r="G235" i="2"/>
  <c r="E17" i="3"/>
  <c r="D12" i="3"/>
  <c r="D16" i="3"/>
  <c r="G234" i="2"/>
  <c r="E4" i="3"/>
  <c r="H38" i="3"/>
  <c r="I38" i="3"/>
  <c r="K38" i="3" s="1"/>
  <c r="G38" i="3"/>
  <c r="J38" i="3" s="1"/>
  <c r="F40" i="3"/>
  <c r="F29" i="3"/>
  <c r="F26" i="3"/>
  <c r="B1" i="6" a="1"/>
  <c r="F8" i="3"/>
  <c r="F10" i="3"/>
  <c r="G32" i="3"/>
  <c r="J32" i="3" s="1"/>
  <c r="I32" i="3"/>
  <c r="K32" i="3" s="1"/>
  <c r="H32" i="3"/>
  <c r="H31" i="3"/>
  <c r="G31" i="3"/>
  <c r="J31" i="3" s="1"/>
  <c r="I31" i="3"/>
  <c r="K31" i="3" s="1"/>
  <c r="G30" i="3"/>
  <c r="J30" i="3" s="1"/>
  <c r="H30" i="3"/>
  <c r="I30" i="3"/>
  <c r="K30" i="3" s="1"/>
  <c r="G173" i="2"/>
  <c r="G24" i="3" s="1"/>
  <c r="J24" i="3" s="1"/>
  <c r="D24" i="3"/>
  <c r="F24" i="3" s="1"/>
  <c r="G174" i="2"/>
  <c r="G15" i="3" s="1"/>
  <c r="J15" i="3" s="1"/>
  <c r="D15" i="3"/>
  <c r="F15" i="3" s="1"/>
  <c r="G171" i="2"/>
  <c r="G25" i="3" s="1"/>
  <c r="J25" i="3" s="1"/>
  <c r="D25" i="3"/>
  <c r="F25" i="3" s="1"/>
  <c r="G159" i="2"/>
  <c r="G161" i="2"/>
  <c r="F19" i="3"/>
  <c r="D35" i="3"/>
  <c r="G155" i="2"/>
  <c r="D34" i="3"/>
  <c r="F34" i="3" s="1"/>
  <c r="G163" i="2"/>
  <c r="D36" i="3"/>
  <c r="F36" i="3" s="1"/>
  <c r="G169" i="2"/>
  <c r="G164" i="2"/>
  <c r="G168" i="2"/>
  <c r="G167" i="2"/>
  <c r="G19" i="3" s="1"/>
  <c r="J19" i="3" s="1"/>
  <c r="G165" i="2"/>
  <c r="G170" i="2"/>
  <c r="G172" i="2"/>
  <c r="G156" i="2"/>
  <c r="G157" i="2"/>
  <c r="G158" i="2"/>
  <c r="H5" i="3" s="1"/>
  <c r="D5" i="3"/>
  <c r="F5" i="3" s="1"/>
  <c r="G162" i="2"/>
  <c r="D6" i="3"/>
  <c r="G160" i="2"/>
  <c r="D3" i="3"/>
  <c r="F3" i="3" s="1"/>
  <c r="G166" i="2"/>
  <c r="D23" i="3"/>
  <c r="F9" i="3"/>
  <c r="F2" i="3"/>
  <c r="G27" i="3"/>
  <c r="J27" i="3" s="1"/>
  <c r="H27" i="3"/>
  <c r="I27" i="3"/>
  <c r="K27" i="3" s="1"/>
  <c r="G29" i="3"/>
  <c r="J29" i="3" s="1"/>
  <c r="H29" i="3"/>
  <c r="I29" i="3"/>
  <c r="K29" i="3" s="1"/>
  <c r="G28" i="3"/>
  <c r="J28" i="3" s="1"/>
  <c r="H28" i="3"/>
  <c r="I28" i="3"/>
  <c r="K28" i="3" s="1"/>
  <c r="H10" i="3"/>
  <c r="I10" i="3"/>
  <c r="K10" i="3" s="1"/>
  <c r="G10" i="3"/>
  <c r="J10" i="3" s="1"/>
  <c r="G20" i="3"/>
  <c r="J20" i="3" s="1"/>
  <c r="H20" i="3"/>
  <c r="I20" i="3"/>
  <c r="K20" i="3" s="1"/>
  <c r="G2" i="3"/>
  <c r="J2" i="3" s="1"/>
  <c r="H2" i="3"/>
  <c r="I2" i="3"/>
  <c r="K2" i="3" s="1"/>
  <c r="G18" i="3"/>
  <c r="J18" i="3" s="1"/>
  <c r="H18" i="3"/>
  <c r="I18" i="3"/>
  <c r="K18" i="3" s="1"/>
  <c r="AU12" i="6" l="1" a="1"/>
  <c r="B46" i="6" a="1"/>
  <c r="AB46" i="6" a="1"/>
  <c r="AL46" i="6" a="1"/>
  <c r="AT14" i="6" a="1"/>
  <c r="AL47" i="6" a="1"/>
  <c r="B47" i="6" a="1"/>
  <c r="AT36" i="6" a="1"/>
  <c r="T46" i="6" a="1"/>
  <c r="AT31" i="6" a="1"/>
  <c r="AT20" i="6" a="1"/>
  <c r="AR47" i="6" a="1"/>
  <c r="AR46" i="6" a="1"/>
  <c r="AT37" i="6" a="1"/>
  <c r="Y47" i="6" a="1"/>
  <c r="AT42" i="6" a="1"/>
  <c r="F46" i="6" a="1"/>
  <c r="O46" i="6" a="1"/>
  <c r="Y46" i="6" a="1"/>
  <c r="C47" i="6" a="1"/>
  <c r="J47" i="6" a="1"/>
  <c r="U47" i="6" a="1"/>
  <c r="AD47" i="6" a="1"/>
  <c r="K47" i="6" a="1"/>
  <c r="AQ46" i="6" a="1"/>
  <c r="C46" i="6" a="1"/>
  <c r="AU25" i="6" a="1"/>
  <c r="M47" i="6" a="1"/>
  <c r="M46" i="6" a="1"/>
  <c r="AU6" i="6" a="1"/>
  <c r="W46" i="6" a="1"/>
  <c r="D47" i="6" a="1"/>
  <c r="O47" i="6" a="1"/>
  <c r="AB47" i="6" a="1"/>
  <c r="AM47" i="6" a="1"/>
  <c r="AU13" i="6" a="1"/>
  <c r="AU17" i="6" a="1"/>
  <c r="AU20" i="6" a="1"/>
  <c r="AU30" i="6" a="1"/>
  <c r="AU42" i="6" a="1"/>
  <c r="AT6" i="6" a="1"/>
  <c r="AT18" i="6" a="1"/>
  <c r="AT28" i="6" a="1"/>
  <c r="P46" i="6" a="1"/>
  <c r="AU8" i="6" a="1"/>
  <c r="AT12" i="6" a="1"/>
  <c r="F47" i="6" a="1"/>
  <c r="AG46" i="6" a="1"/>
  <c r="S47" i="6" a="1"/>
  <c r="AT46" i="6" a="1"/>
  <c r="AT35" i="6" a="1"/>
  <c r="AN47" i="6" a="1"/>
  <c r="AU26" i="6" a="1"/>
  <c r="AG47" i="6" a="1"/>
  <c r="L47" i="6" a="1"/>
  <c r="J46" i="6" a="1"/>
  <c r="AU36" i="6" a="1"/>
  <c r="W47" i="6" a="1"/>
  <c r="AT40" i="6" a="1"/>
  <c r="AU5" i="6" a="1"/>
  <c r="AU34" i="6" a="1"/>
  <c r="AT29" i="6" a="1"/>
  <c r="AI47" i="6" a="1"/>
  <c r="AI46" i="6" a="1"/>
  <c r="AP47" i="6" a="1"/>
  <c r="AS46" i="6" a="1"/>
  <c r="AT8" i="6" a="1"/>
  <c r="E46" i="6" a="1"/>
  <c r="AU32" i="6" a="1"/>
  <c r="AU46" i="6" a="1"/>
  <c r="AU35" i="6" a="1"/>
  <c r="AJ47" i="6" a="1"/>
  <c r="AU40" i="6" a="1"/>
  <c r="AA46" i="6" a="1"/>
  <c r="AT33" i="6" a="1"/>
  <c r="AU29" i="6" a="1"/>
  <c r="Z46" i="6" a="1"/>
  <c r="AU3" i="6" a="1"/>
  <c r="AU4" i="6" a="1"/>
  <c r="AU18" i="6" a="1"/>
  <c r="I46" i="6" a="1"/>
  <c r="AC46" i="6" a="1"/>
  <c r="AM46" i="6" a="1"/>
  <c r="AT2" i="6" a="1"/>
  <c r="AU22" i="6" a="1"/>
  <c r="I47" i="6" a="1"/>
  <c r="AT26" i="6" a="1"/>
  <c r="AT44" i="6" a="1"/>
  <c r="G46" i="6" a="1"/>
  <c r="AT39" i="6" a="1"/>
  <c r="AU47" i="6" a="1"/>
  <c r="AK47" i="6" a="1"/>
  <c r="AT47" i="6" a="1"/>
  <c r="AU7" i="6" a="1"/>
  <c r="AT5" i="6" a="1"/>
  <c r="Q47" i="6" a="1"/>
  <c r="AH46" i="6" a="1"/>
  <c r="AE47" i="6" a="1"/>
  <c r="L46" i="6" a="1"/>
  <c r="AT27" i="6" a="1"/>
  <c r="AC47" i="6" a="1"/>
  <c r="AU37" i="6" a="1"/>
  <c r="AP46" i="6" a="1"/>
  <c r="S46" i="6" a="1"/>
  <c r="AT30" i="6" a="1"/>
  <c r="AT13" i="6" a="1"/>
  <c r="AU15" i="6" a="1"/>
  <c r="D46" i="6" a="1"/>
  <c r="AU9" i="6" a="1"/>
  <c r="AU16" i="6" a="1"/>
  <c r="R46" i="6" a="1"/>
  <c r="AD46" i="6" a="1"/>
  <c r="AO46" i="6" a="1"/>
  <c r="AT24" i="6" a="1"/>
  <c r="AU33" i="6" a="1"/>
  <c r="X46" i="6" a="1"/>
  <c r="AT16" i="6" a="1"/>
  <c r="AT32" i="6" a="1"/>
  <c r="AT21" i="6" a="1"/>
  <c r="AU31" i="6" a="1"/>
  <c r="X47" i="6" a="1"/>
  <c r="K46" i="6" a="1"/>
  <c r="AT15" i="6" a="1"/>
  <c r="AF47" i="6" a="1"/>
  <c r="AU41" i="6" a="1"/>
  <c r="AN46" i="6" a="1"/>
  <c r="AE46" i="6" a="1"/>
  <c r="H47" i="6" a="1"/>
  <c r="AT34" i="6" a="1"/>
  <c r="AU44" i="6" a="1"/>
  <c r="T47" i="6" a="1"/>
  <c r="AO47" i="6" a="1"/>
  <c r="H46" i="6" a="1"/>
  <c r="AT43" i="6" a="1"/>
  <c r="AT11" i="6" a="1"/>
  <c r="AH47" i="6" a="1"/>
  <c r="U46" i="6" a="1"/>
  <c r="AT25" i="6" a="1"/>
  <c r="AS47" i="6" a="1"/>
  <c r="AU28" i="6" a="1"/>
  <c r="AT38" i="6" a="1"/>
  <c r="AQ47" i="6" a="1"/>
  <c r="AJ46" i="6" a="1"/>
  <c r="AU27" i="6" a="1"/>
  <c r="N47" i="6" a="1"/>
  <c r="AT17" i="6" a="1"/>
  <c r="N46" i="6" a="1"/>
  <c r="AU43" i="6" a="1"/>
  <c r="AT10" i="6" a="1"/>
  <c r="AU45" i="6" a="1"/>
  <c r="V47" i="6" a="1"/>
  <c r="AT3" i="6" a="1"/>
  <c r="E47" i="6" a="1"/>
  <c r="AT45" i="6" a="1"/>
  <c r="AU39" i="6" a="1"/>
  <c r="G47" i="6" a="1"/>
  <c r="AU2" i="6" a="1"/>
  <c r="AU10" i="6" a="1"/>
  <c r="AU14" i="6" a="1"/>
  <c r="AT19" i="6" a="1"/>
  <c r="Z47" i="6" a="1"/>
  <c r="AF46" i="6" a="1"/>
  <c r="AK46" i="6" a="1"/>
  <c r="AU38" i="6" a="1"/>
  <c r="V46" i="6" a="1"/>
  <c r="AA47" i="6" a="1"/>
  <c r="AT41" i="6" a="1"/>
  <c r="AU21" i="6" a="1"/>
  <c r="AT7" i="6" a="1"/>
  <c r="AT22" i="6" a="1"/>
  <c r="AU24" i="6" a="1"/>
  <c r="AT9" i="6" a="1"/>
  <c r="AU23" i="6" a="1"/>
  <c r="Q46" i="6" a="1"/>
  <c r="P47" i="6" a="1"/>
  <c r="AT23" i="6" a="1"/>
  <c r="AU19" i="6" a="1"/>
  <c r="AT4" i="6" a="1"/>
  <c r="R47" i="6" a="1"/>
  <c r="AU11" i="6" a="1"/>
  <c r="AS28" i="6" a="1"/>
  <c r="AS31" i="6" a="1"/>
  <c r="AS36" i="6" a="1"/>
  <c r="AS39" i="6" a="1"/>
  <c r="AS42" i="6" a="1"/>
  <c r="C45" i="6" a="1"/>
  <c r="F45" i="6" a="1"/>
  <c r="I45" i="6" a="1"/>
  <c r="L45" i="6" a="1"/>
  <c r="Q45" i="6" a="1"/>
  <c r="V45" i="6" a="1"/>
  <c r="Z45" i="6" a="1"/>
  <c r="AB45" i="6" a="1"/>
  <c r="AF45" i="6" a="1"/>
  <c r="AK45" i="6" a="1"/>
  <c r="AO45" i="6" a="1"/>
  <c r="AQ45" i="6" a="1"/>
  <c r="AR45" i="6" a="1"/>
  <c r="AS34" i="6" a="1"/>
  <c r="AS37" i="6" a="1"/>
  <c r="AS41" i="6" a="1"/>
  <c r="AS44" i="6" a="1"/>
  <c r="E45" i="6" a="1"/>
  <c r="M45" i="6" a="1"/>
  <c r="O45" i="6" a="1"/>
  <c r="T45" i="6" a="1"/>
  <c r="W45" i="6" a="1"/>
  <c r="AA45" i="6" a="1"/>
  <c r="AD45" i="6" a="1"/>
  <c r="AH45" i="6" a="1"/>
  <c r="AL45" i="6" a="1"/>
  <c r="AP45" i="6" a="1"/>
  <c r="AS29" i="6" a="1"/>
  <c r="AS32" i="6" a="1"/>
  <c r="AS35" i="6" a="1"/>
  <c r="AS38" i="6" a="1"/>
  <c r="AS43" i="6" a="1"/>
  <c r="B45" i="6" a="1"/>
  <c r="G45" i="6" a="1"/>
  <c r="H45" i="6" a="1"/>
  <c r="K45" i="6" a="1"/>
  <c r="P45" i="6" a="1"/>
  <c r="U45" i="6" a="1"/>
  <c r="Y45" i="6" a="1"/>
  <c r="AC45" i="6" a="1"/>
  <c r="AG45" i="6" a="1"/>
  <c r="AJ45" i="6" a="1"/>
  <c r="AN45" i="6" a="1"/>
  <c r="AS30" i="6" a="1"/>
  <c r="AS33" i="6" a="1"/>
  <c r="AS40" i="6" a="1"/>
  <c r="AS45" i="6" a="1"/>
  <c r="D45" i="6" a="1"/>
  <c r="J45" i="6" a="1"/>
  <c r="N45" i="6" a="1"/>
  <c r="S45" i="6" a="1"/>
  <c r="X45" i="6" a="1"/>
  <c r="AE45" i="6" a="1"/>
  <c r="AI45" i="6" a="1"/>
  <c r="AM45" i="6" a="1"/>
  <c r="AS16" i="6" a="1"/>
  <c r="AS19" i="6" a="1"/>
  <c r="AS12" i="6" a="1"/>
  <c r="AS26" i="6" a="1"/>
  <c r="AS2" i="6" a="1"/>
  <c r="AS14" i="6" a="1"/>
  <c r="AS7" i="6" a="1"/>
  <c r="AS25" i="6" a="1"/>
  <c r="R45" i="6" a="1"/>
  <c r="AS4" i="6" a="1"/>
  <c r="AS21" i="6" a="1"/>
  <c r="AS23" i="6" a="1"/>
  <c r="AS22" i="6" a="1"/>
  <c r="AS27" i="6" a="1"/>
  <c r="AS20" i="6" a="1"/>
  <c r="AS17" i="6" a="1"/>
  <c r="AS13" i="6" a="1"/>
  <c r="AS11" i="6" a="1"/>
  <c r="AS9" i="6" a="1"/>
  <c r="AS8" i="6" a="1"/>
  <c r="AS10" i="6" a="1"/>
  <c r="AS6" i="6" a="1"/>
  <c r="AS24" i="6" a="1"/>
  <c r="AS15" i="6" a="1"/>
  <c r="AS3" i="6" a="1"/>
  <c r="AS5" i="6" a="1"/>
  <c r="AS18" i="6" a="1"/>
  <c r="F42" i="3"/>
  <c r="I14" i="3"/>
  <c r="K14" i="3" s="1"/>
  <c r="F41" i="3"/>
  <c r="H14" i="3"/>
  <c r="G14" i="3"/>
  <c r="J14" i="3" s="1"/>
  <c r="I41" i="3"/>
  <c r="K41" i="3" s="1"/>
  <c r="H41" i="3"/>
  <c r="G41" i="3"/>
  <c r="J41" i="3" s="1"/>
  <c r="H44" i="3"/>
  <c r="F14" i="3"/>
  <c r="I44" i="3"/>
  <c r="K44" i="3" s="1"/>
  <c r="AQ2" i="6" a="1"/>
  <c r="AR16" i="6" a="1"/>
  <c r="AR29" i="6" a="1"/>
  <c r="AR42" i="6" a="1"/>
  <c r="I44" i="6" a="1"/>
  <c r="O43" i="6" a="1"/>
  <c r="V43" i="6" a="1"/>
  <c r="AC43" i="6" a="1"/>
  <c r="AK43" i="6" a="1"/>
  <c r="AR20" i="6" a="1"/>
  <c r="AQ40" i="6" a="1"/>
  <c r="U44" i="6" a="1"/>
  <c r="AR13" i="6" a="1"/>
  <c r="AQ37" i="6" a="1"/>
  <c r="AQ23" i="6" a="1"/>
  <c r="H44" i="6" a="1"/>
  <c r="N44" i="6" a="1"/>
  <c r="S44" i="6" a="1"/>
  <c r="X44" i="6" a="1"/>
  <c r="AC44" i="6" a="1"/>
  <c r="AI44" i="6" a="1"/>
  <c r="AN44" i="6" a="1"/>
  <c r="AR3" i="6" a="1"/>
  <c r="AQ6" i="6" a="1"/>
  <c r="AR18" i="6" a="1"/>
  <c r="AR37" i="6" a="1"/>
  <c r="K44" i="6" a="1"/>
  <c r="AR9" i="6" a="1"/>
  <c r="AR30" i="6" a="1"/>
  <c r="AN43" i="6" a="1"/>
  <c r="AQ43" i="6" a="1"/>
  <c r="O44" i="6" a="1"/>
  <c r="T44" i="6" a="1"/>
  <c r="Y44" i="6" a="1"/>
  <c r="AE44" i="6" a="1"/>
  <c r="AJ44" i="6" a="1"/>
  <c r="AO44" i="6" a="1"/>
  <c r="AR2" i="6" a="1"/>
  <c r="AR4" i="6" a="1"/>
  <c r="AR6" i="6" a="1"/>
  <c r="AR8" i="6" a="1"/>
  <c r="AR10" i="6" a="1"/>
  <c r="AR12" i="6" a="1"/>
  <c r="AQ15" i="6" a="1"/>
  <c r="AQ17" i="6" a="1"/>
  <c r="AQ19" i="6" a="1"/>
  <c r="AR34" i="6" a="1"/>
  <c r="L44" i="6" a="1"/>
  <c r="AQ11" i="6" a="1"/>
  <c r="AR17" i="6" a="1"/>
  <c r="AQ36" i="6" a="1"/>
  <c r="AP43" i="6" a="1"/>
  <c r="AH44" i="6" a="1"/>
  <c r="U43" i="6" a="1"/>
  <c r="AD43" i="6" a="1"/>
  <c r="AM43" i="6" a="1"/>
  <c r="AR27" i="6" a="1"/>
  <c r="M43" i="6" a="1"/>
  <c r="AR7" i="6" a="1"/>
  <c r="AR28" i="6" a="1"/>
  <c r="L43" i="6" a="1"/>
  <c r="AR26" i="6" a="1"/>
  <c r="F43" i="6" a="1"/>
  <c r="W44" i="6" a="1"/>
  <c r="D43" i="6" a="1"/>
  <c r="AP44" i="6" a="1"/>
  <c r="AQ24" i="6" a="1"/>
  <c r="AR43" i="6" a="1"/>
  <c r="AQ28" i="6" a="1"/>
  <c r="J43" i="6" a="1"/>
  <c r="AL44" i="6" a="1"/>
  <c r="AJ43" i="6" a="1"/>
  <c r="AQ16" i="6" a="1"/>
  <c r="AR35" i="6" a="1"/>
  <c r="P44" i="6" a="1"/>
  <c r="AR11" i="6" a="1"/>
  <c r="AQ33" i="6" a="1"/>
  <c r="D44" i="6" a="1"/>
  <c r="AR36" i="6" a="1"/>
  <c r="G44" i="6" a="1"/>
  <c r="AQ5" i="6" a="1"/>
  <c r="AR25" i="6" a="1"/>
  <c r="AQ34" i="6" a="1"/>
  <c r="G43" i="6" a="1"/>
  <c r="AD44" i="6" a="1"/>
  <c r="T43" i="6" a="1"/>
  <c r="AA43" i="6" a="1"/>
  <c r="AI43" i="6" a="1"/>
  <c r="AQ14" i="6" a="1"/>
  <c r="AR33" i="6" a="1"/>
  <c r="AO43" i="6" a="1"/>
  <c r="AQ3" i="6" a="1"/>
  <c r="AQ22" i="6" a="1"/>
  <c r="C43" i="6" a="1"/>
  <c r="AQ30" i="6" a="1"/>
  <c r="B44" i="6" a="1"/>
  <c r="AQ13" i="6" a="1"/>
  <c r="AR19" i="6" a="1"/>
  <c r="AQ32" i="6" a="1"/>
  <c r="E43" i="6" a="1"/>
  <c r="V44" i="6" a="1"/>
  <c r="S43" i="6" a="1"/>
  <c r="Z43" i="6" a="1"/>
  <c r="AH43" i="6" a="1"/>
  <c r="AQ12" i="6" a="1"/>
  <c r="AQ31" i="6" a="1"/>
  <c r="E44" i="6" a="1"/>
  <c r="AR5" i="6" a="1"/>
  <c r="AQ27" i="6" a="1"/>
  <c r="H43" i="6" a="1"/>
  <c r="AR32" i="6" a="1"/>
  <c r="AL43" i="6" a="1"/>
  <c r="AR14" i="6" a="1"/>
  <c r="AR31" i="6" a="1"/>
  <c r="AR44" i="6" a="1"/>
  <c r="M44" i="6" a="1"/>
  <c r="R43" i="6" a="1"/>
  <c r="AB43" i="6" a="1"/>
  <c r="AQ9" i="6" a="1"/>
  <c r="AR21" i="6" a="1"/>
  <c r="AR39" i="6" a="1"/>
  <c r="N43" i="6" a="1"/>
  <c r="AA44" i="6" a="1"/>
  <c r="Q43" i="6" a="1"/>
  <c r="Y43" i="6" a="1"/>
  <c r="AG43" i="6" a="1"/>
  <c r="AQ10" i="6" a="1"/>
  <c r="AR22" i="6" a="1"/>
  <c r="AQ42" i="6" a="1"/>
  <c r="Z44" i="6" a="1"/>
  <c r="AR15" i="6" a="1"/>
  <c r="AQ35" i="6" a="1"/>
  <c r="J44" i="6" a="1"/>
  <c r="AR38" i="6" a="1"/>
  <c r="AB44" i="6" a="1"/>
  <c r="AQ7" i="6" a="1"/>
  <c r="AR23" i="6" a="1"/>
  <c r="AQ38" i="6" a="1"/>
  <c r="K43" i="6" a="1"/>
  <c r="R44" i="6" a="1"/>
  <c r="P43" i="6" a="1"/>
  <c r="X43" i="6" a="1"/>
  <c r="AF43" i="6" a="1"/>
  <c r="AQ8" i="6" a="1"/>
  <c r="AR24" i="6" a="1"/>
  <c r="AQ44" i="6" a="1"/>
  <c r="AF44" i="6" a="1"/>
  <c r="AQ18" i="6" a="1"/>
  <c r="AQ39" i="6" a="1"/>
  <c r="AQ21" i="6" a="1"/>
  <c r="AR40" i="6" a="1"/>
  <c r="AG44" i="6" a="1"/>
  <c r="AQ4" i="6" a="1"/>
  <c r="AQ26" i="6" a="1"/>
  <c r="AQ41" i="6" a="1"/>
  <c r="F44" i="6" a="1"/>
  <c r="AM44" i="6" a="1"/>
  <c r="W43" i="6" a="1"/>
  <c r="AE43" i="6" a="1"/>
  <c r="C44" i="6" a="1"/>
  <c r="AQ29" i="6" a="1"/>
  <c r="I43" i="6" a="1"/>
  <c r="AK44" i="6" a="1"/>
  <c r="AQ20" i="6" a="1"/>
  <c r="AR41" i="6" a="1"/>
  <c r="AQ25" i="6" a="1"/>
  <c r="B43" i="6" a="1"/>
  <c r="Q44" i="6" a="1"/>
  <c r="G44" i="3"/>
  <c r="J44" i="3" s="1"/>
  <c r="F44" i="3"/>
  <c r="F33" i="3"/>
  <c r="F21" i="3"/>
  <c r="F7" i="3"/>
  <c r="F18" i="3"/>
  <c r="F4" i="3"/>
  <c r="G21" i="3"/>
  <c r="J21" i="3" s="1"/>
  <c r="G5" i="3"/>
  <c r="J5" i="3" s="1"/>
  <c r="I5" i="3"/>
  <c r="K5" i="3" s="1"/>
  <c r="AP12" i="6" a="1"/>
  <c r="AP19" i="6" a="1"/>
  <c r="AP24" i="6" a="1"/>
  <c r="AP30" i="6" a="1"/>
  <c r="AP37" i="6" a="1"/>
  <c r="J42" i="6" a="1"/>
  <c r="S42" i="6" a="1"/>
  <c r="Z42" i="6" a="1"/>
  <c r="AG42" i="6" a="1"/>
  <c r="AN42" i="6" a="1"/>
  <c r="D42" i="6" a="1"/>
  <c r="E42" i="6" a="1"/>
  <c r="F42" i="6" a="1"/>
  <c r="G42" i="6" a="1"/>
  <c r="H42" i="6" a="1"/>
  <c r="I42" i="6" a="1"/>
  <c r="P42" i="6" a="1"/>
  <c r="X42" i="6" a="1"/>
  <c r="AE42" i="6" a="1"/>
  <c r="AL42" i="6" a="1"/>
  <c r="AP18" i="6" a="1"/>
  <c r="AP25" i="6" a="1"/>
  <c r="AP31" i="6" a="1"/>
  <c r="AP38" i="6" a="1"/>
  <c r="L42" i="6" a="1"/>
  <c r="T42" i="6" a="1"/>
  <c r="AA42" i="6" a="1"/>
  <c r="AH42" i="6" a="1"/>
  <c r="AO42" i="6" a="1"/>
  <c r="AP14" i="6" a="1"/>
  <c r="AP20" i="6" a="1"/>
  <c r="AP26" i="6" a="1"/>
  <c r="AP32" i="6" a="1"/>
  <c r="AP39" i="6" a="1"/>
  <c r="K42" i="6" a="1"/>
  <c r="R42" i="6" a="1"/>
  <c r="Y42" i="6" a="1"/>
  <c r="AF42" i="6" a="1"/>
  <c r="AM42" i="6" a="1"/>
  <c r="AP11" i="6" a="1"/>
  <c r="AP16" i="6" a="1"/>
  <c r="AP22" i="6" a="1"/>
  <c r="AP27" i="6" a="1"/>
  <c r="AP33" i="6" a="1"/>
  <c r="AP36" i="6" a="1"/>
  <c r="AP42" i="6" a="1"/>
  <c r="O42" i="6" a="1"/>
  <c r="V42" i="6" a="1"/>
  <c r="AC42" i="6" a="1"/>
  <c r="AI42" i="6" a="1"/>
  <c r="AP15" i="6" a="1"/>
  <c r="AP21" i="6" a="1"/>
  <c r="AP28" i="6" a="1"/>
  <c r="AP34" i="6" a="1"/>
  <c r="AP41" i="6" a="1"/>
  <c r="N42" i="6" a="1"/>
  <c r="U42" i="6" a="1"/>
  <c r="AB42" i="6" a="1"/>
  <c r="AJ42" i="6" a="1"/>
  <c r="AP13" i="6" a="1"/>
  <c r="AP17" i="6" a="1"/>
  <c r="AP23" i="6" a="1"/>
  <c r="AP29" i="6" a="1"/>
  <c r="AP35" i="6" a="1"/>
  <c r="AP40" i="6" a="1"/>
  <c r="M42" i="6" a="1"/>
  <c r="Q42" i="6" a="1"/>
  <c r="W42" i="6" a="1"/>
  <c r="AD42" i="6" a="1"/>
  <c r="AK42" i="6" a="1"/>
  <c r="AP8" i="6" a="1"/>
  <c r="AP4" i="6" a="1"/>
  <c r="AP10" i="6" a="1"/>
  <c r="AP5" i="6" a="1"/>
  <c r="AP6" i="6" a="1"/>
  <c r="AP3" i="6" a="1"/>
  <c r="AP7" i="6" a="1"/>
  <c r="AP9" i="6" a="1"/>
  <c r="C42" i="6" a="1"/>
  <c r="AP2" i="6" a="1"/>
  <c r="AO2" i="6" a="1"/>
  <c r="AO15" i="6" a="1"/>
  <c r="AO19" i="6" a="1"/>
  <c r="AO27" i="6" a="1"/>
  <c r="AO31" i="6" a="1"/>
  <c r="Z41" i="6" a="1"/>
  <c r="AK41" i="6" a="1"/>
  <c r="W23" i="6" a="1"/>
  <c r="AB41" i="6" a="1"/>
  <c r="O15" i="6" a="1"/>
  <c r="AC29" i="6" a="1"/>
  <c r="AO7" i="6" a="1"/>
  <c r="H41" i="6" a="1"/>
  <c r="K41" i="6" a="1"/>
  <c r="U41" i="6" a="1"/>
  <c r="AJ41" i="6" a="1"/>
  <c r="AB28" i="6" a="1"/>
  <c r="L41" i="6" a="1"/>
  <c r="U21" i="6" a="1"/>
  <c r="AO34" i="6" a="1"/>
  <c r="D4" i="6" a="1"/>
  <c r="E5" i="6" a="1"/>
  <c r="AO3" i="6" a="1"/>
  <c r="AO6" i="6" a="1"/>
  <c r="AO9" i="6" a="1"/>
  <c r="AO36" i="6" a="1"/>
  <c r="AN41" i="6" a="1"/>
  <c r="G41" i="6" a="1"/>
  <c r="W41" i="6" a="1"/>
  <c r="R18" i="6" a="1"/>
  <c r="AH34" i="6" a="1"/>
  <c r="P16" i="6" a="1"/>
  <c r="AO37" i="6" a="1"/>
  <c r="AO38" i="6" a="1"/>
  <c r="D41" i="6" a="1"/>
  <c r="J41" i="6" a="1"/>
  <c r="O41" i="6" a="1"/>
  <c r="T41" i="6" a="1"/>
  <c r="Y41" i="6" a="1"/>
  <c r="AN40" i="6" a="1"/>
  <c r="AK37" i="6" a="1"/>
  <c r="M13" i="6" a="1"/>
  <c r="S41" i="6" a="1"/>
  <c r="X41" i="6" a="1"/>
  <c r="AC41" i="6" a="1"/>
  <c r="C41" i="6" a="1"/>
  <c r="I41" i="6" a="1"/>
  <c r="N41" i="6" a="1"/>
  <c r="R41" i="6" a="1"/>
  <c r="V41" i="6" a="1"/>
  <c r="AA41" i="6" a="1"/>
  <c r="AO17" i="6" a="1"/>
  <c r="AO18" i="6" a="1"/>
  <c r="AO25" i="6" a="1"/>
  <c r="AO30" i="6" a="1"/>
  <c r="E41" i="6" a="1"/>
  <c r="AF41" i="6" a="1"/>
  <c r="AM39" i="6" a="1"/>
  <c r="Z26" i="6" a="1"/>
  <c r="Q41" i="6" a="1"/>
  <c r="X24" i="6" a="1"/>
  <c r="C3" i="6" a="1"/>
  <c r="V22" i="6" a="1"/>
  <c r="AO4" i="6" a="1"/>
  <c r="AO16" i="6" a="1"/>
  <c r="AO23" i="6" a="1"/>
  <c r="AO39" i="6" a="1"/>
  <c r="AH41" i="6" a="1"/>
  <c r="AI35" i="6" a="1"/>
  <c r="K11" i="6" a="1"/>
  <c r="AD30" i="6" a="1"/>
  <c r="AO5" i="6" a="1"/>
  <c r="J10" i="6" a="1"/>
  <c r="M41" i="6" a="1"/>
  <c r="AO12" i="6" a="1"/>
  <c r="AO26" i="6" a="1"/>
  <c r="AD41" i="6" a="1"/>
  <c r="AM41" i="6" a="1"/>
  <c r="Q17" i="6" a="1"/>
  <c r="AJ36" i="6" a="1"/>
  <c r="L12" i="6" a="1"/>
  <c r="AE31" i="6" a="1"/>
  <c r="AO40" i="6" a="1"/>
  <c r="AO11" i="6" a="1"/>
  <c r="AO21" i="6" a="1"/>
  <c r="AO13" i="6" a="1"/>
  <c r="AO22" i="6" a="1"/>
  <c r="AO35" i="6" a="1"/>
  <c r="AG41" i="6" a="1"/>
  <c r="AL38" i="6" a="1"/>
  <c r="N14" i="6" a="1"/>
  <c r="AG33" i="6" a="1"/>
  <c r="F6" i="6" a="1"/>
  <c r="S19" i="6" a="1"/>
  <c r="F41" i="6" a="1"/>
  <c r="AO10" i="6" a="1"/>
  <c r="AO24" i="6" a="1"/>
  <c r="AO29" i="6" a="1"/>
  <c r="P41" i="6" a="1"/>
  <c r="AI41" i="6" a="1"/>
  <c r="AF32" i="6" a="1"/>
  <c r="H8" i="6" a="1"/>
  <c r="AA27" i="6" a="1"/>
  <c r="AO8" i="6" a="1"/>
  <c r="G7" i="6" a="1"/>
  <c r="AO14" i="6" a="1"/>
  <c r="AO20" i="6" a="1"/>
  <c r="AO28" i="6" a="1"/>
  <c r="AO32" i="6" a="1"/>
  <c r="AE41" i="6" a="1"/>
  <c r="AL41" i="6" a="1"/>
  <c r="T20" i="6" a="1"/>
  <c r="AO41" i="6" a="1"/>
  <c r="I9" i="6" a="1"/>
  <c r="Y25" i="6" a="1"/>
  <c r="AO33" i="6" a="1"/>
  <c r="AN2" i="6" a="1"/>
  <c r="AM2" i="6" a="1"/>
  <c r="AN23" i="6" a="1"/>
  <c r="AN33" i="6" a="1"/>
  <c r="AN35" i="6" a="1"/>
  <c r="AN37" i="6" a="1"/>
  <c r="H39" i="6" a="1"/>
  <c r="N39" i="6" a="1"/>
  <c r="T39" i="6" a="1"/>
  <c r="W39" i="6" a="1"/>
  <c r="AC39" i="6" a="1"/>
  <c r="AI39" i="6" a="1"/>
  <c r="X40" i="6" a="1"/>
  <c r="AD40" i="6" a="1"/>
  <c r="AK40" i="6" a="1"/>
  <c r="AN32" i="6" a="1"/>
  <c r="AM33" i="6" a="1"/>
  <c r="AH40" i="6" a="1"/>
  <c r="K40" i="6" a="1"/>
  <c r="L40" i="6" a="1"/>
  <c r="M40" i="6" a="1"/>
  <c r="N40" i="6" a="1"/>
  <c r="O40" i="6" a="1"/>
  <c r="P40" i="6" a="1"/>
  <c r="Q40" i="6" a="1"/>
  <c r="R40" i="6" a="1"/>
  <c r="S40" i="6" a="1"/>
  <c r="T40" i="6" a="1"/>
  <c r="AN24" i="6" a="1"/>
  <c r="AN27" i="6" a="1"/>
  <c r="AM37" i="6" a="1"/>
  <c r="C39" i="6" a="1"/>
  <c r="K39" i="6" a="1"/>
  <c r="X39" i="6" a="1"/>
  <c r="AE39" i="6" a="1"/>
  <c r="AK39" i="6" a="1"/>
  <c r="AB40" i="6" a="1"/>
  <c r="AJ40" i="6" a="1"/>
  <c r="AN25" i="6" a="1"/>
  <c r="AN28" i="6" a="1"/>
  <c r="AM35" i="6" a="1"/>
  <c r="AM40" i="6" a="1"/>
  <c r="F39" i="6" a="1"/>
  <c r="L39" i="6" a="1"/>
  <c r="R39" i="6" a="1"/>
  <c r="Z39" i="6" a="1"/>
  <c r="AF39" i="6" a="1"/>
  <c r="V40" i="6" a="1"/>
  <c r="AA40" i="6" a="1"/>
  <c r="AG40" i="6" a="1"/>
  <c r="AM25" i="6" a="1"/>
  <c r="AM27" i="6" a="1"/>
  <c r="AN34" i="6" a="1"/>
  <c r="AN36" i="6" a="1"/>
  <c r="AL40" i="6" a="1"/>
  <c r="G39" i="6" a="1"/>
  <c r="M39" i="6" a="1"/>
  <c r="Q39" i="6" a="1"/>
  <c r="V39" i="6" a="1"/>
  <c r="AB39" i="6" a="1"/>
  <c r="AH39" i="6" a="1"/>
  <c r="U40" i="6" a="1"/>
  <c r="Z40" i="6" a="1"/>
  <c r="AF40" i="6" a="1"/>
  <c r="AM24" i="6" a="1"/>
  <c r="AM28" i="6" a="1"/>
  <c r="AN39" i="6" a="1"/>
  <c r="D39" i="6" a="1"/>
  <c r="J39" i="6" a="1"/>
  <c r="P39" i="6" a="1"/>
  <c r="U39" i="6" a="1"/>
  <c r="Y39" i="6" a="1"/>
  <c r="AD39" i="6" a="1"/>
  <c r="AJ39" i="6" a="1"/>
  <c r="Y40" i="6" a="1"/>
  <c r="AE40" i="6" a="1"/>
  <c r="AM26" i="6" a="1"/>
  <c r="AN26" i="6" a="1"/>
  <c r="AM34" i="6" a="1"/>
  <c r="AM36" i="6" a="1"/>
  <c r="AL39" i="6" a="1"/>
  <c r="E39" i="6" a="1"/>
  <c r="I39" i="6" a="1"/>
  <c r="O39" i="6" a="1"/>
  <c r="S39" i="6" a="1"/>
  <c r="AA39" i="6" a="1"/>
  <c r="AG39" i="6" a="1"/>
  <c r="W40" i="6" a="1"/>
  <c r="AC40" i="6" a="1"/>
  <c r="AI40" i="6" a="1"/>
  <c r="AM38" i="6" a="1"/>
  <c r="AM21" i="6" a="1"/>
  <c r="J40" i="6" a="1"/>
  <c r="AN14" i="6" a="1"/>
  <c r="AM18" i="6" a="1"/>
  <c r="AM20" i="6" a="1"/>
  <c r="G40" i="6" a="1"/>
  <c r="H40" i="6" a="1"/>
  <c r="I40" i="6" a="1"/>
  <c r="AN3" i="6" a="1"/>
  <c r="AN4" i="6" a="1"/>
  <c r="AM10" i="6" a="1"/>
  <c r="AN13" i="6" a="1"/>
  <c r="AM5" i="6" a="1"/>
  <c r="AN7" i="6" a="1"/>
  <c r="AM4" i="6" a="1"/>
  <c r="AN9" i="6" a="1"/>
  <c r="AM32" i="6" a="1"/>
  <c r="AM22" i="6" a="1"/>
  <c r="AM23" i="6" a="1"/>
  <c r="AM11" i="6" a="1"/>
  <c r="AM6" i="6" a="1"/>
  <c r="AN30" i="6" a="1"/>
  <c r="AM17" i="6" a="1"/>
  <c r="AN12" i="6" a="1"/>
  <c r="AM16" i="6" a="1"/>
  <c r="AM12" i="6" a="1"/>
  <c r="AN19" i="6" a="1"/>
  <c r="AN20" i="6" a="1"/>
  <c r="AN8" i="6" a="1"/>
  <c r="AN16" i="6" a="1"/>
  <c r="AM31" i="6" a="1"/>
  <c r="F40" i="6" a="1"/>
  <c r="AM9" i="6" a="1"/>
  <c r="AN10" i="6" a="1"/>
  <c r="AM15" i="6" a="1"/>
  <c r="AN21" i="6" a="1"/>
  <c r="AM7" i="6" a="1"/>
  <c r="AM30" i="6" a="1"/>
  <c r="D40" i="6" a="1"/>
  <c r="AN5" i="6" a="1"/>
  <c r="AN15" i="6" a="1"/>
  <c r="AN38" i="6" a="1"/>
  <c r="AM14" i="6" a="1"/>
  <c r="AN29" i="6" a="1"/>
  <c r="C40" i="6" a="1"/>
  <c r="AN6" i="6" a="1"/>
  <c r="AM13" i="6" a="1"/>
  <c r="AN22" i="6" a="1"/>
  <c r="AM19" i="6" a="1"/>
  <c r="AN31" i="6" a="1"/>
  <c r="E40" i="6" a="1"/>
  <c r="AN11" i="6" a="1"/>
  <c r="AM8" i="6" a="1"/>
  <c r="AN17" i="6" a="1"/>
  <c r="AM3" i="6" a="1"/>
  <c r="AM29" i="6" a="1"/>
  <c r="AN18" i="6" a="1"/>
  <c r="G17" i="3"/>
  <c r="J17" i="3" s="1"/>
  <c r="AH2" i="6" a="1"/>
  <c r="AK2" i="6" a="1"/>
  <c r="AI2" i="6" a="1"/>
  <c r="AL2" i="6" a="1"/>
  <c r="AG2" i="6" a="1"/>
  <c r="AJ2" i="6" a="1"/>
  <c r="AG32" i="6" a="1"/>
  <c r="AJ32" i="6" a="1"/>
  <c r="AG4" i="6" a="1"/>
  <c r="AK4" i="6" a="1"/>
  <c r="AL6" i="6" a="1"/>
  <c r="AL10" i="6" a="1"/>
  <c r="AK11" i="6" a="1"/>
  <c r="AG14" i="6" a="1"/>
  <c r="AL14" i="6" a="1"/>
  <c r="AJ7" i="6" a="1"/>
  <c r="AG8" i="6" a="1"/>
  <c r="AH8" i="6" a="1"/>
  <c r="AK8" i="6" a="1"/>
  <c r="AJ9" i="6" a="1"/>
  <c r="AI11" i="6" a="1"/>
  <c r="AL13" i="6" a="1"/>
  <c r="AK14" i="6" a="1"/>
  <c r="AG17" i="6" a="1"/>
  <c r="AI18" i="6" a="1"/>
  <c r="AK19" i="6" a="1"/>
  <c r="AI27" i="6" a="1"/>
  <c r="AH28" i="6" a="1"/>
  <c r="AH31" i="6" a="1"/>
  <c r="AA38" i="6" a="1"/>
  <c r="F33" i="6" a="1"/>
  <c r="Z33" i="6" a="1"/>
  <c r="O35" i="6" a="1"/>
  <c r="J36" i="6" a="1"/>
  <c r="AJ20" i="6" a="1"/>
  <c r="AK20" i="6" a="1"/>
  <c r="AH21" i="6" a="1"/>
  <c r="AI21" i="6" a="1"/>
  <c r="AL21" i="6" a="1"/>
  <c r="AI22" i="6" a="1"/>
  <c r="AJ22" i="6" a="1"/>
  <c r="AG23" i="6" a="1"/>
  <c r="AH23" i="6" a="1"/>
  <c r="AK23" i="6" a="1"/>
  <c r="AH24" i="6" a="1"/>
  <c r="AI24" i="6" a="1"/>
  <c r="AL24" i="6" a="1"/>
  <c r="AL25" i="6" a="1"/>
  <c r="AI26" i="6" a="1"/>
  <c r="AI36" i="6" a="1"/>
  <c r="AL36" i="6" a="1"/>
  <c r="AJ37" i="6" a="1"/>
  <c r="AI38" i="6" a="1"/>
  <c r="AF35" i="6" a="1"/>
  <c r="D38" i="6" a="1"/>
  <c r="AD33" i="6" a="1"/>
  <c r="F34" i="6" a="1"/>
  <c r="L34" i="6" a="1"/>
  <c r="C37" i="6" a="1"/>
  <c r="AL16" i="6" a="1"/>
  <c r="AH15" i="6" a="1"/>
  <c r="AK26" i="6" a="1"/>
  <c r="M33" i="6" a="1"/>
  <c r="J33" i="6" a="1"/>
  <c r="AH38" i="6" a="1"/>
  <c r="AF34" i="6" a="1"/>
  <c r="AF37" i="6" a="1"/>
  <c r="N36" i="6" a="1"/>
  <c r="D34" i="6" a="1"/>
  <c r="K34" i="6" a="1"/>
  <c r="G37" i="6" a="1"/>
  <c r="AJ19" i="6" a="1"/>
  <c r="AL17" i="6" a="1"/>
  <c r="AH30" i="6" a="1"/>
  <c r="AK30" i="6" a="1"/>
  <c r="AK28" i="6" a="1"/>
  <c r="AJ29" i="6" a="1"/>
  <c r="AI30" i="6" a="1"/>
  <c r="AL30" i="6" a="1"/>
  <c r="AK31" i="6" a="1"/>
  <c r="AK33" i="6" a="1"/>
  <c r="AJ34" i="6" a="1"/>
  <c r="AD38" i="6" a="1"/>
  <c r="E33" i="6" a="1"/>
  <c r="K33" i="6" a="1"/>
  <c r="Q33" i="6" a="1"/>
  <c r="W33" i="6" a="1"/>
  <c r="J35" i="6" a="1"/>
  <c r="P35" i="6" a="1"/>
  <c r="V35" i="6" a="1"/>
  <c r="AB35" i="6" a="1"/>
  <c r="F36" i="6" a="1"/>
  <c r="M36" i="6" a="1"/>
  <c r="AL34" i="6" a="1"/>
  <c r="AG35" i="6" a="1"/>
  <c r="AH35" i="6" a="1"/>
  <c r="AJ35" i="6" a="1"/>
  <c r="AK35" i="6" a="1"/>
  <c r="AL35" i="6" a="1"/>
  <c r="AG36" i="6" a="1"/>
  <c r="AH36" i="6" a="1"/>
  <c r="AK36" i="6" a="1"/>
  <c r="AI37" i="6" a="1"/>
  <c r="AJ38" i="6" a="1"/>
  <c r="AF36" i="6" a="1"/>
  <c r="E38" i="6" a="1"/>
  <c r="AE33" i="6" a="1"/>
  <c r="I34" i="6" a="1"/>
  <c r="AC36" i="6" a="1"/>
  <c r="AG16" i="6" a="1"/>
  <c r="AG28" i="6" a="1"/>
  <c r="AJ27" i="6" a="1"/>
  <c r="AJ28" i="6" a="1"/>
  <c r="F38" i="6" a="1"/>
  <c r="G38" i="6" a="1"/>
  <c r="H38" i="6" a="1"/>
  <c r="I38" i="6" a="1"/>
  <c r="J38" i="6" a="1"/>
  <c r="K38" i="6" a="1"/>
  <c r="L38" i="6" a="1"/>
  <c r="M38" i="6" a="1"/>
  <c r="N38" i="6" a="1"/>
  <c r="O38" i="6" a="1"/>
  <c r="P38" i="6" a="1"/>
  <c r="Q38" i="6" a="1"/>
  <c r="R38" i="6" a="1"/>
  <c r="S38" i="6" a="1"/>
  <c r="T38" i="6" a="1"/>
  <c r="U38" i="6" a="1"/>
  <c r="V38" i="6" a="1"/>
  <c r="W38" i="6" a="1"/>
  <c r="X38" i="6" a="1"/>
  <c r="Y38" i="6" a="1"/>
  <c r="AC38" i="6" a="1"/>
  <c r="C33" i="6" a="1"/>
  <c r="I33" i="6" a="1"/>
  <c r="N33" i="6" a="1"/>
  <c r="R33" i="6" a="1"/>
  <c r="X33" i="6" a="1"/>
  <c r="K35" i="6" a="1"/>
  <c r="Q35" i="6" a="1"/>
  <c r="T35" i="6" a="1"/>
  <c r="AA35" i="6" a="1"/>
  <c r="D36" i="6" a="1"/>
  <c r="I36" i="6" a="1"/>
  <c r="AA33" i="6" a="1"/>
  <c r="E34" i="6" a="1"/>
  <c r="Z36" i="6" a="1"/>
  <c r="D37" i="6" a="1"/>
  <c r="AL18" i="6" a="1"/>
  <c r="AH17" i="6" a="1"/>
  <c r="AL31" i="6" a="1"/>
  <c r="AI33" i="6" a="1"/>
  <c r="M34" i="6" a="1"/>
  <c r="N34" i="6" a="1"/>
  <c r="O34" i="6" a="1"/>
  <c r="P34" i="6" a="1"/>
  <c r="Q34" i="6" a="1"/>
  <c r="R34" i="6" a="1"/>
  <c r="S34" i="6" a="1"/>
  <c r="T34" i="6" a="1"/>
  <c r="U34" i="6" a="1"/>
  <c r="V34" i="6" a="1"/>
  <c r="W34" i="6" a="1"/>
  <c r="X34" i="6" a="1"/>
  <c r="Y34" i="6" a="1"/>
  <c r="Z34" i="6" a="1"/>
  <c r="AA34" i="6" a="1"/>
  <c r="AB34" i="6" a="1"/>
  <c r="AC34" i="6" a="1"/>
  <c r="AD34" i="6" a="1"/>
  <c r="AE34" i="6" a="1"/>
  <c r="C35" i="6" a="1"/>
  <c r="D35" i="6" a="1"/>
  <c r="E35" i="6" a="1"/>
  <c r="F35" i="6" a="1"/>
  <c r="G35" i="6" a="1"/>
  <c r="M35" i="6" a="1"/>
  <c r="U35" i="6" a="1"/>
  <c r="AC35" i="6" a="1"/>
  <c r="G36" i="6" a="1"/>
  <c r="O36" i="6" a="1"/>
  <c r="S36" i="6" a="1"/>
  <c r="T36" i="6" a="1"/>
  <c r="U36" i="6" a="1"/>
  <c r="V36" i="6" a="1"/>
  <c r="W36" i="6" a="1"/>
  <c r="X36" i="6" a="1"/>
  <c r="Y36" i="6" a="1"/>
  <c r="AE36" i="6" a="1"/>
  <c r="AJ17" i="6" a="1"/>
  <c r="AL15" i="6" a="1"/>
  <c r="AI28" i="6" a="1"/>
  <c r="S33" i="6" a="1"/>
  <c r="H37" i="6" a="1"/>
  <c r="I37" i="6" a="1"/>
  <c r="J37" i="6" a="1"/>
  <c r="K37" i="6" a="1"/>
  <c r="L37" i="6" a="1"/>
  <c r="M37" i="6" a="1"/>
  <c r="N37" i="6" a="1"/>
  <c r="O37" i="6" a="1"/>
  <c r="P37" i="6" a="1"/>
  <c r="Q37" i="6" a="1"/>
  <c r="R37" i="6" a="1"/>
  <c r="S37" i="6" a="1"/>
  <c r="T37" i="6" a="1"/>
  <c r="U37" i="6" a="1"/>
  <c r="V37" i="6" a="1"/>
  <c r="W37" i="6" a="1"/>
  <c r="X37" i="6" a="1"/>
  <c r="Y37" i="6" a="1"/>
  <c r="Z37" i="6" a="1"/>
  <c r="AA37" i="6" a="1"/>
  <c r="AB37" i="6" a="1"/>
  <c r="AC37" i="6" a="1"/>
  <c r="AD37" i="6" a="1"/>
  <c r="AE37" i="6" a="1"/>
  <c r="AH3" i="6" a="1"/>
  <c r="AL3" i="6" a="1"/>
  <c r="AJ4" i="6" a="1"/>
  <c r="AH5" i="6" a="1"/>
  <c r="AL5" i="6" a="1"/>
  <c r="AJ6" i="6" a="1"/>
  <c r="AH9" i="6" a="1"/>
  <c r="AG10" i="6" a="1"/>
  <c r="AG11" i="6" a="1"/>
  <c r="AL11" i="6" a="1"/>
  <c r="AK12" i="6" a="1"/>
  <c r="AJ13" i="6" a="1"/>
  <c r="AI14" i="6" a="1"/>
  <c r="AI15" i="6" a="1"/>
  <c r="AH20" i="6" a="1"/>
  <c r="AJ18" i="6" a="1"/>
  <c r="AG31" i="6" a="1"/>
  <c r="AI31" i="6" a="1"/>
  <c r="AL28" i="6" a="1"/>
  <c r="AK29" i="6" a="1"/>
  <c r="AJ30" i="6" a="1"/>
  <c r="AJ31" i="6" a="1"/>
  <c r="AJ33" i="6" a="1"/>
  <c r="AK34" i="6" a="1"/>
  <c r="AE38" i="6" a="1"/>
  <c r="H33" i="6" a="1"/>
  <c r="O33" i="6" a="1"/>
  <c r="V33" i="6" a="1"/>
  <c r="I35" i="6" a="1"/>
  <c r="R35" i="6" a="1"/>
  <c r="Y35" i="6" a="1"/>
  <c r="C36" i="6" a="1"/>
  <c r="K36" i="6" a="1"/>
  <c r="AK3" i="6" a="1"/>
  <c r="AI4" i="6" a="1"/>
  <c r="AG5" i="6" a="1"/>
  <c r="AK5" i="6" a="1"/>
  <c r="AI6" i="6" a="1"/>
  <c r="AG7" i="6" a="1"/>
  <c r="AL9" i="6" a="1"/>
  <c r="AK10" i="6" a="1"/>
  <c r="AJ11" i="6" a="1"/>
  <c r="AI12" i="6" a="1"/>
  <c r="AI13" i="6" a="1"/>
  <c r="AH14" i="6" a="1"/>
  <c r="AK25" i="6" a="1"/>
  <c r="AL33" i="6" a="1"/>
  <c r="AI34" i="6" a="1"/>
  <c r="Y33" i="6" a="1"/>
  <c r="N35" i="6" a="1"/>
  <c r="X35" i="6" a="1"/>
  <c r="AD35" i="6" a="1"/>
  <c r="H36" i="6" a="1"/>
  <c r="Q36" i="6" a="1"/>
  <c r="AH32" i="6" a="1"/>
  <c r="AI32" i="6" a="1"/>
  <c r="AK32" i="6" a="1"/>
  <c r="AG3" i="6" a="1"/>
  <c r="AJ3" i="6" a="1"/>
  <c r="AH4" i="6" a="1"/>
  <c r="AL4" i="6" a="1"/>
  <c r="AJ5" i="6" a="1"/>
  <c r="AG6" i="6" a="1"/>
  <c r="AK6" i="6" a="1"/>
  <c r="AG9" i="6" a="1"/>
  <c r="AK9" i="6" a="1"/>
  <c r="AI10" i="6" a="1"/>
  <c r="AH11" i="6" a="1"/>
  <c r="AG12" i="6" a="1"/>
  <c r="AL12" i="6" a="1"/>
  <c r="AK13" i="6" a="1"/>
  <c r="AJ14" i="6" a="1"/>
  <c r="AG15" i="6" a="1"/>
  <c r="AK15" i="6" a="1"/>
  <c r="AH16" i="6" a="1"/>
  <c r="AK16" i="6" a="1"/>
  <c r="AI17" i="6" a="1"/>
  <c r="AG18" i="6" a="1"/>
  <c r="AK18" i="6" a="1"/>
  <c r="AI19" i="6" a="1"/>
  <c r="AL19" i="6" a="1"/>
  <c r="AI25" i="6" a="1"/>
  <c r="AG26" i="6" a="1"/>
  <c r="AL26" i="6" a="1"/>
  <c r="AK27" i="6" a="1"/>
  <c r="AI29" i="6" a="1"/>
  <c r="P33" i="6" a="1"/>
  <c r="U33" i="6" a="1"/>
  <c r="H35" i="6" a="1"/>
  <c r="L35" i="6" a="1"/>
  <c r="S35" i="6" a="1"/>
  <c r="Z35" i="6" a="1"/>
  <c r="E36" i="6" a="1"/>
  <c r="L36" i="6" a="1"/>
  <c r="P36" i="6" a="1"/>
  <c r="C34" i="6" a="1"/>
  <c r="J34" i="6" a="1"/>
  <c r="AD36" i="6" a="1"/>
  <c r="AH18" i="6" a="1"/>
  <c r="AJ16" i="6" a="1"/>
  <c r="AH29" i="6" a="1"/>
  <c r="AL29" i="6" a="1"/>
  <c r="AI3" i="6" a="1"/>
  <c r="AH6" i="6" a="1"/>
  <c r="AH10" i="6" a="1"/>
  <c r="AH13" i="6" a="1"/>
  <c r="AI7" i="6" a="1"/>
  <c r="AL7" i="6" a="1"/>
  <c r="AJ8" i="6" a="1"/>
  <c r="AJ10" i="6" a="1"/>
  <c r="AG13" i="6" a="1"/>
  <c r="AI16" i="6" a="1"/>
  <c r="AG19" i="6" a="1"/>
  <c r="AJ26" i="6" a="1"/>
  <c r="AG30" i="6" a="1"/>
  <c r="AG34" i="6" a="1"/>
  <c r="T33" i="6" a="1"/>
  <c r="AE35" i="6" a="1"/>
  <c r="AI20" i="6" a="1"/>
  <c r="AG21" i="6" a="1"/>
  <c r="AK21" i="6" a="1"/>
  <c r="AH22" i="6" a="1"/>
  <c r="AL22" i="6" a="1"/>
  <c r="AJ23" i="6" a="1"/>
  <c r="AG24" i="6" a="1"/>
  <c r="AK24" i="6" a="1"/>
  <c r="AH25" i="6" a="1"/>
  <c r="AL27" i="6" a="1"/>
  <c r="AH37" i="6" a="1"/>
  <c r="AG38" i="6" a="1"/>
  <c r="AF33" i="6" a="1"/>
  <c r="C38" i="6" a="1"/>
  <c r="AC33" i="6" a="1"/>
  <c r="H34" i="6" a="1"/>
  <c r="AB36" i="6" a="1"/>
  <c r="F37" i="6" a="1"/>
  <c r="AH27" i="6" a="1"/>
  <c r="AG20" i="6" a="1"/>
  <c r="G33" i="6" a="1"/>
  <c r="D33" i="6" a="1"/>
  <c r="AL32" i="6" a="1"/>
  <c r="AI5" i="6" a="1"/>
  <c r="AI9" i="6" a="1"/>
  <c r="AJ12" i="6" a="1"/>
  <c r="AH7" i="6" a="1"/>
  <c r="AK7" i="6" a="1"/>
  <c r="AI8" i="6" a="1"/>
  <c r="AL8" i="6" a="1"/>
  <c r="AH12" i="6" a="1"/>
  <c r="AJ15" i="6" a="1"/>
  <c r="AK17" i="6" a="1"/>
  <c r="AJ25" i="6" a="1"/>
  <c r="AG29" i="6" a="1"/>
  <c r="AH33" i="6" a="1"/>
  <c r="L33" i="6" a="1"/>
  <c r="W35" i="6" a="1"/>
  <c r="R36" i="6" a="1"/>
  <c r="AL20" i="6" a="1"/>
  <c r="AJ21" i="6" a="1"/>
  <c r="AG22" i="6" a="1"/>
  <c r="AK22" i="6" a="1"/>
  <c r="AI23" i="6" a="1"/>
  <c r="AL23" i="6" a="1"/>
  <c r="AJ24" i="6" a="1"/>
  <c r="AG25" i="6" a="1"/>
  <c r="AG27" i="6" a="1"/>
  <c r="AG37" i="6" a="1"/>
  <c r="AL37" i="6" a="1"/>
  <c r="AK38" i="6" a="1"/>
  <c r="AF38" i="6" a="1"/>
  <c r="AB33" i="6" a="1"/>
  <c r="G34" i="6" a="1"/>
  <c r="AA36" i="6" a="1"/>
  <c r="E37" i="6" a="1"/>
  <c r="AH26" i="6" a="1"/>
  <c r="AH19" i="6" a="1"/>
  <c r="AB38" i="6" a="1"/>
  <c r="Z38" i="6" a="1"/>
  <c r="F17" i="3"/>
  <c r="G40" i="3"/>
  <c r="J40" i="3" s="1"/>
  <c r="H40" i="3"/>
  <c r="I40" i="3"/>
  <c r="K40" i="3" s="1"/>
  <c r="F12" i="3"/>
  <c r="F16" i="3"/>
  <c r="G16" i="3"/>
  <c r="J16" i="3" s="1"/>
  <c r="F35" i="3"/>
  <c r="F6" i="3"/>
  <c r="F23" i="3"/>
  <c r="H42" i="3"/>
  <c r="I42" i="3"/>
  <c r="K42" i="3" s="1"/>
  <c r="G42" i="3"/>
  <c r="J42" i="3" s="1"/>
  <c r="H39" i="3"/>
  <c r="I39" i="3"/>
  <c r="K39" i="3" s="1"/>
  <c r="G39" i="3"/>
  <c r="J39" i="3" s="1"/>
  <c r="G4" i="3"/>
  <c r="J4" i="3" s="1"/>
  <c r="H4" i="3"/>
  <c r="I4" i="3"/>
  <c r="K4" i="3" s="1"/>
  <c r="O2" i="6" a="1"/>
  <c r="W2" i="6" a="1"/>
  <c r="S2" i="6" a="1"/>
  <c r="J2" i="6" a="1"/>
  <c r="B42" i="6" s="1" a="1"/>
  <c r="G6" i="3"/>
  <c r="J6" i="3" s="1"/>
  <c r="H6" i="3"/>
  <c r="I6" i="3"/>
  <c r="K6" i="3" s="1"/>
  <c r="I12" i="3"/>
  <c r="K12" i="3" s="1"/>
  <c r="G12" i="3"/>
  <c r="J12" i="3" s="1"/>
  <c r="H12" i="3"/>
  <c r="I24" i="3"/>
  <c r="K24" i="3" s="1"/>
  <c r="H24" i="3"/>
  <c r="G3" i="3"/>
  <c r="J3" i="3" s="1"/>
  <c r="H3" i="3"/>
  <c r="I3" i="3"/>
  <c r="K3" i="3" s="1"/>
  <c r="G26" i="3"/>
  <c r="J26" i="3" s="1"/>
  <c r="H26" i="3"/>
  <c r="I26" i="3"/>
  <c r="K26" i="3" s="1"/>
  <c r="H21" i="3"/>
  <c r="I21" i="3"/>
  <c r="K21" i="3" s="1"/>
  <c r="H19" i="3"/>
  <c r="I19" i="3"/>
  <c r="K19" i="3" s="1"/>
  <c r="H9" i="3"/>
  <c r="I9" i="3"/>
  <c r="K9" i="3" s="1"/>
  <c r="G9" i="3"/>
  <c r="J9" i="3" s="1"/>
  <c r="L2" i="6" a="1"/>
  <c r="U2" i="6" a="1"/>
  <c r="AA2" i="6" a="1"/>
  <c r="N2" i="6" a="1"/>
  <c r="V2" i="6" a="1"/>
  <c r="H2" i="6" a="1"/>
  <c r="Q2" i="6" a="1"/>
  <c r="Z2" i="6" a="1"/>
  <c r="M2" i="6" a="1"/>
  <c r="X2" i="6" a="1"/>
  <c r="R2" i="6" a="1"/>
  <c r="G2" i="6" a="1"/>
  <c r="P2" i="6" a="1"/>
  <c r="Y2" i="6" a="1"/>
  <c r="D2" i="6" a="1"/>
  <c r="E2" i="6" a="1"/>
  <c r="F2" i="6" a="1"/>
  <c r="I2" i="6" a="1"/>
  <c r="AB2" i="6" a="1"/>
  <c r="AC2" i="6" a="1"/>
  <c r="AD2" i="6" a="1"/>
  <c r="AE2" i="6" a="1"/>
  <c r="AF2" i="6" a="1"/>
  <c r="C2" i="6" a="1"/>
  <c r="K2" i="6" a="1"/>
  <c r="T2" i="6" a="1"/>
  <c r="N7" i="6" a="1"/>
  <c r="E32" i="6" a="1"/>
  <c r="I32" i="6" a="1"/>
  <c r="P32" i="6" a="1"/>
  <c r="U32" i="6" a="1"/>
  <c r="Y32" i="6" a="1"/>
  <c r="AD32" i="6" a="1"/>
  <c r="F3" i="6" a="1"/>
  <c r="M3" i="6" a="1"/>
  <c r="Q3" i="6" a="1"/>
  <c r="V3" i="6" a="1"/>
  <c r="Z3" i="6" a="1"/>
  <c r="AF3" i="6" a="1"/>
  <c r="G4" i="6" a="1"/>
  <c r="K4" i="6" a="1"/>
  <c r="N4" i="6" a="1"/>
  <c r="S4" i="6" a="1"/>
  <c r="W4" i="6" a="1"/>
  <c r="AA4" i="6" a="1"/>
  <c r="AD4" i="6" a="1"/>
  <c r="G5" i="6" a="1"/>
  <c r="K5" i="6" a="1"/>
  <c r="N5" i="6" a="1"/>
  <c r="R5" i="6" a="1"/>
  <c r="P7" i="6" a="1"/>
  <c r="X7" i="6" a="1"/>
  <c r="AC7" i="6" a="1"/>
  <c r="D8" i="6" a="1"/>
  <c r="K8" i="6" a="1"/>
  <c r="S8" i="6" a="1"/>
  <c r="X8" i="6" a="1"/>
  <c r="AC8" i="6" a="1"/>
  <c r="E9" i="6" a="1"/>
  <c r="M9" i="6" a="1"/>
  <c r="G12" i="6" a="1"/>
  <c r="M12" i="6" a="1"/>
  <c r="U12" i="6" a="1"/>
  <c r="AE12" i="6" a="1"/>
  <c r="T6" i="6" a="1"/>
  <c r="W6" i="6" a="1"/>
  <c r="AA6" i="6" a="1"/>
  <c r="AE6" i="6" a="1"/>
  <c r="D7" i="6" a="1"/>
  <c r="H7" i="6" a="1"/>
  <c r="M7" i="6" a="1"/>
  <c r="T7" i="6" a="1"/>
  <c r="AD7" i="6" a="1"/>
  <c r="Q8" i="6" a="1"/>
  <c r="AA8" i="6" a="1"/>
  <c r="AA10" i="6" a="1"/>
  <c r="D11" i="6" a="1"/>
  <c r="H11" i="6" a="1"/>
  <c r="N11" i="6" a="1"/>
  <c r="Y13" i="6" a="1"/>
  <c r="AF13" i="6" a="1"/>
  <c r="H14" i="6" a="1"/>
  <c r="O14" i="6" a="1"/>
  <c r="E13" i="6" a="1"/>
  <c r="H13" i="6" a="1"/>
  <c r="L13" i="6" a="1"/>
  <c r="Q16" i="6" a="1"/>
  <c r="U16" i="6" a="1"/>
  <c r="Z16" i="6" a="1"/>
  <c r="AE16" i="6" a="1"/>
  <c r="F17" i="6" a="1"/>
  <c r="J17" i="6" a="1"/>
  <c r="K20" i="6" a="1"/>
  <c r="Q20" i="6" a="1"/>
  <c r="X20" i="6" a="1"/>
  <c r="AD20" i="6" a="1"/>
  <c r="E21" i="6" a="1"/>
  <c r="U24" i="6" a="1"/>
  <c r="AC24" i="6" a="1"/>
  <c r="I28" i="6" a="1"/>
  <c r="P28" i="6" a="1"/>
  <c r="W28" i="6" a="1"/>
  <c r="AD28" i="6" a="1"/>
  <c r="U5" i="6" a="1"/>
  <c r="V5" i="6" a="1"/>
  <c r="W5" i="6" a="1"/>
  <c r="X5" i="6" a="1"/>
  <c r="Y5" i="6" a="1"/>
  <c r="Z5" i="6" a="1"/>
  <c r="AA5" i="6" a="1"/>
  <c r="AB5" i="6" a="1"/>
  <c r="AC5" i="6" a="1"/>
  <c r="AD5" i="6" a="1"/>
  <c r="AE5" i="6" a="1"/>
  <c r="AF5" i="6" a="1"/>
  <c r="C6" i="6" a="1"/>
  <c r="D6" i="6" a="1"/>
  <c r="E6" i="6" a="1"/>
  <c r="G6" i="6" a="1"/>
  <c r="H6" i="6" a="1"/>
  <c r="I6" i="6" a="1"/>
  <c r="J6" i="6" a="1"/>
  <c r="K6" i="6" a="1"/>
  <c r="L6" i="6" a="1"/>
  <c r="M6" i="6" a="1"/>
  <c r="N6" i="6" a="1"/>
  <c r="O6" i="6" a="1"/>
  <c r="P6" i="6" a="1"/>
  <c r="Q6" i="6" a="1"/>
  <c r="R6" i="6" a="1"/>
  <c r="U6" i="6" a="1"/>
  <c r="X6" i="6" a="1"/>
  <c r="Z6" i="6" a="1"/>
  <c r="AC6" i="6" a="1"/>
  <c r="AF6" i="6" a="1"/>
  <c r="E7" i="6" a="1"/>
  <c r="I7" i="6" a="1"/>
  <c r="K7" i="6" a="1"/>
  <c r="T14" i="6" a="1"/>
  <c r="W7" i="6" a="1"/>
  <c r="C8" i="6" a="1"/>
  <c r="J8" i="6" a="1"/>
  <c r="T8" i="6" a="1"/>
  <c r="Y10" i="6" a="1"/>
  <c r="AC10" i="6" a="1"/>
  <c r="AF10" i="6" a="1"/>
  <c r="F11" i="6" a="1"/>
  <c r="J11" i="6" a="1"/>
  <c r="P11" i="6" a="1"/>
  <c r="AA13" i="6" a="1"/>
  <c r="AE13" i="6" a="1"/>
  <c r="E14" i="6" a="1"/>
  <c r="J14" i="6" a="1"/>
  <c r="Q14" i="6" a="1"/>
  <c r="V14" i="6" a="1"/>
  <c r="AB14" i="6" a="1"/>
  <c r="C15" i="6" a="1"/>
  <c r="H15" i="6" a="1"/>
  <c r="M15" i="6" a="1"/>
  <c r="T15" i="6" a="1"/>
  <c r="Z15" i="6" a="1"/>
  <c r="AD15" i="6" a="1"/>
  <c r="E16" i="6" a="1"/>
  <c r="K16" i="6" a="1"/>
  <c r="X16" i="6" a="1"/>
  <c r="U20" i="6" a="1"/>
  <c r="R24" i="6" a="1"/>
  <c r="K17" i="6" a="1"/>
  <c r="S17" i="6" a="1"/>
  <c r="Z17" i="6" a="1"/>
  <c r="AD17" i="6" a="1"/>
  <c r="J21" i="6" a="1"/>
  <c r="R21" i="6" a="1"/>
  <c r="K24" i="6" a="1"/>
  <c r="N27" i="6" a="1"/>
  <c r="U27" i="6" a="1"/>
  <c r="K31" i="6" a="1"/>
  <c r="AD8" i="6" a="1"/>
  <c r="C9" i="6" a="1"/>
  <c r="F9" i="6" a="1"/>
  <c r="K9" i="6" a="1"/>
  <c r="O9" i="6" a="1"/>
  <c r="F12" i="6" a="1"/>
  <c r="I12" i="6" a="1"/>
  <c r="O12" i="6" a="1"/>
  <c r="T12" i="6" a="1"/>
  <c r="X12" i="6" a="1"/>
  <c r="AC12" i="6" a="1"/>
  <c r="C13" i="6" a="1"/>
  <c r="G13" i="6" a="1"/>
  <c r="J13" i="6" a="1"/>
  <c r="R16" i="6" a="1"/>
  <c r="W16" i="6" a="1"/>
  <c r="AC16" i="6" a="1"/>
  <c r="E17" i="6" a="1"/>
  <c r="H20" i="6" a="1"/>
  <c r="N20" i="6" a="1"/>
  <c r="V20" i="6" a="1"/>
  <c r="AB20" i="6" a="1"/>
  <c r="F21" i="6" a="1"/>
  <c r="W24" i="6" a="1"/>
  <c r="AE24" i="6" a="1"/>
  <c r="N28" i="6" a="1"/>
  <c r="X28" i="6" a="1"/>
  <c r="R9" i="6" a="1"/>
  <c r="S9" i="6" a="1"/>
  <c r="T9" i="6" a="1"/>
  <c r="U9" i="6" a="1"/>
  <c r="V9" i="6" a="1"/>
  <c r="W9" i="6" a="1"/>
  <c r="X9" i="6" a="1"/>
  <c r="Y9" i="6" a="1"/>
  <c r="Z9" i="6" a="1"/>
  <c r="AA9" i="6" a="1"/>
  <c r="AB9" i="6" a="1"/>
  <c r="AC9" i="6" a="1"/>
  <c r="AD9" i="6" a="1"/>
  <c r="AE9" i="6" a="1"/>
  <c r="AF9" i="6" a="1"/>
  <c r="C10" i="6" a="1"/>
  <c r="D10" i="6" a="1"/>
  <c r="E10" i="6" a="1"/>
  <c r="F10" i="6" a="1"/>
  <c r="G10" i="6" a="1"/>
  <c r="H10" i="6" a="1"/>
  <c r="I10" i="6" a="1"/>
  <c r="K10" i="6" a="1"/>
  <c r="L10" i="6" a="1"/>
  <c r="M10" i="6" a="1"/>
  <c r="N10" i="6" a="1"/>
  <c r="O10" i="6" a="1"/>
  <c r="P10" i="6" a="1"/>
  <c r="Q10" i="6" a="1"/>
  <c r="R10" i="6" a="1"/>
  <c r="S10" i="6" a="1"/>
  <c r="T10" i="6" a="1"/>
  <c r="U10" i="6" a="1"/>
  <c r="V10" i="6" a="1"/>
  <c r="W10" i="6" a="1"/>
  <c r="X10" i="6" a="1"/>
  <c r="AB10" i="6" a="1"/>
  <c r="AE10" i="6" a="1"/>
  <c r="E11" i="6" a="1"/>
  <c r="I11" i="6" a="1"/>
  <c r="M11" i="6" a="1"/>
  <c r="X13" i="6" a="1"/>
  <c r="AB13" i="6" a="1"/>
  <c r="C14" i="6" a="1"/>
  <c r="G14" i="6" a="1"/>
  <c r="M14" i="6" a="1"/>
  <c r="R27" i="6" a="1"/>
  <c r="X14" i="6" a="1"/>
  <c r="AC14" i="6" a="1"/>
  <c r="E15" i="6" a="1"/>
  <c r="K15" i="6" a="1"/>
  <c r="Q15" i="6" a="1"/>
  <c r="U15" i="6" a="1"/>
  <c r="AA15" i="6" a="1"/>
  <c r="C16" i="6" a="1"/>
  <c r="I16" i="6" a="1"/>
  <c r="L16" i="6" a="1"/>
  <c r="AB16" i="6" a="1"/>
  <c r="Z20" i="6" a="1"/>
  <c r="V28" i="6" a="1"/>
  <c r="O17" i="6" a="1"/>
  <c r="U17" i="6" a="1"/>
  <c r="AB17" i="6" a="1"/>
  <c r="H21" i="6" a="1"/>
  <c r="P21" i="6" a="1"/>
  <c r="E24" i="6" a="1"/>
  <c r="N24" i="6" a="1"/>
  <c r="Q27" i="6" a="1"/>
  <c r="F31" i="6" a="1"/>
  <c r="Q11" i="6" a="1"/>
  <c r="R11" i="6" a="1"/>
  <c r="S11" i="6" a="1"/>
  <c r="T11" i="6" a="1"/>
  <c r="U11" i="6" a="1"/>
  <c r="V11" i="6" a="1"/>
  <c r="W11" i="6" a="1"/>
  <c r="X11" i="6" a="1"/>
  <c r="Y11" i="6" a="1"/>
  <c r="Z11" i="6" a="1"/>
  <c r="AA11" i="6" a="1"/>
  <c r="AB11" i="6" a="1"/>
  <c r="AC11" i="6" a="1"/>
  <c r="AD11" i="6" a="1"/>
  <c r="AE11" i="6" a="1"/>
  <c r="AF11" i="6" a="1"/>
  <c r="C12" i="6" a="1"/>
  <c r="D12" i="6" a="1"/>
  <c r="E12" i="6" a="1"/>
  <c r="H12" i="6" a="1"/>
  <c r="K12" i="6" a="1"/>
  <c r="P12" i="6" a="1"/>
  <c r="S12" i="6" a="1"/>
  <c r="V12" i="6" a="1"/>
  <c r="Z12" i="6" a="1"/>
  <c r="AD12" i="6" a="1"/>
  <c r="D13" i="6" a="1"/>
  <c r="K13" i="6" a="1"/>
  <c r="T16" i="6" a="1"/>
  <c r="Y16" i="6" a="1"/>
  <c r="AD16" i="6" a="1"/>
  <c r="D17" i="6" a="1"/>
  <c r="I17" i="6" a="1"/>
  <c r="J20" i="6" a="1"/>
  <c r="P20" i="6" a="1"/>
  <c r="W20" i="6" a="1"/>
  <c r="AC20" i="6" a="1"/>
  <c r="D21" i="6" a="1"/>
  <c r="T24" i="6" a="1"/>
  <c r="AB24" i="6" a="1"/>
  <c r="G28" i="6" a="1"/>
  <c r="O28" i="6" a="1"/>
  <c r="S28" i="6" a="1"/>
  <c r="Z28" i="6" a="1"/>
  <c r="O13" i="6" a="1"/>
  <c r="P13" i="6" a="1"/>
  <c r="Q13" i="6" a="1"/>
  <c r="R13" i="6" a="1"/>
  <c r="S13" i="6" a="1"/>
  <c r="T13" i="6" a="1"/>
  <c r="U13" i="6" a="1"/>
  <c r="V13" i="6" a="1"/>
  <c r="W13" i="6" a="1"/>
  <c r="AC13" i="6" a="1"/>
  <c r="D14" i="6" a="1"/>
  <c r="L14" i="6" a="1"/>
  <c r="S14" i="6" a="1"/>
  <c r="Y14" i="6" a="1"/>
  <c r="D15" i="6" a="1"/>
  <c r="J15" i="6" a="1"/>
  <c r="R15" i="6" a="1"/>
  <c r="Y15" i="6" a="1"/>
  <c r="AF15" i="6" a="1"/>
  <c r="H16" i="6" a="1"/>
  <c r="O16" i="6" a="1"/>
  <c r="I20" i="6" a="1"/>
  <c r="C25" i="6" a="1"/>
  <c r="M17" i="6" a="1"/>
  <c r="W17" i="6" a="1"/>
  <c r="AE17" i="6" a="1"/>
  <c r="M21" i="6" a="1"/>
  <c r="G24" i="6" a="1"/>
  <c r="P24" i="6" a="1"/>
  <c r="V27" i="6" a="1"/>
  <c r="M31" i="6" a="1"/>
  <c r="AA14" i="6" a="1"/>
  <c r="AD14" i="6" a="1"/>
  <c r="G15" i="6" a="1"/>
  <c r="N15" i="6" a="1"/>
  <c r="V15" i="6" a="1"/>
  <c r="AC15" i="6" a="1"/>
  <c r="F16" i="6" a="1"/>
  <c r="M16" i="6" a="1"/>
  <c r="G17" i="6" a="1"/>
  <c r="Y24" i="6" a="1"/>
  <c r="N17" i="6" a="1"/>
  <c r="X17" i="6" a="1"/>
  <c r="K28" i="6" a="1"/>
  <c r="N21" i="6" a="1"/>
  <c r="I24" i="6" a="1"/>
  <c r="M27" i="6" a="1"/>
  <c r="D31" i="6" a="1"/>
  <c r="AF17" i="6" a="1"/>
  <c r="C18" i="6" a="1"/>
  <c r="D18" i="6" a="1"/>
  <c r="E18" i="6" a="1"/>
  <c r="F18" i="6" a="1"/>
  <c r="G18" i="6" a="1"/>
  <c r="H18" i="6" a="1"/>
  <c r="I18" i="6" a="1"/>
  <c r="J18" i="6" a="1"/>
  <c r="K18" i="6" a="1"/>
  <c r="L18" i="6" a="1"/>
  <c r="M18" i="6" a="1"/>
  <c r="N18" i="6" a="1"/>
  <c r="O18" i="6" a="1"/>
  <c r="P18" i="6" a="1"/>
  <c r="Q18" i="6" a="1"/>
  <c r="S18" i="6" a="1"/>
  <c r="T18" i="6" a="1"/>
  <c r="U18" i="6" a="1"/>
  <c r="V18" i="6" a="1"/>
  <c r="W18" i="6" a="1"/>
  <c r="X18" i="6" a="1"/>
  <c r="Y18" i="6" a="1"/>
  <c r="Z18" i="6" a="1"/>
  <c r="AA18" i="6" a="1"/>
  <c r="AB18" i="6" a="1"/>
  <c r="AC18" i="6" a="1"/>
  <c r="AD18" i="6" a="1"/>
  <c r="AE18" i="6" a="1"/>
  <c r="AF18" i="6" a="1"/>
  <c r="C19" i="6" a="1"/>
  <c r="D19" i="6" a="1"/>
  <c r="E19" i="6" a="1"/>
  <c r="F19" i="6" a="1"/>
  <c r="G19" i="6" a="1"/>
  <c r="H19" i="6" a="1"/>
  <c r="I19" i="6" a="1"/>
  <c r="J19" i="6" a="1"/>
  <c r="K19" i="6" a="1"/>
  <c r="L19" i="6" a="1"/>
  <c r="M19" i="6" a="1"/>
  <c r="N19" i="6" a="1"/>
  <c r="O19" i="6" a="1"/>
  <c r="P19" i="6" a="1"/>
  <c r="Q19" i="6" a="1"/>
  <c r="R19" i="6" a="1"/>
  <c r="T19" i="6" a="1"/>
  <c r="U19" i="6" a="1"/>
  <c r="V19" i="6" a="1"/>
  <c r="W19" i="6" a="1"/>
  <c r="X19" i="6" a="1"/>
  <c r="Y19" i="6" a="1"/>
  <c r="Z19" i="6" a="1"/>
  <c r="AA19" i="6" a="1"/>
  <c r="AB19" i="6" a="1"/>
  <c r="AC19" i="6" a="1"/>
  <c r="AD19" i="6" a="1"/>
  <c r="AE19" i="6" a="1"/>
  <c r="AF19" i="6" a="1"/>
  <c r="C20" i="6" a="1"/>
  <c r="D20" i="6" a="1"/>
  <c r="E20" i="6" a="1"/>
  <c r="F20" i="6" a="1"/>
  <c r="G20" i="6" a="1"/>
  <c r="M20" i="6" a="1"/>
  <c r="S20" i="6" a="1"/>
  <c r="AA20" i="6" a="1"/>
  <c r="C21" i="6" a="1"/>
  <c r="V24" i="6" a="1"/>
  <c r="AD24" i="6" a="1"/>
  <c r="L21" i="6" a="1"/>
  <c r="F24" i="6" a="1"/>
  <c r="L27" i="6" a="1"/>
  <c r="W27" i="6" a="1"/>
  <c r="T21" i="6" a="1"/>
  <c r="V21" i="6" a="1"/>
  <c r="W21" i="6" a="1"/>
  <c r="X21" i="6" a="1"/>
  <c r="Y21" i="6" a="1"/>
  <c r="Z21" i="6" a="1"/>
  <c r="AA21" i="6" a="1"/>
  <c r="AB21" i="6" a="1"/>
  <c r="AC21" i="6" a="1"/>
  <c r="AD21" i="6" a="1"/>
  <c r="AE21" i="6" a="1"/>
  <c r="AF21" i="6" a="1"/>
  <c r="C22" i="6" a="1"/>
  <c r="D22" i="6" a="1"/>
  <c r="E22" i="6" a="1"/>
  <c r="F22" i="6" a="1"/>
  <c r="G22" i="6" a="1"/>
  <c r="H22" i="6" a="1"/>
  <c r="I22" i="6" a="1"/>
  <c r="J22" i="6" a="1"/>
  <c r="K22" i="6" a="1"/>
  <c r="L22" i="6" a="1"/>
  <c r="M22" i="6" a="1"/>
  <c r="N22" i="6" a="1"/>
  <c r="O22" i="6" a="1"/>
  <c r="P22" i="6" a="1"/>
  <c r="Q22" i="6" a="1"/>
  <c r="R22" i="6" a="1"/>
  <c r="S22" i="6" a="1"/>
  <c r="T22" i="6" a="1"/>
  <c r="U22" i="6" a="1"/>
  <c r="W22" i="6" a="1"/>
  <c r="X22" i="6" a="1"/>
  <c r="Y22" i="6" a="1"/>
  <c r="Z22" i="6" a="1"/>
  <c r="AA22" i="6" a="1"/>
  <c r="AB22" i="6" a="1"/>
  <c r="AC22" i="6" a="1"/>
  <c r="AD22" i="6" a="1"/>
  <c r="AE22" i="6" a="1"/>
  <c r="AF22" i="6" a="1"/>
  <c r="C23" i="6" a="1"/>
  <c r="D23" i="6" a="1"/>
  <c r="E23" i="6" a="1"/>
  <c r="F23" i="6" a="1"/>
  <c r="G23" i="6" a="1"/>
  <c r="H23" i="6" a="1"/>
  <c r="I23" i="6" a="1"/>
  <c r="J23" i="6" a="1"/>
  <c r="K23" i="6" a="1"/>
  <c r="L23" i="6" a="1"/>
  <c r="M23" i="6" a="1"/>
  <c r="N23" i="6" a="1"/>
  <c r="O23" i="6" a="1"/>
  <c r="P23" i="6" a="1"/>
  <c r="Q23" i="6" a="1"/>
  <c r="R23" i="6" a="1"/>
  <c r="S23" i="6" a="1"/>
  <c r="T23" i="6" a="1"/>
  <c r="U23" i="6" a="1"/>
  <c r="V23" i="6" a="1"/>
  <c r="X23" i="6" a="1"/>
  <c r="Y23" i="6" a="1"/>
  <c r="Z23" i="6" a="1"/>
  <c r="AA23" i="6" a="1"/>
  <c r="AB23" i="6" a="1"/>
  <c r="AC23" i="6" a="1"/>
  <c r="AD23" i="6" a="1"/>
  <c r="AE23" i="6" a="1"/>
  <c r="AF23" i="6" a="1"/>
  <c r="C24" i="6" a="1"/>
  <c r="D24" i="6" a="1"/>
  <c r="M24" i="6" a="1"/>
  <c r="T27" i="6" a="1"/>
  <c r="J31" i="6" a="1"/>
  <c r="Q24" i="6" a="1"/>
  <c r="Z24" i="6" a="1"/>
  <c r="AF24" i="6" a="1"/>
  <c r="L28" i="6" a="1"/>
  <c r="T28" i="6" a="1"/>
  <c r="AC28" i="6" a="1"/>
  <c r="D25" i="6" a="1"/>
  <c r="E25" i="6" a="1"/>
  <c r="F25" i="6" a="1"/>
  <c r="G25" i="6" a="1"/>
  <c r="H25" i="6" a="1"/>
  <c r="I25" i="6" a="1"/>
  <c r="J25" i="6" a="1"/>
  <c r="K25" i="6" a="1"/>
  <c r="L25" i="6" a="1"/>
  <c r="M25" i="6" a="1"/>
  <c r="N25" i="6" a="1"/>
  <c r="O25" i="6" a="1"/>
  <c r="P25" i="6" a="1"/>
  <c r="Q25" i="6" a="1"/>
  <c r="R25" i="6" a="1"/>
  <c r="S25" i="6" a="1"/>
  <c r="T25" i="6" a="1"/>
  <c r="U25" i="6" a="1"/>
  <c r="V25" i="6" a="1"/>
  <c r="W25" i="6" a="1"/>
  <c r="X25" i="6" a="1"/>
  <c r="Z25" i="6" a="1"/>
  <c r="AA25" i="6" a="1"/>
  <c r="AB25" i="6" a="1"/>
  <c r="AC25" i="6" a="1"/>
  <c r="AD25" i="6" a="1"/>
  <c r="AE25" i="6" a="1"/>
  <c r="AF25" i="6" a="1"/>
  <c r="C26" i="6" a="1"/>
  <c r="D26" i="6" a="1"/>
  <c r="E26" i="6" a="1"/>
  <c r="F26" i="6" a="1"/>
  <c r="G26" i="6" a="1"/>
  <c r="H26" i="6" a="1"/>
  <c r="I26" i="6" a="1"/>
  <c r="J26" i="6" a="1"/>
  <c r="K26" i="6" a="1"/>
  <c r="L26" i="6" a="1"/>
  <c r="M26" i="6" a="1"/>
  <c r="N26" i="6" a="1"/>
  <c r="O26" i="6" a="1"/>
  <c r="P26" i="6" a="1"/>
  <c r="Q26" i="6" a="1"/>
  <c r="R26" i="6" a="1"/>
  <c r="S26" i="6" a="1"/>
  <c r="T26" i="6" a="1"/>
  <c r="U26" i="6" a="1"/>
  <c r="V26" i="6" a="1"/>
  <c r="W26" i="6" a="1"/>
  <c r="X26" i="6" a="1"/>
  <c r="Y26" i="6" a="1"/>
  <c r="AA26" i="6" a="1"/>
  <c r="AB26" i="6" a="1"/>
  <c r="AC26" i="6" a="1"/>
  <c r="AD26" i="6" a="1"/>
  <c r="AE26" i="6" a="1"/>
  <c r="AF26" i="6" a="1"/>
  <c r="C27" i="6" a="1"/>
  <c r="D27" i="6" a="1"/>
  <c r="E27" i="6" a="1"/>
  <c r="F27" i="6" a="1"/>
  <c r="G27" i="6" a="1"/>
  <c r="H27" i="6" a="1"/>
  <c r="I27" i="6" a="1"/>
  <c r="J27" i="6" a="1"/>
  <c r="K27" i="6" a="1"/>
  <c r="S27" i="6" a="1"/>
  <c r="I31" i="6" a="1"/>
  <c r="Y27" i="6" a="1"/>
  <c r="Z27" i="6" a="1"/>
  <c r="AB27" i="6" a="1"/>
  <c r="AC27" i="6" a="1"/>
  <c r="AD27" i="6" a="1"/>
  <c r="AE27" i="6" a="1"/>
  <c r="AF27" i="6" a="1"/>
  <c r="C28" i="6" a="1"/>
  <c r="D28" i="6" a="1"/>
  <c r="E28" i="6" a="1"/>
  <c r="F28" i="6" a="1"/>
  <c r="J28" i="6" a="1"/>
  <c r="R28" i="6" a="1"/>
  <c r="AE28" i="6" a="1"/>
  <c r="AF28" i="6" a="1"/>
  <c r="C29" i="6" a="1"/>
  <c r="D29" i="6" a="1"/>
  <c r="E29" i="6" a="1"/>
  <c r="F29" i="6" a="1"/>
  <c r="G29" i="6" a="1"/>
  <c r="H29" i="6" a="1"/>
  <c r="I29" i="6" a="1"/>
  <c r="J29" i="6" a="1"/>
  <c r="K29" i="6" a="1"/>
  <c r="L29" i="6" a="1"/>
  <c r="M29" i="6" a="1"/>
  <c r="N29" i="6" a="1"/>
  <c r="O29" i="6" a="1"/>
  <c r="P29" i="6" a="1"/>
  <c r="Q29" i="6" a="1"/>
  <c r="R29" i="6" a="1"/>
  <c r="S29" i="6" a="1"/>
  <c r="T29" i="6" a="1"/>
  <c r="U29" i="6" a="1"/>
  <c r="V29" i="6" a="1"/>
  <c r="W29" i="6" a="1"/>
  <c r="X29" i="6" a="1"/>
  <c r="Y29" i="6" a="1"/>
  <c r="Z29" i="6" a="1"/>
  <c r="AA29" i="6" a="1"/>
  <c r="AB29" i="6" a="1"/>
  <c r="AD29" i="6" a="1"/>
  <c r="AE29" i="6" a="1"/>
  <c r="AF29" i="6" a="1"/>
  <c r="C30" i="6" a="1"/>
  <c r="D30" i="6" a="1"/>
  <c r="E30" i="6" a="1"/>
  <c r="F30" i="6" a="1"/>
  <c r="G30" i="6" a="1"/>
  <c r="H30" i="6" a="1"/>
  <c r="I30" i="6" a="1"/>
  <c r="J30" i="6" a="1"/>
  <c r="K30" i="6" a="1"/>
  <c r="L30" i="6" a="1"/>
  <c r="M30" i="6" a="1"/>
  <c r="N30" i="6" a="1"/>
  <c r="O30" i="6" a="1"/>
  <c r="P30" i="6" a="1"/>
  <c r="Q30" i="6" a="1"/>
  <c r="R30" i="6" a="1"/>
  <c r="S30" i="6" a="1"/>
  <c r="T30" i="6" a="1"/>
  <c r="U30" i="6" a="1"/>
  <c r="V30" i="6" a="1"/>
  <c r="W30" i="6" a="1"/>
  <c r="X30" i="6" a="1"/>
  <c r="Y30" i="6" a="1"/>
  <c r="Z30" i="6" a="1"/>
  <c r="AA30" i="6" a="1"/>
  <c r="AB30" i="6" a="1"/>
  <c r="AC30" i="6" a="1"/>
  <c r="AE30" i="6" a="1"/>
  <c r="AF30" i="6" a="1"/>
  <c r="C31" i="6" a="1"/>
  <c r="H31" i="6" a="1"/>
  <c r="N31" i="6" a="1"/>
  <c r="O31" i="6" a="1"/>
  <c r="P31" i="6" a="1"/>
  <c r="Q31" i="6" a="1"/>
  <c r="R31" i="6" a="1"/>
  <c r="S31" i="6" a="1"/>
  <c r="T31" i="6" a="1"/>
  <c r="U31" i="6" a="1"/>
  <c r="V31" i="6" a="1"/>
  <c r="W31" i="6" a="1"/>
  <c r="X31" i="6" a="1"/>
  <c r="Y31" i="6" a="1"/>
  <c r="Z31" i="6" a="1"/>
  <c r="AA31" i="6" a="1"/>
  <c r="AB31" i="6" a="1"/>
  <c r="AC31" i="6" a="1"/>
  <c r="AD31" i="6" a="1"/>
  <c r="AF31" i="6" a="1"/>
  <c r="I14" i="6" a="1"/>
  <c r="D32" i="6" a="1"/>
  <c r="F32" i="6" a="1"/>
  <c r="H32" i="6" a="1"/>
  <c r="J32" i="6" a="1"/>
  <c r="K32" i="6" a="1"/>
  <c r="M32" i="6" a="1"/>
  <c r="O32" i="6" a="1"/>
  <c r="Q32" i="6" a="1"/>
  <c r="S32" i="6" a="1"/>
  <c r="T32" i="6" a="1"/>
  <c r="V32" i="6" a="1"/>
  <c r="X32" i="6" a="1"/>
  <c r="Z32" i="6" a="1"/>
  <c r="AA32" i="6" a="1"/>
  <c r="AC32" i="6" a="1"/>
  <c r="AE32" i="6" a="1"/>
  <c r="E3" i="6" a="1"/>
  <c r="G3" i="6" a="1"/>
  <c r="H3" i="6" a="1"/>
  <c r="J3" i="6" a="1"/>
  <c r="L3" i="6" a="1"/>
  <c r="N3" i="6" a="1"/>
  <c r="P3" i="6" a="1"/>
  <c r="R3" i="6" a="1"/>
  <c r="S3" i="6" a="1"/>
  <c r="U3" i="6" a="1"/>
  <c r="W3" i="6" a="1"/>
  <c r="Y3" i="6" a="1"/>
  <c r="AA3" i="6" a="1"/>
  <c r="AC3" i="6" a="1"/>
  <c r="AE3" i="6" a="1"/>
  <c r="C4" i="6" a="1"/>
  <c r="F4" i="6" a="1"/>
  <c r="H4" i="6" a="1"/>
  <c r="J4" i="6" a="1"/>
  <c r="M4" i="6" a="1"/>
  <c r="O4" i="6" a="1"/>
  <c r="Q4" i="6" a="1"/>
  <c r="L17" i="6" a="1"/>
  <c r="T17" i="6" a="1"/>
  <c r="AA17" i="6" a="1"/>
  <c r="G21" i="6" a="1"/>
  <c r="K21" i="6" a="1"/>
  <c r="S21" i="6" a="1"/>
  <c r="L24" i="6" a="1"/>
  <c r="P27" i="6" a="1"/>
  <c r="X27" i="6" a="1"/>
  <c r="L31" i="6" a="1"/>
  <c r="T4" i="6" a="1"/>
  <c r="V4" i="6" a="1"/>
  <c r="X4" i="6" a="1"/>
  <c r="Z4" i="6" a="1"/>
  <c r="AB4" i="6" a="1"/>
  <c r="AE4" i="6" a="1"/>
  <c r="C5" i="6" a="1"/>
  <c r="F5" i="6" a="1"/>
  <c r="H5" i="6" a="1"/>
  <c r="J5" i="6" a="1"/>
  <c r="M5" i="6" a="1"/>
  <c r="O5" i="6" a="1"/>
  <c r="Q5" i="6" a="1"/>
  <c r="S5" i="6" a="1"/>
  <c r="O7" i="6" a="1"/>
  <c r="S7" i="6" a="1"/>
  <c r="V7" i="6" a="1"/>
  <c r="Y7" i="6" a="1"/>
  <c r="AB7" i="6" a="1"/>
  <c r="AE7" i="6" a="1"/>
  <c r="E8" i="6" a="1"/>
  <c r="I8" i="6" a="1"/>
  <c r="L8" i="6" a="1"/>
  <c r="O8" i="6" a="1"/>
  <c r="R8" i="6" a="1"/>
  <c r="U8" i="6" a="1"/>
  <c r="Y8" i="6" a="1"/>
  <c r="AB8" i="6" a="1"/>
  <c r="AE8" i="6" a="1"/>
  <c r="D9" i="6" a="1"/>
  <c r="G9" i="6" a="1"/>
  <c r="L9" i="6" a="1"/>
  <c r="N9" i="6" a="1"/>
  <c r="Q9" i="6" a="1"/>
  <c r="N12" i="6" a="1"/>
  <c r="R12" i="6" a="1"/>
  <c r="W12" i="6" a="1"/>
  <c r="AA12" i="6" a="1"/>
  <c r="AF12" i="6" a="1"/>
  <c r="F13" i="6" a="1"/>
  <c r="I13" i="6" a="1"/>
  <c r="N13" i="6" a="1"/>
  <c r="V16" i="6" a="1"/>
  <c r="AA16" i="6" a="1"/>
  <c r="C17" i="6" a="1"/>
  <c r="H17" i="6" a="1"/>
  <c r="L20" i="6" a="1"/>
  <c r="R20" i="6" a="1"/>
  <c r="Y20" i="6" a="1"/>
  <c r="AE20" i="6" a="1"/>
  <c r="S24" i="6" a="1"/>
  <c r="AA24" i="6" a="1"/>
  <c r="H28" i="6" a="1"/>
  <c r="Q28" i="6" a="1"/>
  <c r="Y28" i="6" a="1"/>
  <c r="G31" i="6" a="1"/>
  <c r="R14" i="6" a="1"/>
  <c r="W14" i="6" a="1"/>
  <c r="AE14" i="6" a="1"/>
  <c r="I15" i="6" a="1"/>
  <c r="P15" i="6" a="1"/>
  <c r="W15" i="6" a="1"/>
  <c r="AE15" i="6" a="1"/>
  <c r="G16" i="6" a="1"/>
  <c r="N16" i="6" a="1"/>
  <c r="O20" i="6" a="1"/>
  <c r="M28" i="6" a="1"/>
  <c r="P17" i="6" a="1"/>
  <c r="Y17" i="6" a="1"/>
  <c r="U28" i="6" a="1"/>
  <c r="O21" i="6" a="1"/>
  <c r="J24" i="6" a="1"/>
  <c r="O27" i="6" a="1"/>
  <c r="E31" i="6" a="1"/>
  <c r="C32" i="6" a="1"/>
  <c r="G32" i="6" a="1"/>
  <c r="L32" i="6" a="1"/>
  <c r="N32" i="6" a="1"/>
  <c r="R32" i="6" a="1"/>
  <c r="W32" i="6" a="1"/>
  <c r="AB32" i="6" a="1"/>
  <c r="D3" i="6" a="1"/>
  <c r="I3" i="6" a="1"/>
  <c r="K3" i="6" a="1"/>
  <c r="O3" i="6" a="1"/>
  <c r="T3" i="6" a="1"/>
  <c r="X3" i="6" a="1"/>
  <c r="AB3" i="6" a="1"/>
  <c r="AD3" i="6" a="1"/>
  <c r="E4" i="6" a="1"/>
  <c r="I4" i="6" a="1"/>
  <c r="L4" i="6" a="1"/>
  <c r="P4" i="6" a="1"/>
  <c r="R4" i="6" a="1"/>
  <c r="U4" i="6" a="1"/>
  <c r="Y4" i="6" a="1"/>
  <c r="AC4" i="6" a="1"/>
  <c r="AF4" i="6" a="1"/>
  <c r="D5" i="6" a="1"/>
  <c r="I5" i="6" a="1"/>
  <c r="L5" i="6" a="1"/>
  <c r="P5" i="6" a="1"/>
  <c r="T5" i="6" a="1"/>
  <c r="R7" i="6" a="1"/>
  <c r="U7" i="6" a="1"/>
  <c r="AA7" i="6" a="1"/>
  <c r="AF7" i="6" a="1"/>
  <c r="G8" i="6" a="1"/>
  <c r="M8" i="6" a="1"/>
  <c r="P8" i="6" a="1"/>
  <c r="V8" i="6" a="1"/>
  <c r="Z8" i="6" a="1"/>
  <c r="AF8" i="6" a="1"/>
  <c r="H9" i="6" a="1"/>
  <c r="J9" i="6" a="1"/>
  <c r="P9" i="6" a="1"/>
  <c r="J12" i="6" a="1"/>
  <c r="Q12" i="6" a="1"/>
  <c r="Y12" i="6" a="1"/>
  <c r="AB12" i="6" a="1"/>
  <c r="S6" i="6" a="1"/>
  <c r="V6" i="6" a="1"/>
  <c r="Y6" i="6" a="1"/>
  <c r="AB6" i="6" a="1"/>
  <c r="AD6" i="6" a="1"/>
  <c r="C7" i="6" a="1"/>
  <c r="F7" i="6" a="1"/>
  <c r="J7" i="6" a="1"/>
  <c r="L7" i="6" a="1"/>
  <c r="Q7" i="6" a="1"/>
  <c r="Z7" i="6" a="1"/>
  <c r="F8" i="6" a="1"/>
  <c r="N8" i="6" a="1"/>
  <c r="W8" i="6" a="1"/>
  <c r="Z10" i="6" a="1"/>
  <c r="AD10" i="6" a="1"/>
  <c r="C11" i="6" a="1"/>
  <c r="G11" i="6" a="1"/>
  <c r="L11" i="6" a="1"/>
  <c r="O11" i="6" a="1"/>
  <c r="Z13" i="6" a="1"/>
  <c r="AD13" i="6" a="1"/>
  <c r="F14" i="6" a="1"/>
  <c r="K14" i="6" a="1"/>
  <c r="P14" i="6" a="1"/>
  <c r="U14" i="6" a="1"/>
  <c r="Z14" i="6" a="1"/>
  <c r="AF14" i="6" a="1"/>
  <c r="F15" i="6" a="1"/>
  <c r="L15" i="6" a="1"/>
  <c r="S15" i="6" a="1"/>
  <c r="X15" i="6" a="1"/>
  <c r="AB15" i="6" a="1"/>
  <c r="D16" i="6" a="1"/>
  <c r="J16" i="6" a="1"/>
  <c r="S16" i="6" a="1"/>
  <c r="AF16" i="6" a="1"/>
  <c r="AF20" i="6" a="1"/>
  <c r="AA28" i="6" a="1"/>
  <c r="R17" i="6" a="1"/>
  <c r="V17" i="6" a="1"/>
  <c r="AC17" i="6" a="1"/>
  <c r="I21" i="6" a="1"/>
  <c r="Q21" i="6" a="1"/>
  <c r="H24" i="6" a="1"/>
  <c r="O24" i="6" a="1"/>
  <c r="B32" i="6" a="1"/>
  <c r="B18" i="6" a="1"/>
  <c r="B11" i="6" a="1"/>
  <c r="B12" i="6" a="1"/>
  <c r="B13" i="6" a="1"/>
  <c r="B14" i="6" a="1"/>
  <c r="B15" i="6" a="1"/>
  <c r="B16" i="6" a="1"/>
  <c r="B17" i="6" a="1"/>
  <c r="B3" i="6" a="1"/>
  <c r="B19" i="6" a="1"/>
  <c r="B20" i="6" a="1"/>
  <c r="B21" i="6" a="1"/>
  <c r="B22" i="6" a="1"/>
  <c r="B23" i="6" a="1"/>
  <c r="B24" i="6" a="1"/>
  <c r="B25" i="6" a="1"/>
  <c r="B26" i="6" a="1"/>
  <c r="B27" i="6" a="1"/>
  <c r="B28" i="6" a="1"/>
  <c r="B29" i="6" a="1"/>
  <c r="B30" i="6" a="1"/>
  <c r="B31" i="6" a="1"/>
  <c r="B4" i="6" a="1"/>
  <c r="B5" i="6" a="1"/>
  <c r="B6" i="6" a="1"/>
  <c r="B7" i="6" a="1"/>
  <c r="B8" i="6" a="1"/>
  <c r="B9" i="6" a="1"/>
  <c r="B10" i="6" a="1"/>
  <c r="G8" i="3"/>
  <c r="J8" i="3" s="1"/>
  <c r="H8" i="3"/>
  <c r="I8" i="3"/>
  <c r="K8" i="3" s="1"/>
  <c r="H15" i="3"/>
  <c r="I15" i="3"/>
  <c r="K15" i="3" s="1"/>
  <c r="G7" i="3"/>
  <c r="J7" i="3" s="1"/>
  <c r="H7" i="3"/>
  <c r="I7" i="3"/>
  <c r="K7" i="3" s="1"/>
  <c r="H25" i="3"/>
  <c r="I25" i="3"/>
  <c r="K25" i="3" s="1"/>
  <c r="I17" i="3"/>
  <c r="K17" i="3" s="1"/>
  <c r="H17" i="3"/>
  <c r="G23" i="3"/>
  <c r="J23" i="3" s="1"/>
  <c r="H23" i="3"/>
  <c r="I23" i="3"/>
  <c r="K23" i="3" s="1"/>
  <c r="G33" i="3"/>
  <c r="J33" i="3" s="1"/>
  <c r="H33" i="3"/>
  <c r="I33" i="3"/>
  <c r="K33" i="3" s="1"/>
  <c r="H16" i="3"/>
  <c r="I16" i="3"/>
  <c r="K16" i="3" s="1"/>
  <c r="I35" i="3"/>
  <c r="K35" i="3" s="1"/>
  <c r="H35" i="3"/>
  <c r="G35" i="3"/>
  <c r="J35" i="3" s="1"/>
  <c r="G34" i="3"/>
  <c r="J34" i="3" s="1"/>
  <c r="H34" i="3"/>
  <c r="I34" i="3"/>
  <c r="K34" i="3" s="1"/>
  <c r="I36" i="3"/>
  <c r="K36" i="3" s="1"/>
  <c r="G36" i="3"/>
  <c r="J36" i="3" s="1"/>
  <c r="H36" i="3"/>
  <c r="B41" i="6" l="1" a="1"/>
  <c r="B2" i="6" a="1"/>
  <c r="B39" i="6" a="1"/>
  <c r="B40" i="6" a="1"/>
  <c r="B33" i="6" a="1"/>
  <c r="B34" i="6" a="1"/>
  <c r="B35" i="6" a="1"/>
  <c r="B36" i="6" a="1"/>
  <c r="B37" i="6" a="1"/>
  <c r="B38" i="6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<sst xmlns="http://schemas.openxmlformats.org/spreadsheetml/2006/main" count="1300" uniqueCount="123">
  <si>
    <t>Match ID</t>
  </si>
  <si>
    <t>Date</t>
  </si>
  <si>
    <t>Team</t>
  </si>
  <si>
    <t>Score</t>
  </si>
  <si>
    <t>Goals Team A</t>
  </si>
  <si>
    <t>Goals Team B</t>
  </si>
  <si>
    <t>MVP</t>
  </si>
  <si>
    <t>Team A vs Team B</t>
  </si>
  <si>
    <t>7-7</t>
  </si>
  <si>
    <t>Player Name</t>
  </si>
  <si>
    <t>Team (A/B)</t>
  </si>
  <si>
    <t>Team Score</t>
  </si>
  <si>
    <t>Team Conceded</t>
  </si>
  <si>
    <t>Result</t>
  </si>
  <si>
    <t>Goals Scored</t>
  </si>
  <si>
    <t>Assists</t>
  </si>
  <si>
    <t>Gioele</t>
  </si>
  <si>
    <t>A</t>
  </si>
  <si>
    <t>Gianmarco</t>
  </si>
  <si>
    <t>Musta</t>
  </si>
  <si>
    <t>Alessandro D</t>
  </si>
  <si>
    <t>Andreadb</t>
  </si>
  <si>
    <t>Jose</t>
  </si>
  <si>
    <t>B</t>
  </si>
  <si>
    <t>Alessandro C</t>
  </si>
  <si>
    <t>Lorenzo</t>
  </si>
  <si>
    <t>Pranav</t>
  </si>
  <si>
    <t>Damian</t>
  </si>
  <si>
    <t>Position</t>
  </si>
  <si>
    <t>Match Played</t>
  </si>
  <si>
    <t>Total Goals Scored</t>
  </si>
  <si>
    <t>Total Goals Conceded</t>
  </si>
  <si>
    <t>Goal Difference</t>
  </si>
  <si>
    <t>Games Won</t>
  </si>
  <si>
    <t>Games Drew</t>
  </si>
  <si>
    <t>Games Lost</t>
  </si>
  <si>
    <t>% Win</t>
  </si>
  <si>
    <t>Goal Scored</t>
  </si>
  <si>
    <t>Goal/Game</t>
  </si>
  <si>
    <t>MVP/Game</t>
  </si>
  <si>
    <t>Alirio</t>
  </si>
  <si>
    <t>Angelo</t>
  </si>
  <si>
    <t>Barroso</t>
  </si>
  <si>
    <t>Dario</t>
  </si>
  <si>
    <t>Diego</t>
  </si>
  <si>
    <t>Edison</t>
  </si>
  <si>
    <t>Enrico</t>
  </si>
  <si>
    <t>Ervin</t>
  </si>
  <si>
    <t>Gabriele</t>
  </si>
  <si>
    <t>Giacomo</t>
  </si>
  <si>
    <t>Julio</t>
  </si>
  <si>
    <t>Manfredi</t>
  </si>
  <si>
    <t>Martyson</t>
  </si>
  <si>
    <t>Sergio</t>
  </si>
  <si>
    <t>Tano</t>
  </si>
  <si>
    <t>Tiago</t>
  </si>
  <si>
    <t>5-7</t>
  </si>
  <si>
    <t>7-9</t>
  </si>
  <si>
    <t>13-8</t>
  </si>
  <si>
    <t>Christian</t>
  </si>
  <si>
    <t>Karl</t>
  </si>
  <si>
    <t>Alberto</t>
  </si>
  <si>
    <t>Noah</t>
  </si>
  <si>
    <t>10-8</t>
  </si>
  <si>
    <t>TK</t>
  </si>
  <si>
    <t>16-17</t>
  </si>
  <si>
    <t>Stefano</t>
  </si>
  <si>
    <t>Barroso played for both teams switching half way, so I put it only once in team B</t>
  </si>
  <si>
    <t>6-11</t>
  </si>
  <si>
    <t>5-5</t>
  </si>
  <si>
    <t>3-6</t>
  </si>
  <si>
    <t>Own Goals</t>
  </si>
  <si>
    <t>2-3</t>
  </si>
  <si>
    <t>6-5</t>
  </si>
  <si>
    <t>5-4</t>
  </si>
  <si>
    <t>Andrea M</t>
  </si>
  <si>
    <t>Unique Team ID</t>
  </si>
  <si>
    <t>Giosué</t>
  </si>
  <si>
    <t>Neil</t>
  </si>
  <si>
    <t>8-9</t>
  </si>
  <si>
    <t>6-6</t>
  </si>
  <si>
    <t>5-3</t>
  </si>
  <si>
    <t>% Lost</t>
  </si>
  <si>
    <t>4-4</t>
  </si>
  <si>
    <t>Ray</t>
  </si>
  <si>
    <t>Ray's son</t>
  </si>
  <si>
    <t>Math</t>
  </si>
  <si>
    <t>Aspuri</t>
  </si>
  <si>
    <t>Chad</t>
  </si>
  <si>
    <t>Elliot</t>
  </si>
  <si>
    <t>3-2</t>
  </si>
  <si>
    <t>4-1</t>
  </si>
  <si>
    <t>7-4</t>
  </si>
  <si>
    <t>6-0</t>
  </si>
  <si>
    <t>8-6</t>
  </si>
  <si>
    <t>Aaron</t>
  </si>
  <si>
    <t>8-8</t>
  </si>
  <si>
    <t>14-10</t>
  </si>
  <si>
    <t>Sam</t>
  </si>
  <si>
    <t>Lorenzo Colini</t>
  </si>
  <si>
    <t>8-7</t>
  </si>
  <si>
    <t>6-8</t>
  </si>
  <si>
    <t>1-11</t>
  </si>
  <si>
    <t>7-10</t>
  </si>
  <si>
    <t>10-5</t>
  </si>
  <si>
    <t>2-4</t>
  </si>
  <si>
    <t>6-4</t>
  </si>
  <si>
    <t>17-8</t>
  </si>
  <si>
    <t>7-5</t>
  </si>
  <si>
    <t>11-11</t>
  </si>
  <si>
    <t>9-7</t>
  </si>
  <si>
    <t>David</t>
  </si>
  <si>
    <t>12-4</t>
  </si>
  <si>
    <t>13-15</t>
  </si>
  <si>
    <t>9-6</t>
  </si>
  <si>
    <t>12-6</t>
  </si>
  <si>
    <t>Turi</t>
  </si>
  <si>
    <t>8-14</t>
  </si>
  <si>
    <t>14-15</t>
  </si>
  <si>
    <t>Namid</t>
  </si>
  <si>
    <t>Nadim</t>
  </si>
  <si>
    <t>Pedro (Not Barroso)</t>
  </si>
  <si>
    <t>4-5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</si>
</sst>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/>
  </cellStyleXfs>
  <cellXfs count="7">
    <xf numFmtId="0" fontId="0" fillId="0" borderId="0" xfId="0"/>
    <xf numFmtId="49" fontId="0" fillId="0" borderId="0" xfId="0" applyNumberFormat="1"/>
    <xf numFmtId="14" fontId="0" fillId="0" borderId="0" xfId="0" applyNumberFormat="1"/>
    <xf numFmtId="9" fontId="0" fillId="0" borderId="0" xfId="1" applyFont="1"/>
    <xf numFmtId="0" fontId="2" fillId="0" borderId="0" xfId="0" applyFont="1"/>
    <xf numFmtId="9" fontId="2" fillId="0" borderId="0" xfId="1" applyFont="1"/>
    <xf numFmtId="16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9"/>
  <sheetViews>
    <sheetView topLeftCell="A38" workbookViewId="0">
      <selection activeCell="C48" sqref="C48:Q49"/>
    </sheetView>
  </sheetViews>
  <sheetFormatPr defaultRowHeight="14.5" x14ac:dyDescent="0.35"/>
  <cols>
    <col min="1" max="1" width="14" customWidth="1"/>
    <col min="4" max="4" width="12.26953125" customWidth="1"/>
    <col min="6" max="9" width="18" customWidth="1"/>
    <col min="10" max="11" width="18" style="3" customWidth="1"/>
    <col min="12" max="13" width="13" customWidth="1"/>
    <col min="17" max="17" width="13" customWidth="1"/>
  </cols>
  <sheetData>
    <row r="1" spans="1:17" s="4" customFormat="1" x14ac:dyDescent="0.35">
      <c r="A1" s="4" t="s">
        <v>9</v>
      </c>
      <c r="B1" s="4" t="s">
        <v>28</v>
      </c>
      <c r="C1" s="4" t="s">
        <v>29</v>
      </c>
      <c r="D1" s="4" t="s">
        <v>30</v>
      </c>
      <c r="E1" s="4" t="s">
        <v>31</v>
      </c>
      <c r="F1" s="4" t="s">
        <v>32</v>
      </c>
      <c r="G1" s="4" t="s">
        <v>33</v>
      </c>
      <c r="H1" s="4" t="s">
        <v>34</v>
      </c>
      <c r="I1" s="4" t="s">
        <v>35</v>
      </c>
      <c r="J1" s="5" t="s">
        <v>36</v>
      </c>
      <c r="K1" s="5" t="s">
        <v>82</v>
      </c>
      <c r="L1" s="4" t="s">
        <v>37</v>
      </c>
      <c r="M1" s="4" t="s">
        <v>38</v>
      </c>
      <c r="N1" s="4" t="s">
        <v>15</v>
      </c>
      <c r="O1" s="4" t="s">
        <v>6</v>
      </c>
      <c r="P1" s="4" t="s">
        <v>39</v>
      </c>
      <c r="Q1" s="4" t="s">
        <v>71</v>
      </c>
    </row>
    <row r="2" spans="1:17" x14ac:dyDescent="0.35">
      <c r="A2" t="s">
        <v>26</v>
      </c>
      <c r="C2">
        <f>COUNTIF('Team Lineups'!C:C,A2)</f>
        <v>2</v>
      </c>
      <c r="D2">
        <f>SUMIF('Team Lineups'!C:C,A2,'Team Lineups'!E:E)</f>
        <v>14</v>
      </c>
      <c r="E2">
        <f>SUMIF('Team Lineups'!C:C,A2,'Team Lineups'!F:F)</f>
        <v>12</v>
      </c>
      <c r="F2">
        <f t="shared" ref="F2:F27" si="0">D2-E2</f>
        <v>2</v>
      </c>
      <c r="G2">
        <f>COUNTIFS('Team Lineups'!C:C,A2,'Team Lineups'!G:G,"Win")</f>
        <v>1</v>
      </c>
      <c r="H2">
        <f>COUNTIFS('Team Lineups'!C:C,A2,'Team Lineups'!G:G,"Draw")</f>
        <v>1</v>
      </c>
      <c r="I2">
        <f>COUNTIFS('Team Lineups'!C:C,A2,'Team Lineups'!G:G,"Loss")</f>
        <v>0</v>
      </c>
      <c r="J2" s="3">
        <f>G2/C2</f>
        <v>0.5</v>
      </c>
      <c r="K2" s="3">
        <f>I2/C2</f>
        <v>0</v>
      </c>
      <c r="L2">
        <f>SUMIF('Team Lineups'!C:C,A2,'Team Lineups'!H:H)</f>
        <v>5</v>
      </c>
      <c r="M2">
        <f t="shared" ref="M2:M27" si="1">L2/C2</f>
        <v>2.5</v>
      </c>
      <c r="N2">
        <f>SUMIF('Team Lineups'!C:C,A2,'Team Lineups'!I:I)</f>
        <v>2</v>
      </c>
      <c r="O2">
        <f>COUNTIF(Matches!G:G,A2)</f>
        <v>2</v>
      </c>
      <c r="P2">
        <f t="shared" ref="P2:P27" si="2">O2/C2</f>
        <v>1</v>
      </c>
      <c r="Q2">
        <f>SUMIF('Team Lineups'!C:C,A2,'Team Lineups'!J:J)</f>
        <v>0</v>
      </c>
    </row>
    <row r="3" spans="1:17" x14ac:dyDescent="0.35">
      <c r="A3" t="s">
        <v>18</v>
      </c>
      <c r="C3">
        <f>COUNTIF('Team Lineups'!C:C,A3)</f>
        <v>12</v>
      </c>
      <c r="D3">
        <f>SUMIF('Team Lineups'!C:C,A3,'Team Lineups'!E:E)</f>
        <v>68</v>
      </c>
      <c r="E3">
        <f>SUMIF('Team Lineups'!C:C,A3,'Team Lineups'!F:F)</f>
        <v>66</v>
      </c>
      <c r="F3">
        <f t="shared" si="0"/>
        <v>2</v>
      </c>
      <c r="G3">
        <f>COUNTIFS('Team Lineups'!C:C,A3,'Team Lineups'!G:G,"Win")</f>
        <v>5</v>
      </c>
      <c r="H3">
        <f>COUNTIFS('Team Lineups'!C:C,A3,'Team Lineups'!G:G,"Draw")</f>
        <v>5</v>
      </c>
      <c r="I3">
        <f>COUNTIFS('Team Lineups'!C:C,A3,'Team Lineups'!G:G,"Loss")</f>
        <v>2</v>
      </c>
      <c r="J3" s="3">
        <f t="shared" ref="J3:J27" si="3">G3/C3</f>
        <v>0.41666666666666669</v>
      </c>
      <c r="K3" s="3">
        <f t="shared" ref="K3:K36" si="4">I3/C3</f>
        <v>0.16666666666666666</v>
      </c>
      <c r="L3">
        <f>SUMIF('Team Lineups'!C:C,A3,'Team Lineups'!H:H)</f>
        <v>11</v>
      </c>
      <c r="M3">
        <f t="shared" si="1"/>
        <v>0.91666666666666663</v>
      </c>
      <c r="N3">
        <f>SUMIF('Team Lineups'!C:C,A3,'Team Lineups'!I:I)</f>
        <v>6</v>
      </c>
      <c r="O3">
        <f>COUNTIF(Matches!G:G,A3)</f>
        <v>0</v>
      </c>
      <c r="P3">
        <f t="shared" si="2"/>
        <v>0</v>
      </c>
      <c r="Q3">
        <f>SUMIF('Team Lineups'!C:C,A3,'Team Lineups'!J:J)</f>
        <v>0</v>
      </c>
    </row>
    <row r="4" spans="1:17" x14ac:dyDescent="0.35">
      <c r="A4" t="s">
        <v>40</v>
      </c>
      <c r="C4">
        <f>COUNTIF('Team Lineups'!C:C,A4)</f>
        <v>20</v>
      </c>
      <c r="D4">
        <f>SUMIF('Team Lineups'!C:C,A4,'Team Lineups'!E:E)</f>
        <v>151</v>
      </c>
      <c r="E4">
        <f>SUMIF('Team Lineups'!C:C,A4,'Team Lineups'!F:F)</f>
        <v>152</v>
      </c>
      <c r="F4">
        <f t="shared" si="0"/>
        <v>-1</v>
      </c>
      <c r="G4">
        <f>COUNTIFS('Team Lineups'!C:C,A4,'Team Lineups'!G:G,"Win")</f>
        <v>8</v>
      </c>
      <c r="H4">
        <f>COUNTIFS('Team Lineups'!C:C,A4,'Team Lineups'!G:G,"Draw")</f>
        <v>4</v>
      </c>
      <c r="I4">
        <f>COUNTIFS('Team Lineups'!C:C,A4,'Team Lineups'!G:G,"Loss")</f>
        <v>8</v>
      </c>
      <c r="J4" s="3">
        <f t="shared" si="3"/>
        <v>0.4</v>
      </c>
      <c r="K4" s="3">
        <f t="shared" si="4"/>
        <v>0.4</v>
      </c>
      <c r="L4">
        <f>SUMIF('Team Lineups'!C:C,A4,'Team Lineups'!H:H)</f>
        <v>13</v>
      </c>
      <c r="M4">
        <f t="shared" si="1"/>
        <v>0.65</v>
      </c>
      <c r="N4">
        <f>SUMIF('Team Lineups'!C:C,A4,'Team Lineups'!I:I)</f>
        <v>6</v>
      </c>
      <c r="O4">
        <f>COUNTIF(Matches!G:G,A4)</f>
        <v>0</v>
      </c>
      <c r="P4">
        <f t="shared" si="2"/>
        <v>0</v>
      </c>
      <c r="Q4">
        <f>SUMIF('Team Lineups'!C:C,A4,'Team Lineups'!J:J)</f>
        <v>0</v>
      </c>
    </row>
    <row r="5" spans="1:17" x14ac:dyDescent="0.35">
      <c r="A5" t="s">
        <v>16</v>
      </c>
      <c r="C5">
        <f>COUNTIF('Team Lineups'!C:C,A5)</f>
        <v>22</v>
      </c>
      <c r="D5">
        <f>SUMIF('Team Lineups'!C:C,A5,'Team Lineups'!E:E)</f>
        <v>138</v>
      </c>
      <c r="E5">
        <f>SUMIF('Team Lineups'!C:C,A5,'Team Lineups'!F:F)</f>
        <v>159</v>
      </c>
      <c r="F5">
        <f t="shared" si="0"/>
        <v>-21</v>
      </c>
      <c r="G5">
        <f>COUNTIFS('Team Lineups'!C:C,A5,'Team Lineups'!G:G,"Win")</f>
        <v>6</v>
      </c>
      <c r="H5">
        <f>COUNTIFS('Team Lineups'!C:C,A5,'Team Lineups'!G:G,"Draw")</f>
        <v>3</v>
      </c>
      <c r="I5">
        <f>COUNTIFS('Team Lineups'!C:C,A5,'Team Lineups'!G:G,"Loss")</f>
        <v>13</v>
      </c>
      <c r="J5" s="3">
        <f t="shared" si="3"/>
        <v>0.27272727272727271</v>
      </c>
      <c r="K5" s="3">
        <f t="shared" si="4"/>
        <v>0.59090909090909094</v>
      </c>
      <c r="L5">
        <f>SUMIF('Team Lineups'!C:C,A5,'Team Lineups'!H:H)</f>
        <v>34</v>
      </c>
      <c r="M5">
        <f t="shared" si="1"/>
        <v>1.5454545454545454</v>
      </c>
      <c r="N5">
        <f>SUMIF('Team Lineups'!C:C,A5,'Team Lineups'!I:I)</f>
        <v>24</v>
      </c>
      <c r="O5">
        <f>COUNTIF(Matches!G:G,A5)</f>
        <v>3</v>
      </c>
      <c r="P5">
        <f t="shared" si="2"/>
        <v>0.13636363636363635</v>
      </c>
      <c r="Q5">
        <f>SUMIF('Team Lineups'!C:C,A5,'Team Lineups'!J:J)</f>
        <v>0</v>
      </c>
    </row>
    <row r="6" spans="1:17" x14ac:dyDescent="0.35">
      <c r="A6" t="s">
        <v>41</v>
      </c>
      <c r="C6">
        <f>COUNTIF('Team Lineups'!C:C,A6)</f>
        <v>19</v>
      </c>
      <c r="D6">
        <f>SUMIF('Team Lineups'!C:C,A6,'Team Lineups'!E:E)</f>
        <v>130</v>
      </c>
      <c r="E6">
        <f>SUMIF('Team Lineups'!C:C,A6,'Team Lineups'!F:F)</f>
        <v>123</v>
      </c>
      <c r="F6">
        <f t="shared" si="0"/>
        <v>7</v>
      </c>
      <c r="G6">
        <f>COUNTIFS('Team Lineups'!C:C,A6,'Team Lineups'!G:G,"Win")</f>
        <v>8</v>
      </c>
      <c r="H6">
        <f>COUNTIFS('Team Lineups'!C:C,A6,'Team Lineups'!G:G,"Draw")</f>
        <v>6</v>
      </c>
      <c r="I6">
        <f>COUNTIFS('Team Lineups'!C:C,A6,'Team Lineups'!G:G,"Loss")</f>
        <v>5</v>
      </c>
      <c r="J6" s="3">
        <f t="shared" si="3"/>
        <v>0.42105263157894735</v>
      </c>
      <c r="K6" s="3">
        <f t="shared" si="4"/>
        <v>0.26315789473684209</v>
      </c>
      <c r="L6">
        <f>SUMIF('Team Lineups'!C:C,A6,'Team Lineups'!H:H)</f>
        <v>27</v>
      </c>
      <c r="M6">
        <f t="shared" si="1"/>
        <v>1.4210526315789473</v>
      </c>
      <c r="N6">
        <f>SUMIF('Team Lineups'!C:C,A6,'Team Lineups'!I:I)</f>
        <v>9</v>
      </c>
      <c r="O6">
        <f>COUNTIF(Matches!G:G,A6)</f>
        <v>1</v>
      </c>
      <c r="P6">
        <f t="shared" si="2"/>
        <v>5.2631578947368418E-2</v>
      </c>
      <c r="Q6">
        <f>SUMIF('Team Lineups'!C:C,A6,'Team Lineups'!J:J)</f>
        <v>2</v>
      </c>
    </row>
    <row r="7" spans="1:17" x14ac:dyDescent="0.35">
      <c r="A7" t="s">
        <v>42</v>
      </c>
      <c r="C7">
        <f>COUNTIF('Team Lineups'!C:C,A7)</f>
        <v>28</v>
      </c>
      <c r="D7">
        <f>SUMIF('Team Lineups'!C:C,A7,'Team Lineups'!E:E)</f>
        <v>193</v>
      </c>
      <c r="E7">
        <f>SUMIF('Team Lineups'!C:C,A7,'Team Lineups'!F:F)</f>
        <v>208</v>
      </c>
      <c r="F7">
        <f t="shared" si="0"/>
        <v>-15</v>
      </c>
      <c r="G7">
        <f>COUNTIFS('Team Lineups'!C:C,A7,'Team Lineups'!G:G,"Win")</f>
        <v>10</v>
      </c>
      <c r="H7">
        <f>COUNTIFS('Team Lineups'!C:C,A7,'Team Lineups'!G:G,"Draw")</f>
        <v>4</v>
      </c>
      <c r="I7">
        <f>COUNTIFS('Team Lineups'!C:C,A7,'Team Lineups'!G:G,"Loss")</f>
        <v>13</v>
      </c>
      <c r="J7" s="3">
        <f t="shared" si="3"/>
        <v>0.35714285714285715</v>
      </c>
      <c r="K7" s="3">
        <f t="shared" si="4"/>
        <v>0.4642857142857143</v>
      </c>
      <c r="L7">
        <f>SUMIF('Team Lineups'!C:C,A7,'Team Lineups'!H:H)</f>
        <v>30</v>
      </c>
      <c r="M7">
        <f t="shared" si="1"/>
        <v>1.0714285714285714</v>
      </c>
      <c r="N7">
        <f>SUMIF('Team Lineups'!C:C,A7,'Team Lineups'!I:I)</f>
        <v>31</v>
      </c>
      <c r="O7">
        <f>COUNTIF(Matches!G:G,A7)</f>
        <v>3</v>
      </c>
      <c r="P7">
        <f t="shared" si="2"/>
        <v>0.10714285714285714</v>
      </c>
      <c r="Q7">
        <f>SUMIF('Team Lineups'!C:C,A7,'Team Lineups'!J:J)</f>
        <v>0</v>
      </c>
    </row>
    <row r="8" spans="1:17" x14ac:dyDescent="0.35">
      <c r="A8" t="s">
        <v>19</v>
      </c>
      <c r="C8">
        <f>COUNTIF('Team Lineups'!C:C,A8)</f>
        <v>24</v>
      </c>
      <c r="D8">
        <f>SUMIF('Team Lineups'!C:C,A8,'Team Lineups'!E:E)</f>
        <v>178</v>
      </c>
      <c r="E8">
        <f>SUMIF('Team Lineups'!C:C,A8,'Team Lineups'!F:F)</f>
        <v>172</v>
      </c>
      <c r="F8">
        <f t="shared" si="0"/>
        <v>6</v>
      </c>
      <c r="G8">
        <f>COUNTIFS('Team Lineups'!C:C,A8,'Team Lineups'!G:G,"Win")</f>
        <v>11</v>
      </c>
      <c r="H8">
        <f>COUNTIFS('Team Lineups'!C:C,A8,'Team Lineups'!G:G,"Draw")</f>
        <v>5</v>
      </c>
      <c r="I8">
        <f>COUNTIFS('Team Lineups'!C:C,A8,'Team Lineups'!G:G,"Loss")</f>
        <v>8</v>
      </c>
      <c r="J8" s="3">
        <f t="shared" si="3"/>
        <v>0.45833333333333331</v>
      </c>
      <c r="K8" s="3">
        <f t="shared" si="4"/>
        <v>0.33333333333333331</v>
      </c>
      <c r="L8">
        <f>SUMIF('Team Lineups'!C:C,A8,'Team Lineups'!H:H)</f>
        <v>49</v>
      </c>
      <c r="M8">
        <f t="shared" si="1"/>
        <v>2.0416666666666665</v>
      </c>
      <c r="N8">
        <f>SUMIF('Team Lineups'!C:C,A8,'Team Lineups'!I:I)</f>
        <v>31</v>
      </c>
      <c r="O8">
        <f>COUNTIF(Matches!G:G,A8)</f>
        <v>7</v>
      </c>
      <c r="P8">
        <f t="shared" si="2"/>
        <v>0.29166666666666669</v>
      </c>
      <c r="Q8">
        <f>SUMIF('Team Lineups'!C:C,A8,'Team Lineups'!J:J)</f>
        <v>0</v>
      </c>
    </row>
    <row r="9" spans="1:17" x14ac:dyDescent="0.35">
      <c r="A9" t="s">
        <v>43</v>
      </c>
      <c r="C9">
        <f>COUNTIF('Team Lineups'!C:C,A9)</f>
        <v>20</v>
      </c>
      <c r="D9">
        <f>SUMIF('Team Lineups'!C:C,A9,'Team Lineups'!E:E)</f>
        <v>108</v>
      </c>
      <c r="E9">
        <f>SUMIF('Team Lineups'!C:C,A9,'Team Lineups'!F:F)</f>
        <v>122</v>
      </c>
      <c r="F9">
        <f t="shared" si="0"/>
        <v>-14</v>
      </c>
      <c r="G9">
        <f>COUNTIFS('Team Lineups'!C:C,A9,'Team Lineups'!G:G,"Win")</f>
        <v>6</v>
      </c>
      <c r="H9">
        <f>COUNTIFS('Team Lineups'!C:C,A9,'Team Lineups'!G:G,"Draw")</f>
        <v>4</v>
      </c>
      <c r="I9">
        <f>COUNTIFS('Team Lineups'!C:C,A9,'Team Lineups'!G:G,"Loss")</f>
        <v>10</v>
      </c>
      <c r="J9" s="3">
        <f t="shared" si="3"/>
        <v>0.3</v>
      </c>
      <c r="K9" s="3">
        <f t="shared" si="4"/>
        <v>0.5</v>
      </c>
      <c r="L9">
        <f>SUMIF('Team Lineups'!C:C,A9,'Team Lineups'!H:H)</f>
        <v>12</v>
      </c>
      <c r="M9">
        <f t="shared" si="1"/>
        <v>0.6</v>
      </c>
      <c r="N9">
        <f>SUMIF('Team Lineups'!C:C,A9,'Team Lineups'!I:I)</f>
        <v>6</v>
      </c>
      <c r="O9">
        <f>COUNTIF(Matches!G:G,A9)</f>
        <v>1</v>
      </c>
      <c r="P9">
        <f t="shared" si="2"/>
        <v>0.05</v>
      </c>
      <c r="Q9">
        <f>SUMIF('Team Lineups'!C:C,A9,'Team Lineups'!J:J)</f>
        <v>0</v>
      </c>
    </row>
    <row r="10" spans="1:17" x14ac:dyDescent="0.35">
      <c r="A10" t="s">
        <v>44</v>
      </c>
      <c r="C10">
        <f>COUNTIF('Team Lineups'!C:C,A10)</f>
        <v>14</v>
      </c>
      <c r="D10">
        <f>SUMIF('Team Lineups'!C:C,A10,'Team Lineups'!E:E)</f>
        <v>80</v>
      </c>
      <c r="E10">
        <f>SUMIF('Team Lineups'!C:C,A10,'Team Lineups'!F:F)</f>
        <v>74</v>
      </c>
      <c r="F10">
        <f t="shared" si="0"/>
        <v>6</v>
      </c>
      <c r="G10">
        <f>COUNTIFS('Team Lineups'!C:C,A10,'Team Lineups'!G:G,"Win")</f>
        <v>7</v>
      </c>
      <c r="H10">
        <f>COUNTIFS('Team Lineups'!C:C,A10,'Team Lineups'!G:G,"Draw")</f>
        <v>3</v>
      </c>
      <c r="I10">
        <f>COUNTIFS('Team Lineups'!C:C,A10,'Team Lineups'!G:G,"Loss")</f>
        <v>4</v>
      </c>
      <c r="J10" s="3">
        <f t="shared" si="3"/>
        <v>0.5</v>
      </c>
      <c r="K10" s="3">
        <f t="shared" si="4"/>
        <v>0.2857142857142857</v>
      </c>
      <c r="L10">
        <f>SUMIF('Team Lineups'!C:C,A10,'Team Lineups'!H:H)</f>
        <v>21</v>
      </c>
      <c r="M10">
        <f t="shared" si="1"/>
        <v>1.5</v>
      </c>
      <c r="N10">
        <f>SUMIF('Team Lineups'!C:C,A10,'Team Lineups'!I:I)</f>
        <v>14</v>
      </c>
      <c r="O10">
        <f>COUNTIF(Matches!G:G,A10)</f>
        <v>2</v>
      </c>
      <c r="P10">
        <f t="shared" si="2"/>
        <v>0.14285714285714285</v>
      </c>
      <c r="Q10">
        <f>SUMIF('Team Lineups'!C:C,A10,'Team Lineups'!J:J)</f>
        <v>0</v>
      </c>
    </row>
    <row r="11" spans="1:17" x14ac:dyDescent="0.35">
      <c r="A11" t="s">
        <v>45</v>
      </c>
      <c r="C11">
        <f>COUNTIF('Team Lineups'!C:C,A11)</f>
        <v>2</v>
      </c>
      <c r="D11">
        <f>SUMIF('Team Lineups'!C:C,A11,'Team Lineups'!E:E)</f>
        <v>19</v>
      </c>
      <c r="E11">
        <f>SUMIF('Team Lineups'!C:C,A11,'Team Lineups'!F:F)</f>
        <v>12</v>
      </c>
      <c r="F11">
        <f t="shared" si="0"/>
        <v>7</v>
      </c>
      <c r="G11">
        <f>COUNTIFS('Team Lineups'!C:C,A11,'Team Lineups'!G:G,"Win")</f>
        <v>2</v>
      </c>
      <c r="H11">
        <f>COUNTIFS('Team Lineups'!C:C,A11,'Team Lineups'!G:G,"Draw")</f>
        <v>0</v>
      </c>
      <c r="I11">
        <f>COUNTIFS('Team Lineups'!C:C,A11,'Team Lineups'!G:G,"Loss")</f>
        <v>0</v>
      </c>
      <c r="J11" s="3">
        <f t="shared" si="3"/>
        <v>1</v>
      </c>
      <c r="K11" s="3">
        <f t="shared" si="4"/>
        <v>0</v>
      </c>
      <c r="L11">
        <f>SUMIF('Team Lineups'!C:C,A11,'Team Lineups'!H:H)</f>
        <v>2</v>
      </c>
      <c r="M11">
        <f t="shared" si="1"/>
        <v>1</v>
      </c>
      <c r="N11">
        <f>SUMIF('Team Lineups'!C:C,A11,'Team Lineups'!I:I)</f>
        <v>1</v>
      </c>
      <c r="O11">
        <f>COUNTIF(Matches!G:G,A11)</f>
        <v>0</v>
      </c>
      <c r="P11">
        <f t="shared" si="2"/>
        <v>0</v>
      </c>
      <c r="Q11">
        <f>SUMIF('Team Lineups'!C:C,A11,'Team Lineups'!J:J)</f>
        <v>0</v>
      </c>
    </row>
    <row r="12" spans="1:17" x14ac:dyDescent="0.35">
      <c r="A12" t="s">
        <v>46</v>
      </c>
      <c r="C12">
        <f>COUNTIF('Team Lineups'!C:C,A12)</f>
        <v>29</v>
      </c>
      <c r="D12">
        <f>SUMIF('Team Lineups'!C:C,A12,'Team Lineups'!E:E)</f>
        <v>210</v>
      </c>
      <c r="E12">
        <f>SUMIF('Team Lineups'!C:C,A12,'Team Lineups'!F:F)</f>
        <v>205</v>
      </c>
      <c r="F12">
        <f t="shared" si="0"/>
        <v>5</v>
      </c>
      <c r="G12">
        <f>COUNTIFS('Team Lineups'!C:C,A12,'Team Lineups'!G:G,"Win")</f>
        <v>11</v>
      </c>
      <c r="H12">
        <f>COUNTIFS('Team Lineups'!C:C,A12,'Team Lineups'!G:G,"Draw")</f>
        <v>3</v>
      </c>
      <c r="I12">
        <f>COUNTIFS('Team Lineups'!C:C,A12,'Team Lineups'!G:G,"Loss")</f>
        <v>15</v>
      </c>
      <c r="J12" s="3">
        <f t="shared" si="3"/>
        <v>0.37931034482758619</v>
      </c>
      <c r="K12" s="3">
        <f t="shared" si="4"/>
        <v>0.51724137931034486</v>
      </c>
      <c r="L12">
        <f>SUMIF('Team Lineups'!C:C,A12,'Team Lineups'!H:H)</f>
        <v>49</v>
      </c>
      <c r="M12">
        <f t="shared" si="1"/>
        <v>1.6896551724137931</v>
      </c>
      <c r="N12">
        <f>SUMIF('Team Lineups'!C:C,A12,'Team Lineups'!I:I)</f>
        <v>23</v>
      </c>
      <c r="O12">
        <f>COUNTIF(Matches!G:G,A12)</f>
        <v>1</v>
      </c>
      <c r="P12">
        <f t="shared" si="2"/>
        <v>3.4482758620689655E-2</v>
      </c>
      <c r="Q12">
        <f>SUMIF('Team Lineups'!C:C,A12,'Team Lineups'!J:J)</f>
        <v>0</v>
      </c>
    </row>
    <row r="13" spans="1:17" x14ac:dyDescent="0.35">
      <c r="A13" t="s">
        <v>47</v>
      </c>
      <c r="C13">
        <f>COUNTIF('Team Lineups'!C:C,A13)</f>
        <v>0</v>
      </c>
      <c r="D13">
        <f>SUMIF('Team Lineups'!C:C,A13,'Team Lineups'!E:E)</f>
        <v>0</v>
      </c>
      <c r="E13">
        <f>SUMIF('Team Lineups'!C:C,A13,'Team Lineups'!F:F)</f>
        <v>0</v>
      </c>
      <c r="F13">
        <f t="shared" si="0"/>
        <v>0</v>
      </c>
      <c r="G13">
        <f>COUNTIFS('Team Lineups'!C:C,A13,'Team Lineups'!G:G,"Win")</f>
        <v>0</v>
      </c>
      <c r="H13">
        <f>COUNTIFS('Team Lineups'!C:C,A13,'Team Lineups'!G:G,"Draw")</f>
        <v>0</v>
      </c>
      <c r="I13">
        <f>COUNTIFS('Team Lineups'!C:C,A13,'Team Lineups'!G:G,"Loss")</f>
        <v>0</v>
      </c>
      <c r="J13" s="3" t="e">
        <f t="shared" si="3"/>
        <v>#DIV/0!</v>
      </c>
      <c r="K13" s="3" t="e">
        <f t="shared" si="4"/>
        <v>#DIV/0!</v>
      </c>
      <c r="L13">
        <f>SUMIF('Team Lineups'!C:C,A13,'Team Lineups'!H:H)</f>
        <v>0</v>
      </c>
      <c r="M13" t="e">
        <f t="shared" si="1"/>
        <v>#DIV/0!</v>
      </c>
      <c r="N13">
        <f>SUMIF('Team Lineups'!C:C,A13,'Team Lineups'!I:I)</f>
        <v>0</v>
      </c>
      <c r="O13">
        <f>COUNTIF(Matches!G:G,A13)</f>
        <v>0</v>
      </c>
      <c r="P13" t="e">
        <f t="shared" si="2"/>
        <v>#DIV/0!</v>
      </c>
      <c r="Q13">
        <f>SUMIF('Team Lineups'!C:C,A13,'Team Lineups'!J:J)</f>
        <v>0</v>
      </c>
    </row>
    <row r="14" spans="1:17" x14ac:dyDescent="0.35">
      <c r="A14" t="s">
        <v>48</v>
      </c>
      <c r="C14">
        <f>COUNTIF('Team Lineups'!C:C,A14)</f>
        <v>9</v>
      </c>
      <c r="D14">
        <f>SUMIF('Team Lineups'!C:C,A14,'Team Lineups'!E:E)</f>
        <v>68</v>
      </c>
      <c r="E14">
        <f>SUMIF('Team Lineups'!C:C,A14,'Team Lineups'!F:F)</f>
        <v>77</v>
      </c>
      <c r="F14">
        <f t="shared" si="0"/>
        <v>-9</v>
      </c>
      <c r="G14">
        <f>COUNTIFS('Team Lineups'!C:C,A14,'Team Lineups'!G:G,"Win")</f>
        <v>3</v>
      </c>
      <c r="H14">
        <f>COUNTIFS('Team Lineups'!C:C,A14,'Team Lineups'!G:G,"Draw")</f>
        <v>0</v>
      </c>
      <c r="I14">
        <f>COUNTIFS('Team Lineups'!C:C,A14,'Team Lineups'!G:G,"Loss")</f>
        <v>6</v>
      </c>
      <c r="J14" s="3">
        <f t="shared" si="3"/>
        <v>0.33333333333333331</v>
      </c>
      <c r="K14" s="3">
        <f t="shared" si="4"/>
        <v>0.66666666666666663</v>
      </c>
      <c r="L14">
        <f>SUMIF('Team Lineups'!C:C,A14,'Team Lineups'!H:H)</f>
        <v>3</v>
      </c>
      <c r="M14">
        <f t="shared" si="1"/>
        <v>0.33333333333333331</v>
      </c>
      <c r="N14">
        <f>SUMIF('Team Lineups'!C:C,A14,'Team Lineups'!I:I)</f>
        <v>7</v>
      </c>
      <c r="O14">
        <f>COUNTIF(Matches!G:G,A14)</f>
        <v>1</v>
      </c>
      <c r="P14">
        <f t="shared" si="2"/>
        <v>0.1111111111111111</v>
      </c>
      <c r="Q14">
        <f>SUMIF('Team Lineups'!C:C,A14,'Team Lineups'!J:J)</f>
        <v>0</v>
      </c>
    </row>
    <row r="15" spans="1:17" x14ac:dyDescent="0.35">
      <c r="A15" t="s">
        <v>49</v>
      </c>
      <c r="C15">
        <f>COUNTIF('Team Lineups'!C:C,A15)</f>
        <v>10</v>
      </c>
      <c r="D15">
        <f>SUMIF('Team Lineups'!C:C,A15,'Team Lineups'!E:E)</f>
        <v>74</v>
      </c>
      <c r="E15">
        <f>SUMIF('Team Lineups'!C:C,A15,'Team Lineups'!F:F)</f>
        <v>53</v>
      </c>
      <c r="F15">
        <f t="shared" si="0"/>
        <v>21</v>
      </c>
      <c r="G15">
        <f>COUNTIFS('Team Lineups'!C:C,A15,'Team Lineups'!G:G,"Win")</f>
        <v>5</v>
      </c>
      <c r="H15">
        <f>COUNTIFS('Team Lineups'!C:C,A15,'Team Lineups'!G:G,"Draw")</f>
        <v>3</v>
      </c>
      <c r="I15">
        <f>COUNTIFS('Team Lineups'!C:C,A15,'Team Lineups'!G:G,"Loss")</f>
        <v>2</v>
      </c>
      <c r="J15" s="3">
        <f t="shared" si="3"/>
        <v>0.5</v>
      </c>
      <c r="K15" s="3">
        <f t="shared" si="4"/>
        <v>0.2</v>
      </c>
      <c r="L15">
        <f>SUMIF('Team Lineups'!C:C,A15,'Team Lineups'!H:H)</f>
        <v>5</v>
      </c>
      <c r="M15">
        <f t="shared" si="1"/>
        <v>0.5</v>
      </c>
      <c r="N15">
        <f>SUMIF('Team Lineups'!C:C,A15,'Team Lineups'!I:I)</f>
        <v>8</v>
      </c>
      <c r="O15">
        <f>COUNTIF(Matches!G:G,A15)</f>
        <v>0</v>
      </c>
      <c r="P15">
        <f t="shared" si="2"/>
        <v>0</v>
      </c>
      <c r="Q15">
        <f>SUMIF('Team Lineups'!C:C,A15,'Team Lineups'!J:J)</f>
        <v>0</v>
      </c>
    </row>
    <row r="16" spans="1:17" x14ac:dyDescent="0.35">
      <c r="A16" t="s">
        <v>24</v>
      </c>
      <c r="C16">
        <f>COUNTIF('Team Lineups'!C:C,A16)</f>
        <v>23</v>
      </c>
      <c r="D16">
        <f>SUMIF('Team Lineups'!C:C,A16,'Team Lineups'!E:E)</f>
        <v>134</v>
      </c>
      <c r="E16">
        <f>SUMIF('Team Lineups'!C:C,A16,'Team Lineups'!F:F)</f>
        <v>146</v>
      </c>
      <c r="F16">
        <f t="shared" si="0"/>
        <v>-12</v>
      </c>
      <c r="G16">
        <f>COUNTIFS('Team Lineups'!C:C,A16,'Team Lineups'!G:G,"Win")</f>
        <v>7</v>
      </c>
      <c r="H16">
        <f>COUNTIFS('Team Lineups'!C:C,A16,'Team Lineups'!G:G,"Draw")</f>
        <v>5</v>
      </c>
      <c r="I16">
        <f>COUNTIFS('Team Lineups'!C:C,A16,'Team Lineups'!G:G,"Loss")</f>
        <v>11</v>
      </c>
      <c r="J16" s="3">
        <f t="shared" si="3"/>
        <v>0.30434782608695654</v>
      </c>
      <c r="K16" s="3">
        <f t="shared" si="4"/>
        <v>0.47826086956521741</v>
      </c>
      <c r="L16">
        <f>SUMIF('Team Lineups'!C:C,A16,'Team Lineups'!H:H)</f>
        <v>11</v>
      </c>
      <c r="M16">
        <f t="shared" si="1"/>
        <v>0.47826086956521741</v>
      </c>
      <c r="N16">
        <f>SUMIF('Team Lineups'!C:C,A16,'Team Lineups'!I:I)</f>
        <v>7</v>
      </c>
      <c r="O16">
        <f>COUNTIF(Matches!G:G,A16)</f>
        <v>0</v>
      </c>
      <c r="P16">
        <f t="shared" si="2"/>
        <v>0</v>
      </c>
      <c r="Q16">
        <f>SUMIF('Team Lineups'!C:C,A16,'Team Lineups'!J:J)</f>
        <v>0</v>
      </c>
    </row>
    <row r="17" spans="1:17" x14ac:dyDescent="0.35">
      <c r="A17" t="s">
        <v>20</v>
      </c>
      <c r="C17">
        <f>COUNTIF('Team Lineups'!C:C,A17)</f>
        <v>24</v>
      </c>
      <c r="D17">
        <f>SUMIF('Team Lineups'!C:C,A17,'Team Lineups'!E:E)</f>
        <v>155</v>
      </c>
      <c r="E17">
        <f>SUMIF('Team Lineups'!C:C,A17,'Team Lineups'!F:F)</f>
        <v>152</v>
      </c>
      <c r="F17">
        <f t="shared" si="0"/>
        <v>3</v>
      </c>
      <c r="G17">
        <f>COUNTIFS('Team Lineups'!C:C,A17,'Team Lineups'!G:G,"Win")</f>
        <v>11</v>
      </c>
      <c r="H17">
        <f>COUNTIFS('Team Lineups'!C:C,A17,'Team Lineups'!G:G,"Draw")</f>
        <v>5</v>
      </c>
      <c r="I17">
        <f>COUNTIFS('Team Lineups'!C:C,A17,'Team Lineups'!G:G,"Loss")</f>
        <v>8</v>
      </c>
      <c r="J17" s="3">
        <f t="shared" si="3"/>
        <v>0.45833333333333331</v>
      </c>
      <c r="K17" s="3">
        <f t="shared" si="4"/>
        <v>0.33333333333333331</v>
      </c>
      <c r="L17">
        <f>SUMIF('Team Lineups'!C:C,A17,'Team Lineups'!H:H)</f>
        <v>16</v>
      </c>
      <c r="M17">
        <f t="shared" si="1"/>
        <v>0.66666666666666663</v>
      </c>
      <c r="N17">
        <f>SUMIF('Team Lineups'!C:C,A17,'Team Lineups'!I:I)</f>
        <v>21</v>
      </c>
      <c r="O17">
        <f>COUNTIF(Matches!G:G,A17)</f>
        <v>1</v>
      </c>
      <c r="P17">
        <f t="shared" si="2"/>
        <v>4.1666666666666664E-2</v>
      </c>
      <c r="Q17">
        <f>SUMIF('Team Lineups'!C:C,A17,'Team Lineups'!J:J)</f>
        <v>1</v>
      </c>
    </row>
    <row r="18" spans="1:17" x14ac:dyDescent="0.35">
      <c r="A18" t="s">
        <v>21</v>
      </c>
      <c r="C18">
        <f>COUNTIF('Team Lineups'!C:C,A18)</f>
        <v>25</v>
      </c>
      <c r="D18">
        <f>SUMIF('Team Lineups'!C:C,A18,'Team Lineups'!E:E)</f>
        <v>185</v>
      </c>
      <c r="E18">
        <f>SUMIF('Team Lineups'!C:C,A18,'Team Lineups'!F:F)</f>
        <v>201</v>
      </c>
      <c r="F18">
        <f t="shared" si="0"/>
        <v>-16</v>
      </c>
      <c r="G18">
        <f>COUNTIFS('Team Lineups'!C:C,A18,'Team Lineups'!G:G,"Win")</f>
        <v>10</v>
      </c>
      <c r="H18">
        <f>COUNTIFS('Team Lineups'!C:C,A18,'Team Lineups'!G:G,"Draw")</f>
        <v>4</v>
      </c>
      <c r="I18">
        <f>COUNTIFS('Team Lineups'!C:C,A18,'Team Lineups'!G:G,"Loss")</f>
        <v>11</v>
      </c>
      <c r="J18" s="3">
        <f t="shared" si="3"/>
        <v>0.4</v>
      </c>
      <c r="K18" s="3">
        <f t="shared" si="4"/>
        <v>0.44</v>
      </c>
      <c r="L18">
        <f>SUMIF('Team Lineups'!C:C,A18,'Team Lineups'!H:H)</f>
        <v>17</v>
      </c>
      <c r="M18">
        <f t="shared" si="1"/>
        <v>0.68</v>
      </c>
      <c r="N18">
        <f>SUMIF('Team Lineups'!C:C,A18,'Team Lineups'!I:I)</f>
        <v>11</v>
      </c>
      <c r="O18">
        <f>COUNTIF(Matches!G:G,A18)</f>
        <v>1</v>
      </c>
      <c r="P18">
        <f t="shared" si="2"/>
        <v>0.04</v>
      </c>
      <c r="Q18">
        <f>SUMIF('Team Lineups'!C:C,A18,'Team Lineups'!J:J)</f>
        <v>0</v>
      </c>
    </row>
    <row r="19" spans="1:17" x14ac:dyDescent="0.35">
      <c r="A19" t="s">
        <v>50</v>
      </c>
      <c r="C19">
        <f>COUNTIF('Team Lineups'!C:C,A19)</f>
        <v>4</v>
      </c>
      <c r="D19">
        <f>SUMIF('Team Lineups'!C:C,A19,'Team Lineups'!E:E)</f>
        <v>35</v>
      </c>
      <c r="E19">
        <f>SUMIF('Team Lineups'!C:C,A19,'Team Lineups'!F:F)</f>
        <v>31</v>
      </c>
      <c r="F19">
        <f t="shared" si="0"/>
        <v>4</v>
      </c>
      <c r="G19">
        <f>COUNTIFS('Team Lineups'!C:C,A19,'Team Lineups'!G:G,"Win")</f>
        <v>3</v>
      </c>
      <c r="H19">
        <f>COUNTIFS('Team Lineups'!C:C,A19,'Team Lineups'!G:G,"Draw")</f>
        <v>1</v>
      </c>
      <c r="I19">
        <f>COUNTIFS('Team Lineups'!C:C,A19,'Team Lineups'!G:G,"Loss")</f>
        <v>0</v>
      </c>
      <c r="J19" s="3">
        <f t="shared" si="3"/>
        <v>0.75</v>
      </c>
      <c r="K19" s="3">
        <f t="shared" si="4"/>
        <v>0</v>
      </c>
      <c r="L19">
        <f>SUMIF('Team Lineups'!C:C,A19,'Team Lineups'!H:H)</f>
        <v>8</v>
      </c>
      <c r="M19">
        <f t="shared" si="1"/>
        <v>2</v>
      </c>
      <c r="N19">
        <f>SUMIF('Team Lineups'!C:C,A19,'Team Lineups'!I:I)</f>
        <v>1</v>
      </c>
      <c r="O19">
        <f>COUNTIF(Matches!G:G,A19)</f>
        <v>0</v>
      </c>
      <c r="P19">
        <f t="shared" si="2"/>
        <v>0</v>
      </c>
      <c r="Q19">
        <f>SUMIF('Team Lineups'!C:C,A19,'Team Lineups'!J:J)</f>
        <v>0</v>
      </c>
    </row>
    <row r="20" spans="1:17" x14ac:dyDescent="0.35">
      <c r="A20" t="s">
        <v>27</v>
      </c>
      <c r="C20">
        <f>COUNTIF('Team Lineups'!C:C,A20)</f>
        <v>1</v>
      </c>
      <c r="D20">
        <f>SUMIF('Team Lineups'!C:C,A20,'Team Lineups'!E:E)</f>
        <v>7</v>
      </c>
      <c r="E20">
        <f>SUMIF('Team Lineups'!C:C,A20,'Team Lineups'!F:F)</f>
        <v>7</v>
      </c>
      <c r="F20">
        <f t="shared" si="0"/>
        <v>0</v>
      </c>
      <c r="G20">
        <f>COUNTIFS('Team Lineups'!C:C,A20,'Team Lineups'!G:G,"Win")</f>
        <v>0</v>
      </c>
      <c r="H20">
        <f>COUNTIFS('Team Lineups'!C:C,A20,'Team Lineups'!G:G,"Draw")</f>
        <v>1</v>
      </c>
      <c r="I20">
        <f>COUNTIFS('Team Lineups'!C:C,A20,'Team Lineups'!G:G,"Loss")</f>
        <v>0</v>
      </c>
      <c r="J20" s="3">
        <f t="shared" si="3"/>
        <v>0</v>
      </c>
      <c r="K20" s="3">
        <f t="shared" si="4"/>
        <v>0</v>
      </c>
      <c r="L20">
        <f>SUMIF('Team Lineups'!C:C,A20,'Team Lineups'!H:H)</f>
        <v>0</v>
      </c>
      <c r="M20">
        <f t="shared" si="1"/>
        <v>0</v>
      </c>
      <c r="N20">
        <f>SUMIF('Team Lineups'!C:C,A20,'Team Lineups'!I:I)</f>
        <v>0</v>
      </c>
      <c r="O20">
        <f>COUNTIF(Matches!G:G,A20)</f>
        <v>0</v>
      </c>
      <c r="P20">
        <f t="shared" si="2"/>
        <v>0</v>
      </c>
      <c r="Q20">
        <f>SUMIF('Team Lineups'!C:C,A20,'Team Lineups'!J:J)</f>
        <v>0</v>
      </c>
    </row>
    <row r="21" spans="1:17" x14ac:dyDescent="0.35">
      <c r="A21" t="s">
        <v>51</v>
      </c>
      <c r="C21">
        <f>COUNTIF('Team Lineups'!C:C,A21)</f>
        <v>10</v>
      </c>
      <c r="D21">
        <f>SUMIF('Team Lineups'!C:C,A21,'Team Lineups'!E:E)</f>
        <v>73</v>
      </c>
      <c r="E21">
        <f>SUMIF('Team Lineups'!C:C,A21,'Team Lineups'!F:F)</f>
        <v>84</v>
      </c>
      <c r="F21">
        <f t="shared" si="0"/>
        <v>-11</v>
      </c>
      <c r="G21">
        <f>COUNTIFS('Team Lineups'!C:C,A21,'Team Lineups'!G:G,"Win")</f>
        <v>3</v>
      </c>
      <c r="H21">
        <f>COUNTIFS('Team Lineups'!C:C,A21,'Team Lineups'!G:G,"Draw")</f>
        <v>1</v>
      </c>
      <c r="I21">
        <f>COUNTIFS('Team Lineups'!C:C,A21,'Team Lineups'!G:G,"Loss")</f>
        <v>6</v>
      </c>
      <c r="J21" s="3">
        <f t="shared" si="3"/>
        <v>0.3</v>
      </c>
      <c r="K21" s="3">
        <f t="shared" si="4"/>
        <v>0.6</v>
      </c>
      <c r="L21">
        <f>SUMIF('Team Lineups'!C:C,A21,'Team Lineups'!H:H)</f>
        <v>6</v>
      </c>
      <c r="M21">
        <f t="shared" si="1"/>
        <v>0.6</v>
      </c>
      <c r="N21">
        <f>SUMIF('Team Lineups'!C:C,A21,'Team Lineups'!I:I)</f>
        <v>15</v>
      </c>
      <c r="O21">
        <f>COUNTIF(Matches!G:G,A21)</f>
        <v>0</v>
      </c>
      <c r="P21">
        <f t="shared" si="2"/>
        <v>0</v>
      </c>
      <c r="Q21">
        <f>SUMIF('Team Lineups'!C:C,A21,'Team Lineups'!J:J)</f>
        <v>1</v>
      </c>
    </row>
    <row r="22" spans="1:17" x14ac:dyDescent="0.35">
      <c r="A22" t="s">
        <v>52</v>
      </c>
      <c r="C22">
        <f>COUNTIF('Team Lineups'!C:C,A22)</f>
        <v>5</v>
      </c>
      <c r="D22">
        <f>SUMIF('Team Lineups'!C:C,A22,'Team Lineups'!E:E)</f>
        <v>33</v>
      </c>
      <c r="E22">
        <f>SUMIF('Team Lineups'!C:C,A22,'Team Lineups'!F:F)</f>
        <v>51</v>
      </c>
      <c r="F22">
        <f t="shared" si="0"/>
        <v>-18</v>
      </c>
      <c r="G22">
        <f>COUNTIFS('Team Lineups'!C:C,A22,'Team Lineups'!G:G,"Win")</f>
        <v>0</v>
      </c>
      <c r="H22">
        <f>COUNTIFS('Team Lineups'!C:C,A22,'Team Lineups'!G:G,"Draw")</f>
        <v>0</v>
      </c>
      <c r="I22">
        <f>COUNTIFS('Team Lineups'!C:C,A22,'Team Lineups'!G:G,"Loss")</f>
        <v>5</v>
      </c>
      <c r="J22" s="3">
        <f t="shared" si="3"/>
        <v>0</v>
      </c>
      <c r="K22" s="3">
        <f t="shared" si="4"/>
        <v>1</v>
      </c>
      <c r="L22">
        <f>SUMIF('Team Lineups'!C:C,A22,'Team Lineups'!H:H)</f>
        <v>9</v>
      </c>
      <c r="M22">
        <f t="shared" si="1"/>
        <v>1.8</v>
      </c>
      <c r="N22">
        <f>SUMIF('Team Lineups'!C:C,A22,'Team Lineups'!I:I)</f>
        <v>6</v>
      </c>
      <c r="O22">
        <f>COUNTIF(Matches!G:G,A22)</f>
        <v>0</v>
      </c>
      <c r="P22">
        <f t="shared" si="2"/>
        <v>0</v>
      </c>
      <c r="Q22">
        <f>SUMIF('Team Lineups'!C:C,A22,'Team Lineups'!J:J)</f>
        <v>0</v>
      </c>
    </row>
    <row r="23" spans="1:17" x14ac:dyDescent="0.35">
      <c r="A23" t="s">
        <v>22</v>
      </c>
      <c r="C23">
        <f>COUNTIF('Team Lineups'!C:C,A23)</f>
        <v>30</v>
      </c>
      <c r="D23">
        <f>SUMIF('Team Lineups'!C:C,A23,'Team Lineups'!E:E)</f>
        <v>215</v>
      </c>
      <c r="E23">
        <f>SUMIF('Team Lineups'!C:C,A23,'Team Lineups'!F:F)</f>
        <v>184</v>
      </c>
      <c r="F23">
        <f t="shared" si="0"/>
        <v>31</v>
      </c>
      <c r="G23">
        <f>COUNTIFS('Team Lineups'!C:C,A23,'Team Lineups'!G:G,"Win")</f>
        <v>15</v>
      </c>
      <c r="H23">
        <f>COUNTIFS('Team Lineups'!C:C,A23,'Team Lineups'!G:G,"Draw")</f>
        <v>5</v>
      </c>
      <c r="I23">
        <f>COUNTIFS('Team Lineups'!C:C,A23,'Team Lineups'!G:G,"Loss")</f>
        <v>10</v>
      </c>
      <c r="J23" s="3">
        <f t="shared" si="3"/>
        <v>0.5</v>
      </c>
      <c r="K23" s="3">
        <f t="shared" si="4"/>
        <v>0.33333333333333331</v>
      </c>
      <c r="L23">
        <f>SUMIF('Team Lineups'!C:C,A23,'Team Lineups'!H:H)</f>
        <v>49</v>
      </c>
      <c r="M23">
        <f t="shared" si="1"/>
        <v>1.6333333333333333</v>
      </c>
      <c r="N23">
        <f>SUMIF('Team Lineups'!C:C,A23,'Team Lineups'!I:I)</f>
        <v>16</v>
      </c>
      <c r="O23">
        <f>COUNTIF(Matches!G:G,A23)</f>
        <v>6</v>
      </c>
      <c r="P23">
        <f t="shared" si="2"/>
        <v>0.2</v>
      </c>
      <c r="Q23">
        <f>SUMIF('Team Lineups'!C:C,A23,'Team Lineups'!J:J)</f>
        <v>1</v>
      </c>
    </row>
    <row r="24" spans="1:17" x14ac:dyDescent="0.35">
      <c r="A24" t="s">
        <v>25</v>
      </c>
      <c r="C24">
        <f>COUNTIF('Team Lineups'!C:C,A24)</f>
        <v>28</v>
      </c>
      <c r="D24">
        <f>SUMIF('Team Lineups'!C:C,A24,'Team Lineups'!E:E)</f>
        <v>182</v>
      </c>
      <c r="E24">
        <f>SUMIF('Team Lineups'!C:C,A24,'Team Lineups'!F:F)</f>
        <v>194</v>
      </c>
      <c r="F24">
        <f t="shared" si="0"/>
        <v>-12</v>
      </c>
      <c r="G24">
        <f>COUNTIFS('Team Lineups'!C:C,A24,'Team Lineups'!G:G,"Win")</f>
        <v>10</v>
      </c>
      <c r="H24">
        <f>COUNTIFS('Team Lineups'!C:C,A24,'Team Lineups'!G:G,"Draw")</f>
        <v>5</v>
      </c>
      <c r="I24">
        <f>COUNTIFS('Team Lineups'!C:C,A24,'Team Lineups'!G:G,"Loss")</f>
        <v>13</v>
      </c>
      <c r="J24" s="3">
        <f t="shared" si="3"/>
        <v>0.35714285714285715</v>
      </c>
      <c r="K24" s="3">
        <f t="shared" si="4"/>
        <v>0.4642857142857143</v>
      </c>
      <c r="L24">
        <f>SUMIF('Team Lineups'!C:C,A24,'Team Lineups'!H:H)</f>
        <v>17</v>
      </c>
      <c r="M24">
        <f t="shared" si="1"/>
        <v>0.6071428571428571</v>
      </c>
      <c r="N24">
        <f>SUMIF('Team Lineups'!C:C,A24,'Team Lineups'!I:I)</f>
        <v>12</v>
      </c>
      <c r="O24">
        <f>COUNTIF(Matches!G:G,A24)</f>
        <v>0</v>
      </c>
      <c r="P24">
        <f t="shared" si="2"/>
        <v>0</v>
      </c>
      <c r="Q24">
        <f>SUMIF('Team Lineups'!C:C,A24,'Team Lineups'!J:J)</f>
        <v>0</v>
      </c>
    </row>
    <row r="25" spans="1:17" x14ac:dyDescent="0.35">
      <c r="A25" t="s">
        <v>53</v>
      </c>
      <c r="C25">
        <f>COUNTIF('Team Lineups'!C:C,A25)</f>
        <v>27</v>
      </c>
      <c r="D25">
        <f>SUMIF('Team Lineups'!C:C,A25,'Team Lineups'!E:E)</f>
        <v>195</v>
      </c>
      <c r="E25">
        <f>SUMIF('Team Lineups'!C:C,A25,'Team Lineups'!F:F)</f>
        <v>174</v>
      </c>
      <c r="F25">
        <f t="shared" si="0"/>
        <v>21</v>
      </c>
      <c r="G25">
        <f>COUNTIFS('Team Lineups'!C:C,A25,'Team Lineups'!G:G,"Win")</f>
        <v>15</v>
      </c>
      <c r="H25">
        <f>COUNTIFS('Team Lineups'!C:C,A25,'Team Lineups'!G:G,"Draw")</f>
        <v>4</v>
      </c>
      <c r="I25">
        <f>COUNTIFS('Team Lineups'!C:C,A25,'Team Lineups'!G:G,"Loss")</f>
        <v>8</v>
      </c>
      <c r="J25" s="3">
        <f t="shared" si="3"/>
        <v>0.55555555555555558</v>
      </c>
      <c r="K25" s="3">
        <f t="shared" si="4"/>
        <v>0.29629629629629628</v>
      </c>
      <c r="L25">
        <f>SUMIF('Team Lineups'!C:C,A25,'Team Lineups'!H:H)</f>
        <v>36</v>
      </c>
      <c r="M25">
        <f t="shared" si="1"/>
        <v>1.3333333333333333</v>
      </c>
      <c r="N25">
        <f>SUMIF('Team Lineups'!C:C,A25,'Team Lineups'!I:I)</f>
        <v>16</v>
      </c>
      <c r="O25">
        <f>COUNTIF(Matches!G:G,A25)</f>
        <v>2</v>
      </c>
      <c r="P25">
        <f t="shared" si="2"/>
        <v>7.407407407407407E-2</v>
      </c>
      <c r="Q25">
        <f>SUMIF('Team Lineups'!C:C,A25,'Team Lineups'!J:J)</f>
        <v>3</v>
      </c>
    </row>
    <row r="26" spans="1:17" x14ac:dyDescent="0.35">
      <c r="A26" t="s">
        <v>54</v>
      </c>
      <c r="C26">
        <f>COUNTIF('Team Lineups'!C:C,A26)</f>
        <v>14</v>
      </c>
      <c r="D26">
        <f>SUMIF('Team Lineups'!C:C,A26,'Team Lineups'!E:E)</f>
        <v>68</v>
      </c>
      <c r="E26">
        <f>SUMIF('Team Lineups'!C:C,A26,'Team Lineups'!F:F)</f>
        <v>80</v>
      </c>
      <c r="F26">
        <f t="shared" si="0"/>
        <v>-12</v>
      </c>
      <c r="G26">
        <f>COUNTIFS('Team Lineups'!C:C,A26,'Team Lineups'!G:G,"Win")</f>
        <v>4</v>
      </c>
      <c r="H26">
        <f>COUNTIFS('Team Lineups'!C:C,A26,'Team Lineups'!G:G,"Draw")</f>
        <v>2</v>
      </c>
      <c r="I26">
        <f>COUNTIFS('Team Lineups'!C:C,A26,'Team Lineups'!G:G,"Loss")</f>
        <v>8</v>
      </c>
      <c r="J26" s="3">
        <f t="shared" si="3"/>
        <v>0.2857142857142857</v>
      </c>
      <c r="K26" s="3">
        <f t="shared" si="4"/>
        <v>0.5714285714285714</v>
      </c>
      <c r="L26">
        <f>SUMIF('Team Lineups'!C:C,A26,'Team Lineups'!H:H)</f>
        <v>6</v>
      </c>
      <c r="M26">
        <f t="shared" si="1"/>
        <v>0.42857142857142855</v>
      </c>
      <c r="N26">
        <f>SUMIF('Team Lineups'!C:C,A26,'Team Lineups'!I:I)</f>
        <v>7</v>
      </c>
      <c r="O26">
        <f>COUNTIF(Matches!G:G,A26)</f>
        <v>2</v>
      </c>
      <c r="P26">
        <f t="shared" si="2"/>
        <v>0.14285714285714285</v>
      </c>
      <c r="Q26">
        <f>SUMIF('Team Lineups'!C:C,A26,'Team Lineups'!J:J)</f>
        <v>0</v>
      </c>
    </row>
    <row r="27" spans="1:17" x14ac:dyDescent="0.35">
      <c r="A27" t="s">
        <v>55</v>
      </c>
      <c r="C27">
        <f>COUNTIF('Team Lineups'!C:C,A27)</f>
        <v>1</v>
      </c>
      <c r="D27">
        <f>SUMIF('Team Lineups'!C:C,A27,'Team Lineups'!E:E)</f>
        <v>3</v>
      </c>
      <c r="E27">
        <f>SUMIF('Team Lineups'!C:C,A27,'Team Lineups'!F:F)</f>
        <v>6</v>
      </c>
      <c r="F27">
        <f t="shared" si="0"/>
        <v>-3</v>
      </c>
      <c r="G27">
        <f>COUNTIFS('Team Lineups'!C:C,A27,'Team Lineups'!G:G,"Win")</f>
        <v>0</v>
      </c>
      <c r="H27">
        <f>COUNTIFS('Team Lineups'!C:C,A27,'Team Lineups'!G:G,"Draw")</f>
        <v>0</v>
      </c>
      <c r="I27">
        <f>COUNTIFS('Team Lineups'!C:C,A27,'Team Lineups'!G:G,"Loss")</f>
        <v>1</v>
      </c>
      <c r="J27" s="3">
        <f t="shared" si="3"/>
        <v>0</v>
      </c>
      <c r="K27" s="3">
        <f t="shared" si="4"/>
        <v>1</v>
      </c>
      <c r="L27">
        <f>SUMIF('Team Lineups'!C:C,A27,'Team Lineups'!H:H)</f>
        <v>0</v>
      </c>
      <c r="M27">
        <f t="shared" si="1"/>
        <v>0</v>
      </c>
      <c r="N27">
        <f>SUMIF('Team Lineups'!C:C,A27,'Team Lineups'!I:I)</f>
        <v>0</v>
      </c>
      <c r="O27">
        <f>COUNTIF(Matches!G:G,A27)</f>
        <v>0</v>
      </c>
      <c r="P27">
        <f t="shared" si="2"/>
        <v>0</v>
      </c>
      <c r="Q27">
        <f>SUMIF('Team Lineups'!C:C,A27,'Team Lineups'!J:J)</f>
        <v>0</v>
      </c>
    </row>
    <row r="28" spans="1:17" x14ac:dyDescent="0.35">
      <c r="A28" t="s">
        <v>59</v>
      </c>
      <c r="C28">
        <f>COUNTIF('Team Lineups'!C:C,A28)</f>
        <v>1</v>
      </c>
      <c r="D28">
        <f>SUMIF('Team Lineups'!C:C,A28,'Team Lineups'!E:E)</f>
        <v>13</v>
      </c>
      <c r="E28">
        <f>SUMIF('Team Lineups'!C:C,A28,'Team Lineups'!F:F)</f>
        <v>8</v>
      </c>
      <c r="F28">
        <f t="shared" ref="F28:F34" si="5">D28-E28</f>
        <v>5</v>
      </c>
      <c r="G28">
        <f>COUNTIFS('Team Lineups'!C:C,A28,'Team Lineups'!G:G,"Win")</f>
        <v>1</v>
      </c>
      <c r="H28">
        <f>COUNTIFS('Team Lineups'!C:C,A28,'Team Lineups'!G:G,"Draw")</f>
        <v>0</v>
      </c>
      <c r="I28">
        <f>COUNTIFS('Team Lineups'!C:C,A28,'Team Lineups'!G:G,"Loss")</f>
        <v>0</v>
      </c>
      <c r="J28" s="3">
        <f t="shared" ref="J28:J34" si="6">G28/C28</f>
        <v>1</v>
      </c>
      <c r="K28" s="3">
        <f t="shared" si="4"/>
        <v>0</v>
      </c>
      <c r="L28">
        <f>SUMIF('Team Lineups'!C:C,A28,'Team Lineups'!H:H)</f>
        <v>2</v>
      </c>
      <c r="M28">
        <f t="shared" ref="M28:M34" si="7">L28/C28</f>
        <v>2</v>
      </c>
      <c r="N28">
        <f>SUMIF('Team Lineups'!C:C,A28,'Team Lineups'!I:I)</f>
        <v>2</v>
      </c>
      <c r="O28">
        <f>COUNTIF(Matches!G:G,A28)</f>
        <v>0</v>
      </c>
      <c r="P28">
        <f t="shared" ref="P28:P34" si="8">O28/C28</f>
        <v>0</v>
      </c>
      <c r="Q28">
        <f>SUMIF('Team Lineups'!C:C,A28,'Team Lineups'!J:J)</f>
        <v>0</v>
      </c>
    </row>
    <row r="29" spans="1:17" x14ac:dyDescent="0.35">
      <c r="A29" t="s">
        <v>60</v>
      </c>
      <c r="C29">
        <f>COUNTIF('Team Lineups'!C:C,A29)</f>
        <v>5</v>
      </c>
      <c r="D29">
        <f>SUMIF('Team Lineups'!C:C,A29,'Team Lineups'!E:E)</f>
        <v>50</v>
      </c>
      <c r="E29">
        <f>SUMIF('Team Lineups'!C:C,A29,'Team Lineups'!F:F)</f>
        <v>43</v>
      </c>
      <c r="F29">
        <f t="shared" si="5"/>
        <v>7</v>
      </c>
      <c r="G29">
        <f>COUNTIFS('Team Lineups'!C:C,A29,'Team Lineups'!G:G,"Win")</f>
        <v>3</v>
      </c>
      <c r="H29">
        <f>COUNTIFS('Team Lineups'!C:C,A29,'Team Lineups'!G:G,"Draw")</f>
        <v>1</v>
      </c>
      <c r="I29">
        <f>COUNTIFS('Team Lineups'!C:C,A29,'Team Lineups'!G:G,"Loss")</f>
        <v>1</v>
      </c>
      <c r="J29" s="3">
        <f t="shared" si="6"/>
        <v>0.6</v>
      </c>
      <c r="K29" s="3">
        <f t="shared" si="4"/>
        <v>0.2</v>
      </c>
      <c r="L29">
        <f>SUMIF('Team Lineups'!C:C,A29,'Team Lineups'!H:H)</f>
        <v>4</v>
      </c>
      <c r="M29">
        <f t="shared" si="7"/>
        <v>0.8</v>
      </c>
      <c r="N29">
        <f>SUMIF('Team Lineups'!C:C,A29,'Team Lineups'!I:I)</f>
        <v>1</v>
      </c>
      <c r="O29">
        <f>COUNTIF(Matches!G:G,A29)</f>
        <v>0</v>
      </c>
      <c r="P29">
        <f t="shared" si="8"/>
        <v>0</v>
      </c>
      <c r="Q29">
        <f>SUMIF('Team Lineups'!C:C,A29,'Team Lineups'!J:J)</f>
        <v>0</v>
      </c>
    </row>
    <row r="30" spans="1:17" x14ac:dyDescent="0.35">
      <c r="A30" t="s">
        <v>61</v>
      </c>
      <c r="C30">
        <f>COUNTIF('Team Lineups'!C:C,A30)</f>
        <v>2</v>
      </c>
      <c r="D30">
        <f>SUMIF('Team Lineups'!C:C,A30,'Team Lineups'!E:E)</f>
        <v>23</v>
      </c>
      <c r="E30">
        <f>SUMIF('Team Lineups'!C:C,A30,'Team Lineups'!F:F)</f>
        <v>26</v>
      </c>
      <c r="F30">
        <f t="shared" si="5"/>
        <v>-3</v>
      </c>
      <c r="G30">
        <f>COUNTIFS('Team Lineups'!C:C,A30,'Team Lineups'!G:G,"Win")</f>
        <v>1</v>
      </c>
      <c r="H30">
        <f>COUNTIFS('Team Lineups'!C:C,A30,'Team Lineups'!G:G,"Draw")</f>
        <v>0</v>
      </c>
      <c r="I30">
        <f>COUNTIFS('Team Lineups'!C:C,A30,'Team Lineups'!G:G,"Loss")</f>
        <v>1</v>
      </c>
      <c r="J30" s="3">
        <f t="shared" si="6"/>
        <v>0.5</v>
      </c>
      <c r="K30" s="3">
        <f t="shared" si="4"/>
        <v>0.5</v>
      </c>
      <c r="L30">
        <f>SUMIF('Team Lineups'!C:C,A30,'Team Lineups'!H:H)</f>
        <v>0</v>
      </c>
      <c r="M30">
        <f t="shared" si="7"/>
        <v>0</v>
      </c>
      <c r="N30">
        <f>SUMIF('Team Lineups'!C:C,A30,'Team Lineups'!I:I)</f>
        <v>0</v>
      </c>
      <c r="O30">
        <f>COUNTIF(Matches!G:G,A30)</f>
        <v>0</v>
      </c>
      <c r="P30">
        <f t="shared" si="8"/>
        <v>0</v>
      </c>
      <c r="Q30">
        <f>SUMIF('Team Lineups'!C:C,A30,'Team Lineups'!J:J)</f>
        <v>0</v>
      </c>
    </row>
    <row r="31" spans="1:17" x14ac:dyDescent="0.35">
      <c r="A31" t="s">
        <v>62</v>
      </c>
      <c r="C31">
        <f>COUNTIF('Team Lineups'!C:C,A31)</f>
        <v>1</v>
      </c>
      <c r="D31">
        <f>SUMIF('Team Lineups'!C:C,A31,'Team Lineups'!E:E)</f>
        <v>8</v>
      </c>
      <c r="E31">
        <f>SUMIF('Team Lineups'!C:C,A31,'Team Lineups'!F:F)</f>
        <v>13</v>
      </c>
      <c r="F31">
        <f t="shared" si="5"/>
        <v>-5</v>
      </c>
      <c r="G31">
        <f>COUNTIFS('Team Lineups'!C:C,A31,'Team Lineups'!G:G,"Win")</f>
        <v>0</v>
      </c>
      <c r="H31">
        <f>COUNTIFS('Team Lineups'!C:C,A31,'Team Lineups'!G:G,"Draw")</f>
        <v>0</v>
      </c>
      <c r="I31">
        <f>COUNTIFS('Team Lineups'!C:C,A31,'Team Lineups'!G:G,"Loss")</f>
        <v>1</v>
      </c>
      <c r="J31" s="3">
        <f t="shared" si="6"/>
        <v>0</v>
      </c>
      <c r="K31" s="3">
        <f t="shared" si="4"/>
        <v>1</v>
      </c>
      <c r="L31">
        <f>SUMIF('Team Lineups'!C:C,A31,'Team Lineups'!H:H)</f>
        <v>1</v>
      </c>
      <c r="M31">
        <f t="shared" si="7"/>
        <v>1</v>
      </c>
      <c r="N31">
        <f>SUMIF('Team Lineups'!C:C,A31,'Team Lineups'!I:I)</f>
        <v>3</v>
      </c>
      <c r="O31">
        <f>COUNTIF(Matches!G:G,A31)</f>
        <v>0</v>
      </c>
      <c r="P31">
        <f t="shared" si="8"/>
        <v>0</v>
      </c>
      <c r="Q31">
        <f>SUMIF('Team Lineups'!C:C,A31,'Team Lineups'!J:J)</f>
        <v>0</v>
      </c>
    </row>
    <row r="32" spans="1:17" x14ac:dyDescent="0.35">
      <c r="A32" t="s">
        <v>64</v>
      </c>
      <c r="C32">
        <f>COUNTIF('Team Lineups'!C:C,A32)</f>
        <v>1</v>
      </c>
      <c r="D32">
        <f>SUMIF('Team Lineups'!C:C,A32,'Team Lineups'!E:E)</f>
        <v>10</v>
      </c>
      <c r="E32">
        <f>SUMIF('Team Lineups'!C:C,A32,'Team Lineups'!F:F)</f>
        <v>8</v>
      </c>
      <c r="F32">
        <f t="shared" si="5"/>
        <v>2</v>
      </c>
      <c r="G32">
        <f>COUNTIFS('Team Lineups'!C:C,A32,'Team Lineups'!G:G,"Win")</f>
        <v>1</v>
      </c>
      <c r="H32">
        <f>COUNTIFS('Team Lineups'!C:C,A32,'Team Lineups'!G:G,"Draw")</f>
        <v>0</v>
      </c>
      <c r="I32">
        <f>COUNTIFS('Team Lineups'!C:C,A32,'Team Lineups'!G:G,"Loss")</f>
        <v>0</v>
      </c>
      <c r="J32" s="3">
        <f t="shared" si="6"/>
        <v>1</v>
      </c>
      <c r="K32" s="3">
        <f t="shared" si="4"/>
        <v>0</v>
      </c>
      <c r="L32">
        <f>SUMIF('Team Lineups'!C:C,A32,'Team Lineups'!H:H)</f>
        <v>2</v>
      </c>
      <c r="M32">
        <f t="shared" si="7"/>
        <v>2</v>
      </c>
      <c r="N32">
        <f>SUMIF('Team Lineups'!C:C,A32,'Team Lineups'!I:I)</f>
        <v>3</v>
      </c>
      <c r="O32">
        <f>COUNTIF(Matches!G:G,A32)</f>
        <v>0</v>
      </c>
      <c r="P32">
        <f t="shared" si="8"/>
        <v>0</v>
      </c>
      <c r="Q32">
        <f>SUMIF('Team Lineups'!C:C,A32,'Team Lineups'!J:J)</f>
        <v>0</v>
      </c>
    </row>
    <row r="33" spans="1:17" x14ac:dyDescent="0.35">
      <c r="A33" t="s">
        <v>66</v>
      </c>
      <c r="C33">
        <f>COUNTIF('Team Lineups'!C:C,A33)</f>
        <v>25</v>
      </c>
      <c r="D33">
        <f>SUMIF('Team Lineups'!C:C,A33,'Team Lineups'!E:E)</f>
        <v>174</v>
      </c>
      <c r="E33">
        <f>SUMIF('Team Lineups'!C:C,A33,'Team Lineups'!F:F)</f>
        <v>186</v>
      </c>
      <c r="F33">
        <f t="shared" si="5"/>
        <v>-12</v>
      </c>
      <c r="G33">
        <f>COUNTIFS('Team Lineups'!C:C,A33,'Team Lineups'!G:G,"Win")</f>
        <v>11</v>
      </c>
      <c r="H33">
        <f>COUNTIFS('Team Lineups'!C:C,A33,'Team Lineups'!G:G,"Draw")</f>
        <v>4</v>
      </c>
      <c r="I33">
        <f>COUNTIFS('Team Lineups'!C:C,A33,'Team Lineups'!G:G,"Loss")</f>
        <v>10</v>
      </c>
      <c r="J33" s="3">
        <f t="shared" si="6"/>
        <v>0.44</v>
      </c>
      <c r="K33" s="3">
        <f t="shared" si="4"/>
        <v>0.4</v>
      </c>
      <c r="L33">
        <f>SUMIF('Team Lineups'!C:C,A33,'Team Lineups'!H:H)</f>
        <v>59</v>
      </c>
      <c r="M33">
        <f t="shared" si="7"/>
        <v>2.36</v>
      </c>
      <c r="N33">
        <f>SUMIF('Team Lineups'!C:C,A33,'Team Lineups'!I:I)</f>
        <v>26</v>
      </c>
      <c r="O33">
        <f>COUNTIF(Matches!G:G,A33)</f>
        <v>2</v>
      </c>
      <c r="P33">
        <f t="shared" si="8"/>
        <v>0.08</v>
      </c>
      <c r="Q33">
        <f>SUMIF('Team Lineups'!C:C,A33,'Team Lineups'!J:J)</f>
        <v>0</v>
      </c>
    </row>
    <row r="34" spans="1:17" x14ac:dyDescent="0.35">
      <c r="A34" t="s">
        <v>75</v>
      </c>
      <c r="C34">
        <f>COUNTIF('Team Lineups'!C:C,A34)</f>
        <v>14</v>
      </c>
      <c r="D34">
        <f>SUMIF('Team Lineups'!C:C,A34,'Team Lineups'!E:E)</f>
        <v>105</v>
      </c>
      <c r="E34">
        <f>SUMIF('Team Lineups'!C:C,A34,'Team Lineups'!F:F)</f>
        <v>85</v>
      </c>
      <c r="F34">
        <f t="shared" si="5"/>
        <v>20</v>
      </c>
      <c r="G34">
        <f>COUNTIFS('Team Lineups'!C:C,A34,'Team Lineups'!G:G,"Win")</f>
        <v>9</v>
      </c>
      <c r="H34">
        <f>COUNTIFS('Team Lineups'!C:C,A34,'Team Lineups'!G:G,"Draw")</f>
        <v>1</v>
      </c>
      <c r="I34">
        <f>COUNTIFS('Team Lineups'!C:C,A34,'Team Lineups'!G:G,"Loss")</f>
        <v>4</v>
      </c>
      <c r="J34" s="3">
        <f t="shared" si="6"/>
        <v>0.6428571428571429</v>
      </c>
      <c r="K34" s="3">
        <f t="shared" si="4"/>
        <v>0.2857142857142857</v>
      </c>
      <c r="L34">
        <f>SUMIF('Team Lineups'!C:C,A34,'Team Lineups'!H:H)</f>
        <v>23</v>
      </c>
      <c r="M34">
        <f t="shared" si="7"/>
        <v>1.6428571428571428</v>
      </c>
      <c r="N34">
        <f>SUMIF('Team Lineups'!C:C,A34,'Team Lineups'!I:I)</f>
        <v>14</v>
      </c>
      <c r="O34">
        <f>COUNTIF(Matches!G:G,A34)</f>
        <v>2</v>
      </c>
      <c r="P34">
        <f t="shared" si="8"/>
        <v>0.14285714285714285</v>
      </c>
      <c r="Q34">
        <f>SUMIF('Team Lineups'!C:C,A34,'Team Lineups'!J:J)</f>
        <v>0</v>
      </c>
    </row>
    <row r="35" spans="1:17" x14ac:dyDescent="0.35">
      <c r="A35" t="s">
        <v>77</v>
      </c>
      <c r="C35">
        <f>COUNTIF('Team Lineups'!C:C,A35)</f>
        <v>7</v>
      </c>
      <c r="D35">
        <f>SUMIF('Team Lineups'!C:C,A35,'Team Lineups'!E:E)</f>
        <v>35</v>
      </c>
      <c r="E35">
        <f>SUMIF('Team Lineups'!C:C,A35,'Team Lineups'!F:F)</f>
        <v>46</v>
      </c>
      <c r="F35">
        <f t="shared" ref="F35" si="9">D35-E35</f>
        <v>-11</v>
      </c>
      <c r="G35">
        <f>COUNTIFS('Team Lineups'!C:C,A35,'Team Lineups'!G:G,"Win")</f>
        <v>1</v>
      </c>
      <c r="H35">
        <f>COUNTIFS('Team Lineups'!C:C,A35,'Team Lineups'!G:G,"Draw")</f>
        <v>0</v>
      </c>
      <c r="I35">
        <f>COUNTIFS('Team Lineups'!C:C,A35,'Team Lineups'!G:G,"Loss")</f>
        <v>6</v>
      </c>
      <c r="J35" s="3">
        <f t="shared" ref="J35" si="10">G35/C35</f>
        <v>0.14285714285714285</v>
      </c>
      <c r="K35" s="3">
        <f t="shared" si="4"/>
        <v>0.8571428571428571</v>
      </c>
      <c r="L35">
        <f>SUMIF('Team Lineups'!C:C,A35,'Team Lineups'!H:H)</f>
        <v>3</v>
      </c>
      <c r="M35">
        <f t="shared" ref="M35" si="11">L35/C35</f>
        <v>0.42857142857142855</v>
      </c>
      <c r="N35">
        <f>SUMIF('Team Lineups'!C:C,A35,'Team Lineups'!I:I)</f>
        <v>2</v>
      </c>
      <c r="O35">
        <f>COUNTIF(Matches!G:G,A35)</f>
        <v>0</v>
      </c>
      <c r="P35">
        <f t="shared" ref="P35" si="12">O35/C35</f>
        <v>0</v>
      </c>
      <c r="Q35">
        <f>SUMIF('Team Lineups'!C:C,A35,'Team Lineups'!J:J)</f>
        <v>0</v>
      </c>
    </row>
    <row r="36" spans="1:17" x14ac:dyDescent="0.35">
      <c r="A36" t="s">
        <v>78</v>
      </c>
      <c r="C36">
        <f>COUNTIF('Team Lineups'!C:C,A36)</f>
        <v>1</v>
      </c>
      <c r="D36">
        <f>SUMIF('Team Lineups'!C:C,A36,'Team Lineups'!E:E)</f>
        <v>6</v>
      </c>
      <c r="E36">
        <f>SUMIF('Team Lineups'!C:C,A36,'Team Lineups'!F:F)</f>
        <v>6</v>
      </c>
      <c r="F36">
        <f t="shared" ref="F36" si="13">D36-E36</f>
        <v>0</v>
      </c>
      <c r="G36">
        <f>COUNTIFS('Team Lineups'!C:C,A36,'Team Lineups'!G:G,"Win")</f>
        <v>0</v>
      </c>
      <c r="H36">
        <f>COUNTIFS('Team Lineups'!C:C,A36,'Team Lineups'!G:G,"Draw")</f>
        <v>1</v>
      </c>
      <c r="I36">
        <f>COUNTIFS('Team Lineups'!C:C,A36,'Team Lineups'!G:G,"Loss")</f>
        <v>0</v>
      </c>
      <c r="J36" s="3">
        <f t="shared" ref="J36" si="14">G36/C36</f>
        <v>0</v>
      </c>
      <c r="K36" s="3">
        <f t="shared" si="4"/>
        <v>0</v>
      </c>
      <c r="L36">
        <f>SUMIF('Team Lineups'!C:C,A36,'Team Lineups'!H:H)</f>
        <v>3</v>
      </c>
      <c r="M36">
        <f t="shared" ref="M36" si="15">L36/C36</f>
        <v>3</v>
      </c>
      <c r="N36">
        <f>SUMIF('Team Lineups'!C:C,A36,'Team Lineups'!I:I)</f>
        <v>0</v>
      </c>
      <c r="O36">
        <f>COUNTIF(Matches!G:G,A36)</f>
        <v>0</v>
      </c>
      <c r="P36">
        <f t="shared" ref="P36" si="16">O36/C36</f>
        <v>0</v>
      </c>
      <c r="Q36">
        <f>SUMIF('Team Lineups'!C:C,A36,'Team Lineups'!J:J)</f>
        <v>0</v>
      </c>
    </row>
    <row r="37" spans="1:17" x14ac:dyDescent="0.35">
      <c r="A37" t="s">
        <v>84</v>
      </c>
      <c r="C37">
        <f>COUNTIF('Team Lineups'!C:C,A37)</f>
        <v>10</v>
      </c>
      <c r="D37">
        <f>SUMIF('Team Lineups'!C:C,A37,'Team Lineups'!E:E)</f>
        <v>54</v>
      </c>
      <c r="E37">
        <f>SUMIF('Team Lineups'!C:C,A37,'Team Lineups'!F:F)</f>
        <v>65</v>
      </c>
      <c r="F37">
        <f t="shared" ref="F37:F42" si="17">D37-E37</f>
        <v>-11</v>
      </c>
      <c r="G37">
        <f>COUNTIFS('Team Lineups'!C:C,A37,'Team Lineups'!G:G,"Win")</f>
        <v>4</v>
      </c>
      <c r="H37">
        <f>COUNTIFS('Team Lineups'!C:C,A37,'Team Lineups'!G:G,"Draw")</f>
        <v>2</v>
      </c>
      <c r="I37">
        <f>COUNTIFS('Team Lineups'!C:C,A37,'Team Lineups'!G:G,"Loss")</f>
        <v>4</v>
      </c>
      <c r="J37" s="3">
        <f t="shared" ref="J37:J42" si="18">G37/C37</f>
        <v>0.4</v>
      </c>
      <c r="K37" s="3">
        <f t="shared" ref="K37:K42" si="19">I37/C37</f>
        <v>0.4</v>
      </c>
      <c r="L37">
        <f>SUMIF('Team Lineups'!C:C,A37,'Team Lineups'!H:H)</f>
        <v>8</v>
      </c>
      <c r="M37">
        <f t="shared" ref="M37:M42" si="20">L37/C37</f>
        <v>0.8</v>
      </c>
      <c r="N37">
        <f>SUMIF('Team Lineups'!C:C,A37,'Team Lineups'!I:I)</f>
        <v>8</v>
      </c>
      <c r="O37">
        <f>COUNTIF(Matches!G:G,A37)</f>
        <v>0</v>
      </c>
      <c r="P37">
        <f t="shared" ref="P37:P42" si="21">O37/C37</f>
        <v>0</v>
      </c>
      <c r="Q37">
        <f>SUMIF('Team Lineups'!C:C,A37,'Team Lineups'!J:J)</f>
        <v>1</v>
      </c>
    </row>
    <row r="38" spans="1:17" x14ac:dyDescent="0.35">
      <c r="A38" t="s">
        <v>85</v>
      </c>
      <c r="C38">
        <f>COUNTIF('Team Lineups'!C:C,A38)</f>
        <v>3</v>
      </c>
      <c r="D38">
        <f>SUMIF('Team Lineups'!C:C,A38,'Team Lineups'!E:E)</f>
        <v>17</v>
      </c>
      <c r="E38">
        <f>SUMIF('Team Lineups'!C:C,A38,'Team Lineups'!F:F)</f>
        <v>15</v>
      </c>
      <c r="F38">
        <f t="shared" si="17"/>
        <v>2</v>
      </c>
      <c r="G38">
        <f>COUNTIFS('Team Lineups'!C:C,A38,'Team Lineups'!G:G,"Win")</f>
        <v>2</v>
      </c>
      <c r="H38">
        <f>COUNTIFS('Team Lineups'!C:C,A38,'Team Lineups'!G:G,"Draw")</f>
        <v>0</v>
      </c>
      <c r="I38">
        <f>COUNTIFS('Team Lineups'!C:C,A38,'Team Lineups'!G:G,"Loss")</f>
        <v>1</v>
      </c>
      <c r="J38" s="3">
        <f t="shared" si="18"/>
        <v>0.66666666666666663</v>
      </c>
      <c r="K38" s="3">
        <f t="shared" si="19"/>
        <v>0.33333333333333331</v>
      </c>
      <c r="L38">
        <f>SUMIF('Team Lineups'!C:C,A38,'Team Lineups'!H:H)</f>
        <v>5</v>
      </c>
      <c r="M38">
        <f t="shared" si="20"/>
        <v>1.6666666666666667</v>
      </c>
      <c r="N38">
        <f>SUMIF('Team Lineups'!C:C,A38,'Team Lineups'!I:I)</f>
        <v>0</v>
      </c>
      <c r="O38">
        <f>COUNTIF(Matches!G:G,A38)</f>
        <v>2</v>
      </c>
      <c r="P38">
        <f t="shared" si="21"/>
        <v>0.66666666666666663</v>
      </c>
      <c r="Q38">
        <f>SUMIF('Team Lineups'!C:C,A38,'Team Lineups'!J:J)</f>
        <v>0</v>
      </c>
    </row>
    <row r="39" spans="1:17" x14ac:dyDescent="0.35">
      <c r="A39" t="s">
        <v>86</v>
      </c>
      <c r="C39">
        <f>COUNTIF('Team Lineups'!C:C,A39)</f>
        <v>5</v>
      </c>
      <c r="D39">
        <f>SUMIF('Team Lineups'!C:C,A39,'Team Lineups'!E:E)</f>
        <v>33</v>
      </c>
      <c r="E39">
        <f>SUMIF('Team Lineups'!C:C,A39,'Team Lineups'!F:F)</f>
        <v>19</v>
      </c>
      <c r="F39">
        <f t="shared" si="17"/>
        <v>14</v>
      </c>
      <c r="G39">
        <f>COUNTIFS('Team Lineups'!C:C,A39,'Team Lineups'!G:G,"Win")</f>
        <v>3</v>
      </c>
      <c r="H39">
        <f>COUNTIFS('Team Lineups'!C:C,A39,'Team Lineups'!G:G,"Draw")</f>
        <v>0</v>
      </c>
      <c r="I39">
        <f>COUNTIFS('Team Lineups'!C:C,A39,'Team Lineups'!G:G,"Loss")</f>
        <v>2</v>
      </c>
      <c r="J39" s="3">
        <f t="shared" si="18"/>
        <v>0.6</v>
      </c>
      <c r="K39" s="3">
        <f t="shared" si="19"/>
        <v>0.4</v>
      </c>
      <c r="L39">
        <f>SUMIF('Team Lineups'!C:C,A39,'Team Lineups'!H:H)</f>
        <v>7</v>
      </c>
      <c r="M39">
        <f t="shared" si="20"/>
        <v>1.4</v>
      </c>
      <c r="N39">
        <f>SUMIF('Team Lineups'!C:C,A39,'Team Lineups'!I:I)</f>
        <v>2</v>
      </c>
      <c r="O39">
        <f>COUNTIF(Matches!G:G,A39)</f>
        <v>0</v>
      </c>
      <c r="P39">
        <f t="shared" si="21"/>
        <v>0</v>
      </c>
      <c r="Q39">
        <f>SUMIF('Team Lineups'!C:C,A39,'Team Lineups'!J:J)</f>
        <v>0</v>
      </c>
    </row>
    <row r="40" spans="1:17" x14ac:dyDescent="0.35">
      <c r="A40" t="s">
        <v>87</v>
      </c>
      <c r="C40">
        <f>COUNTIF('Team Lineups'!C:C,A40)</f>
        <v>2</v>
      </c>
      <c r="D40">
        <f>SUMIF('Team Lineups'!C:C,A40,'Team Lineups'!E:E)</f>
        <v>2</v>
      </c>
      <c r="E40">
        <f>SUMIF('Team Lineups'!C:C,A40,'Team Lineups'!F:F)</f>
        <v>9</v>
      </c>
      <c r="F40">
        <f t="shared" si="17"/>
        <v>-7</v>
      </c>
      <c r="G40">
        <f>COUNTIFS('Team Lineups'!C:C,A40,'Team Lineups'!G:G,"Win")</f>
        <v>0</v>
      </c>
      <c r="H40">
        <f>COUNTIFS('Team Lineups'!C:C,A40,'Team Lineups'!G:G,"Draw")</f>
        <v>0</v>
      </c>
      <c r="I40">
        <f>COUNTIFS('Team Lineups'!C:C,A40,'Team Lineups'!G:G,"Loss")</f>
        <v>2</v>
      </c>
      <c r="J40" s="3">
        <f t="shared" si="18"/>
        <v>0</v>
      </c>
      <c r="K40" s="3">
        <f t="shared" si="19"/>
        <v>1</v>
      </c>
      <c r="L40">
        <f>SUMIF('Team Lineups'!C:C,A40,'Team Lineups'!H:H)</f>
        <v>0</v>
      </c>
      <c r="M40">
        <f t="shared" si="20"/>
        <v>0</v>
      </c>
      <c r="N40">
        <f>SUMIF('Team Lineups'!C:C,A40,'Team Lineups'!I:I)</f>
        <v>1</v>
      </c>
      <c r="O40">
        <f>COUNTIF(Matches!G:G,A40)</f>
        <v>0</v>
      </c>
      <c r="P40">
        <f t="shared" si="21"/>
        <v>0</v>
      </c>
      <c r="Q40">
        <f>SUMIF('Team Lineups'!C:C,A40,'Team Lineups'!J:J)</f>
        <v>0</v>
      </c>
    </row>
    <row r="41" spans="1:17" x14ac:dyDescent="0.35">
      <c r="A41" t="s">
        <v>88</v>
      </c>
      <c r="C41">
        <f>COUNTIF('Team Lineups'!C:C,A41)</f>
        <v>17</v>
      </c>
      <c r="D41">
        <f>SUMIF('Team Lineups'!C:C,A41,'Team Lineups'!E:E)</f>
        <v>121</v>
      </c>
      <c r="E41">
        <f>SUMIF('Team Lineups'!C:C,A41,'Team Lineups'!F:F)</f>
        <v>126</v>
      </c>
      <c r="F41">
        <f t="shared" si="17"/>
        <v>-5</v>
      </c>
      <c r="G41">
        <f>COUNTIFS('Team Lineups'!C:C,A41,'Team Lineups'!G:G,"Win")</f>
        <v>6</v>
      </c>
      <c r="H41">
        <f>COUNTIFS('Team Lineups'!C:C,A41,'Team Lineups'!G:G,"Draw")</f>
        <v>3</v>
      </c>
      <c r="I41">
        <f>COUNTIFS('Team Lineups'!C:C,A41,'Team Lineups'!G:G,"Loss")</f>
        <v>8</v>
      </c>
      <c r="J41" s="3">
        <f t="shared" si="18"/>
        <v>0.35294117647058826</v>
      </c>
      <c r="K41" s="3">
        <f t="shared" si="19"/>
        <v>0.47058823529411764</v>
      </c>
      <c r="L41">
        <f>SUMIF('Team Lineups'!C:C,A41,'Team Lineups'!H:H)</f>
        <v>14</v>
      </c>
      <c r="M41">
        <f t="shared" si="20"/>
        <v>0.82352941176470584</v>
      </c>
      <c r="N41">
        <f>SUMIF('Team Lineups'!C:C,A41,'Team Lineups'!I:I)</f>
        <v>6</v>
      </c>
      <c r="O41">
        <f>COUNTIF(Matches!G:G,A41)</f>
        <v>0</v>
      </c>
      <c r="P41">
        <f t="shared" si="21"/>
        <v>0</v>
      </c>
      <c r="Q41">
        <f>SUMIF('Team Lineups'!C:C,A41,'Team Lineups'!J:J)</f>
        <v>0</v>
      </c>
    </row>
    <row r="42" spans="1:17" x14ac:dyDescent="0.35">
      <c r="A42" t="s">
        <v>89</v>
      </c>
      <c r="C42">
        <f>COUNTIF('Team Lineups'!C:C,A42)</f>
        <v>18</v>
      </c>
      <c r="D42">
        <f>SUMIF('Team Lineups'!C:C,A42,'Team Lineups'!E:E)</f>
        <v>139</v>
      </c>
      <c r="E42">
        <f>SUMIF('Team Lineups'!C:C,A42,'Team Lineups'!F:F)</f>
        <v>136</v>
      </c>
      <c r="F42">
        <f t="shared" si="17"/>
        <v>3</v>
      </c>
      <c r="G42">
        <f>COUNTIFS('Team Lineups'!C:C,A42,'Team Lineups'!G:G,"Win")</f>
        <v>8</v>
      </c>
      <c r="H42">
        <f>COUNTIFS('Team Lineups'!C:C,A42,'Team Lineups'!G:G,"Draw")</f>
        <v>3</v>
      </c>
      <c r="I42">
        <f>COUNTIFS('Team Lineups'!C:C,A42,'Team Lineups'!G:G,"Loss")</f>
        <v>7</v>
      </c>
      <c r="J42" s="3">
        <f t="shared" si="18"/>
        <v>0.44444444444444442</v>
      </c>
      <c r="K42" s="3">
        <f t="shared" si="19"/>
        <v>0.3888888888888889</v>
      </c>
      <c r="L42">
        <f>SUMIF('Team Lineups'!C:C,A42,'Team Lineups'!H:H)</f>
        <v>43</v>
      </c>
      <c r="M42">
        <f t="shared" si="20"/>
        <v>2.3888888888888888</v>
      </c>
      <c r="N42">
        <f>SUMIF('Team Lineups'!C:C,A42,'Team Lineups'!I:I)</f>
        <v>17</v>
      </c>
      <c r="O42">
        <f>COUNTIF(Matches!G:G,A42)</f>
        <v>1</v>
      </c>
      <c r="P42">
        <f t="shared" si="21"/>
        <v>5.5555555555555552E-2</v>
      </c>
      <c r="Q42">
        <f>SUMIF('Team Lineups'!C:C,A42,'Team Lineups'!J:J)</f>
        <v>0</v>
      </c>
    </row>
    <row r="43" spans="1:17" x14ac:dyDescent="0.35">
      <c r="A43" t="s">
        <v>95</v>
      </c>
      <c r="C43">
        <f>COUNTIF('Team Lineups'!C:C,A43)</f>
        <v>2</v>
      </c>
      <c r="D43">
        <f>SUMIF('Team Lineups'!C:C,A43,'Team Lineups'!E:E)</f>
        <v>22</v>
      </c>
      <c r="E43">
        <f>SUMIF('Team Lineups'!C:C,A43,'Team Lineups'!F:F)</f>
        <v>16</v>
      </c>
      <c r="F43">
        <f t="shared" ref="F43" si="22">D43-E43</f>
        <v>6</v>
      </c>
      <c r="G43">
        <f>COUNTIFS('Team Lineups'!C:C,A43,'Team Lineups'!G:G,"Win")</f>
        <v>2</v>
      </c>
      <c r="H43">
        <f>COUNTIFS('Team Lineups'!C:C,A43,'Team Lineups'!G:G,"Draw")</f>
        <v>0</v>
      </c>
      <c r="I43">
        <f>COUNTIFS('Team Lineups'!C:C,A43,'Team Lineups'!G:G,"Loss")</f>
        <v>0</v>
      </c>
      <c r="J43" s="3">
        <f t="shared" ref="J43" si="23">G43/C43</f>
        <v>1</v>
      </c>
      <c r="K43" s="3">
        <f t="shared" ref="K43" si="24">I43/C43</f>
        <v>0</v>
      </c>
      <c r="L43">
        <f>SUMIF('Team Lineups'!C:C,A43,'Team Lineups'!H:H)</f>
        <v>5</v>
      </c>
      <c r="M43">
        <f t="shared" ref="M43" si="25">L43/C43</f>
        <v>2.5</v>
      </c>
      <c r="N43">
        <f>SUMIF('Team Lineups'!C:C,A43,'Team Lineups'!I:I)</f>
        <v>2</v>
      </c>
      <c r="O43">
        <f>COUNTIF(Matches!G:G,A43)</f>
        <v>0</v>
      </c>
      <c r="P43">
        <f t="shared" ref="P43" si="26">O43/C43</f>
        <v>0</v>
      </c>
      <c r="Q43">
        <f>SUMIF('Team Lineups'!C:C,A43,'Team Lineups'!J:J)</f>
        <v>0</v>
      </c>
    </row>
    <row r="44" spans="1:17" x14ac:dyDescent="0.35">
      <c r="A44" t="s">
        <v>98</v>
      </c>
      <c r="C44">
        <f>COUNTIF('Team Lineups'!C:C,A44)</f>
        <v>8</v>
      </c>
      <c r="D44">
        <f>SUMIF('Team Lineups'!C:C,A44,'Team Lineups'!E:E)</f>
        <v>85</v>
      </c>
      <c r="E44">
        <f>SUMIF('Team Lineups'!C:C,A44,'Team Lineups'!F:F)</f>
        <v>64</v>
      </c>
      <c r="F44">
        <f t="shared" ref="F44" si="27">D44-E44</f>
        <v>21</v>
      </c>
      <c r="G44">
        <f>COUNTIFS('Team Lineups'!C:C,A44,'Team Lineups'!G:G,"Win")</f>
        <v>6</v>
      </c>
      <c r="H44">
        <f>COUNTIFS('Team Lineups'!C:C,A44,'Team Lineups'!G:G,"Draw")</f>
        <v>0</v>
      </c>
      <c r="I44">
        <f>COUNTIFS('Team Lineups'!C:C,A44,'Team Lineups'!G:G,"Loss")</f>
        <v>2</v>
      </c>
      <c r="J44" s="3">
        <f t="shared" ref="J44" si="28">G44/C44</f>
        <v>0.75</v>
      </c>
      <c r="K44" s="3">
        <f t="shared" ref="K44" si="29">I44/C44</f>
        <v>0.25</v>
      </c>
      <c r="L44">
        <f>SUMIF('Team Lineups'!C:C,A44,'Team Lineups'!H:H)</f>
        <v>22</v>
      </c>
      <c r="M44">
        <f t="shared" ref="M44" si="30">L44/C44</f>
        <v>2.75</v>
      </c>
      <c r="N44">
        <f>SUMIF('Team Lineups'!C:C,A44,'Team Lineups'!I:I)</f>
        <v>14</v>
      </c>
      <c r="O44">
        <f>COUNTIF(Matches!G:G,A44)</f>
        <v>2</v>
      </c>
      <c r="P44">
        <f t="shared" ref="P44" si="31">O44/C44</f>
        <v>0.25</v>
      </c>
      <c r="Q44">
        <f>SUMIF('Team Lineups'!C:C,A44,'Team Lineups'!J:J)</f>
        <v>0</v>
      </c>
    </row>
    <row r="45" spans="1:17" x14ac:dyDescent="0.35">
      <c r="A45" t="s">
        <v>99</v>
      </c>
      <c r="C45">
        <f>COUNTIF('Team Lineups'!C:C,A45)</f>
        <v>10</v>
      </c>
      <c r="D45">
        <f>SUMIF('Team Lineups'!C:C,A45,'Team Lineups'!E:E)</f>
        <v>61</v>
      </c>
      <c r="E45">
        <f>SUMIF('Team Lineups'!C:C,A45,'Team Lineups'!F:F)</f>
        <v>66</v>
      </c>
      <c r="F45">
        <f t="shared" ref="F45" si="32">D45-E45</f>
        <v>-5</v>
      </c>
      <c r="G45">
        <f>COUNTIFS('Team Lineups'!C:C,A45,'Team Lineups'!G:G,"Win")</f>
        <v>4</v>
      </c>
      <c r="H45">
        <f>COUNTIFS('Team Lineups'!C:C,A45,'Team Lineups'!G:G,"Draw")</f>
        <v>1</v>
      </c>
      <c r="I45">
        <f>COUNTIFS('Team Lineups'!C:C,A45,'Team Lineups'!G:G,"Loss")</f>
        <v>5</v>
      </c>
      <c r="J45" s="3">
        <f t="shared" ref="J45" si="33">G45/C45</f>
        <v>0.4</v>
      </c>
      <c r="K45" s="3">
        <f t="shared" ref="K45" si="34">I45/C45</f>
        <v>0.5</v>
      </c>
      <c r="L45">
        <f>SUMIF('Team Lineups'!C:C,A45,'Team Lineups'!H:H)</f>
        <v>4</v>
      </c>
      <c r="M45">
        <f t="shared" ref="M45" si="35">L45/C45</f>
        <v>0.4</v>
      </c>
      <c r="N45">
        <f>SUMIF('Team Lineups'!C:C,A45,'Team Lineups'!I:I)</f>
        <v>1</v>
      </c>
      <c r="O45">
        <f>COUNTIF(Matches!G:G,A45)</f>
        <v>3</v>
      </c>
      <c r="P45">
        <f t="shared" ref="P45" si="36">O45/C45</f>
        <v>0.3</v>
      </c>
      <c r="Q45">
        <f>SUMIF('Team Lineups'!C:C,A45,'Team Lineups'!J:J)</f>
        <v>0</v>
      </c>
    </row>
    <row r="46" spans="1:17" x14ac:dyDescent="0.35">
      <c r="A46" t="s">
        <v>111</v>
      </c>
      <c r="C46">
        <f>COUNTIF('Team Lineups'!C:C,A46)</f>
        <v>1</v>
      </c>
      <c r="D46">
        <f>SUMIF('Team Lineups'!C:C,A46,'Team Lineups'!E:E)</f>
        <v>7</v>
      </c>
      <c r="E46">
        <f>SUMIF('Team Lineups'!C:C,A46,'Team Lineups'!F:F)</f>
        <v>9</v>
      </c>
      <c r="F46">
        <f t="shared" ref="F46" si="37">D46-E46</f>
        <v>-2</v>
      </c>
      <c r="G46">
        <f>COUNTIFS('Team Lineups'!C:C,A46,'Team Lineups'!G:G,"Win")</f>
        <v>0</v>
      </c>
      <c r="H46">
        <f>COUNTIFS('Team Lineups'!C:C,A46,'Team Lineups'!G:G,"Draw")</f>
        <v>0</v>
      </c>
      <c r="I46">
        <f>COUNTIFS('Team Lineups'!C:C,A46,'Team Lineups'!G:G,"Loss")</f>
        <v>1</v>
      </c>
      <c r="J46" s="3">
        <f t="shared" ref="J46" si="38">G46/C46</f>
        <v>0</v>
      </c>
      <c r="K46" s="3">
        <f t="shared" ref="K46" si="39">I46/C46</f>
        <v>1</v>
      </c>
      <c r="L46">
        <f>SUMIF('Team Lineups'!C:C,A46,'Team Lineups'!H:H)</f>
        <v>1</v>
      </c>
      <c r="M46">
        <f t="shared" ref="M46" si="40">L46/C46</f>
        <v>1</v>
      </c>
      <c r="N46">
        <f>SUMIF('Team Lineups'!C:C,A46,'Team Lineups'!I:I)</f>
        <v>1</v>
      </c>
      <c r="O46">
        <f>COUNTIF(Matches!G:G,A46)</f>
        <v>0</v>
      </c>
      <c r="P46">
        <f t="shared" ref="P46" si="41">O46/C46</f>
        <v>0</v>
      </c>
      <c r="Q46">
        <f>SUMIF('Team Lineups'!C:C,A46,'Team Lineups'!J:J)</f>
        <v>0</v>
      </c>
    </row>
    <row r="47" spans="1:17" x14ac:dyDescent="0.35">
      <c r="A47" t="s">
        <v>116</v>
      </c>
      <c r="C47">
        <f>COUNTIF('Team Lineups'!C:C,A47)</f>
        <v>1</v>
      </c>
      <c r="D47">
        <f>SUMIF('Team Lineups'!C:C,A47,'Team Lineups'!E:E)</f>
        <v>12</v>
      </c>
      <c r="E47">
        <f>SUMIF('Team Lineups'!C:C,A47,'Team Lineups'!F:F)</f>
        <v>6</v>
      </c>
      <c r="F47">
        <f t="shared" ref="F47" si="42">D47-E47</f>
        <v>6</v>
      </c>
      <c r="G47">
        <f>COUNTIFS('Team Lineups'!C:C,A47,'Team Lineups'!G:G,"Win")</f>
        <v>1</v>
      </c>
      <c r="H47">
        <f>COUNTIFS('Team Lineups'!C:C,A47,'Team Lineups'!G:G,"Draw")</f>
        <v>0</v>
      </c>
      <c r="I47">
        <f>COUNTIFS('Team Lineups'!C:C,A47,'Team Lineups'!G:G,"Loss")</f>
        <v>0</v>
      </c>
      <c r="J47" s="3">
        <f t="shared" ref="J47" si="43">G47/C47</f>
        <v>1</v>
      </c>
      <c r="K47" s="3">
        <f t="shared" ref="K47" si="44">I47/C47</f>
        <v>0</v>
      </c>
      <c r="L47">
        <f>SUMIF('Team Lineups'!C:C,A47,'Team Lineups'!H:H)</f>
        <v>1</v>
      </c>
      <c r="M47">
        <f t="shared" ref="M47" si="45">L47/C47</f>
        <v>1</v>
      </c>
      <c r="N47">
        <f>SUMIF('Team Lineups'!C:C,A47,'Team Lineups'!I:I)</f>
        <v>0</v>
      </c>
      <c r="O47">
        <f>COUNTIF(Matches!G:G,A47)</f>
        <v>0</v>
      </c>
      <c r="P47">
        <f t="shared" ref="P47" si="46">O47/C47</f>
        <v>0</v>
      </c>
      <c r="Q47">
        <f>SUMIF('Team Lineups'!C:C,A47,'Team Lineups'!J:J)</f>
        <v>0</v>
      </c>
    </row>
    <row r="48" spans="1:17" x14ac:dyDescent="0.35">
      <c r="A48" t="s">
        <v>120</v>
      </c>
      <c r="C48">
        <f>COUNTIF('Team Lineups'!C:C,A48)</f>
        <v>1</v>
      </c>
      <c r="D48">
        <f>SUMIF('Team Lineups'!C:C,A48,'Team Lineups'!E:E)</f>
        <v>14</v>
      </c>
      <c r="E48">
        <f>SUMIF('Team Lineups'!C:C,A48,'Team Lineups'!F:F)</f>
        <v>8</v>
      </c>
      <c r="F48">
        <f t="shared" ref="F48" si="47">D48-E48</f>
        <v>6</v>
      </c>
      <c r="G48">
        <f>COUNTIFS('Team Lineups'!C:C,A48,'Team Lineups'!G:G,"Win")</f>
        <v>1</v>
      </c>
      <c r="H48">
        <f>COUNTIFS('Team Lineups'!C:C,A48,'Team Lineups'!G:G,"Draw")</f>
        <v>0</v>
      </c>
      <c r="I48">
        <f>COUNTIFS('Team Lineups'!C:C,A48,'Team Lineups'!G:G,"Loss")</f>
        <v>0</v>
      </c>
      <c r="J48" s="3">
        <f t="shared" ref="J48" si="48">G48/C48</f>
        <v>1</v>
      </c>
      <c r="K48" s="3">
        <f t="shared" ref="K48" si="49">I48/C48</f>
        <v>0</v>
      </c>
      <c r="L48">
        <f>SUMIF('Team Lineups'!C:C,A48,'Team Lineups'!H:H)</f>
        <v>2</v>
      </c>
      <c r="M48">
        <f t="shared" ref="M48" si="50">L48/C48</f>
        <v>2</v>
      </c>
      <c r="N48">
        <f>SUMIF('Team Lineups'!C:C,A48,'Team Lineups'!I:I)</f>
        <v>4</v>
      </c>
      <c r="O48">
        <f>COUNTIF(Matches!G:G,A48)</f>
        <v>0</v>
      </c>
      <c r="P48">
        <f t="shared" ref="P48" si="51">O48/C48</f>
        <v>0</v>
      </c>
      <c r="Q48">
        <f>SUMIF('Team Lineups'!C:C,A48,'Team Lineups'!J:J)</f>
        <v>0</v>
      </c>
    </row>
    <row r="49" spans="1:17" x14ac:dyDescent="0.35">
      <c r="A49" t="s">
        <v>121</v>
      </c>
      <c r="C49">
        <f>COUNTIF('Team Lineups'!C:C,A49)</f>
        <v>1</v>
      </c>
      <c r="D49">
        <f>SUMIF('Team Lineups'!C:C,A49,'Team Lineups'!E:E)</f>
        <v>4</v>
      </c>
      <c r="E49">
        <f>SUMIF('Team Lineups'!C:C,A49,'Team Lineups'!F:F)</f>
        <v>5</v>
      </c>
      <c r="F49">
        <f t="shared" ref="F49" si="52">D49-E49</f>
        <v>-1</v>
      </c>
      <c r="G49">
        <f>COUNTIFS('Team Lineups'!C:C,A49,'Team Lineups'!G:G,"Win")</f>
        <v>0</v>
      </c>
      <c r="H49">
        <f>COUNTIFS('Team Lineups'!C:C,A49,'Team Lineups'!G:G,"Draw")</f>
        <v>0</v>
      </c>
      <c r="I49">
        <f>COUNTIFS('Team Lineups'!C:C,A49,'Team Lineups'!G:G,"Loss")</f>
        <v>1</v>
      </c>
      <c r="J49" s="3">
        <f t="shared" ref="J49" si="53">G49/C49</f>
        <v>0</v>
      </c>
      <c r="K49" s="3">
        <f t="shared" ref="K49" si="54">I49/C49</f>
        <v>1</v>
      </c>
      <c r="L49">
        <f>SUMIF('Team Lineups'!C:C,A49,'Team Lineups'!H:H)</f>
        <v>0</v>
      </c>
      <c r="M49">
        <f t="shared" ref="M49" si="55">L49/C49</f>
        <v>0</v>
      </c>
      <c r="N49">
        <f>SUMIF('Team Lineups'!C:C,A49,'Team Lineups'!I:I)</f>
        <v>0</v>
      </c>
      <c r="O49">
        <f>COUNTIF(Matches!G:G,A49)</f>
        <v>0</v>
      </c>
      <c r="P49">
        <f t="shared" ref="P49" si="56">O49/C49</f>
        <v>0</v>
      </c>
      <c r="Q49">
        <f>SUMIF('Team Lineups'!C:C,A49,'Team Lineups'!J:J)</f>
        <v>0</v>
      </c>
    </row>
  </sheetData>
  <autoFilter ref="A1:P27" xr:uid="{00000000-0001-0000-0200-000000000000}">
    <sortState xmlns:xlrd2="http://schemas.microsoft.com/office/spreadsheetml/2017/richdata2" ref="A2:P27">
      <sortCondition descending="1" ref="G2:G27"/>
      <sortCondition descending="1" ref="H2:H27"/>
      <sortCondition descending="1" ref="J2:J27"/>
      <sortCondition descending="1" ref="O2:O27"/>
      <sortCondition descending="1" ref="L2:L27"/>
      <sortCondition descending="1" ref="F2:F27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topLeftCell="A33" workbookViewId="0">
      <selection activeCell="G48" sqref="G48"/>
    </sheetView>
  </sheetViews>
  <sheetFormatPr defaultRowHeight="14.5" x14ac:dyDescent="0.35"/>
  <cols>
    <col min="2" max="2" width="18" customWidth="1"/>
    <col min="3" max="3" width="18.08984375" customWidth="1"/>
    <col min="5" max="5" width="17.1796875" customWidth="1"/>
    <col min="6" max="6" width="19.08984375" customWidth="1"/>
  </cols>
  <sheetData>
    <row r="1" spans="1:7" s="4" customForma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35">
      <c r="A2">
        <v>1</v>
      </c>
      <c r="B2" s="2">
        <v>45974</v>
      </c>
      <c r="C2" t="s">
        <v>7</v>
      </c>
      <c r="D2" s="1" t="s">
        <v>8</v>
      </c>
      <c r="E2">
        <f t="shared" ref="E2:E13" si="0">VALUE(LEFT(D2, FIND("-", D2)-1))</f>
        <v>7</v>
      </c>
      <c r="F2">
        <f t="shared" ref="F2:F7" si="1">VALUE(MID(D2, FIND("-", D2)+1, 10))</f>
        <v>7</v>
      </c>
      <c r="G2" t="s">
        <v>26</v>
      </c>
    </row>
    <row r="3" spans="1:7" x14ac:dyDescent="0.35">
      <c r="A3">
        <v>2</v>
      </c>
      <c r="B3" s="2">
        <v>45981</v>
      </c>
      <c r="C3" t="s">
        <v>7</v>
      </c>
      <c r="D3" s="1" t="s">
        <v>56</v>
      </c>
      <c r="E3">
        <f t="shared" si="0"/>
        <v>5</v>
      </c>
      <c r="F3">
        <f t="shared" si="1"/>
        <v>7</v>
      </c>
      <c r="G3" t="s">
        <v>26</v>
      </c>
    </row>
    <row r="4" spans="1:7" x14ac:dyDescent="0.35">
      <c r="A4">
        <v>3</v>
      </c>
      <c r="B4" s="2">
        <v>45988</v>
      </c>
      <c r="C4" t="s">
        <v>7</v>
      </c>
      <c r="D4" s="1" t="s">
        <v>57</v>
      </c>
      <c r="E4">
        <f t="shared" si="0"/>
        <v>7</v>
      </c>
      <c r="F4">
        <f t="shared" si="1"/>
        <v>9</v>
      </c>
      <c r="G4" t="s">
        <v>19</v>
      </c>
    </row>
    <row r="5" spans="1:7" x14ac:dyDescent="0.35">
      <c r="A5">
        <v>4</v>
      </c>
      <c r="B5" s="2">
        <v>45995</v>
      </c>
      <c r="C5" t="s">
        <v>7</v>
      </c>
      <c r="D5" s="1" t="s">
        <v>58</v>
      </c>
      <c r="E5">
        <f t="shared" si="0"/>
        <v>13</v>
      </c>
      <c r="F5">
        <f t="shared" si="1"/>
        <v>8</v>
      </c>
      <c r="G5" t="s">
        <v>19</v>
      </c>
    </row>
    <row r="6" spans="1:7" x14ac:dyDescent="0.35">
      <c r="A6">
        <v>5</v>
      </c>
      <c r="B6" s="2">
        <v>46002</v>
      </c>
      <c r="C6" t="s">
        <v>7</v>
      </c>
      <c r="D6" s="1" t="s">
        <v>63</v>
      </c>
      <c r="E6">
        <f t="shared" si="0"/>
        <v>10</v>
      </c>
      <c r="F6">
        <f t="shared" si="1"/>
        <v>8</v>
      </c>
      <c r="G6" t="s">
        <v>44</v>
      </c>
    </row>
    <row r="7" spans="1:7" x14ac:dyDescent="0.35">
      <c r="A7">
        <v>6</v>
      </c>
      <c r="B7" s="2">
        <v>46009</v>
      </c>
      <c r="C7" t="s">
        <v>7</v>
      </c>
      <c r="D7" s="1" t="s">
        <v>65</v>
      </c>
      <c r="E7">
        <f t="shared" si="0"/>
        <v>16</v>
      </c>
      <c r="F7">
        <f t="shared" si="1"/>
        <v>17</v>
      </c>
      <c r="G7" t="s">
        <v>22</v>
      </c>
    </row>
    <row r="8" spans="1:7" x14ac:dyDescent="0.35">
      <c r="A8">
        <v>7</v>
      </c>
      <c r="B8" s="2">
        <v>46030</v>
      </c>
      <c r="C8" t="s">
        <v>7</v>
      </c>
      <c r="D8" s="1" t="s">
        <v>68</v>
      </c>
      <c r="E8">
        <f t="shared" si="0"/>
        <v>6</v>
      </c>
      <c r="F8">
        <f t="shared" ref="F8:F13" si="2">VALUE(MID(D8, FIND("-", D8)+1, 10))</f>
        <v>11</v>
      </c>
      <c r="G8" t="s">
        <v>66</v>
      </c>
    </row>
    <row r="9" spans="1:7" x14ac:dyDescent="0.35">
      <c r="A9">
        <v>8</v>
      </c>
      <c r="B9" s="2">
        <v>46037</v>
      </c>
      <c r="C9" t="s">
        <v>7</v>
      </c>
      <c r="D9" s="1" t="s">
        <v>69</v>
      </c>
      <c r="E9">
        <f t="shared" si="0"/>
        <v>5</v>
      </c>
      <c r="F9">
        <f t="shared" si="2"/>
        <v>5</v>
      </c>
      <c r="G9" t="s">
        <v>22</v>
      </c>
    </row>
    <row r="10" spans="1:7" x14ac:dyDescent="0.35">
      <c r="A10">
        <v>9</v>
      </c>
      <c r="B10" s="2">
        <v>46044</v>
      </c>
      <c r="C10" t="s">
        <v>7</v>
      </c>
      <c r="D10" s="1" t="s">
        <v>70</v>
      </c>
      <c r="E10">
        <f t="shared" si="0"/>
        <v>3</v>
      </c>
      <c r="F10">
        <f t="shared" si="2"/>
        <v>6</v>
      </c>
      <c r="G10" t="s">
        <v>21</v>
      </c>
    </row>
    <row r="11" spans="1:7" x14ac:dyDescent="0.35">
      <c r="A11">
        <v>10</v>
      </c>
      <c r="B11" s="2">
        <v>46051</v>
      </c>
      <c r="C11" t="s">
        <v>7</v>
      </c>
      <c r="D11" s="1" t="s">
        <v>73</v>
      </c>
      <c r="E11">
        <f t="shared" si="0"/>
        <v>6</v>
      </c>
      <c r="F11">
        <f t="shared" si="2"/>
        <v>5</v>
      </c>
      <c r="G11" t="s">
        <v>46</v>
      </c>
    </row>
    <row r="12" spans="1:7" x14ac:dyDescent="0.35">
      <c r="A12">
        <v>11</v>
      </c>
      <c r="B12" s="2">
        <v>46058</v>
      </c>
      <c r="C12" t="s">
        <v>7</v>
      </c>
      <c r="D12" s="1" t="s">
        <v>72</v>
      </c>
      <c r="E12">
        <f t="shared" si="0"/>
        <v>2</v>
      </c>
      <c r="F12">
        <f t="shared" si="2"/>
        <v>3</v>
      </c>
      <c r="G12" t="s">
        <v>54</v>
      </c>
    </row>
    <row r="13" spans="1:7" x14ac:dyDescent="0.35">
      <c r="A13">
        <v>12</v>
      </c>
      <c r="B13" s="2">
        <v>46065</v>
      </c>
      <c r="C13" t="s">
        <v>7</v>
      </c>
      <c r="D13" s="1" t="s">
        <v>74</v>
      </c>
      <c r="E13">
        <f t="shared" si="0"/>
        <v>5</v>
      </c>
      <c r="F13">
        <f t="shared" si="2"/>
        <v>4</v>
      </c>
      <c r="G13" t="s">
        <v>43</v>
      </c>
    </row>
    <row r="14" spans="1:7" x14ac:dyDescent="0.35">
      <c r="A14">
        <v>13</v>
      </c>
      <c r="B14" s="2">
        <v>46072</v>
      </c>
      <c r="C14" t="s">
        <v>7</v>
      </c>
      <c r="D14" s="1" t="s">
        <v>79</v>
      </c>
      <c r="E14">
        <f t="shared" ref="E14:E15" si="3">VALUE(LEFT(D14, FIND("-", D14)-1))</f>
        <v>8</v>
      </c>
      <c r="F14">
        <f t="shared" ref="F14:F15" si="4">VALUE(MID(D14, FIND("-", D14)+1, 10))</f>
        <v>9</v>
      </c>
      <c r="G14" t="s">
        <v>53</v>
      </c>
    </row>
    <row r="15" spans="1:7" x14ac:dyDescent="0.35">
      <c r="A15">
        <v>14</v>
      </c>
      <c r="B15" s="2">
        <v>46072</v>
      </c>
      <c r="C15" t="s">
        <v>7</v>
      </c>
      <c r="D15" s="1" t="s">
        <v>80</v>
      </c>
      <c r="E15">
        <f t="shared" si="3"/>
        <v>6</v>
      </c>
      <c r="F15">
        <f t="shared" si="4"/>
        <v>6</v>
      </c>
      <c r="G15" t="s">
        <v>75</v>
      </c>
    </row>
    <row r="16" spans="1:7" x14ac:dyDescent="0.35">
      <c r="A16">
        <v>15</v>
      </c>
      <c r="B16" s="2">
        <v>46079</v>
      </c>
      <c r="C16" t="s">
        <v>7</v>
      </c>
      <c r="D16" s="1" t="s">
        <v>81</v>
      </c>
      <c r="E16">
        <f t="shared" ref="E16" si="5">VALUE(LEFT(D16, FIND("-", D16)-1))</f>
        <v>5</v>
      </c>
      <c r="F16">
        <f t="shared" ref="F16" si="6">VALUE(MID(D16, FIND("-", D16)+1, 10))</f>
        <v>3</v>
      </c>
      <c r="G16" t="s">
        <v>16</v>
      </c>
    </row>
    <row r="17" spans="1:7" x14ac:dyDescent="0.35">
      <c r="A17">
        <v>16</v>
      </c>
      <c r="B17" s="2">
        <v>46086</v>
      </c>
      <c r="C17" t="s">
        <v>7</v>
      </c>
      <c r="D17" s="1" t="s">
        <v>83</v>
      </c>
      <c r="E17">
        <f t="shared" ref="E17" si="7">VALUE(LEFT(D17, FIND("-", D17)-1))</f>
        <v>4</v>
      </c>
      <c r="F17">
        <f t="shared" ref="F17" si="8">VALUE(MID(D17, FIND("-", D17)+1, 10))</f>
        <v>4</v>
      </c>
      <c r="G17" t="s">
        <v>75</v>
      </c>
    </row>
    <row r="18" spans="1:7" x14ac:dyDescent="0.35">
      <c r="A18">
        <v>17</v>
      </c>
      <c r="B18" s="2">
        <v>46093</v>
      </c>
      <c r="C18" t="s">
        <v>7</v>
      </c>
      <c r="D18" s="1" t="s">
        <v>90</v>
      </c>
      <c r="E18">
        <f t="shared" ref="E18" si="9">VALUE(LEFT(D18, FIND("-", D18)-1))</f>
        <v>3</v>
      </c>
      <c r="F18">
        <f t="shared" ref="F18" si="10">VALUE(MID(D18, FIND("-", D18)+1, 10))</f>
        <v>2</v>
      </c>
      <c r="G18" t="s">
        <v>85</v>
      </c>
    </row>
    <row r="19" spans="1:7" x14ac:dyDescent="0.35">
      <c r="A19">
        <v>18</v>
      </c>
      <c r="B19" s="2">
        <v>46093</v>
      </c>
      <c r="C19" t="s">
        <v>7</v>
      </c>
      <c r="D19" s="1" t="s">
        <v>91</v>
      </c>
      <c r="E19">
        <f t="shared" ref="E19:E23" si="11">VALUE(LEFT(D19, FIND("-", D19)-1))</f>
        <v>4</v>
      </c>
      <c r="F19">
        <f t="shared" ref="F19:F21" si="12">VALUE(MID(D19, FIND("-", D19)+1, 10))</f>
        <v>1</v>
      </c>
      <c r="G19" t="s">
        <v>16</v>
      </c>
    </row>
    <row r="20" spans="1:7" x14ac:dyDescent="0.35">
      <c r="A20">
        <v>19</v>
      </c>
      <c r="B20" s="2">
        <v>46093</v>
      </c>
      <c r="C20" t="s">
        <v>7</v>
      </c>
      <c r="D20" s="1" t="s">
        <v>92</v>
      </c>
      <c r="E20">
        <f t="shared" si="11"/>
        <v>7</v>
      </c>
      <c r="F20">
        <f t="shared" si="12"/>
        <v>4</v>
      </c>
      <c r="G20" t="s">
        <v>85</v>
      </c>
    </row>
    <row r="21" spans="1:7" x14ac:dyDescent="0.35">
      <c r="A21">
        <v>20</v>
      </c>
      <c r="B21" s="2">
        <v>46093</v>
      </c>
      <c r="C21" t="s">
        <v>7</v>
      </c>
      <c r="D21" s="1" t="s">
        <v>93</v>
      </c>
      <c r="E21">
        <f t="shared" si="11"/>
        <v>6</v>
      </c>
      <c r="F21">
        <f t="shared" si="12"/>
        <v>0</v>
      </c>
      <c r="G21" t="s">
        <v>20</v>
      </c>
    </row>
    <row r="22" spans="1:7" x14ac:dyDescent="0.35">
      <c r="A22">
        <v>21</v>
      </c>
      <c r="B22" s="2">
        <v>46100</v>
      </c>
      <c r="C22" t="s">
        <v>7</v>
      </c>
      <c r="D22" s="1" t="s">
        <v>94</v>
      </c>
      <c r="E22">
        <f t="shared" si="11"/>
        <v>8</v>
      </c>
      <c r="F22">
        <f t="shared" ref="F22:F23" si="13">VALUE(MID(D22, FIND("-", D22)+1, 10))</f>
        <v>6</v>
      </c>
      <c r="G22" t="s">
        <v>22</v>
      </c>
    </row>
    <row r="23" spans="1:7" x14ac:dyDescent="0.35">
      <c r="A23">
        <v>22</v>
      </c>
      <c r="B23" s="2">
        <v>46100</v>
      </c>
      <c r="C23" t="s">
        <v>7</v>
      </c>
      <c r="D23" s="1" t="s">
        <v>80</v>
      </c>
      <c r="E23">
        <f t="shared" si="11"/>
        <v>6</v>
      </c>
      <c r="F23">
        <f t="shared" si="13"/>
        <v>6</v>
      </c>
      <c r="G23" t="s">
        <v>66</v>
      </c>
    </row>
    <row r="24" spans="1:7" x14ac:dyDescent="0.35">
      <c r="A24">
        <v>23</v>
      </c>
      <c r="B24" s="2">
        <v>46106</v>
      </c>
      <c r="C24" t="s">
        <v>7</v>
      </c>
      <c r="D24" s="1" t="s">
        <v>97</v>
      </c>
      <c r="E24">
        <f t="shared" ref="E24:E25" si="14">VALUE(LEFT(D24, FIND("-", D24)-1))</f>
        <v>14</v>
      </c>
      <c r="F24">
        <f t="shared" ref="F24:F25" si="15">VALUE(MID(D24, FIND("-", D24)+1, 10))</f>
        <v>10</v>
      </c>
      <c r="G24" t="s">
        <v>22</v>
      </c>
    </row>
    <row r="25" spans="1:7" x14ac:dyDescent="0.35">
      <c r="A25">
        <v>24</v>
      </c>
      <c r="B25" s="2">
        <v>46106</v>
      </c>
      <c r="C25" t="s">
        <v>7</v>
      </c>
      <c r="D25" s="1" t="s">
        <v>96</v>
      </c>
      <c r="E25">
        <f t="shared" si="14"/>
        <v>8</v>
      </c>
      <c r="F25">
        <f t="shared" si="15"/>
        <v>8</v>
      </c>
      <c r="G25" t="s">
        <v>44</v>
      </c>
    </row>
    <row r="26" spans="1:7" x14ac:dyDescent="0.35">
      <c r="A26">
        <v>25</v>
      </c>
      <c r="B26" s="2">
        <v>46114</v>
      </c>
      <c r="C26" t="s">
        <v>7</v>
      </c>
      <c r="D26" s="1" t="s">
        <v>74</v>
      </c>
      <c r="E26">
        <f t="shared" ref="E26" si="16">VALUE(LEFT(D26, FIND("-", D26)-1))</f>
        <v>5</v>
      </c>
      <c r="F26">
        <f t="shared" ref="F26" si="17">VALUE(MID(D26, FIND("-", D26)+1, 10))</f>
        <v>4</v>
      </c>
      <c r="G26" t="s">
        <v>99</v>
      </c>
    </row>
    <row r="27" spans="1:7" x14ac:dyDescent="0.35">
      <c r="A27">
        <v>26</v>
      </c>
      <c r="B27" s="2">
        <v>46121</v>
      </c>
      <c r="C27" t="s">
        <v>7</v>
      </c>
      <c r="D27" s="1" t="s">
        <v>57</v>
      </c>
      <c r="E27">
        <f t="shared" ref="E27" si="18">VALUE(LEFT(D27, FIND("-", D27)-1))</f>
        <v>7</v>
      </c>
      <c r="F27">
        <f t="shared" ref="F27" si="19">VALUE(MID(D27, FIND("-", D27)+1, 10))</f>
        <v>9</v>
      </c>
      <c r="G27" t="s">
        <v>48</v>
      </c>
    </row>
    <row r="28" spans="1:7" x14ac:dyDescent="0.35">
      <c r="A28">
        <v>27</v>
      </c>
      <c r="B28" s="2">
        <v>46128</v>
      </c>
      <c r="C28" t="s">
        <v>7</v>
      </c>
      <c r="D28" s="1" t="s">
        <v>100</v>
      </c>
      <c r="E28">
        <f t="shared" ref="E28" si="20">VALUE(LEFT(D28, FIND("-", D28)-1))</f>
        <v>8</v>
      </c>
      <c r="F28">
        <f t="shared" ref="F28" si="21">VALUE(MID(D28, FIND("-", D28)+1, 10))</f>
        <v>7</v>
      </c>
      <c r="G28" t="s">
        <v>19</v>
      </c>
    </row>
    <row r="29" spans="1:7" x14ac:dyDescent="0.35">
      <c r="A29">
        <v>28</v>
      </c>
      <c r="B29" s="2">
        <v>46135</v>
      </c>
      <c r="C29" t="s">
        <v>7</v>
      </c>
      <c r="D29" s="1" t="s">
        <v>101</v>
      </c>
      <c r="E29">
        <f t="shared" ref="E29:E30" si="22">VALUE(LEFT(D29, FIND("-", D29)-1))</f>
        <v>6</v>
      </c>
      <c r="F29">
        <f t="shared" ref="F29:F30" si="23">VALUE(MID(D29, FIND("-", D29)+1, 10))</f>
        <v>8</v>
      </c>
      <c r="G29" t="s">
        <v>42</v>
      </c>
    </row>
    <row r="30" spans="1:7" x14ac:dyDescent="0.35">
      <c r="A30">
        <v>29</v>
      </c>
      <c r="B30" s="2">
        <v>46135</v>
      </c>
      <c r="C30" t="s">
        <v>7</v>
      </c>
      <c r="D30" s="1" t="s">
        <v>102</v>
      </c>
      <c r="E30">
        <f t="shared" si="22"/>
        <v>1</v>
      </c>
      <c r="F30">
        <f t="shared" si="23"/>
        <v>11</v>
      </c>
      <c r="G30" t="s">
        <v>53</v>
      </c>
    </row>
    <row r="31" spans="1:7" x14ac:dyDescent="0.35">
      <c r="A31">
        <v>30</v>
      </c>
      <c r="B31" s="2">
        <v>46142</v>
      </c>
      <c r="C31" t="s">
        <v>7</v>
      </c>
      <c r="D31" s="1" t="s">
        <v>103</v>
      </c>
      <c r="E31">
        <f t="shared" ref="E31:E32" si="24">VALUE(LEFT(D31, FIND("-", D31)-1))</f>
        <v>7</v>
      </c>
      <c r="F31">
        <f t="shared" ref="F31:F32" si="25">VALUE(MID(D31, FIND("-", D31)+1, 10))</f>
        <v>10</v>
      </c>
      <c r="G31" t="s">
        <v>99</v>
      </c>
    </row>
    <row r="32" spans="1:7" x14ac:dyDescent="0.35">
      <c r="A32">
        <v>31</v>
      </c>
      <c r="B32" s="2">
        <v>46142</v>
      </c>
      <c r="C32" t="s">
        <v>7</v>
      </c>
      <c r="D32" s="1" t="s">
        <v>104</v>
      </c>
      <c r="E32">
        <f t="shared" si="24"/>
        <v>10</v>
      </c>
      <c r="F32">
        <f t="shared" si="25"/>
        <v>5</v>
      </c>
      <c r="G32" t="s">
        <v>19</v>
      </c>
    </row>
    <row r="33" spans="1:7" x14ac:dyDescent="0.35">
      <c r="A33">
        <v>32</v>
      </c>
      <c r="B33" s="2">
        <v>46149</v>
      </c>
      <c r="C33" t="s">
        <v>7</v>
      </c>
      <c r="D33" s="1" t="s">
        <v>105</v>
      </c>
      <c r="E33">
        <f t="shared" ref="E33" si="26">VALUE(LEFT(D33, FIND("-", D33)-1))</f>
        <v>2</v>
      </c>
      <c r="F33">
        <f t="shared" ref="F33" si="27">VALUE(MID(D33, FIND("-", D33)+1, 10))</f>
        <v>4</v>
      </c>
      <c r="G33" t="s">
        <v>89</v>
      </c>
    </row>
    <row r="34" spans="1:7" x14ac:dyDescent="0.35">
      <c r="A34">
        <v>33</v>
      </c>
      <c r="B34" s="2">
        <v>46156</v>
      </c>
      <c r="C34" t="s">
        <v>7</v>
      </c>
      <c r="D34" s="1" t="s">
        <v>106</v>
      </c>
      <c r="E34">
        <f t="shared" ref="E34" si="28">VALUE(LEFT(D34, FIND("-", D34)-1))</f>
        <v>6</v>
      </c>
      <c r="F34">
        <f t="shared" ref="F34" si="29">VALUE(MID(D34, FIND("-", D34)+1, 10))</f>
        <v>4</v>
      </c>
      <c r="G34" t="s">
        <v>98</v>
      </c>
    </row>
    <row r="35" spans="1:7" x14ac:dyDescent="0.35">
      <c r="A35">
        <v>34</v>
      </c>
      <c r="B35" s="2">
        <v>46163</v>
      </c>
      <c r="C35" t="s">
        <v>7</v>
      </c>
      <c r="D35" s="1" t="s">
        <v>107</v>
      </c>
      <c r="E35">
        <f t="shared" ref="E35" si="30">VALUE(LEFT(D35, FIND("-", D35)-1))</f>
        <v>17</v>
      </c>
      <c r="F35">
        <f t="shared" ref="F35" si="31">VALUE(MID(D35, FIND("-", D35)+1, 10))</f>
        <v>8</v>
      </c>
      <c r="G35" t="s">
        <v>98</v>
      </c>
    </row>
    <row r="36" spans="1:7" x14ac:dyDescent="0.35">
      <c r="A36">
        <v>35</v>
      </c>
      <c r="B36" s="2">
        <v>46170</v>
      </c>
      <c r="C36" t="s">
        <v>7</v>
      </c>
      <c r="D36" s="1" t="s">
        <v>108</v>
      </c>
      <c r="E36">
        <f t="shared" ref="E36" si="32">VALUE(LEFT(D36, FIND("-", D36)-1))</f>
        <v>7</v>
      </c>
      <c r="F36">
        <f t="shared" ref="F36" si="33">VALUE(MID(D36, FIND("-", D36)+1, 10))</f>
        <v>5</v>
      </c>
      <c r="G36" t="s">
        <v>41</v>
      </c>
    </row>
    <row r="37" spans="1:7" x14ac:dyDescent="0.35">
      <c r="A37">
        <v>36</v>
      </c>
      <c r="B37" s="2">
        <v>46177</v>
      </c>
      <c r="C37" t="s">
        <v>7</v>
      </c>
      <c r="D37" s="1" t="s">
        <v>109</v>
      </c>
      <c r="E37">
        <f t="shared" ref="E37:E38" si="34">VALUE(LEFT(D37, FIND("-", D37)-1))</f>
        <v>11</v>
      </c>
      <c r="F37">
        <f t="shared" ref="F37:F38" si="35">VALUE(MID(D37, FIND("-", D37)+1, 10))</f>
        <v>11</v>
      </c>
      <c r="G37" t="s">
        <v>19</v>
      </c>
    </row>
    <row r="38" spans="1:7" x14ac:dyDescent="0.35">
      <c r="A38">
        <v>37</v>
      </c>
      <c r="B38" s="2">
        <v>46177</v>
      </c>
      <c r="C38" t="s">
        <v>7</v>
      </c>
      <c r="D38" s="1" t="s">
        <v>110</v>
      </c>
      <c r="E38">
        <f t="shared" si="34"/>
        <v>9</v>
      </c>
      <c r="F38">
        <f t="shared" si="35"/>
        <v>7</v>
      </c>
      <c r="G38" t="s">
        <v>54</v>
      </c>
    </row>
    <row r="39" spans="1:7" x14ac:dyDescent="0.35">
      <c r="A39">
        <v>38</v>
      </c>
      <c r="B39" s="2">
        <v>46184</v>
      </c>
      <c r="C39" t="s">
        <v>7</v>
      </c>
      <c r="D39" s="1" t="s">
        <v>112</v>
      </c>
      <c r="E39">
        <f t="shared" ref="E39" si="36">VALUE(LEFT(D39, FIND("-", D39)-1))</f>
        <v>12</v>
      </c>
      <c r="F39">
        <f t="shared" ref="F39" si="37">VALUE(MID(D39, FIND("-", D39)+1, 10))</f>
        <v>4</v>
      </c>
      <c r="G39" t="s">
        <v>42</v>
      </c>
    </row>
    <row r="40" spans="1:7" x14ac:dyDescent="0.35">
      <c r="A40">
        <v>39</v>
      </c>
      <c r="B40" s="2">
        <v>46191</v>
      </c>
      <c r="C40" t="s">
        <v>7</v>
      </c>
      <c r="D40" s="1" t="s">
        <v>108</v>
      </c>
      <c r="E40">
        <f t="shared" ref="E40" si="38">VALUE(LEFT(D40, FIND("-", D40)-1))</f>
        <v>7</v>
      </c>
      <c r="F40">
        <f t="shared" ref="F40" si="39">VALUE(MID(D40, FIND("-", D40)+1, 10))</f>
        <v>5</v>
      </c>
      <c r="G40" t="s">
        <v>19</v>
      </c>
    </row>
    <row r="41" spans="1:7" x14ac:dyDescent="0.35">
      <c r="A41">
        <v>40</v>
      </c>
      <c r="B41" s="2">
        <v>46198</v>
      </c>
      <c r="C41" t="s">
        <v>7</v>
      </c>
      <c r="D41" s="1" t="s">
        <v>83</v>
      </c>
      <c r="E41">
        <f t="shared" ref="E41" si="40">VALUE(LEFT(D41, FIND("-", D41)-1))</f>
        <v>4</v>
      </c>
      <c r="F41">
        <f t="shared" ref="F41" si="41">VALUE(MID(D41, FIND("-", D41)+1, 10))</f>
        <v>4</v>
      </c>
      <c r="G41" t="s">
        <v>42</v>
      </c>
    </row>
    <row r="42" spans="1:7" x14ac:dyDescent="0.35">
      <c r="A42">
        <v>41</v>
      </c>
      <c r="B42" s="2">
        <v>46205</v>
      </c>
      <c r="C42" t="s">
        <v>7</v>
      </c>
      <c r="D42" s="1" t="s">
        <v>113</v>
      </c>
      <c r="E42">
        <f t="shared" ref="E42:E43" si="42">VALUE(LEFT(D42, FIND("-", D42)-1))</f>
        <v>13</v>
      </c>
      <c r="F42">
        <f t="shared" ref="F42:F43" si="43">VALUE(MID(D42, FIND("-", D42)+1, 10))</f>
        <v>15</v>
      </c>
      <c r="G42" t="s">
        <v>99</v>
      </c>
    </row>
    <row r="43" spans="1:7" x14ac:dyDescent="0.35">
      <c r="A43">
        <v>42</v>
      </c>
      <c r="B43" s="2">
        <v>46205</v>
      </c>
      <c r="C43" t="s">
        <v>7</v>
      </c>
      <c r="D43" s="1" t="s">
        <v>114</v>
      </c>
      <c r="E43">
        <f t="shared" si="42"/>
        <v>9</v>
      </c>
      <c r="F43">
        <f t="shared" si="43"/>
        <v>6</v>
      </c>
      <c r="G43" t="s">
        <v>22</v>
      </c>
    </row>
    <row r="44" spans="1:7" x14ac:dyDescent="0.35">
      <c r="A44">
        <v>43</v>
      </c>
      <c r="B44" s="2">
        <v>46212</v>
      </c>
      <c r="C44" t="s">
        <v>7</v>
      </c>
      <c r="D44" s="1" t="s">
        <v>115</v>
      </c>
      <c r="E44">
        <f t="shared" ref="E44" si="44">VALUE(LEFT(D44, FIND("-", D44)-1))</f>
        <v>12</v>
      </c>
      <c r="F44">
        <f t="shared" ref="F44" si="45">VALUE(MID(D44, FIND("-", D44)+1, 10))</f>
        <v>6</v>
      </c>
      <c r="G44" t="s">
        <v>16</v>
      </c>
    </row>
    <row r="45" spans="1:7" x14ac:dyDescent="0.35">
      <c r="A45">
        <v>44</v>
      </c>
      <c r="B45" s="2">
        <v>46219</v>
      </c>
      <c r="C45" t="s">
        <v>7</v>
      </c>
      <c r="D45" s="1" t="s">
        <v>117</v>
      </c>
      <c r="E45">
        <f t="shared" ref="E45:E46" si="46">VALUE(LEFT(D45, FIND("-", D45)-1))</f>
        <v>8</v>
      </c>
      <c r="F45">
        <f t="shared" ref="F45:F46" si="47">VALUE(MID(D45, FIND("-", D45)+1, 10))</f>
        <v>14</v>
      </c>
      <c r="G45" t="s">
        <v>119</v>
      </c>
    </row>
    <row r="46" spans="1:7" x14ac:dyDescent="0.35">
      <c r="A46">
        <v>45</v>
      </c>
      <c r="B46" s="2">
        <v>46219</v>
      </c>
      <c r="C46" t="s">
        <v>7</v>
      </c>
      <c r="D46" s="1" t="s">
        <v>118</v>
      </c>
      <c r="E46">
        <f t="shared" si="46"/>
        <v>14</v>
      </c>
      <c r="F46">
        <f t="shared" si="47"/>
        <v>15</v>
      </c>
      <c r="G46" t="s">
        <v>22</v>
      </c>
    </row>
    <row r="47" spans="1:7" x14ac:dyDescent="0.35">
      <c r="A47">
        <v>46</v>
      </c>
      <c r="B47" s="2">
        <v>46226</v>
      </c>
      <c r="C47" t="s">
        <v>7</v>
      </c>
      <c r="D47" s="1" t="s">
        <v>122</v>
      </c>
      <c r="E47">
        <f t="shared" ref="E47" si="48">VALUE(LEFT(D47, FIND("-", D47)-1))</f>
        <v>4</v>
      </c>
      <c r="F47">
        <f t="shared" ref="F47" si="49">VALUE(MID(D47, FIND("-", D47)+1, 10))</f>
        <v>5</v>
      </c>
      <c r="G47" t="s">
        <v>19</v>
      </c>
    </row>
    <row r="48" spans="1:7" x14ac:dyDescent="0.35">
      <c r="B48" s="2"/>
    </row>
    <row r="49" spans="2:2" x14ac:dyDescent="0.35">
      <c r="B49" s="2"/>
    </row>
    <row r="50" spans="2:2" x14ac:dyDescent="0.35">
      <c r="B50" s="2"/>
    </row>
    <row r="51" spans="2:2" x14ac:dyDescent="0.35">
      <c r="B51" s="2"/>
    </row>
    <row r="52" spans="2:2" x14ac:dyDescent="0.35">
      <c r="B52" s="2"/>
    </row>
    <row r="53" spans="2:2" x14ac:dyDescent="0.35">
      <c r="B53" s="2"/>
    </row>
    <row r="54" spans="2:2" x14ac:dyDescent="0.35">
      <c r="B54" s="2"/>
    </row>
    <row r="55" spans="2:2" x14ac:dyDescent="0.35">
      <c r="B55" s="2"/>
    </row>
    <row r="56" spans="2:2" x14ac:dyDescent="0.35">
      <c r="B56" s="2"/>
    </row>
    <row r="57" spans="2:2" x14ac:dyDescent="0.35">
      <c r="B57" s="2"/>
    </row>
  </sheetData>
  <phoneticPr fontId="3" type="noConversion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B32C8D9-6A4A-432E-9C63-B4C29A6D6188}">
          <x14:formula1>
            <xm:f>Players!$A:$A</xm:f>
          </x14:formula1>
          <xm:sqref>G1:G1048576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40"/>
  <sheetViews>
    <sheetView tabSelected="1" topLeftCell="A525" workbookViewId="0">
      <selection activeCell="I539" sqref="I539"/>
    </sheetView>
  </sheetViews>
  <sheetFormatPr defaultRowHeight="14.5" x14ac:dyDescent="0.35"/>
  <cols>
    <col min="2" max="2" width="22.90625" style="6" customWidth="1"/>
    <col min="3" max="3" width="14.26953125" customWidth="1"/>
    <col min="5" max="5" width="14" customWidth="1"/>
    <col min="6" max="6" width="17.26953125" customWidth="1"/>
    <col min="8" max="8" width="18.81640625" customWidth="1"/>
  </cols>
  <sheetData>
    <row r="1" spans="1:11" s="4" customFormat="1" x14ac:dyDescent="0.35">
      <c r="A1" s="4" t="s">
        <v>0</v>
      </c>
      <c r="B1" s="6" t="s">
        <v>1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15</v>
      </c>
      <c r="J1" s="4" t="s">
        <v>71</v>
      </c>
      <c r="K1" s="4" t="s">
        <v>76</v>
      </c>
    </row>
    <row r="2" spans="1:11" x14ac:dyDescent="0.35">
      <c r="A2">
        <v>1</v>
      </c>
      <c r="B2" s="6">
        <f>VLOOKUP(A2,Matches!A:B,2,FALSE)</f>
        <v>45974</v>
      </c>
      <c r="C2" t="s">
        <v>16</v>
      </c>
      <c r="D2" t="s">
        <v>17</v>
      </c>
      <c r="E2">
        <f>IF(D2="A", INDEX(Matches!$E:$E, MATCH(A2, Matches!$A:$A, 0)), INDEX(Matches!$F:$F, MATCH(A2, Matches!$A:$A, 0)))</f>
        <v>7</v>
      </c>
      <c r="F2">
        <f>IF(D2="A", INDEX(Matches!$F:$F, MATCH(A2, Matches!$A:$A, 0)), INDEX(Matches!$E:$E, MATCH(A2, Matches!$A:$A, 0)))</f>
        <v>7</v>
      </c>
      <c r="G2" t="str">
        <f t="shared" ref="G2:G35" si="0">IF(E2&gt;F2,"Win",IF(E2&lt;F2,"Loss","Draw"))</f>
        <v>Draw</v>
      </c>
      <c r="H2">
        <v>2</v>
      </c>
      <c r="I2">
        <v>2</v>
      </c>
      <c r="K2" t="str">
        <f>A2&amp;"_"&amp;D2</f>
        <v>1_A</v>
      </c>
    </row>
    <row r="3" spans="1:11" x14ac:dyDescent="0.35">
      <c r="A3">
        <v>1</v>
      </c>
      <c r="B3" s="6">
        <f>VLOOKUP(A3,Matches!A:B,2,FALSE)</f>
        <v>45974</v>
      </c>
      <c r="C3" t="s">
        <v>18</v>
      </c>
      <c r="D3" t="s">
        <v>17</v>
      </c>
      <c r="E3">
        <f>IF(D3="A", INDEX(Matches!$E:$E, MATCH(A3, Matches!$A:$A, 0)), INDEX(Matches!$F:$F, MATCH(A3, Matches!$A:$A, 0)))</f>
        <v>7</v>
      </c>
      <c r="F3">
        <f>IF(D3="A", INDEX(Matches!$F:$F, MATCH(A3, Matches!$A:$A, 0)), INDEX(Matches!$E:$E, MATCH(A3, Matches!$A:$A, 0)))</f>
        <v>7</v>
      </c>
      <c r="G3" t="str">
        <f t="shared" si="0"/>
        <v>Draw</v>
      </c>
      <c r="H3">
        <v>2</v>
      </c>
      <c r="I3">
        <v>0</v>
      </c>
      <c r="K3" t="str">
        <f t="shared" ref="K3:K66" si="1">A3&amp;"_"&amp;D3</f>
        <v>1_A</v>
      </c>
    </row>
    <row r="4" spans="1:11" x14ac:dyDescent="0.35">
      <c r="A4">
        <v>1</v>
      </c>
      <c r="B4" s="6">
        <f>VLOOKUP(A4,Matches!A:B,2,FALSE)</f>
        <v>45974</v>
      </c>
      <c r="C4" t="s">
        <v>19</v>
      </c>
      <c r="D4" t="s">
        <v>17</v>
      </c>
      <c r="E4">
        <f>IF(D4="A", INDEX(Matches!$E:$E, MATCH(A4, Matches!$A:$A, 0)), INDEX(Matches!$F:$F, MATCH(A4, Matches!$A:$A, 0)))</f>
        <v>7</v>
      </c>
      <c r="F4">
        <f>IF(D4="A", INDEX(Matches!$F:$F, MATCH(A4, Matches!$A:$A, 0)), INDEX(Matches!$E:$E, MATCH(A4, Matches!$A:$A, 0)))</f>
        <v>7</v>
      </c>
      <c r="G4" t="str">
        <f t="shared" si="0"/>
        <v>Draw</v>
      </c>
      <c r="H4">
        <v>2</v>
      </c>
      <c r="I4">
        <v>0</v>
      </c>
      <c r="K4" t="str">
        <f t="shared" si="1"/>
        <v>1_A</v>
      </c>
    </row>
    <row r="5" spans="1:11" x14ac:dyDescent="0.35">
      <c r="A5">
        <v>1</v>
      </c>
      <c r="B5" s="6">
        <f>VLOOKUP(A5,Matches!A:B,2,FALSE)</f>
        <v>45974</v>
      </c>
      <c r="C5" t="s">
        <v>20</v>
      </c>
      <c r="D5" t="s">
        <v>17</v>
      </c>
      <c r="E5">
        <f>IF(D5="A", INDEX(Matches!$E:$E, MATCH(A5, Matches!$A:$A, 0)), INDEX(Matches!$F:$F, MATCH(A5, Matches!$A:$A, 0)))</f>
        <v>7</v>
      </c>
      <c r="F5">
        <f>IF(D5="A", INDEX(Matches!$F:$F, MATCH(A5, Matches!$A:$A, 0)), INDEX(Matches!$E:$E, MATCH(A5, Matches!$A:$A, 0)))</f>
        <v>7</v>
      </c>
      <c r="G5" t="str">
        <f t="shared" si="0"/>
        <v>Draw</v>
      </c>
      <c r="H5">
        <v>0</v>
      </c>
      <c r="I5">
        <v>0</v>
      </c>
      <c r="K5" t="str">
        <f t="shared" si="1"/>
        <v>1_A</v>
      </c>
    </row>
    <row r="6" spans="1:11" x14ac:dyDescent="0.35">
      <c r="A6">
        <v>1</v>
      </c>
      <c r="B6" s="6">
        <f>VLOOKUP(A6,Matches!A:B,2,FALSE)</f>
        <v>45974</v>
      </c>
      <c r="C6" t="s">
        <v>21</v>
      </c>
      <c r="D6" t="s">
        <v>17</v>
      </c>
      <c r="E6">
        <f>IF(D6="A", INDEX(Matches!$E:$E, MATCH(A6, Matches!$A:$A, 0)), INDEX(Matches!$F:$F, MATCH(A6, Matches!$A:$A, 0)))</f>
        <v>7</v>
      </c>
      <c r="F6">
        <f>IF(D6="A", INDEX(Matches!$F:$F, MATCH(A6, Matches!$A:$A, 0)), INDEX(Matches!$E:$E, MATCH(A6, Matches!$A:$A, 0)))</f>
        <v>7</v>
      </c>
      <c r="G6" t="str">
        <f t="shared" si="0"/>
        <v>Draw</v>
      </c>
      <c r="H6">
        <v>0</v>
      </c>
      <c r="I6">
        <v>0</v>
      </c>
      <c r="K6" t="str">
        <f t="shared" si="1"/>
        <v>1_A</v>
      </c>
    </row>
    <row r="7" spans="1:11" x14ac:dyDescent="0.35">
      <c r="A7">
        <v>1</v>
      </c>
      <c r="B7" s="6">
        <f>VLOOKUP(A7,Matches!A:B,2,FALSE)</f>
        <v>45974</v>
      </c>
      <c r="C7" t="s">
        <v>22</v>
      </c>
      <c r="D7" t="s">
        <v>23</v>
      </c>
      <c r="E7">
        <f>IF(D7="A", INDEX(Matches!$E:$E, MATCH(A7, Matches!$A:$A, 0)), INDEX(Matches!$F:$F, MATCH(A7, Matches!$A:$A, 0)))</f>
        <v>7</v>
      </c>
      <c r="F7">
        <f>IF(D7="A", INDEX(Matches!$F:$F, MATCH(A7, Matches!$A:$A, 0)), INDEX(Matches!$E:$E, MATCH(A7, Matches!$A:$A, 0)))</f>
        <v>7</v>
      </c>
      <c r="G7" t="str">
        <f t="shared" si="0"/>
        <v>Draw</v>
      </c>
      <c r="H7">
        <v>0</v>
      </c>
      <c r="I7">
        <v>0</v>
      </c>
      <c r="K7" t="str">
        <f t="shared" si="1"/>
        <v>1_B</v>
      </c>
    </row>
    <row r="8" spans="1:11" x14ac:dyDescent="0.35">
      <c r="A8">
        <v>1</v>
      </c>
      <c r="B8" s="6">
        <f>VLOOKUP(A8,Matches!A:B,2,FALSE)</f>
        <v>45974</v>
      </c>
      <c r="C8" t="s">
        <v>24</v>
      </c>
      <c r="D8" t="s">
        <v>23</v>
      </c>
      <c r="E8">
        <f>IF(D8="A", INDEX(Matches!$E:$E, MATCH(A8, Matches!$A:$A, 0)), INDEX(Matches!$F:$F, MATCH(A8, Matches!$A:$A, 0)))</f>
        <v>7</v>
      </c>
      <c r="F8">
        <f>IF(D8="A", INDEX(Matches!$F:$F, MATCH(A8, Matches!$A:$A, 0)), INDEX(Matches!$E:$E, MATCH(A8, Matches!$A:$A, 0)))</f>
        <v>7</v>
      </c>
      <c r="G8" t="str">
        <f t="shared" si="0"/>
        <v>Draw</v>
      </c>
      <c r="H8">
        <v>1</v>
      </c>
      <c r="I8">
        <v>0</v>
      </c>
      <c r="K8" t="str">
        <f t="shared" si="1"/>
        <v>1_B</v>
      </c>
    </row>
    <row r="9" spans="1:11" x14ac:dyDescent="0.35">
      <c r="A9">
        <v>1</v>
      </c>
      <c r="B9" s="6">
        <f>VLOOKUP(A9,Matches!A:B,2,FALSE)</f>
        <v>45974</v>
      </c>
      <c r="C9" t="s">
        <v>25</v>
      </c>
      <c r="D9" t="s">
        <v>23</v>
      </c>
      <c r="E9">
        <f>IF(D9="A", INDEX(Matches!$E:$E, MATCH(A9, Matches!$A:$A, 0)), INDEX(Matches!$F:$F, MATCH(A9, Matches!$A:$A, 0)))</f>
        <v>7</v>
      </c>
      <c r="F9">
        <f>IF(D9="A", INDEX(Matches!$F:$F, MATCH(A9, Matches!$A:$A, 0)), INDEX(Matches!$E:$E, MATCH(A9, Matches!$A:$A, 0)))</f>
        <v>7</v>
      </c>
      <c r="G9" t="str">
        <f t="shared" si="0"/>
        <v>Draw</v>
      </c>
      <c r="H9">
        <v>0</v>
      </c>
      <c r="I9">
        <v>0</v>
      </c>
      <c r="K9" t="str">
        <f t="shared" si="1"/>
        <v>1_B</v>
      </c>
    </row>
    <row r="10" spans="1:11" x14ac:dyDescent="0.35">
      <c r="A10">
        <v>1</v>
      </c>
      <c r="B10" s="6">
        <f>VLOOKUP(A10,Matches!A:B,2,FALSE)</f>
        <v>45974</v>
      </c>
      <c r="C10" t="s">
        <v>26</v>
      </c>
      <c r="D10" t="s">
        <v>23</v>
      </c>
      <c r="E10">
        <f>IF(D10="A", INDEX(Matches!$E:$E, MATCH(A10, Matches!$A:$A, 0)), INDEX(Matches!$F:$F, MATCH(A10, Matches!$A:$A, 0)))</f>
        <v>7</v>
      </c>
      <c r="F10">
        <f>IF(D10="A", INDEX(Matches!$F:$F, MATCH(A10, Matches!$A:$A, 0)), INDEX(Matches!$E:$E, MATCH(A10, Matches!$A:$A, 0)))</f>
        <v>7</v>
      </c>
      <c r="G10" t="str">
        <f t="shared" si="0"/>
        <v>Draw</v>
      </c>
      <c r="H10">
        <v>3</v>
      </c>
      <c r="I10">
        <v>2</v>
      </c>
      <c r="K10" t="str">
        <f t="shared" si="1"/>
        <v>1_B</v>
      </c>
    </row>
    <row r="11" spans="1:11" x14ac:dyDescent="0.35">
      <c r="A11">
        <v>1</v>
      </c>
      <c r="B11" s="6">
        <f>VLOOKUP(A11,Matches!A:B,2,FALSE)</f>
        <v>45974</v>
      </c>
      <c r="C11" t="s">
        <v>27</v>
      </c>
      <c r="D11" t="s">
        <v>23</v>
      </c>
      <c r="E11">
        <f>IF(D11="A", INDEX(Matches!$E:$E, MATCH(A11, Matches!$A:$A, 0)), INDEX(Matches!$F:$F, MATCH(A11, Matches!$A:$A, 0)))</f>
        <v>7</v>
      </c>
      <c r="F11">
        <f>IF(D11="A", INDEX(Matches!$F:$F, MATCH(A11, Matches!$A:$A, 0)), INDEX(Matches!$E:$E, MATCH(A11, Matches!$A:$A, 0)))</f>
        <v>7</v>
      </c>
      <c r="G11" t="str">
        <f t="shared" si="0"/>
        <v>Draw</v>
      </c>
      <c r="H11">
        <v>0</v>
      </c>
      <c r="I11">
        <v>0</v>
      </c>
      <c r="K11" t="str">
        <f t="shared" si="1"/>
        <v>1_B</v>
      </c>
    </row>
    <row r="12" spans="1:11" x14ac:dyDescent="0.35">
      <c r="A12">
        <v>2</v>
      </c>
      <c r="B12" s="6">
        <f>VLOOKUP(A12,Matches!A:B,2,FALSE)</f>
        <v>45981</v>
      </c>
      <c r="C12" t="s">
        <v>53</v>
      </c>
      <c r="D12" t="s">
        <v>17</v>
      </c>
      <c r="E12">
        <f>IF(D12="A", INDEX(Matches!$E:$E, MATCH(A12, Matches!$A:$A, 0)), INDEX(Matches!$F:$F, MATCH(A12, Matches!$A:$A, 0)))</f>
        <v>5</v>
      </c>
      <c r="F12">
        <f>IF(D12="A", INDEX(Matches!$F:$F, MATCH(A12, Matches!$A:$A, 0)), INDEX(Matches!$E:$E, MATCH(A12, Matches!$A:$A, 0)))</f>
        <v>7</v>
      </c>
      <c r="G12" t="str">
        <f t="shared" si="0"/>
        <v>Loss</v>
      </c>
      <c r="H12">
        <v>1</v>
      </c>
      <c r="I12">
        <v>0</v>
      </c>
      <c r="K12" t="str">
        <f t="shared" si="1"/>
        <v>2_A</v>
      </c>
    </row>
    <row r="13" spans="1:11" x14ac:dyDescent="0.35">
      <c r="A13">
        <v>2</v>
      </c>
      <c r="B13" s="6">
        <f>VLOOKUP(A13,Matches!A:B,2,FALSE)</f>
        <v>45981</v>
      </c>
      <c r="C13" t="s">
        <v>19</v>
      </c>
      <c r="D13" t="s">
        <v>17</v>
      </c>
      <c r="E13">
        <f>IF(D13="A", INDEX(Matches!$E:$E, MATCH(A13, Matches!$A:$A, 0)), INDEX(Matches!$F:$F, MATCH(A13, Matches!$A:$A, 0)))</f>
        <v>5</v>
      </c>
      <c r="F13">
        <f>IF(D13="A", INDEX(Matches!$F:$F, MATCH(A13, Matches!$A:$A, 0)), INDEX(Matches!$E:$E, MATCH(A13, Matches!$A:$A, 0)))</f>
        <v>7</v>
      </c>
      <c r="G13" t="str">
        <f t="shared" si="0"/>
        <v>Loss</v>
      </c>
      <c r="H13">
        <v>1</v>
      </c>
      <c r="I13">
        <v>0</v>
      </c>
      <c r="K13" t="str">
        <f t="shared" si="1"/>
        <v>2_A</v>
      </c>
    </row>
    <row r="14" spans="1:11" x14ac:dyDescent="0.35">
      <c r="A14">
        <v>2</v>
      </c>
      <c r="B14" s="6">
        <f>VLOOKUP(A14,Matches!A:B,2,FALSE)</f>
        <v>45981</v>
      </c>
      <c r="C14" t="s">
        <v>20</v>
      </c>
      <c r="D14" t="s">
        <v>17</v>
      </c>
      <c r="E14">
        <f>IF(D14="A", INDEX(Matches!$E:$E, MATCH(A14, Matches!$A:$A, 0)), INDEX(Matches!$F:$F, MATCH(A14, Matches!$A:$A, 0)))</f>
        <v>5</v>
      </c>
      <c r="F14">
        <f>IF(D14="A", INDEX(Matches!$F:$F, MATCH(A14, Matches!$A:$A, 0)), INDEX(Matches!$E:$E, MATCH(A14, Matches!$A:$A, 0)))</f>
        <v>7</v>
      </c>
      <c r="G14" t="str">
        <f t="shared" si="0"/>
        <v>Loss</v>
      </c>
      <c r="H14">
        <v>1</v>
      </c>
      <c r="I14">
        <v>0</v>
      </c>
      <c r="K14" t="str">
        <f t="shared" si="1"/>
        <v>2_A</v>
      </c>
    </row>
    <row r="15" spans="1:11" x14ac:dyDescent="0.35">
      <c r="A15">
        <v>2</v>
      </c>
      <c r="B15" s="6">
        <f>VLOOKUP(A15,Matches!A:B,2,FALSE)</f>
        <v>45981</v>
      </c>
      <c r="C15" t="s">
        <v>42</v>
      </c>
      <c r="D15" t="s">
        <v>17</v>
      </c>
      <c r="E15">
        <f>IF(D15="A", INDEX(Matches!$E:$E, MATCH(A15, Matches!$A:$A, 0)), INDEX(Matches!$F:$F, MATCH(A15, Matches!$A:$A, 0)))</f>
        <v>5</v>
      </c>
      <c r="F15">
        <f>IF(D15="A", INDEX(Matches!$F:$F, MATCH(A15, Matches!$A:$A, 0)), INDEX(Matches!$E:$E, MATCH(A15, Matches!$A:$A, 0)))</f>
        <v>7</v>
      </c>
      <c r="G15" t="str">
        <f t="shared" si="0"/>
        <v>Loss</v>
      </c>
      <c r="H15">
        <v>1</v>
      </c>
      <c r="I15">
        <v>0</v>
      </c>
      <c r="K15" t="str">
        <f t="shared" si="1"/>
        <v>2_A</v>
      </c>
    </row>
    <row r="16" spans="1:11" x14ac:dyDescent="0.35">
      <c r="A16">
        <v>2</v>
      </c>
      <c r="B16" s="6">
        <f>VLOOKUP(A16,Matches!A:B,2,FALSE)</f>
        <v>45981</v>
      </c>
      <c r="C16" t="s">
        <v>43</v>
      </c>
      <c r="D16" t="s">
        <v>17</v>
      </c>
      <c r="E16">
        <f>IF(D16="A", INDEX(Matches!$E:$E, MATCH(A16, Matches!$A:$A, 0)), INDEX(Matches!$F:$F, MATCH(A16, Matches!$A:$A, 0)))</f>
        <v>5</v>
      </c>
      <c r="F16">
        <f>IF(D16="A", INDEX(Matches!$F:$F, MATCH(A16, Matches!$A:$A, 0)), INDEX(Matches!$E:$E, MATCH(A16, Matches!$A:$A, 0)))</f>
        <v>7</v>
      </c>
      <c r="G16" t="str">
        <f t="shared" si="0"/>
        <v>Loss</v>
      </c>
      <c r="H16">
        <v>0</v>
      </c>
      <c r="I16">
        <v>0</v>
      </c>
      <c r="K16" t="str">
        <f t="shared" si="1"/>
        <v>2_A</v>
      </c>
    </row>
    <row r="17" spans="1:11" x14ac:dyDescent="0.35">
      <c r="A17">
        <v>2</v>
      </c>
      <c r="B17" s="6">
        <f>VLOOKUP(A17,Matches!A:B,2,FALSE)</f>
        <v>45981</v>
      </c>
      <c r="C17" t="s">
        <v>21</v>
      </c>
      <c r="D17" t="s">
        <v>17</v>
      </c>
      <c r="E17">
        <f>IF(D17="A", INDEX(Matches!$E:$E, MATCH(A17, Matches!$A:$A, 0)), INDEX(Matches!$F:$F, MATCH(A17, Matches!$A:$A, 0)))</f>
        <v>5</v>
      </c>
      <c r="F17">
        <f>IF(D17="A", INDEX(Matches!$F:$F, MATCH(A17, Matches!$A:$A, 0)), INDEX(Matches!$E:$E, MATCH(A17, Matches!$A:$A, 0)))</f>
        <v>7</v>
      </c>
      <c r="G17" t="str">
        <f t="shared" si="0"/>
        <v>Loss</v>
      </c>
      <c r="H17">
        <v>1</v>
      </c>
      <c r="I17">
        <v>0</v>
      </c>
      <c r="K17" t="str">
        <f t="shared" si="1"/>
        <v>2_A</v>
      </c>
    </row>
    <row r="18" spans="1:11" x14ac:dyDescent="0.35">
      <c r="A18">
        <v>2</v>
      </c>
      <c r="B18" s="6">
        <f>VLOOKUP(A18,Matches!A:B,2,FALSE)</f>
        <v>45981</v>
      </c>
      <c r="C18" t="s">
        <v>54</v>
      </c>
      <c r="D18" t="s">
        <v>17</v>
      </c>
      <c r="E18">
        <f>IF(D18="A", INDEX(Matches!$E:$E, MATCH(A18, Matches!$A:$A, 0)), INDEX(Matches!$F:$F, MATCH(A18, Matches!$A:$A, 0)))</f>
        <v>5</v>
      </c>
      <c r="F18">
        <f>IF(D18="A", INDEX(Matches!$F:$F, MATCH(A18, Matches!$A:$A, 0)), INDEX(Matches!$E:$E, MATCH(A18, Matches!$A:$A, 0)))</f>
        <v>7</v>
      </c>
      <c r="G18" t="str">
        <f t="shared" si="0"/>
        <v>Loss</v>
      </c>
      <c r="H18">
        <v>0</v>
      </c>
      <c r="I18">
        <v>0</v>
      </c>
      <c r="K18" t="str">
        <f t="shared" si="1"/>
        <v>2_A</v>
      </c>
    </row>
    <row r="19" spans="1:11" x14ac:dyDescent="0.35">
      <c r="A19">
        <v>2</v>
      </c>
      <c r="B19" s="6">
        <f>VLOOKUP(A19,Matches!A:B,2,FALSE)</f>
        <v>45981</v>
      </c>
      <c r="C19" t="s">
        <v>22</v>
      </c>
      <c r="D19" t="s">
        <v>23</v>
      </c>
      <c r="E19">
        <f>IF(D19="A", INDEX(Matches!$E:$E, MATCH(A19, Matches!$A:$A, 0)), INDEX(Matches!$F:$F, MATCH(A19, Matches!$A:$A, 0)))</f>
        <v>7</v>
      </c>
      <c r="F19">
        <f>IF(D19="A", INDEX(Matches!$F:$F, MATCH(A19, Matches!$A:$A, 0)), INDEX(Matches!$E:$E, MATCH(A19, Matches!$A:$A, 0)))</f>
        <v>5</v>
      </c>
      <c r="G19" t="str">
        <f t="shared" si="0"/>
        <v>Win</v>
      </c>
      <c r="H19">
        <v>0</v>
      </c>
      <c r="I19">
        <v>0</v>
      </c>
      <c r="K19" t="str">
        <f t="shared" si="1"/>
        <v>2_B</v>
      </c>
    </row>
    <row r="20" spans="1:11" x14ac:dyDescent="0.35">
      <c r="A20">
        <v>2</v>
      </c>
      <c r="B20" s="6">
        <f>VLOOKUP(A20,Matches!A:B,2,FALSE)</f>
        <v>45981</v>
      </c>
      <c r="C20" t="s">
        <v>25</v>
      </c>
      <c r="D20" t="s">
        <v>23</v>
      </c>
      <c r="E20">
        <f>IF(D20="A", INDEX(Matches!$E:$E, MATCH(A20, Matches!$A:$A, 0)), INDEX(Matches!$F:$F, MATCH(A20, Matches!$A:$A, 0)))</f>
        <v>7</v>
      </c>
      <c r="F20">
        <f>IF(D20="A", INDEX(Matches!$F:$F, MATCH(A20, Matches!$A:$A, 0)), INDEX(Matches!$E:$E, MATCH(A20, Matches!$A:$A, 0)))</f>
        <v>5</v>
      </c>
      <c r="G20" t="str">
        <f t="shared" si="0"/>
        <v>Win</v>
      </c>
      <c r="H20">
        <v>2</v>
      </c>
      <c r="I20">
        <v>0</v>
      </c>
      <c r="K20" t="str">
        <f t="shared" si="1"/>
        <v>2_B</v>
      </c>
    </row>
    <row r="21" spans="1:11" x14ac:dyDescent="0.35">
      <c r="A21">
        <v>2</v>
      </c>
      <c r="B21" s="6">
        <f>VLOOKUP(A21,Matches!A:B,2,FALSE)</f>
        <v>45981</v>
      </c>
      <c r="C21" t="s">
        <v>24</v>
      </c>
      <c r="D21" t="s">
        <v>23</v>
      </c>
      <c r="E21">
        <f>IF(D21="A", INDEX(Matches!$E:$E, MATCH(A21, Matches!$A:$A, 0)), INDEX(Matches!$F:$F, MATCH(A21, Matches!$A:$A, 0)))</f>
        <v>7</v>
      </c>
      <c r="F21">
        <f>IF(D21="A", INDEX(Matches!$F:$F, MATCH(A21, Matches!$A:$A, 0)), INDEX(Matches!$E:$E, MATCH(A21, Matches!$A:$A, 0)))</f>
        <v>5</v>
      </c>
      <c r="G21" t="str">
        <f t="shared" si="0"/>
        <v>Win</v>
      </c>
      <c r="H21">
        <v>0</v>
      </c>
      <c r="I21">
        <v>0</v>
      </c>
      <c r="K21" t="str">
        <f t="shared" si="1"/>
        <v>2_B</v>
      </c>
    </row>
    <row r="22" spans="1:11" x14ac:dyDescent="0.35">
      <c r="A22">
        <v>2</v>
      </c>
      <c r="B22" s="6">
        <f>VLOOKUP(A22,Matches!A:B,2,FALSE)</f>
        <v>45981</v>
      </c>
      <c r="C22" t="s">
        <v>26</v>
      </c>
      <c r="D22" t="s">
        <v>23</v>
      </c>
      <c r="E22">
        <f>IF(D22="A", INDEX(Matches!$E:$E, MATCH(A22, Matches!$A:$A, 0)), INDEX(Matches!$F:$F, MATCH(A22, Matches!$A:$A, 0)))</f>
        <v>7</v>
      </c>
      <c r="F22">
        <f>IF(D22="A", INDEX(Matches!$F:$F, MATCH(A22, Matches!$A:$A, 0)), INDEX(Matches!$E:$E, MATCH(A22, Matches!$A:$A, 0)))</f>
        <v>5</v>
      </c>
      <c r="G22" t="str">
        <f t="shared" si="0"/>
        <v>Win</v>
      </c>
      <c r="H22">
        <v>2</v>
      </c>
      <c r="I22">
        <v>0</v>
      </c>
      <c r="K22" t="str">
        <f t="shared" si="1"/>
        <v>2_B</v>
      </c>
    </row>
    <row r="23" spans="1:11" x14ac:dyDescent="0.35">
      <c r="A23">
        <v>2</v>
      </c>
      <c r="B23" s="6">
        <f>VLOOKUP(A23,Matches!A:B,2,FALSE)</f>
        <v>45981</v>
      </c>
      <c r="C23" t="s">
        <v>50</v>
      </c>
      <c r="D23" t="s">
        <v>23</v>
      </c>
      <c r="E23">
        <f>IF(D23="A", INDEX(Matches!$E:$E, MATCH(A23, Matches!$A:$A, 0)), INDEX(Matches!$F:$F, MATCH(A23, Matches!$A:$A, 0)))</f>
        <v>7</v>
      </c>
      <c r="F23">
        <f>IF(D23="A", INDEX(Matches!$F:$F, MATCH(A23, Matches!$A:$A, 0)), INDEX(Matches!$E:$E, MATCH(A23, Matches!$A:$A, 0)))</f>
        <v>5</v>
      </c>
      <c r="G23" t="str">
        <f t="shared" si="0"/>
        <v>Win</v>
      </c>
      <c r="H23">
        <v>2</v>
      </c>
      <c r="I23">
        <v>0</v>
      </c>
      <c r="K23" t="str">
        <f t="shared" si="1"/>
        <v>2_B</v>
      </c>
    </row>
    <row r="24" spans="1:11" x14ac:dyDescent="0.35">
      <c r="A24">
        <v>2</v>
      </c>
      <c r="B24" s="6">
        <f>VLOOKUP(A24,Matches!A:B,2,FALSE)</f>
        <v>45981</v>
      </c>
      <c r="C24" t="s">
        <v>46</v>
      </c>
      <c r="D24" t="s">
        <v>23</v>
      </c>
      <c r="E24">
        <f>IF(D24="A", INDEX(Matches!$E:$E, MATCH(A24, Matches!$A:$A, 0)), INDEX(Matches!$F:$F, MATCH(A24, Matches!$A:$A, 0)))</f>
        <v>7</v>
      </c>
      <c r="F24">
        <f>IF(D24="A", INDEX(Matches!$F:$F, MATCH(A24, Matches!$A:$A, 0)), INDEX(Matches!$E:$E, MATCH(A24, Matches!$A:$A, 0)))</f>
        <v>5</v>
      </c>
      <c r="G24" t="str">
        <f t="shared" si="0"/>
        <v>Win</v>
      </c>
      <c r="H24">
        <v>1</v>
      </c>
      <c r="I24">
        <v>0</v>
      </c>
      <c r="K24" t="str">
        <f t="shared" si="1"/>
        <v>2_B</v>
      </c>
    </row>
    <row r="25" spans="1:11" x14ac:dyDescent="0.35">
      <c r="A25">
        <v>2</v>
      </c>
      <c r="B25" s="6">
        <f>VLOOKUP(A25,Matches!A:B,2,FALSE)</f>
        <v>45981</v>
      </c>
      <c r="C25" t="s">
        <v>40</v>
      </c>
      <c r="D25" t="s">
        <v>23</v>
      </c>
      <c r="E25">
        <f>IF(D25="A", INDEX(Matches!$E:$E, MATCH(A25, Matches!$A:$A, 0)), INDEX(Matches!$F:$F, MATCH(A25, Matches!$A:$A, 0)))</f>
        <v>7</v>
      </c>
      <c r="F25">
        <f>IF(D25="A", INDEX(Matches!$F:$F, MATCH(A25, Matches!$A:$A, 0)), INDEX(Matches!$E:$E, MATCH(A25, Matches!$A:$A, 0)))</f>
        <v>5</v>
      </c>
      <c r="G25" t="str">
        <f t="shared" si="0"/>
        <v>Win</v>
      </c>
      <c r="H25">
        <v>0</v>
      </c>
      <c r="I25">
        <v>0</v>
      </c>
      <c r="K25" t="str">
        <f t="shared" si="1"/>
        <v>2_B</v>
      </c>
    </row>
    <row r="26" spans="1:11" x14ac:dyDescent="0.35">
      <c r="A26">
        <v>3</v>
      </c>
      <c r="B26" s="6">
        <v>45988</v>
      </c>
      <c r="C26" t="s">
        <v>53</v>
      </c>
      <c r="D26" t="s">
        <v>17</v>
      </c>
      <c r="E26">
        <f>IF(D26="A", INDEX(Matches!$E:$E, MATCH(A26, Matches!$A:$A, 0)), INDEX(Matches!$F:$F, MATCH(A26, Matches!$A:$A, 0)))</f>
        <v>7</v>
      </c>
      <c r="F26">
        <f>IF(D26="A", INDEX(Matches!$F:$F, MATCH(A26, Matches!$A:$A, 0)), INDEX(Matches!$E:$E, MATCH(A26, Matches!$A:$A, 0)))</f>
        <v>9</v>
      </c>
      <c r="G26" t="str">
        <f t="shared" si="0"/>
        <v>Loss</v>
      </c>
      <c r="H26">
        <v>2</v>
      </c>
      <c r="I26">
        <v>1</v>
      </c>
      <c r="K26" t="str">
        <f t="shared" si="1"/>
        <v>3_A</v>
      </c>
    </row>
    <row r="27" spans="1:11" x14ac:dyDescent="0.35">
      <c r="A27">
        <v>3</v>
      </c>
      <c r="B27" s="6">
        <v>45988</v>
      </c>
      <c r="C27" t="s">
        <v>44</v>
      </c>
      <c r="D27" t="s">
        <v>17</v>
      </c>
      <c r="E27">
        <f>IF(D27="A", INDEX(Matches!$E:$E, MATCH(A27, Matches!$A:$A, 0)), INDEX(Matches!$F:$F, MATCH(A27, Matches!$A:$A, 0)))</f>
        <v>7</v>
      </c>
      <c r="F27">
        <f>IF(D27="A", INDEX(Matches!$F:$F, MATCH(A27, Matches!$A:$A, 0)), INDEX(Matches!$E:$E, MATCH(A27, Matches!$A:$A, 0)))</f>
        <v>9</v>
      </c>
      <c r="G27" t="str">
        <f t="shared" si="0"/>
        <v>Loss</v>
      </c>
      <c r="H27">
        <v>1</v>
      </c>
      <c r="I27">
        <v>0</v>
      </c>
      <c r="K27" t="str">
        <f t="shared" si="1"/>
        <v>3_A</v>
      </c>
    </row>
    <row r="28" spans="1:11" x14ac:dyDescent="0.35">
      <c r="A28">
        <v>3</v>
      </c>
      <c r="B28" s="6">
        <v>45988</v>
      </c>
      <c r="C28" t="s">
        <v>46</v>
      </c>
      <c r="D28" t="s">
        <v>17</v>
      </c>
      <c r="E28">
        <f>IF(D28="A", INDEX(Matches!$E:$E, MATCH(A28, Matches!$A:$A, 0)), INDEX(Matches!$F:$F, MATCH(A28, Matches!$A:$A, 0)))</f>
        <v>7</v>
      </c>
      <c r="F28">
        <f>IF(D28="A", INDEX(Matches!$F:$F, MATCH(A28, Matches!$A:$A, 0)), INDEX(Matches!$E:$E, MATCH(A28, Matches!$A:$A, 0)))</f>
        <v>9</v>
      </c>
      <c r="G28" t="str">
        <f t="shared" si="0"/>
        <v>Loss</v>
      </c>
      <c r="H28">
        <v>4</v>
      </c>
      <c r="I28">
        <v>0</v>
      </c>
      <c r="K28" t="str">
        <f t="shared" si="1"/>
        <v>3_A</v>
      </c>
    </row>
    <row r="29" spans="1:11" x14ac:dyDescent="0.35">
      <c r="A29">
        <v>3</v>
      </c>
      <c r="B29" s="6">
        <v>45988</v>
      </c>
      <c r="C29" t="s">
        <v>25</v>
      </c>
      <c r="D29" t="s">
        <v>17</v>
      </c>
      <c r="E29">
        <f>IF(D29="A", INDEX(Matches!$E:$E, MATCH(A29, Matches!$A:$A, 0)), INDEX(Matches!$F:$F, MATCH(A29, Matches!$A:$A, 0)))</f>
        <v>7</v>
      </c>
      <c r="F29">
        <f>IF(D29="A", INDEX(Matches!$F:$F, MATCH(A29, Matches!$A:$A, 0)), INDEX(Matches!$E:$E, MATCH(A29, Matches!$A:$A, 0)))</f>
        <v>9</v>
      </c>
      <c r="G29" t="str">
        <f t="shared" si="0"/>
        <v>Loss</v>
      </c>
      <c r="H29">
        <v>0</v>
      </c>
      <c r="I29">
        <v>1</v>
      </c>
      <c r="K29" t="str">
        <f t="shared" si="1"/>
        <v>3_A</v>
      </c>
    </row>
    <row r="30" spans="1:11" x14ac:dyDescent="0.35">
      <c r="A30">
        <v>3</v>
      </c>
      <c r="B30" s="6">
        <v>45988</v>
      </c>
      <c r="C30" t="s">
        <v>21</v>
      </c>
      <c r="D30" t="s">
        <v>17</v>
      </c>
      <c r="E30">
        <f>IF(D30="A", INDEX(Matches!$E:$E, MATCH(A30, Matches!$A:$A, 0)), INDEX(Matches!$F:$F, MATCH(A30, Matches!$A:$A, 0)))</f>
        <v>7</v>
      </c>
      <c r="F30">
        <f>IF(D30="A", INDEX(Matches!$F:$F, MATCH(A30, Matches!$A:$A, 0)), INDEX(Matches!$E:$E, MATCH(A30, Matches!$A:$A, 0)))</f>
        <v>9</v>
      </c>
      <c r="G30" t="str">
        <f t="shared" si="0"/>
        <v>Loss</v>
      </c>
      <c r="H30">
        <v>0</v>
      </c>
      <c r="I30">
        <v>2</v>
      </c>
      <c r="K30" t="str">
        <f t="shared" si="1"/>
        <v>3_A</v>
      </c>
    </row>
    <row r="31" spans="1:11" x14ac:dyDescent="0.35">
      <c r="A31">
        <v>3</v>
      </c>
      <c r="B31" s="6">
        <v>45988</v>
      </c>
      <c r="C31" t="s">
        <v>19</v>
      </c>
      <c r="D31" t="s">
        <v>23</v>
      </c>
      <c r="E31">
        <f>IF(D31="A", INDEX(Matches!$E:$E, MATCH(A31, Matches!$A:$A, 0)), INDEX(Matches!$F:$F, MATCH(A31, Matches!$A:$A, 0)))</f>
        <v>9</v>
      </c>
      <c r="F31">
        <f>IF(D31="A", INDEX(Matches!$F:$F, MATCH(A31, Matches!$A:$A, 0)), INDEX(Matches!$E:$E, MATCH(A31, Matches!$A:$A, 0)))</f>
        <v>7</v>
      </c>
      <c r="G31" t="str">
        <f t="shared" si="0"/>
        <v>Win</v>
      </c>
      <c r="H31">
        <v>3</v>
      </c>
      <c r="I31">
        <v>3</v>
      </c>
      <c r="K31" t="str">
        <f t="shared" si="1"/>
        <v>3_B</v>
      </c>
    </row>
    <row r="32" spans="1:11" x14ac:dyDescent="0.35">
      <c r="A32">
        <v>3</v>
      </c>
      <c r="B32" s="6">
        <v>45988</v>
      </c>
      <c r="C32" t="s">
        <v>22</v>
      </c>
      <c r="D32" t="s">
        <v>23</v>
      </c>
      <c r="E32">
        <f>IF(D32="A", INDEX(Matches!$E:$E, MATCH(A32, Matches!$A:$A, 0)), INDEX(Matches!$F:$F, MATCH(A32, Matches!$A:$A, 0)))</f>
        <v>9</v>
      </c>
      <c r="F32">
        <f>IF(D32="A", INDEX(Matches!$F:$F, MATCH(A32, Matches!$A:$A, 0)), INDEX(Matches!$E:$E, MATCH(A32, Matches!$A:$A, 0)))</f>
        <v>7</v>
      </c>
      <c r="G32" t="str">
        <f t="shared" si="0"/>
        <v>Win</v>
      </c>
      <c r="H32">
        <v>2</v>
      </c>
      <c r="I32">
        <v>1</v>
      </c>
      <c r="K32" t="str">
        <f t="shared" si="1"/>
        <v>3_B</v>
      </c>
    </row>
    <row r="33" spans="1:11" x14ac:dyDescent="0.35">
      <c r="A33">
        <v>3</v>
      </c>
      <c r="B33" s="6">
        <v>45988</v>
      </c>
      <c r="C33" t="s">
        <v>42</v>
      </c>
      <c r="D33" t="s">
        <v>23</v>
      </c>
      <c r="E33">
        <f>IF(D33="A", INDEX(Matches!$E:$E, MATCH(A33, Matches!$A:$A, 0)), INDEX(Matches!$F:$F, MATCH(A33, Matches!$A:$A, 0)))</f>
        <v>9</v>
      </c>
      <c r="F33">
        <f>IF(D33="A", INDEX(Matches!$F:$F, MATCH(A33, Matches!$A:$A, 0)), INDEX(Matches!$E:$E, MATCH(A33, Matches!$A:$A, 0)))</f>
        <v>7</v>
      </c>
      <c r="G33" t="str">
        <f t="shared" si="0"/>
        <v>Win</v>
      </c>
      <c r="H33">
        <v>3</v>
      </c>
      <c r="I33">
        <v>1</v>
      </c>
      <c r="K33" t="str">
        <f t="shared" si="1"/>
        <v>3_B</v>
      </c>
    </row>
    <row r="34" spans="1:11" x14ac:dyDescent="0.35">
      <c r="A34">
        <v>3</v>
      </c>
      <c r="B34" s="6">
        <v>45988</v>
      </c>
      <c r="C34" t="s">
        <v>49</v>
      </c>
      <c r="D34" t="s">
        <v>23</v>
      </c>
      <c r="E34">
        <f>IF(D34="A", INDEX(Matches!$E:$E, MATCH(A34, Matches!$A:$A, 0)), INDEX(Matches!$F:$F, MATCH(A34, Matches!$A:$A, 0)))</f>
        <v>9</v>
      </c>
      <c r="F34">
        <f>IF(D34="A", INDEX(Matches!$F:$F, MATCH(A34, Matches!$A:$A, 0)), INDEX(Matches!$E:$E, MATCH(A34, Matches!$A:$A, 0)))</f>
        <v>7</v>
      </c>
      <c r="G34" t="str">
        <f t="shared" si="0"/>
        <v>Win</v>
      </c>
      <c r="H34">
        <v>1</v>
      </c>
      <c r="I34">
        <v>1</v>
      </c>
      <c r="K34" t="str">
        <f t="shared" si="1"/>
        <v>3_B</v>
      </c>
    </row>
    <row r="35" spans="1:11" x14ac:dyDescent="0.35">
      <c r="A35">
        <v>3</v>
      </c>
      <c r="B35" s="6">
        <v>45988</v>
      </c>
      <c r="C35" t="s">
        <v>43</v>
      </c>
      <c r="D35" t="s">
        <v>23</v>
      </c>
      <c r="E35">
        <f>IF(D35="A", INDEX(Matches!$E:$E, MATCH(A35, Matches!$A:$A, 0)), INDEX(Matches!$F:$F, MATCH(A35, Matches!$A:$A, 0)))</f>
        <v>9</v>
      </c>
      <c r="F35">
        <f>IF(D35="A", INDEX(Matches!$F:$F, MATCH(A35, Matches!$A:$A, 0)), INDEX(Matches!$E:$E, MATCH(A35, Matches!$A:$A, 0)))</f>
        <v>7</v>
      </c>
      <c r="G35" t="str">
        <f t="shared" si="0"/>
        <v>Win</v>
      </c>
      <c r="H35">
        <v>0</v>
      </c>
      <c r="I35">
        <v>1</v>
      </c>
      <c r="K35" t="str">
        <f t="shared" si="1"/>
        <v>3_B</v>
      </c>
    </row>
    <row r="36" spans="1:11" x14ac:dyDescent="0.35">
      <c r="A36">
        <v>4</v>
      </c>
      <c r="B36" s="6">
        <v>45995</v>
      </c>
      <c r="C36" t="s">
        <v>53</v>
      </c>
      <c r="D36" t="s">
        <v>17</v>
      </c>
      <c r="E36">
        <f>IF(D36="A", INDEX(Matches!$E:$E, MATCH(A36, Matches!$A:$A, 0)), INDEX(Matches!$F:$F, MATCH(A36, Matches!$A:$A, 0)))</f>
        <v>13</v>
      </c>
      <c r="F36">
        <f>IF(D36="A", INDEX(Matches!$F:$F, MATCH(A36, Matches!$A:$A, 0)), INDEX(Matches!$E:$E, MATCH(A36, Matches!$A:$A, 0)))</f>
        <v>8</v>
      </c>
      <c r="G36" t="str">
        <f t="shared" ref="G36:G76" si="2">IF(E36&gt;F36,"Win",IF(E36&lt;F36,"Loss","Draw"))</f>
        <v>Win</v>
      </c>
      <c r="H36">
        <v>3</v>
      </c>
      <c r="I36">
        <v>3</v>
      </c>
      <c r="K36" t="str">
        <f t="shared" si="1"/>
        <v>4_A</v>
      </c>
    </row>
    <row r="37" spans="1:11" x14ac:dyDescent="0.35">
      <c r="A37">
        <v>4</v>
      </c>
      <c r="B37" s="6">
        <v>45995</v>
      </c>
      <c r="C37" t="s">
        <v>25</v>
      </c>
      <c r="D37" t="s">
        <v>17</v>
      </c>
      <c r="E37">
        <f>IF(D37="A", INDEX(Matches!$E:$E, MATCH(A37, Matches!$A:$A, 0)), INDEX(Matches!$F:$F, MATCH(A37, Matches!$A:$A, 0)))</f>
        <v>13</v>
      </c>
      <c r="F37">
        <f>IF(D37="A", INDEX(Matches!$F:$F, MATCH(A37, Matches!$A:$A, 0)), INDEX(Matches!$E:$E, MATCH(A37, Matches!$A:$A, 0)))</f>
        <v>8</v>
      </c>
      <c r="G37" t="str">
        <f t="shared" si="2"/>
        <v>Win</v>
      </c>
      <c r="H37">
        <v>1</v>
      </c>
      <c r="I37">
        <v>2</v>
      </c>
      <c r="K37" t="str">
        <f t="shared" si="1"/>
        <v>4_A</v>
      </c>
    </row>
    <row r="38" spans="1:11" x14ac:dyDescent="0.35">
      <c r="A38">
        <v>4</v>
      </c>
      <c r="B38" s="6">
        <v>45995</v>
      </c>
      <c r="C38" t="s">
        <v>19</v>
      </c>
      <c r="D38" t="s">
        <v>17</v>
      </c>
      <c r="E38">
        <f>IF(D38="A", INDEX(Matches!$E:$E, MATCH(A38, Matches!$A:$A, 0)), INDEX(Matches!$F:$F, MATCH(A38, Matches!$A:$A, 0)))</f>
        <v>13</v>
      </c>
      <c r="F38">
        <f>IF(D38="A", INDEX(Matches!$F:$F, MATCH(A38, Matches!$A:$A, 0)), INDEX(Matches!$E:$E, MATCH(A38, Matches!$A:$A, 0)))</f>
        <v>8</v>
      </c>
      <c r="G38" t="str">
        <f t="shared" si="2"/>
        <v>Win</v>
      </c>
      <c r="H38">
        <v>5</v>
      </c>
      <c r="I38">
        <v>3</v>
      </c>
      <c r="K38" t="str">
        <f t="shared" si="1"/>
        <v>4_A</v>
      </c>
    </row>
    <row r="39" spans="1:11" x14ac:dyDescent="0.35">
      <c r="A39">
        <v>4</v>
      </c>
      <c r="B39" s="6">
        <v>45995</v>
      </c>
      <c r="C39" t="s">
        <v>59</v>
      </c>
      <c r="D39" t="s">
        <v>17</v>
      </c>
      <c r="E39">
        <f>IF(D39="A", INDEX(Matches!$E:$E, MATCH(A39, Matches!$A:$A, 0)), INDEX(Matches!$F:$F, MATCH(A39, Matches!$A:$A, 0)))</f>
        <v>13</v>
      </c>
      <c r="F39">
        <f>IF(D39="A", INDEX(Matches!$F:$F, MATCH(A39, Matches!$A:$A, 0)), INDEX(Matches!$E:$E, MATCH(A39, Matches!$A:$A, 0)))</f>
        <v>8</v>
      </c>
      <c r="G39" t="str">
        <f t="shared" si="2"/>
        <v>Win</v>
      </c>
      <c r="H39">
        <v>2</v>
      </c>
      <c r="I39">
        <v>2</v>
      </c>
      <c r="K39" t="str">
        <f t="shared" si="1"/>
        <v>4_A</v>
      </c>
    </row>
    <row r="40" spans="1:11" x14ac:dyDescent="0.35">
      <c r="A40">
        <v>4</v>
      </c>
      <c r="B40" s="6">
        <v>45995</v>
      </c>
      <c r="C40" t="s">
        <v>60</v>
      </c>
      <c r="D40" t="s">
        <v>17</v>
      </c>
      <c r="E40">
        <f>IF(D40="A", INDEX(Matches!$E:$E, MATCH(A40, Matches!$A:$A, 0)), INDEX(Matches!$F:$F, MATCH(A40, Matches!$A:$A, 0)))</f>
        <v>13</v>
      </c>
      <c r="F40">
        <f>IF(D40="A", INDEX(Matches!$F:$F, MATCH(A40, Matches!$A:$A, 0)), INDEX(Matches!$E:$E, MATCH(A40, Matches!$A:$A, 0)))</f>
        <v>8</v>
      </c>
      <c r="G40" t="str">
        <f t="shared" si="2"/>
        <v>Win</v>
      </c>
      <c r="H40">
        <v>2</v>
      </c>
      <c r="I40">
        <v>0</v>
      </c>
      <c r="K40" t="str">
        <f t="shared" si="1"/>
        <v>4_A</v>
      </c>
    </row>
    <row r="41" spans="1:11" x14ac:dyDescent="0.35">
      <c r="A41">
        <v>4</v>
      </c>
      <c r="B41" s="6">
        <v>45995</v>
      </c>
      <c r="C41" t="s">
        <v>16</v>
      </c>
      <c r="D41" t="s">
        <v>23</v>
      </c>
      <c r="E41">
        <f>IF(D41="A", INDEX(Matches!$E:$E, MATCH(A41, Matches!$A:$A, 0)), INDEX(Matches!$F:$F, MATCH(A41, Matches!$A:$A, 0)))</f>
        <v>8</v>
      </c>
      <c r="F41">
        <f>IF(D41="A", INDEX(Matches!$F:$F, MATCH(A41, Matches!$A:$A, 0)), INDEX(Matches!$E:$E, MATCH(A41, Matches!$A:$A, 0)))</f>
        <v>13</v>
      </c>
      <c r="G41" t="str">
        <f t="shared" si="2"/>
        <v>Loss</v>
      </c>
      <c r="H41">
        <v>5</v>
      </c>
      <c r="I41">
        <v>1</v>
      </c>
      <c r="K41" t="str">
        <f t="shared" si="1"/>
        <v>4_B</v>
      </c>
    </row>
    <row r="42" spans="1:11" x14ac:dyDescent="0.35">
      <c r="A42">
        <v>4</v>
      </c>
      <c r="B42" s="6">
        <v>45995</v>
      </c>
      <c r="C42" t="s">
        <v>42</v>
      </c>
      <c r="D42" t="s">
        <v>23</v>
      </c>
      <c r="E42">
        <f>IF(D42="A", INDEX(Matches!$E:$E, MATCH(A42, Matches!$A:$A, 0)), INDEX(Matches!$F:$F, MATCH(A42, Matches!$A:$A, 0)))</f>
        <v>8</v>
      </c>
      <c r="F42">
        <f>IF(D42="A", INDEX(Matches!$F:$F, MATCH(A42, Matches!$A:$A, 0)), INDEX(Matches!$E:$E, MATCH(A42, Matches!$A:$A, 0)))</f>
        <v>13</v>
      </c>
      <c r="G42" t="str">
        <f t="shared" si="2"/>
        <v>Loss</v>
      </c>
      <c r="H42">
        <v>2</v>
      </c>
      <c r="I42">
        <v>2</v>
      </c>
      <c r="K42" t="str">
        <f t="shared" si="1"/>
        <v>4_B</v>
      </c>
    </row>
    <row r="43" spans="1:11" x14ac:dyDescent="0.35">
      <c r="A43">
        <v>4</v>
      </c>
      <c r="B43" s="6">
        <v>45995</v>
      </c>
      <c r="C43" t="s">
        <v>21</v>
      </c>
      <c r="D43" t="s">
        <v>23</v>
      </c>
      <c r="E43">
        <f>IF(D43="A", INDEX(Matches!$E:$E, MATCH(A43, Matches!$A:$A, 0)), INDEX(Matches!$F:$F, MATCH(A43, Matches!$A:$A, 0)))</f>
        <v>8</v>
      </c>
      <c r="F43">
        <f>IF(D43="A", INDEX(Matches!$F:$F, MATCH(A43, Matches!$A:$A, 0)), INDEX(Matches!$E:$E, MATCH(A43, Matches!$A:$A, 0)))</f>
        <v>13</v>
      </c>
      <c r="G43" t="str">
        <f t="shared" si="2"/>
        <v>Loss</v>
      </c>
      <c r="H43">
        <v>0</v>
      </c>
      <c r="I43">
        <v>0</v>
      </c>
      <c r="K43" t="str">
        <f t="shared" si="1"/>
        <v>4_B</v>
      </c>
    </row>
    <row r="44" spans="1:11" x14ac:dyDescent="0.35">
      <c r="A44">
        <v>4</v>
      </c>
      <c r="B44" s="6">
        <v>45995</v>
      </c>
      <c r="C44" t="s">
        <v>61</v>
      </c>
      <c r="D44" t="s">
        <v>23</v>
      </c>
      <c r="E44">
        <f>IF(D44="A", INDEX(Matches!$E:$E, MATCH(A44, Matches!$A:$A, 0)), INDEX(Matches!$F:$F, MATCH(A44, Matches!$A:$A, 0)))</f>
        <v>8</v>
      </c>
      <c r="F44">
        <f>IF(D44="A", INDEX(Matches!$F:$F, MATCH(A44, Matches!$A:$A, 0)), INDEX(Matches!$E:$E, MATCH(A44, Matches!$A:$A, 0)))</f>
        <v>13</v>
      </c>
      <c r="G44" t="str">
        <f t="shared" si="2"/>
        <v>Loss</v>
      </c>
      <c r="H44">
        <v>0</v>
      </c>
      <c r="I44">
        <v>0</v>
      </c>
      <c r="K44" t="str">
        <f t="shared" si="1"/>
        <v>4_B</v>
      </c>
    </row>
    <row r="45" spans="1:11" x14ac:dyDescent="0.35">
      <c r="A45">
        <v>4</v>
      </c>
      <c r="B45" s="6">
        <v>45995</v>
      </c>
      <c r="C45" t="s">
        <v>62</v>
      </c>
      <c r="D45" t="s">
        <v>23</v>
      </c>
      <c r="E45">
        <f>IF(D45="A", INDEX(Matches!$E:$E, MATCH(A45, Matches!$A:$A, 0)), INDEX(Matches!$F:$F, MATCH(A45, Matches!$A:$A, 0)))</f>
        <v>8</v>
      </c>
      <c r="F45">
        <f>IF(D45="A", INDEX(Matches!$F:$F, MATCH(A45, Matches!$A:$A, 0)), INDEX(Matches!$E:$E, MATCH(A45, Matches!$A:$A, 0)))</f>
        <v>13</v>
      </c>
      <c r="G45" t="str">
        <f t="shared" si="2"/>
        <v>Loss</v>
      </c>
      <c r="H45">
        <v>1</v>
      </c>
      <c r="I45">
        <v>3</v>
      </c>
      <c r="K45" t="str">
        <f t="shared" si="1"/>
        <v>4_B</v>
      </c>
    </row>
    <row r="46" spans="1:11" x14ac:dyDescent="0.35">
      <c r="A46">
        <v>5</v>
      </c>
      <c r="B46" s="6">
        <v>46002</v>
      </c>
      <c r="C46" t="s">
        <v>53</v>
      </c>
      <c r="D46" t="s">
        <v>17</v>
      </c>
      <c r="E46">
        <f>IF(D46="A", INDEX(Matches!$E:$E, MATCH(A46, Matches!$A:$A, 0)), INDEX(Matches!$F:$F, MATCH(A46, Matches!$A:$A, 0)))</f>
        <v>10</v>
      </c>
      <c r="F46">
        <f>IF(D46="A", INDEX(Matches!$F:$F, MATCH(A46, Matches!$A:$A, 0)), INDEX(Matches!$E:$E, MATCH(A46, Matches!$A:$A, 0)))</f>
        <v>8</v>
      </c>
      <c r="G46" t="str">
        <f t="shared" si="2"/>
        <v>Win</v>
      </c>
      <c r="H46">
        <v>2</v>
      </c>
      <c r="I46">
        <v>0</v>
      </c>
      <c r="K46" t="str">
        <f t="shared" si="1"/>
        <v>5_A</v>
      </c>
    </row>
    <row r="47" spans="1:11" x14ac:dyDescent="0.35">
      <c r="A47">
        <v>5</v>
      </c>
      <c r="B47" s="6">
        <v>46002</v>
      </c>
      <c r="C47" t="s">
        <v>46</v>
      </c>
      <c r="D47" t="s">
        <v>17</v>
      </c>
      <c r="E47">
        <f>IF(D47="A", INDEX(Matches!$E:$E, MATCH(A47, Matches!$A:$A, 0)), INDEX(Matches!$F:$F, MATCH(A47, Matches!$A:$A, 0)))</f>
        <v>10</v>
      </c>
      <c r="F47">
        <f>IF(D47="A", INDEX(Matches!$F:$F, MATCH(A47, Matches!$A:$A, 0)), INDEX(Matches!$E:$E, MATCH(A47, Matches!$A:$A, 0)))</f>
        <v>8</v>
      </c>
      <c r="G47" t="str">
        <f t="shared" si="2"/>
        <v>Win</v>
      </c>
      <c r="H47">
        <v>4</v>
      </c>
      <c r="I47">
        <v>0</v>
      </c>
      <c r="K47" t="str">
        <f t="shared" si="1"/>
        <v>5_A</v>
      </c>
    </row>
    <row r="48" spans="1:11" x14ac:dyDescent="0.35">
      <c r="A48">
        <v>5</v>
      </c>
      <c r="B48" s="6">
        <v>46002</v>
      </c>
      <c r="C48" t="s">
        <v>44</v>
      </c>
      <c r="D48" t="s">
        <v>17</v>
      </c>
      <c r="E48">
        <f>IF(D48="A", INDEX(Matches!$E:$E, MATCH(A48, Matches!$A:$A, 0)), INDEX(Matches!$F:$F, MATCH(A48, Matches!$A:$A, 0)))</f>
        <v>10</v>
      </c>
      <c r="F48">
        <f>IF(D48="A", INDEX(Matches!$F:$F, MATCH(A48, Matches!$A:$A, 0)), INDEX(Matches!$E:$E, MATCH(A48, Matches!$A:$A, 0)))</f>
        <v>8</v>
      </c>
      <c r="G48" t="str">
        <f t="shared" si="2"/>
        <v>Win</v>
      </c>
      <c r="H48">
        <v>1</v>
      </c>
      <c r="I48">
        <v>4</v>
      </c>
      <c r="K48" t="str">
        <f t="shared" si="1"/>
        <v>5_A</v>
      </c>
    </row>
    <row r="49" spans="1:11" x14ac:dyDescent="0.35">
      <c r="A49">
        <v>5</v>
      </c>
      <c r="B49" s="6">
        <v>46002</v>
      </c>
      <c r="C49" t="s">
        <v>60</v>
      </c>
      <c r="D49" t="s">
        <v>17</v>
      </c>
      <c r="E49">
        <f>IF(D49="A", INDEX(Matches!$E:$E, MATCH(A49, Matches!$A:$A, 0)), INDEX(Matches!$F:$F, MATCH(A49, Matches!$A:$A, 0)))</f>
        <v>10</v>
      </c>
      <c r="F49">
        <f>IF(D49="A", INDEX(Matches!$F:$F, MATCH(A49, Matches!$A:$A, 0)), INDEX(Matches!$E:$E, MATCH(A49, Matches!$A:$A, 0)))</f>
        <v>8</v>
      </c>
      <c r="G49" t="str">
        <f t="shared" si="2"/>
        <v>Win</v>
      </c>
      <c r="H49">
        <v>1</v>
      </c>
      <c r="I49">
        <v>1</v>
      </c>
      <c r="K49" t="str">
        <f t="shared" si="1"/>
        <v>5_A</v>
      </c>
    </row>
    <row r="50" spans="1:11" x14ac:dyDescent="0.35">
      <c r="A50">
        <v>5</v>
      </c>
      <c r="B50" s="6">
        <v>46002</v>
      </c>
      <c r="C50" t="s">
        <v>64</v>
      </c>
      <c r="D50" t="s">
        <v>17</v>
      </c>
      <c r="E50">
        <f>IF(D50="A", INDEX(Matches!$E:$E, MATCH(A50, Matches!$A:$A, 0)), INDEX(Matches!$F:$F, MATCH(A50, Matches!$A:$A, 0)))</f>
        <v>10</v>
      </c>
      <c r="F50">
        <f>IF(D50="A", INDEX(Matches!$F:$F, MATCH(A50, Matches!$A:$A, 0)), INDEX(Matches!$E:$E, MATCH(A50, Matches!$A:$A, 0)))</f>
        <v>8</v>
      </c>
      <c r="G50" t="str">
        <f t="shared" si="2"/>
        <v>Win</v>
      </c>
      <c r="H50">
        <v>2</v>
      </c>
      <c r="I50">
        <v>3</v>
      </c>
      <c r="K50" t="str">
        <f t="shared" si="1"/>
        <v>5_A</v>
      </c>
    </row>
    <row r="51" spans="1:11" x14ac:dyDescent="0.35">
      <c r="A51">
        <v>5</v>
      </c>
      <c r="B51" s="6">
        <v>46002</v>
      </c>
      <c r="C51" t="s">
        <v>25</v>
      </c>
      <c r="D51" t="s">
        <v>23</v>
      </c>
      <c r="E51">
        <f>IF(D51="A", INDEX(Matches!$E:$E, MATCH(A51, Matches!$A:$A, 0)), INDEX(Matches!$F:$F, MATCH(A51, Matches!$A:$A, 0)))</f>
        <v>8</v>
      </c>
      <c r="F51">
        <f>IF(D51="A", INDEX(Matches!$F:$F, MATCH(A51, Matches!$A:$A, 0)), INDEX(Matches!$E:$E, MATCH(A51, Matches!$A:$A, 0)))</f>
        <v>10</v>
      </c>
      <c r="G51" t="str">
        <f t="shared" si="2"/>
        <v>Loss</v>
      </c>
      <c r="H51">
        <v>2</v>
      </c>
      <c r="I51">
        <v>1</v>
      </c>
      <c r="K51" t="str">
        <f t="shared" si="1"/>
        <v>5_B</v>
      </c>
    </row>
    <row r="52" spans="1:11" x14ac:dyDescent="0.35">
      <c r="A52">
        <v>5</v>
      </c>
      <c r="B52" s="6">
        <v>46002</v>
      </c>
      <c r="C52" t="s">
        <v>42</v>
      </c>
      <c r="D52" t="s">
        <v>23</v>
      </c>
      <c r="E52">
        <f>IF(D52="A", INDEX(Matches!$E:$E, MATCH(A52, Matches!$A:$A, 0)), INDEX(Matches!$F:$F, MATCH(A52, Matches!$A:$A, 0)))</f>
        <v>8</v>
      </c>
      <c r="F52">
        <f>IF(D52="A", INDEX(Matches!$F:$F, MATCH(A52, Matches!$A:$A, 0)), INDEX(Matches!$E:$E, MATCH(A52, Matches!$A:$A, 0)))</f>
        <v>10</v>
      </c>
      <c r="G52" t="str">
        <f t="shared" si="2"/>
        <v>Loss</v>
      </c>
      <c r="H52">
        <v>0</v>
      </c>
      <c r="I52">
        <v>1</v>
      </c>
      <c r="K52" t="str">
        <f t="shared" si="1"/>
        <v>5_B</v>
      </c>
    </row>
    <row r="53" spans="1:11" x14ac:dyDescent="0.35">
      <c r="A53">
        <v>5</v>
      </c>
      <c r="B53" s="6">
        <v>46002</v>
      </c>
      <c r="C53" t="s">
        <v>21</v>
      </c>
      <c r="D53" t="s">
        <v>23</v>
      </c>
      <c r="E53">
        <f>IF(D53="A", INDEX(Matches!$E:$E, MATCH(A53, Matches!$A:$A, 0)), INDEX(Matches!$F:$F, MATCH(A53, Matches!$A:$A, 0)))</f>
        <v>8</v>
      </c>
      <c r="F53">
        <f>IF(D53="A", INDEX(Matches!$F:$F, MATCH(A53, Matches!$A:$A, 0)), INDEX(Matches!$E:$E, MATCH(A53, Matches!$A:$A, 0)))</f>
        <v>10</v>
      </c>
      <c r="G53" t="str">
        <f t="shared" si="2"/>
        <v>Loss</v>
      </c>
      <c r="H53">
        <v>4</v>
      </c>
      <c r="I53">
        <v>0</v>
      </c>
      <c r="K53" t="str">
        <f t="shared" si="1"/>
        <v>5_B</v>
      </c>
    </row>
    <row r="54" spans="1:11" x14ac:dyDescent="0.35">
      <c r="A54">
        <v>5</v>
      </c>
      <c r="B54" s="6">
        <v>46002</v>
      </c>
      <c r="C54" t="s">
        <v>40</v>
      </c>
      <c r="D54" t="s">
        <v>23</v>
      </c>
      <c r="E54">
        <f>IF(D54="A", INDEX(Matches!$E:$E, MATCH(A54, Matches!$A:$A, 0)), INDEX(Matches!$F:$F, MATCH(A54, Matches!$A:$A, 0)))</f>
        <v>8</v>
      </c>
      <c r="F54">
        <f>IF(D54="A", INDEX(Matches!$F:$F, MATCH(A54, Matches!$A:$A, 0)), INDEX(Matches!$E:$E, MATCH(A54, Matches!$A:$A, 0)))</f>
        <v>10</v>
      </c>
      <c r="G54" t="str">
        <f t="shared" si="2"/>
        <v>Loss</v>
      </c>
      <c r="H54">
        <v>0</v>
      </c>
      <c r="I54">
        <v>1</v>
      </c>
      <c r="K54" t="str">
        <f t="shared" si="1"/>
        <v>5_B</v>
      </c>
    </row>
    <row r="55" spans="1:11" x14ac:dyDescent="0.35">
      <c r="A55">
        <v>5</v>
      </c>
      <c r="B55" s="6">
        <v>46002</v>
      </c>
      <c r="C55" t="s">
        <v>51</v>
      </c>
      <c r="D55" t="s">
        <v>23</v>
      </c>
      <c r="E55">
        <f>IF(D55="A", INDEX(Matches!$E:$E, MATCH(A55, Matches!$A:$A, 0)), INDEX(Matches!$F:$F, MATCH(A55, Matches!$A:$A, 0)))</f>
        <v>8</v>
      </c>
      <c r="F55">
        <f>IF(D55="A", INDEX(Matches!$F:$F, MATCH(A55, Matches!$A:$A, 0)), INDEX(Matches!$E:$E, MATCH(A55, Matches!$A:$A, 0)))</f>
        <v>10</v>
      </c>
      <c r="G55" t="str">
        <f t="shared" si="2"/>
        <v>Loss</v>
      </c>
      <c r="H55">
        <v>1</v>
      </c>
      <c r="I55">
        <v>2</v>
      </c>
      <c r="K55" t="str">
        <f t="shared" si="1"/>
        <v>5_B</v>
      </c>
    </row>
    <row r="56" spans="1:11" x14ac:dyDescent="0.35">
      <c r="A56">
        <v>6</v>
      </c>
      <c r="B56" s="6">
        <v>46009</v>
      </c>
      <c r="C56" t="s">
        <v>53</v>
      </c>
      <c r="D56" t="s">
        <v>17</v>
      </c>
      <c r="E56">
        <f>IF(D56="A", INDEX(Matches!$E:$E, MATCH(A56, Matches!$A:$A, 0)), INDEX(Matches!$F:$F, MATCH(A56, Matches!$A:$A, 0)))</f>
        <v>16</v>
      </c>
      <c r="F56">
        <f>IF(D56="A", INDEX(Matches!$F:$F, MATCH(A56, Matches!$A:$A, 0)), INDEX(Matches!$E:$E, MATCH(A56, Matches!$A:$A, 0)))</f>
        <v>17</v>
      </c>
      <c r="G56" t="str">
        <f t="shared" si="2"/>
        <v>Loss</v>
      </c>
      <c r="H56">
        <v>3</v>
      </c>
      <c r="I56">
        <v>2</v>
      </c>
      <c r="K56" t="str">
        <f t="shared" si="1"/>
        <v>6_A</v>
      </c>
    </row>
    <row r="57" spans="1:11" x14ac:dyDescent="0.35">
      <c r="A57">
        <v>6</v>
      </c>
      <c r="B57" s="6">
        <v>46009</v>
      </c>
      <c r="C57" t="s">
        <v>46</v>
      </c>
      <c r="D57" t="s">
        <v>17</v>
      </c>
      <c r="E57">
        <f>IF(D57="A", INDEX(Matches!$E:$E, MATCH(A57, Matches!$A:$A, 0)), INDEX(Matches!$F:$F, MATCH(A57, Matches!$A:$A, 0)))</f>
        <v>16</v>
      </c>
      <c r="F57">
        <f>IF(D57="A", INDEX(Matches!$F:$F, MATCH(A57, Matches!$A:$A, 0)), INDEX(Matches!$E:$E, MATCH(A57, Matches!$A:$A, 0)))</f>
        <v>17</v>
      </c>
      <c r="G57" t="str">
        <f t="shared" si="2"/>
        <v>Loss</v>
      </c>
      <c r="H57">
        <v>2</v>
      </c>
      <c r="I57">
        <v>4</v>
      </c>
      <c r="K57" t="str">
        <f t="shared" si="1"/>
        <v>6_A</v>
      </c>
    </row>
    <row r="58" spans="1:11" x14ac:dyDescent="0.35">
      <c r="A58">
        <v>6</v>
      </c>
      <c r="B58" s="6">
        <v>46009</v>
      </c>
      <c r="C58" t="s">
        <v>22</v>
      </c>
      <c r="D58" t="s">
        <v>17</v>
      </c>
      <c r="E58">
        <f>IF(D58="A", INDEX(Matches!$E:$E, MATCH(A58, Matches!$A:$A, 0)), INDEX(Matches!$F:$F, MATCH(A58, Matches!$A:$A, 0)))</f>
        <v>16</v>
      </c>
      <c r="F58">
        <f>IF(D58="A", INDEX(Matches!$F:$F, MATCH(A58, Matches!$A:$A, 0)), INDEX(Matches!$E:$E, MATCH(A58, Matches!$A:$A, 0)))</f>
        <v>17</v>
      </c>
      <c r="G58" t="str">
        <f t="shared" si="2"/>
        <v>Loss</v>
      </c>
      <c r="H58">
        <v>6</v>
      </c>
      <c r="I58">
        <v>1</v>
      </c>
      <c r="K58" t="str">
        <f t="shared" si="1"/>
        <v>6_A</v>
      </c>
    </row>
    <row r="59" spans="1:11" x14ac:dyDescent="0.35">
      <c r="A59">
        <v>6</v>
      </c>
      <c r="B59" s="6">
        <v>46009</v>
      </c>
      <c r="C59" t="s">
        <v>60</v>
      </c>
      <c r="D59" t="s">
        <v>17</v>
      </c>
      <c r="E59">
        <f>IF(D59="A", INDEX(Matches!$E:$E, MATCH(A59, Matches!$A:$A, 0)), INDEX(Matches!$F:$F, MATCH(A59, Matches!$A:$A, 0)))</f>
        <v>16</v>
      </c>
      <c r="F59">
        <f>IF(D59="A", INDEX(Matches!$F:$F, MATCH(A59, Matches!$A:$A, 0)), INDEX(Matches!$E:$E, MATCH(A59, Matches!$A:$A, 0)))</f>
        <v>17</v>
      </c>
      <c r="G59" t="str">
        <f t="shared" si="2"/>
        <v>Loss</v>
      </c>
      <c r="H59">
        <v>1</v>
      </c>
      <c r="I59">
        <v>0</v>
      </c>
      <c r="K59" t="str">
        <f t="shared" si="1"/>
        <v>6_A</v>
      </c>
    </row>
    <row r="60" spans="1:11" x14ac:dyDescent="0.35">
      <c r="A60">
        <v>6</v>
      </c>
      <c r="B60" s="6">
        <v>46009</v>
      </c>
      <c r="C60" t="s">
        <v>42</v>
      </c>
      <c r="D60" t="s">
        <v>17</v>
      </c>
      <c r="E60">
        <f>IF(D60="A", INDEX(Matches!$E:$E, MATCH(A60, Matches!$A:$A, 0)), INDEX(Matches!$F:$F, MATCH(A60, Matches!$A:$A, 0)))</f>
        <v>16</v>
      </c>
      <c r="F60">
        <f>IF(D60="A", INDEX(Matches!$F:$F, MATCH(A60, Matches!$A:$A, 0)), INDEX(Matches!$E:$E, MATCH(A60, Matches!$A:$A, 0)))</f>
        <v>17</v>
      </c>
      <c r="J60" t="s">
        <v>67</v>
      </c>
      <c r="K60" t="str">
        <f t="shared" si="1"/>
        <v>6_A</v>
      </c>
    </row>
    <row r="61" spans="1:11" x14ac:dyDescent="0.35">
      <c r="A61">
        <v>6</v>
      </c>
      <c r="B61" s="6">
        <v>46009</v>
      </c>
      <c r="C61" t="s">
        <v>66</v>
      </c>
      <c r="D61" t="s">
        <v>23</v>
      </c>
      <c r="E61">
        <f>IF(D61="A", INDEX(Matches!$E:$E, MATCH(A61, Matches!$A:$A, 0)), INDEX(Matches!$F:$F, MATCH(A61, Matches!$A:$A, 0)))</f>
        <v>17</v>
      </c>
      <c r="F61">
        <f>IF(D61="A", INDEX(Matches!$F:$F, MATCH(A61, Matches!$A:$A, 0)), INDEX(Matches!$E:$E, MATCH(A61, Matches!$A:$A, 0)))</f>
        <v>16</v>
      </c>
      <c r="G61" t="str">
        <f t="shared" si="2"/>
        <v>Win</v>
      </c>
      <c r="H61">
        <v>8</v>
      </c>
      <c r="I61">
        <v>1</v>
      </c>
      <c r="K61" t="str">
        <f t="shared" si="1"/>
        <v>6_B</v>
      </c>
    </row>
    <row r="62" spans="1:11" x14ac:dyDescent="0.35">
      <c r="A62">
        <v>6</v>
      </c>
      <c r="B62" s="6">
        <v>46009</v>
      </c>
      <c r="C62" t="s">
        <v>19</v>
      </c>
      <c r="D62" t="s">
        <v>23</v>
      </c>
      <c r="E62">
        <f>IF(D62="A", INDEX(Matches!$E:$E, MATCH(A62, Matches!$A:$A, 0)), INDEX(Matches!$F:$F, MATCH(A62, Matches!$A:$A, 0)))</f>
        <v>17</v>
      </c>
      <c r="F62">
        <f>IF(D62="A", INDEX(Matches!$F:$F, MATCH(A62, Matches!$A:$A, 0)), INDEX(Matches!$E:$E, MATCH(A62, Matches!$A:$A, 0)))</f>
        <v>16</v>
      </c>
      <c r="G62" t="str">
        <f t="shared" si="2"/>
        <v>Win</v>
      </c>
      <c r="H62">
        <v>2</v>
      </c>
      <c r="I62">
        <v>3</v>
      </c>
      <c r="K62" t="str">
        <f t="shared" si="1"/>
        <v>6_B</v>
      </c>
    </row>
    <row r="63" spans="1:11" x14ac:dyDescent="0.35">
      <c r="A63">
        <v>6</v>
      </c>
      <c r="B63" s="6">
        <v>46009</v>
      </c>
      <c r="C63" t="s">
        <v>21</v>
      </c>
      <c r="D63" t="s">
        <v>23</v>
      </c>
      <c r="E63">
        <f>IF(D63="A", INDEX(Matches!$E:$E, MATCH(A63, Matches!$A:$A, 0)), INDEX(Matches!$F:$F, MATCH(A63, Matches!$A:$A, 0)))</f>
        <v>17</v>
      </c>
      <c r="F63">
        <f>IF(D63="A", INDEX(Matches!$F:$F, MATCH(A63, Matches!$A:$A, 0)), INDEX(Matches!$E:$E, MATCH(A63, Matches!$A:$A, 0)))</f>
        <v>16</v>
      </c>
      <c r="G63" t="str">
        <f t="shared" si="2"/>
        <v>Win</v>
      </c>
      <c r="H63">
        <v>0</v>
      </c>
      <c r="I63">
        <v>0</v>
      </c>
      <c r="K63" t="str">
        <f t="shared" si="1"/>
        <v>6_B</v>
      </c>
    </row>
    <row r="64" spans="1:11" x14ac:dyDescent="0.35">
      <c r="A64">
        <v>6</v>
      </c>
      <c r="B64" s="6">
        <v>46009</v>
      </c>
      <c r="C64" t="s">
        <v>50</v>
      </c>
      <c r="D64" t="s">
        <v>23</v>
      </c>
      <c r="E64">
        <f>IF(D64="A", INDEX(Matches!$E:$E, MATCH(A64, Matches!$A:$A, 0)), INDEX(Matches!$F:$F, MATCH(A64, Matches!$A:$A, 0)))</f>
        <v>17</v>
      </c>
      <c r="F64">
        <f>IF(D64="A", INDEX(Matches!$F:$F, MATCH(A64, Matches!$A:$A, 0)), INDEX(Matches!$E:$E, MATCH(A64, Matches!$A:$A, 0)))</f>
        <v>16</v>
      </c>
      <c r="G64" t="str">
        <f t="shared" si="2"/>
        <v>Win</v>
      </c>
      <c r="H64">
        <v>5</v>
      </c>
      <c r="I64">
        <v>1</v>
      </c>
      <c r="K64" t="str">
        <f t="shared" si="1"/>
        <v>6_B</v>
      </c>
    </row>
    <row r="65" spans="1:11" x14ac:dyDescent="0.35">
      <c r="A65">
        <v>6</v>
      </c>
      <c r="B65" s="6">
        <v>46009</v>
      </c>
      <c r="C65" t="s">
        <v>40</v>
      </c>
      <c r="D65" t="s">
        <v>23</v>
      </c>
      <c r="E65">
        <f>IF(D65="A", INDEX(Matches!$E:$E, MATCH(A65, Matches!$A:$A, 0)), INDEX(Matches!$F:$F, MATCH(A65, Matches!$A:$A, 0)))</f>
        <v>17</v>
      </c>
      <c r="F65">
        <f>IF(D65="A", INDEX(Matches!$F:$F, MATCH(A65, Matches!$A:$A, 0)), INDEX(Matches!$E:$E, MATCH(A65, Matches!$A:$A, 0)))</f>
        <v>16</v>
      </c>
      <c r="G65" t="str">
        <f t="shared" si="2"/>
        <v>Win</v>
      </c>
      <c r="H65">
        <v>0</v>
      </c>
      <c r="I65">
        <v>0</v>
      </c>
      <c r="K65" t="str">
        <f t="shared" si="1"/>
        <v>6_B</v>
      </c>
    </row>
    <row r="66" spans="1:11" x14ac:dyDescent="0.35">
      <c r="A66">
        <v>6</v>
      </c>
      <c r="B66" s="6">
        <v>46009</v>
      </c>
      <c r="C66" t="s">
        <v>42</v>
      </c>
      <c r="D66" t="s">
        <v>23</v>
      </c>
      <c r="E66">
        <f>IF(D66="A", INDEX(Matches!$E:$E, MATCH(A66, Matches!$A:$A, 0)), INDEX(Matches!$F:$F, MATCH(A66, Matches!$A:$A, 0)))</f>
        <v>17</v>
      </c>
      <c r="F66">
        <f>IF(D66="A", INDEX(Matches!$F:$F, MATCH(A66, Matches!$A:$A, 0)), INDEX(Matches!$E:$E, MATCH(A66, Matches!$A:$A, 0)))</f>
        <v>16</v>
      </c>
      <c r="G66" t="str">
        <f t="shared" si="2"/>
        <v>Win</v>
      </c>
      <c r="H66">
        <v>6</v>
      </c>
      <c r="I66">
        <v>4</v>
      </c>
      <c r="K66" t="str">
        <f t="shared" si="1"/>
        <v>6_B</v>
      </c>
    </row>
    <row r="67" spans="1:11" x14ac:dyDescent="0.35">
      <c r="A67">
        <v>7</v>
      </c>
      <c r="B67" s="6">
        <v>46030</v>
      </c>
      <c r="C67" t="s">
        <v>16</v>
      </c>
      <c r="D67" t="s">
        <v>17</v>
      </c>
      <c r="E67">
        <f>IF(D67="A", INDEX(Matches!$E:$E, MATCH(A67, Matches!$A:$A, 0)), INDEX(Matches!$F:$F, MATCH(A67, Matches!$A:$A, 0)))</f>
        <v>6</v>
      </c>
      <c r="F67">
        <f>IF(D67="A", INDEX(Matches!$F:$F, MATCH(A67, Matches!$A:$A, 0)), INDEX(Matches!$E:$E, MATCH(A67, Matches!$A:$A, 0)))</f>
        <v>11</v>
      </c>
      <c r="G67" t="str">
        <f t="shared" si="2"/>
        <v>Loss</v>
      </c>
      <c r="H67">
        <v>2</v>
      </c>
      <c r="I67">
        <v>4</v>
      </c>
      <c r="K67" t="str">
        <f t="shared" ref="K67:K130" si="3">A67&amp;"_"&amp;D67</f>
        <v>7_A</v>
      </c>
    </row>
    <row r="68" spans="1:11" x14ac:dyDescent="0.35">
      <c r="A68">
        <v>7</v>
      </c>
      <c r="B68" s="6">
        <v>46030</v>
      </c>
      <c r="C68" t="s">
        <v>24</v>
      </c>
      <c r="D68" t="s">
        <v>17</v>
      </c>
      <c r="E68">
        <f>IF(D68="A", INDEX(Matches!$E:$E, MATCH(A68, Matches!$A:$A, 0)), INDEX(Matches!$F:$F, MATCH(A68, Matches!$A:$A, 0)))</f>
        <v>6</v>
      </c>
      <c r="F68">
        <f>IF(D68="A", INDEX(Matches!$F:$F, MATCH(A68, Matches!$A:$A, 0)), INDEX(Matches!$E:$E, MATCH(A68, Matches!$A:$A, 0)))</f>
        <v>11</v>
      </c>
      <c r="G68" t="str">
        <f t="shared" si="2"/>
        <v>Loss</v>
      </c>
      <c r="H68">
        <v>2</v>
      </c>
      <c r="I68">
        <v>0</v>
      </c>
      <c r="K68" t="str">
        <f t="shared" si="3"/>
        <v>7_A</v>
      </c>
    </row>
    <row r="69" spans="1:11" x14ac:dyDescent="0.35">
      <c r="A69">
        <v>7</v>
      </c>
      <c r="B69" s="6">
        <v>46030</v>
      </c>
      <c r="C69" t="s">
        <v>43</v>
      </c>
      <c r="D69" t="s">
        <v>17</v>
      </c>
      <c r="E69">
        <f>IF(D69="A", INDEX(Matches!$E:$E, MATCH(A69, Matches!$A:$A, 0)), INDEX(Matches!$F:$F, MATCH(A69, Matches!$A:$A, 0)))</f>
        <v>6</v>
      </c>
      <c r="F69">
        <f>IF(D69="A", INDEX(Matches!$F:$F, MATCH(A69, Matches!$A:$A, 0)), INDEX(Matches!$E:$E, MATCH(A69, Matches!$A:$A, 0)))</f>
        <v>11</v>
      </c>
      <c r="G69" t="str">
        <f t="shared" si="2"/>
        <v>Loss</v>
      </c>
      <c r="H69">
        <v>1</v>
      </c>
      <c r="I69">
        <v>1</v>
      </c>
      <c r="K69" t="str">
        <f t="shared" si="3"/>
        <v>7_A</v>
      </c>
    </row>
    <row r="70" spans="1:11" x14ac:dyDescent="0.35">
      <c r="A70">
        <v>7</v>
      </c>
      <c r="B70" s="6">
        <v>46030</v>
      </c>
      <c r="C70" t="s">
        <v>42</v>
      </c>
      <c r="D70" t="s">
        <v>17</v>
      </c>
      <c r="E70">
        <f>IF(D70="A", INDEX(Matches!$E:$E, MATCH(A70, Matches!$A:$A, 0)), INDEX(Matches!$F:$F, MATCH(A70, Matches!$A:$A, 0)))</f>
        <v>6</v>
      </c>
      <c r="F70">
        <f>IF(D70="A", INDEX(Matches!$F:$F, MATCH(A70, Matches!$A:$A, 0)), INDEX(Matches!$E:$E, MATCH(A70, Matches!$A:$A, 0)))</f>
        <v>11</v>
      </c>
      <c r="G70" t="str">
        <f t="shared" si="2"/>
        <v>Loss</v>
      </c>
      <c r="H70">
        <v>2</v>
      </c>
      <c r="I70">
        <v>1</v>
      </c>
      <c r="K70" t="str">
        <f t="shared" si="3"/>
        <v>7_A</v>
      </c>
    </row>
    <row r="71" spans="1:11" x14ac:dyDescent="0.35">
      <c r="A71">
        <v>7</v>
      </c>
      <c r="B71" s="6">
        <v>46030</v>
      </c>
      <c r="C71" t="s">
        <v>46</v>
      </c>
      <c r="D71" t="s">
        <v>17</v>
      </c>
      <c r="E71">
        <f>IF(D71="A", INDEX(Matches!$E:$E, MATCH(A71, Matches!$A:$A, 0)), INDEX(Matches!$F:$F, MATCH(A71, Matches!$A:$A, 0)))</f>
        <v>6</v>
      </c>
      <c r="F71">
        <f>IF(D71="A", INDEX(Matches!$F:$F, MATCH(A71, Matches!$A:$A, 0)), INDEX(Matches!$E:$E, MATCH(A71, Matches!$A:$A, 0)))</f>
        <v>11</v>
      </c>
      <c r="G71" t="str">
        <f t="shared" si="2"/>
        <v>Loss</v>
      </c>
      <c r="H71">
        <v>1</v>
      </c>
      <c r="I71">
        <v>0</v>
      </c>
      <c r="K71" t="str">
        <f t="shared" si="3"/>
        <v>7_A</v>
      </c>
    </row>
    <row r="72" spans="1:11" x14ac:dyDescent="0.35">
      <c r="A72">
        <v>7</v>
      </c>
      <c r="B72" s="6">
        <v>46030</v>
      </c>
      <c r="C72" t="s">
        <v>20</v>
      </c>
      <c r="D72" t="s">
        <v>23</v>
      </c>
      <c r="E72">
        <f>IF(D72="A", INDEX(Matches!$E:$E, MATCH(A72, Matches!$A:$A, 0)), INDEX(Matches!$F:$F, MATCH(A72, Matches!$A:$A, 0)))</f>
        <v>11</v>
      </c>
      <c r="F72">
        <f>IF(D72="A", INDEX(Matches!$F:$F, MATCH(A72, Matches!$A:$A, 0)), INDEX(Matches!$E:$E, MATCH(A72, Matches!$A:$A, 0)))</f>
        <v>6</v>
      </c>
      <c r="G72" t="str">
        <f t="shared" si="2"/>
        <v>Win</v>
      </c>
      <c r="H72">
        <v>0</v>
      </c>
      <c r="I72">
        <v>1</v>
      </c>
      <c r="K72" t="str">
        <f t="shared" si="3"/>
        <v>7_B</v>
      </c>
    </row>
    <row r="73" spans="1:11" x14ac:dyDescent="0.35">
      <c r="A73">
        <v>7</v>
      </c>
      <c r="B73" s="6">
        <v>46030</v>
      </c>
      <c r="C73" t="s">
        <v>66</v>
      </c>
      <c r="D73" t="s">
        <v>23</v>
      </c>
      <c r="E73">
        <f>IF(D73="A", INDEX(Matches!$E:$E, MATCH(A73, Matches!$A:$A, 0)), INDEX(Matches!$F:$F, MATCH(A73, Matches!$A:$A, 0)))</f>
        <v>11</v>
      </c>
      <c r="F73">
        <f>IF(D73="A", INDEX(Matches!$F:$F, MATCH(A73, Matches!$A:$A, 0)), INDEX(Matches!$E:$E, MATCH(A73, Matches!$A:$A, 0)))</f>
        <v>6</v>
      </c>
      <c r="G73" t="str">
        <f t="shared" si="2"/>
        <v>Win</v>
      </c>
      <c r="H73">
        <v>6</v>
      </c>
      <c r="I73">
        <v>5</v>
      </c>
      <c r="K73" t="str">
        <f t="shared" si="3"/>
        <v>7_B</v>
      </c>
    </row>
    <row r="74" spans="1:11" x14ac:dyDescent="0.35">
      <c r="A74">
        <v>7</v>
      </c>
      <c r="B74" s="6">
        <v>46030</v>
      </c>
      <c r="C74" t="s">
        <v>25</v>
      </c>
      <c r="D74" t="s">
        <v>23</v>
      </c>
      <c r="E74">
        <f>IF(D74="A", INDEX(Matches!$E:$E, MATCH(A74, Matches!$A:$A, 0)), INDEX(Matches!$F:$F, MATCH(A74, Matches!$A:$A, 0)))</f>
        <v>11</v>
      </c>
      <c r="F74">
        <f>IF(D74="A", INDEX(Matches!$F:$F, MATCH(A74, Matches!$A:$A, 0)), INDEX(Matches!$E:$E, MATCH(A74, Matches!$A:$A, 0)))</f>
        <v>6</v>
      </c>
      <c r="G74" t="str">
        <f t="shared" si="2"/>
        <v>Win</v>
      </c>
      <c r="H74">
        <v>0</v>
      </c>
      <c r="I74">
        <v>0</v>
      </c>
      <c r="K74" t="str">
        <f t="shared" si="3"/>
        <v>7_B</v>
      </c>
    </row>
    <row r="75" spans="1:11" x14ac:dyDescent="0.35">
      <c r="A75">
        <v>7</v>
      </c>
      <c r="B75" s="6">
        <v>46030</v>
      </c>
      <c r="C75" t="s">
        <v>19</v>
      </c>
      <c r="D75" t="s">
        <v>23</v>
      </c>
      <c r="E75">
        <f>IF(D75="A", INDEX(Matches!$E:$E, MATCH(A75, Matches!$A:$A, 0)), INDEX(Matches!$F:$F, MATCH(A75, Matches!$A:$A, 0)))</f>
        <v>11</v>
      </c>
      <c r="F75">
        <f>IF(D75="A", INDEX(Matches!$F:$F, MATCH(A75, Matches!$A:$A, 0)), INDEX(Matches!$E:$E, MATCH(A75, Matches!$A:$A, 0)))</f>
        <v>6</v>
      </c>
      <c r="G75" t="str">
        <f t="shared" si="2"/>
        <v>Win</v>
      </c>
      <c r="H75">
        <v>4</v>
      </c>
      <c r="I75">
        <v>1</v>
      </c>
      <c r="K75" t="str">
        <f t="shared" si="3"/>
        <v>7_B</v>
      </c>
    </row>
    <row r="76" spans="1:11" x14ac:dyDescent="0.35">
      <c r="A76">
        <v>7</v>
      </c>
      <c r="B76" s="6">
        <v>46030</v>
      </c>
      <c r="C76" t="s">
        <v>21</v>
      </c>
      <c r="D76" t="s">
        <v>23</v>
      </c>
      <c r="E76">
        <f>IF(D76="A", INDEX(Matches!$E:$E, MATCH(A76, Matches!$A:$A, 0)), INDEX(Matches!$F:$F, MATCH(A76, Matches!$A:$A, 0)))</f>
        <v>11</v>
      </c>
      <c r="F76">
        <f>IF(D76="A", INDEX(Matches!$F:$F, MATCH(A76, Matches!$A:$A, 0)), INDEX(Matches!$E:$E, MATCH(A76, Matches!$A:$A, 0)))</f>
        <v>6</v>
      </c>
      <c r="G76" t="str">
        <f t="shared" si="2"/>
        <v>Win</v>
      </c>
      <c r="H76">
        <v>1</v>
      </c>
      <c r="I76">
        <v>1</v>
      </c>
      <c r="K76" t="str">
        <f t="shared" si="3"/>
        <v>7_B</v>
      </c>
    </row>
    <row r="77" spans="1:11" x14ac:dyDescent="0.35">
      <c r="A77">
        <v>8</v>
      </c>
      <c r="B77" s="6">
        <v>46037</v>
      </c>
      <c r="C77" t="s">
        <v>53</v>
      </c>
      <c r="D77" t="s">
        <v>17</v>
      </c>
      <c r="E77">
        <f>IF(D77="A", INDEX(Matches!$E:$E, MATCH(A77, Matches!$A:$A, 0)), INDEX(Matches!$F:$F, MATCH(A77, Matches!$A:$A, 0)))</f>
        <v>5</v>
      </c>
      <c r="F77">
        <v>5</v>
      </c>
      <c r="G77" t="str">
        <f t="shared" ref="G77:G90" si="4">IF(E77&gt;F77,"Win",IF(E77&lt;F77,"Loss","Draw"))</f>
        <v>Draw</v>
      </c>
      <c r="H77">
        <v>2</v>
      </c>
      <c r="I77">
        <v>0</v>
      </c>
      <c r="K77" t="str">
        <f t="shared" si="3"/>
        <v>8_A</v>
      </c>
    </row>
    <row r="78" spans="1:11" x14ac:dyDescent="0.35">
      <c r="A78">
        <v>8</v>
      </c>
      <c r="B78" s="6">
        <v>46037</v>
      </c>
      <c r="C78" t="s">
        <v>16</v>
      </c>
      <c r="D78" t="s">
        <v>17</v>
      </c>
      <c r="E78">
        <f>IF(D78="A", INDEX(Matches!$E:$E, MATCH(A78, Matches!$A:$A, 0)), INDEX(Matches!$F:$F, MATCH(A78, Matches!$A:$A, 0)))</f>
        <v>5</v>
      </c>
      <c r="F78">
        <f>IF(D78="A", INDEX(Matches!$F:$F, MATCH(A78, Matches!$A:$A, 0)), INDEX(Matches!$E:$E, MATCH(A78, Matches!$A:$A, 0)))</f>
        <v>5</v>
      </c>
      <c r="G78" t="str">
        <f t="shared" si="4"/>
        <v>Draw</v>
      </c>
      <c r="H78">
        <v>0</v>
      </c>
      <c r="I78">
        <v>0</v>
      </c>
      <c r="K78" t="str">
        <f t="shared" si="3"/>
        <v>8_A</v>
      </c>
    </row>
    <row r="79" spans="1:11" x14ac:dyDescent="0.35">
      <c r="A79">
        <v>8</v>
      </c>
      <c r="B79" s="6">
        <v>46037</v>
      </c>
      <c r="C79" t="s">
        <v>20</v>
      </c>
      <c r="D79" t="s">
        <v>17</v>
      </c>
      <c r="E79">
        <f>IF(D79="A", INDEX(Matches!$E:$E, MATCH(A79, Matches!$A:$A, 0)), INDEX(Matches!$F:$F, MATCH(A79, Matches!$A:$A, 0)))</f>
        <v>5</v>
      </c>
      <c r="F79">
        <f>IF(D79="A", INDEX(Matches!$F:$F, MATCH(A79, Matches!$A:$A, 0)), INDEX(Matches!$E:$E, MATCH(A79, Matches!$A:$A, 0)))</f>
        <v>5</v>
      </c>
      <c r="G79" t="str">
        <f t="shared" si="4"/>
        <v>Draw</v>
      </c>
      <c r="H79">
        <v>0</v>
      </c>
      <c r="I79">
        <v>1</v>
      </c>
      <c r="K79" t="str">
        <f t="shared" si="3"/>
        <v>8_A</v>
      </c>
    </row>
    <row r="80" spans="1:11" x14ac:dyDescent="0.35">
      <c r="A80">
        <v>8</v>
      </c>
      <c r="B80" s="6">
        <v>46037</v>
      </c>
      <c r="C80" t="s">
        <v>19</v>
      </c>
      <c r="D80" t="s">
        <v>17</v>
      </c>
      <c r="E80">
        <f>IF(D80="A", INDEX(Matches!$E:$E, MATCH(A80, Matches!$A:$A, 0)), INDEX(Matches!$F:$F, MATCH(A80, Matches!$A:$A, 0)))</f>
        <v>5</v>
      </c>
      <c r="F80">
        <f>IF(D80="A", INDEX(Matches!$F:$F, MATCH(A80, Matches!$A:$A, 0)), INDEX(Matches!$E:$E, MATCH(A80, Matches!$A:$A, 0)))</f>
        <v>5</v>
      </c>
      <c r="G80" t="str">
        <f t="shared" si="4"/>
        <v>Draw</v>
      </c>
      <c r="H80">
        <v>3</v>
      </c>
      <c r="I80">
        <v>0</v>
      </c>
      <c r="K80" t="str">
        <f t="shared" si="3"/>
        <v>8_A</v>
      </c>
    </row>
    <row r="81" spans="1:11" x14ac:dyDescent="0.35">
      <c r="A81">
        <v>8</v>
      </c>
      <c r="B81" s="6">
        <v>46037</v>
      </c>
      <c r="C81" t="s">
        <v>18</v>
      </c>
      <c r="D81" t="s">
        <v>17</v>
      </c>
      <c r="E81">
        <f>IF(D81="A", INDEX(Matches!$E:$E, MATCH(A81, Matches!$A:$A, 0)), INDEX(Matches!$F:$F, MATCH(A81, Matches!$A:$A, 0)))</f>
        <v>5</v>
      </c>
      <c r="F81">
        <f>IF(D81="A", INDEX(Matches!$F:$F, MATCH(A81, Matches!$A:$A, 0)), INDEX(Matches!$E:$E, MATCH(A81, Matches!$A:$A, 0)))</f>
        <v>5</v>
      </c>
      <c r="G81" t="str">
        <f t="shared" si="4"/>
        <v>Draw</v>
      </c>
      <c r="H81">
        <v>0</v>
      </c>
      <c r="I81">
        <v>1</v>
      </c>
      <c r="K81" t="str">
        <f t="shared" si="3"/>
        <v>8_A</v>
      </c>
    </row>
    <row r="82" spans="1:11" x14ac:dyDescent="0.35">
      <c r="A82">
        <v>8</v>
      </c>
      <c r="B82" s="6">
        <v>46037</v>
      </c>
      <c r="C82" t="s">
        <v>60</v>
      </c>
      <c r="D82" t="s">
        <v>17</v>
      </c>
      <c r="E82">
        <f>IF(D82="A", INDEX(Matches!$E:$E, MATCH(A82, Matches!$A:$A, 0)), INDEX(Matches!$F:$F, MATCH(A82, Matches!$A:$A, 0)))</f>
        <v>5</v>
      </c>
      <c r="F82">
        <f>IF(D82="A", INDEX(Matches!$F:$F, MATCH(A82, Matches!$A:$A, 0)), INDEX(Matches!$E:$E, MATCH(A82, Matches!$A:$A, 0)))</f>
        <v>5</v>
      </c>
      <c r="G82" t="str">
        <f t="shared" si="4"/>
        <v>Draw</v>
      </c>
      <c r="H82">
        <v>0</v>
      </c>
      <c r="I82">
        <v>0</v>
      </c>
      <c r="K82" t="str">
        <f t="shared" si="3"/>
        <v>8_A</v>
      </c>
    </row>
    <row r="83" spans="1:11" x14ac:dyDescent="0.35">
      <c r="A83">
        <v>8</v>
      </c>
      <c r="B83" s="6">
        <v>46037</v>
      </c>
      <c r="C83" t="s">
        <v>43</v>
      </c>
      <c r="D83" t="s">
        <v>17</v>
      </c>
      <c r="E83">
        <f>IF(D83="A", INDEX(Matches!$E:$E, MATCH(A83, Matches!$A:$A, 0)), INDEX(Matches!$F:$F, MATCH(A83, Matches!$A:$A, 0)))</f>
        <v>5</v>
      </c>
      <c r="F83">
        <f>IF(D83="A", INDEX(Matches!$F:$F, MATCH(A83, Matches!$A:$A, 0)), INDEX(Matches!$E:$E, MATCH(A83, Matches!$A:$A, 0)))</f>
        <v>5</v>
      </c>
      <c r="G83" t="str">
        <f t="shared" si="4"/>
        <v>Draw</v>
      </c>
      <c r="H83">
        <v>0</v>
      </c>
      <c r="I83">
        <v>1</v>
      </c>
      <c r="K83" t="str">
        <f t="shared" si="3"/>
        <v>8_A</v>
      </c>
    </row>
    <row r="84" spans="1:11" x14ac:dyDescent="0.35">
      <c r="A84">
        <v>8</v>
      </c>
      <c r="B84" s="6">
        <v>46037</v>
      </c>
      <c r="C84" t="s">
        <v>41</v>
      </c>
      <c r="D84" t="s">
        <v>23</v>
      </c>
      <c r="E84">
        <f>IF(D84="A", INDEX(Matches!$E:$E, MATCH(A84, Matches!$A:$A, 0)), INDEX(Matches!$F:$F, MATCH(A84, Matches!$A:$A, 0)))</f>
        <v>5</v>
      </c>
      <c r="F84">
        <f>IF(D84="A", INDEX(Matches!$F:$F, MATCH(A84, Matches!$A:$A, 0)), INDEX(Matches!$E:$E, MATCH(A84, Matches!$A:$A, 0)))</f>
        <v>5</v>
      </c>
      <c r="G84" t="str">
        <f t="shared" si="4"/>
        <v>Draw</v>
      </c>
      <c r="H84">
        <v>0</v>
      </c>
      <c r="I84">
        <v>0</v>
      </c>
      <c r="K84" t="str">
        <f t="shared" si="3"/>
        <v>8_B</v>
      </c>
    </row>
    <row r="85" spans="1:11" x14ac:dyDescent="0.35">
      <c r="A85">
        <v>8</v>
      </c>
      <c r="B85" s="6">
        <v>46037</v>
      </c>
      <c r="C85" t="s">
        <v>42</v>
      </c>
      <c r="D85" t="s">
        <v>23</v>
      </c>
      <c r="E85">
        <f>IF(D85="A", INDEX(Matches!$E:$E, MATCH(A85, Matches!$A:$A, 0)), INDEX(Matches!$F:$F, MATCH(A85, Matches!$A:$A, 0)))</f>
        <v>5</v>
      </c>
      <c r="F85">
        <f>IF(D85="A", INDEX(Matches!$F:$F, MATCH(A85, Matches!$A:$A, 0)), INDEX(Matches!$E:$E, MATCH(A85, Matches!$A:$A, 0)))</f>
        <v>5</v>
      </c>
      <c r="G85" t="str">
        <f t="shared" si="4"/>
        <v>Draw</v>
      </c>
      <c r="H85">
        <v>1</v>
      </c>
      <c r="I85">
        <v>0</v>
      </c>
      <c r="K85" t="str">
        <f t="shared" si="3"/>
        <v>8_B</v>
      </c>
    </row>
    <row r="86" spans="1:11" x14ac:dyDescent="0.35">
      <c r="A86">
        <v>8</v>
      </c>
      <c r="B86" s="6">
        <v>46037</v>
      </c>
      <c r="C86" t="s">
        <v>25</v>
      </c>
      <c r="D86" t="s">
        <v>23</v>
      </c>
      <c r="E86">
        <f>IF(D86="A", INDEX(Matches!$E:$E, MATCH(A86, Matches!$A:$A, 0)), INDEX(Matches!$F:$F, MATCH(A86, Matches!$A:$A, 0)))</f>
        <v>5</v>
      </c>
      <c r="F86">
        <f>IF(D86="A", INDEX(Matches!$F:$F, MATCH(A86, Matches!$A:$A, 0)), INDEX(Matches!$E:$E, MATCH(A86, Matches!$A:$A, 0)))</f>
        <v>5</v>
      </c>
      <c r="G86" t="str">
        <f t="shared" si="4"/>
        <v>Draw</v>
      </c>
      <c r="H86">
        <v>0</v>
      </c>
      <c r="I86">
        <v>1</v>
      </c>
      <c r="K86" t="str">
        <f t="shared" si="3"/>
        <v>8_B</v>
      </c>
    </row>
    <row r="87" spans="1:11" x14ac:dyDescent="0.35">
      <c r="A87">
        <v>8</v>
      </c>
      <c r="B87" s="6">
        <v>46037</v>
      </c>
      <c r="C87" t="s">
        <v>66</v>
      </c>
      <c r="D87" t="s">
        <v>23</v>
      </c>
      <c r="E87">
        <f>IF(D87="A", INDEX(Matches!$E:$E, MATCH(A87, Matches!$A:$A, 0)), INDEX(Matches!$F:$F, MATCH(A87, Matches!$A:$A, 0)))</f>
        <v>5</v>
      </c>
      <c r="F87">
        <f>IF(D87="A", INDEX(Matches!$F:$F, MATCH(A87, Matches!$A:$A, 0)), INDEX(Matches!$E:$E, MATCH(A87, Matches!$A:$A, 0)))</f>
        <v>5</v>
      </c>
      <c r="G87" t="str">
        <f t="shared" si="4"/>
        <v>Draw</v>
      </c>
      <c r="H87">
        <v>0</v>
      </c>
      <c r="I87">
        <v>1</v>
      </c>
      <c r="K87" t="str">
        <f t="shared" si="3"/>
        <v>8_B</v>
      </c>
    </row>
    <row r="88" spans="1:11" x14ac:dyDescent="0.35">
      <c r="A88">
        <v>8</v>
      </c>
      <c r="B88" s="6">
        <v>46037</v>
      </c>
      <c r="C88" t="s">
        <v>44</v>
      </c>
      <c r="D88" t="s">
        <v>23</v>
      </c>
      <c r="E88">
        <f>IF(D88="A", INDEX(Matches!$E:$E, MATCH(A88, Matches!$A:$A, 0)), INDEX(Matches!$F:$F, MATCH(A88, Matches!$A:$A, 0)))</f>
        <v>5</v>
      </c>
      <c r="F88">
        <f>IF(D88="A", INDEX(Matches!$F:$F, MATCH(A88, Matches!$A:$A, 0)), INDEX(Matches!$E:$E, MATCH(A88, Matches!$A:$A, 0)))</f>
        <v>5</v>
      </c>
      <c r="G88" t="str">
        <f t="shared" si="4"/>
        <v>Draw</v>
      </c>
      <c r="H88">
        <v>1</v>
      </c>
      <c r="I88">
        <v>0</v>
      </c>
      <c r="K88" t="str">
        <f t="shared" si="3"/>
        <v>8_B</v>
      </c>
    </row>
    <row r="89" spans="1:11" x14ac:dyDescent="0.35">
      <c r="A89">
        <v>8</v>
      </c>
      <c r="B89" s="6">
        <v>46037</v>
      </c>
      <c r="C89" t="s">
        <v>24</v>
      </c>
      <c r="D89" t="s">
        <v>23</v>
      </c>
      <c r="E89">
        <f>IF(D89="A", INDEX(Matches!$E:$E, MATCH(A89, Matches!$A:$A, 0)), INDEX(Matches!$F:$F, MATCH(A89, Matches!$A:$A, 0)))</f>
        <v>5</v>
      </c>
      <c r="F89">
        <f>IF(D89="A", INDEX(Matches!$F:$F, MATCH(A89, Matches!$A:$A, 0)), INDEX(Matches!$E:$E, MATCH(A89, Matches!$A:$A, 0)))</f>
        <v>5</v>
      </c>
      <c r="G89" t="str">
        <f t="shared" si="4"/>
        <v>Draw</v>
      </c>
      <c r="H89">
        <v>0</v>
      </c>
      <c r="I89">
        <v>0</v>
      </c>
      <c r="K89" t="str">
        <f t="shared" si="3"/>
        <v>8_B</v>
      </c>
    </row>
    <row r="90" spans="1:11" x14ac:dyDescent="0.35">
      <c r="A90">
        <v>8</v>
      </c>
      <c r="B90" s="6">
        <v>46037</v>
      </c>
      <c r="C90" t="s">
        <v>22</v>
      </c>
      <c r="D90" t="s">
        <v>23</v>
      </c>
      <c r="E90">
        <f>IF(D90="A", INDEX(Matches!$E:$E, MATCH(A90, Matches!$A:$A, 0)), INDEX(Matches!$F:$F, MATCH(A90, Matches!$A:$A, 0)))</f>
        <v>5</v>
      </c>
      <c r="F90">
        <f>IF(D90="A", INDEX(Matches!$F:$F, MATCH(A90, Matches!$A:$A, 0)), INDEX(Matches!$E:$E, MATCH(A90, Matches!$A:$A, 0)))</f>
        <v>5</v>
      </c>
      <c r="G90" t="str">
        <f t="shared" si="4"/>
        <v>Draw</v>
      </c>
      <c r="H90">
        <v>2</v>
      </c>
      <c r="I90">
        <v>0</v>
      </c>
      <c r="K90" t="str">
        <f t="shared" si="3"/>
        <v>8_B</v>
      </c>
    </row>
    <row r="91" spans="1:11" x14ac:dyDescent="0.35">
      <c r="A91">
        <v>9</v>
      </c>
      <c r="B91" s="6">
        <v>46044</v>
      </c>
      <c r="C91" t="s">
        <v>22</v>
      </c>
      <c r="D91" t="s">
        <v>17</v>
      </c>
      <c r="E91">
        <f>IF(D91="A", INDEX(Matches!$E:$E, MATCH(A91, Matches!$A:$A, 0)), INDEX(Matches!$F:$F, MATCH(A91, Matches!$A:$A, 0)))</f>
        <v>3</v>
      </c>
      <c r="F91">
        <f>IF(D91="A", INDEX(Matches!$F:$F, MATCH(A91, Matches!$A:$A, 0)), INDEX(Matches!$E:$E, MATCH(A91, Matches!$A:$A, 0)))</f>
        <v>6</v>
      </c>
      <c r="G91" t="str">
        <f t="shared" ref="G91:G104" si="5">IF(E91&gt;F91,"Win",IF(E91&lt;F91,"Loss","Draw"))</f>
        <v>Loss</v>
      </c>
      <c r="H91">
        <v>0</v>
      </c>
      <c r="I91">
        <v>0</v>
      </c>
      <c r="K91" t="str">
        <f t="shared" si="3"/>
        <v>9_A</v>
      </c>
    </row>
    <row r="92" spans="1:11" x14ac:dyDescent="0.35">
      <c r="A92">
        <v>9</v>
      </c>
      <c r="B92" s="6">
        <v>46044</v>
      </c>
      <c r="C92" t="s">
        <v>20</v>
      </c>
      <c r="D92" t="s">
        <v>17</v>
      </c>
      <c r="E92">
        <f>IF(D92="A", INDEX(Matches!$E:$E, MATCH(A92, Matches!$A:$A, 0)), INDEX(Matches!$F:$F, MATCH(A92, Matches!$A:$A, 0)))</f>
        <v>3</v>
      </c>
      <c r="F92">
        <f>IF(D92="A", INDEX(Matches!$F:$F, MATCH(A92, Matches!$A:$A, 0)), INDEX(Matches!$E:$E, MATCH(A92, Matches!$A:$A, 0)))</f>
        <v>6</v>
      </c>
      <c r="G92" t="str">
        <f t="shared" si="5"/>
        <v>Loss</v>
      </c>
      <c r="H92">
        <v>0</v>
      </c>
      <c r="I92">
        <v>0</v>
      </c>
      <c r="K92" t="str">
        <f t="shared" si="3"/>
        <v>9_A</v>
      </c>
    </row>
    <row r="93" spans="1:11" x14ac:dyDescent="0.35">
      <c r="A93">
        <v>9</v>
      </c>
      <c r="B93" s="6">
        <v>46044</v>
      </c>
      <c r="C93" t="s">
        <v>25</v>
      </c>
      <c r="D93" t="s">
        <v>17</v>
      </c>
      <c r="E93">
        <f>IF(D93="A", INDEX(Matches!$E:$E, MATCH(A93, Matches!$A:$A, 0)), INDEX(Matches!$F:$F, MATCH(A93, Matches!$A:$A, 0)))</f>
        <v>3</v>
      </c>
      <c r="F93">
        <f>IF(D93="A", INDEX(Matches!$F:$F, MATCH(A93, Matches!$A:$A, 0)), INDEX(Matches!$E:$E, MATCH(A93, Matches!$A:$A, 0)))</f>
        <v>6</v>
      </c>
      <c r="G93" t="str">
        <f t="shared" si="5"/>
        <v>Loss</v>
      </c>
      <c r="H93">
        <v>0</v>
      </c>
      <c r="I93">
        <v>0</v>
      </c>
      <c r="K93" t="str">
        <f t="shared" si="3"/>
        <v>9_A</v>
      </c>
    </row>
    <row r="94" spans="1:11" x14ac:dyDescent="0.35">
      <c r="A94">
        <v>9</v>
      </c>
      <c r="B94" s="6">
        <v>46044</v>
      </c>
      <c r="C94" t="s">
        <v>18</v>
      </c>
      <c r="D94" t="s">
        <v>17</v>
      </c>
      <c r="E94">
        <f>IF(D94="A", INDEX(Matches!$E:$E, MATCH(A94, Matches!$A:$A, 0)), INDEX(Matches!$F:$F, MATCH(A94, Matches!$A:$A, 0)))</f>
        <v>3</v>
      </c>
      <c r="F94">
        <f>IF(D94="A", INDEX(Matches!$F:$F, MATCH(A94, Matches!$A:$A, 0)), INDEX(Matches!$E:$E, MATCH(A94, Matches!$A:$A, 0)))</f>
        <v>6</v>
      </c>
      <c r="G94" t="str">
        <f t="shared" si="5"/>
        <v>Loss</v>
      </c>
      <c r="H94">
        <v>0</v>
      </c>
      <c r="I94">
        <v>0</v>
      </c>
      <c r="K94" t="str">
        <f t="shared" si="3"/>
        <v>9_A</v>
      </c>
    </row>
    <row r="95" spans="1:11" x14ac:dyDescent="0.35">
      <c r="A95">
        <v>9</v>
      </c>
      <c r="B95" s="6">
        <v>46044</v>
      </c>
      <c r="C95" t="s">
        <v>16</v>
      </c>
      <c r="D95" t="s">
        <v>17</v>
      </c>
      <c r="E95">
        <f>IF(D95="A", INDEX(Matches!$E:$E, MATCH(A95, Matches!$A:$A, 0)), INDEX(Matches!$F:$F, MATCH(A95, Matches!$A:$A, 0)))</f>
        <v>3</v>
      </c>
      <c r="F95">
        <f>IF(D95="A", INDEX(Matches!$F:$F, MATCH(A95, Matches!$A:$A, 0)), INDEX(Matches!$E:$E, MATCH(A95, Matches!$A:$A, 0)))</f>
        <v>6</v>
      </c>
      <c r="G95" t="str">
        <f t="shared" si="5"/>
        <v>Loss</v>
      </c>
      <c r="H95">
        <v>0</v>
      </c>
      <c r="I95">
        <v>0</v>
      </c>
      <c r="K95" t="str">
        <f t="shared" si="3"/>
        <v>9_A</v>
      </c>
    </row>
    <row r="96" spans="1:11" x14ac:dyDescent="0.35">
      <c r="A96">
        <v>9</v>
      </c>
      <c r="B96" s="6">
        <v>46044</v>
      </c>
      <c r="C96" t="s">
        <v>55</v>
      </c>
      <c r="D96" t="s">
        <v>17</v>
      </c>
      <c r="E96">
        <f>IF(D96="A", INDEX(Matches!$E:$E, MATCH(A96, Matches!$A:$A, 0)), INDEX(Matches!$F:$F, MATCH(A96, Matches!$A:$A, 0)))</f>
        <v>3</v>
      </c>
      <c r="F96">
        <f>IF(D96="A", INDEX(Matches!$F:$F, MATCH(A96, Matches!$A:$A, 0)), INDEX(Matches!$E:$E, MATCH(A96, Matches!$A:$A, 0)))</f>
        <v>6</v>
      </c>
      <c r="G96" t="str">
        <f t="shared" si="5"/>
        <v>Loss</v>
      </c>
      <c r="H96">
        <v>0</v>
      </c>
      <c r="I96">
        <v>0</v>
      </c>
      <c r="K96" t="str">
        <f t="shared" si="3"/>
        <v>9_A</v>
      </c>
    </row>
    <row r="97" spans="1:11" x14ac:dyDescent="0.35">
      <c r="A97">
        <v>9</v>
      </c>
      <c r="B97" s="6">
        <v>46044</v>
      </c>
      <c r="C97" t="s">
        <v>66</v>
      </c>
      <c r="D97" t="s">
        <v>17</v>
      </c>
      <c r="E97">
        <f>IF(D97="A", INDEX(Matches!$E:$E, MATCH(A97, Matches!$A:$A, 0)), INDEX(Matches!$F:$F, MATCH(A97, Matches!$A:$A, 0)))</f>
        <v>3</v>
      </c>
      <c r="F97">
        <f>IF(D97="A", INDEX(Matches!$F:$F, MATCH(A97, Matches!$A:$A, 0)), INDEX(Matches!$E:$E, MATCH(A97, Matches!$A:$A, 0)))</f>
        <v>6</v>
      </c>
      <c r="G97" t="str">
        <f t="shared" si="5"/>
        <v>Loss</v>
      </c>
      <c r="H97">
        <v>3</v>
      </c>
      <c r="I97">
        <v>0</v>
      </c>
      <c r="K97" t="str">
        <f t="shared" si="3"/>
        <v>9_A</v>
      </c>
    </row>
    <row r="98" spans="1:11" x14ac:dyDescent="0.35">
      <c r="A98">
        <v>9</v>
      </c>
      <c r="B98" s="6">
        <v>46044</v>
      </c>
      <c r="C98" t="s">
        <v>53</v>
      </c>
      <c r="D98" t="s">
        <v>23</v>
      </c>
      <c r="E98">
        <f>IF(D98="A", INDEX(Matches!$E:$E, MATCH(A98, Matches!$A:$A, 0)), INDEX(Matches!$F:$F, MATCH(A98, Matches!$A:$A, 0)))</f>
        <v>6</v>
      </c>
      <c r="F98">
        <f>IF(D98="A", INDEX(Matches!$F:$F, MATCH(A98, Matches!$A:$A, 0)), INDEX(Matches!$E:$E, MATCH(A98, Matches!$A:$A, 0)))</f>
        <v>3</v>
      </c>
      <c r="G98" t="str">
        <f t="shared" si="5"/>
        <v>Win</v>
      </c>
      <c r="H98">
        <v>0</v>
      </c>
      <c r="I98">
        <v>0</v>
      </c>
      <c r="K98" t="str">
        <f t="shared" si="3"/>
        <v>9_B</v>
      </c>
    </row>
    <row r="99" spans="1:11" x14ac:dyDescent="0.35">
      <c r="A99">
        <v>9</v>
      </c>
      <c r="B99" s="6">
        <v>46044</v>
      </c>
      <c r="C99" t="s">
        <v>44</v>
      </c>
      <c r="D99" t="s">
        <v>23</v>
      </c>
      <c r="E99">
        <f>IF(D99="A", INDEX(Matches!$E:$E, MATCH(A99, Matches!$A:$A, 0)), INDEX(Matches!$F:$F, MATCH(A99, Matches!$A:$A, 0)))</f>
        <v>6</v>
      </c>
      <c r="F99">
        <f>IF(D99="A", INDEX(Matches!$F:$F, MATCH(A99, Matches!$A:$A, 0)), INDEX(Matches!$E:$E, MATCH(A99, Matches!$A:$A, 0)))</f>
        <v>3</v>
      </c>
      <c r="G99" t="str">
        <f t="shared" si="5"/>
        <v>Win</v>
      </c>
      <c r="H99">
        <v>2</v>
      </c>
      <c r="I99">
        <v>0</v>
      </c>
      <c r="K99" t="str">
        <f t="shared" si="3"/>
        <v>9_B</v>
      </c>
    </row>
    <row r="100" spans="1:11" x14ac:dyDescent="0.35">
      <c r="A100">
        <v>9</v>
      </c>
      <c r="B100" s="6">
        <v>46044</v>
      </c>
      <c r="C100" t="s">
        <v>21</v>
      </c>
      <c r="D100" t="s">
        <v>23</v>
      </c>
      <c r="E100">
        <f>IF(D100="A", INDEX(Matches!$E:$E, MATCH(A100, Matches!$A:$A, 0)), INDEX(Matches!$F:$F, MATCH(A100, Matches!$A:$A, 0)))</f>
        <v>6</v>
      </c>
      <c r="F100">
        <f>IF(D100="A", INDEX(Matches!$F:$F, MATCH(A100, Matches!$A:$A, 0)), INDEX(Matches!$E:$E, MATCH(A100, Matches!$A:$A, 0)))</f>
        <v>3</v>
      </c>
      <c r="G100" t="str">
        <f t="shared" si="5"/>
        <v>Win</v>
      </c>
      <c r="H100">
        <v>1</v>
      </c>
      <c r="I100">
        <v>1</v>
      </c>
      <c r="K100" t="str">
        <f t="shared" si="3"/>
        <v>9_B</v>
      </c>
    </row>
    <row r="101" spans="1:11" x14ac:dyDescent="0.35">
      <c r="A101">
        <v>9</v>
      </c>
      <c r="B101" s="6">
        <v>46044</v>
      </c>
      <c r="C101" t="s">
        <v>41</v>
      </c>
      <c r="D101" t="s">
        <v>23</v>
      </c>
      <c r="E101">
        <f>IF(D101="A", INDEX(Matches!$E:$E, MATCH(A101, Matches!$A:$A, 0)), INDEX(Matches!$F:$F, MATCH(A101, Matches!$A:$A, 0)))</f>
        <v>6</v>
      </c>
      <c r="F101">
        <f>IF(D101="A", INDEX(Matches!$F:$F, MATCH(A101, Matches!$A:$A, 0)), INDEX(Matches!$E:$E, MATCH(A101, Matches!$A:$A, 0)))</f>
        <v>3</v>
      </c>
      <c r="G101" t="str">
        <f t="shared" si="5"/>
        <v>Win</v>
      </c>
      <c r="H101">
        <v>0</v>
      </c>
      <c r="I101">
        <v>1</v>
      </c>
      <c r="K101" t="str">
        <f t="shared" si="3"/>
        <v>9_B</v>
      </c>
    </row>
    <row r="102" spans="1:11" x14ac:dyDescent="0.35">
      <c r="A102">
        <v>9</v>
      </c>
      <c r="B102" s="6">
        <v>46044</v>
      </c>
      <c r="C102" t="s">
        <v>40</v>
      </c>
      <c r="D102" t="s">
        <v>23</v>
      </c>
      <c r="E102">
        <f>IF(D102="A", INDEX(Matches!$E:$E, MATCH(A102, Matches!$A:$A, 0)), INDEX(Matches!$F:$F, MATCH(A102, Matches!$A:$A, 0)))</f>
        <v>6</v>
      </c>
      <c r="F102">
        <f>IF(D102="A", INDEX(Matches!$F:$F, MATCH(A102, Matches!$A:$A, 0)), INDEX(Matches!$E:$E, MATCH(A102, Matches!$A:$A, 0)))</f>
        <v>3</v>
      </c>
      <c r="G102" t="str">
        <f t="shared" si="5"/>
        <v>Win</v>
      </c>
      <c r="H102">
        <v>1</v>
      </c>
      <c r="I102">
        <v>0</v>
      </c>
      <c r="K102" t="str">
        <f t="shared" si="3"/>
        <v>9_B</v>
      </c>
    </row>
    <row r="103" spans="1:11" x14ac:dyDescent="0.35">
      <c r="A103">
        <v>9</v>
      </c>
      <c r="B103" s="6">
        <v>46044</v>
      </c>
      <c r="C103" t="s">
        <v>24</v>
      </c>
      <c r="D103" t="s">
        <v>23</v>
      </c>
      <c r="E103">
        <f>IF(D103="A", INDEX(Matches!$E:$E, MATCH(A103, Matches!$A:$A, 0)), INDEX(Matches!$F:$F, MATCH(A103, Matches!$A:$A, 0)))</f>
        <v>6</v>
      </c>
      <c r="F103">
        <f>IF(D103="A", INDEX(Matches!$F:$F, MATCH(A103, Matches!$A:$A, 0)), INDEX(Matches!$E:$E, MATCH(A103, Matches!$A:$A, 0)))</f>
        <v>3</v>
      </c>
      <c r="G103" t="str">
        <f t="shared" si="5"/>
        <v>Win</v>
      </c>
      <c r="H103">
        <v>0</v>
      </c>
      <c r="I103">
        <v>0</v>
      </c>
      <c r="K103" t="str">
        <f t="shared" si="3"/>
        <v>9_B</v>
      </c>
    </row>
    <row r="104" spans="1:11" x14ac:dyDescent="0.35">
      <c r="A104">
        <v>9</v>
      </c>
      <c r="B104" s="6">
        <v>46044</v>
      </c>
      <c r="C104" t="s">
        <v>19</v>
      </c>
      <c r="D104" t="s">
        <v>23</v>
      </c>
      <c r="E104">
        <f>IF(D104="A", INDEX(Matches!$E:$E, MATCH(A104, Matches!$A:$A, 0)), INDEX(Matches!$F:$F, MATCH(A104, Matches!$A:$A, 0)))</f>
        <v>6</v>
      </c>
      <c r="F104">
        <f>IF(D104="A", INDEX(Matches!$F:$F, MATCH(A104, Matches!$A:$A, 0)), INDEX(Matches!$E:$E, MATCH(A104, Matches!$A:$A, 0)))</f>
        <v>3</v>
      </c>
      <c r="G104" t="str">
        <f t="shared" si="5"/>
        <v>Win</v>
      </c>
      <c r="H104">
        <v>2</v>
      </c>
      <c r="I104">
        <v>1</v>
      </c>
      <c r="K104" t="str">
        <f t="shared" si="3"/>
        <v>9_B</v>
      </c>
    </row>
    <row r="105" spans="1:11" x14ac:dyDescent="0.35">
      <c r="A105">
        <v>10</v>
      </c>
      <c r="B105" s="6">
        <v>46051</v>
      </c>
      <c r="C105" t="s">
        <v>20</v>
      </c>
      <c r="D105" t="s">
        <v>17</v>
      </c>
      <c r="E105">
        <f>IF(D105="A", INDEX(Matches!$E:$E, MATCH(A105, Matches!$A:$A, 0)), INDEX(Matches!$F:$F, MATCH(A105, Matches!$A:$A, 0)))</f>
        <v>6</v>
      </c>
      <c r="F105">
        <f>IF(D105="A", INDEX(Matches!$F:$F, MATCH(A105, Matches!$A:$A, 0)), INDEX(Matches!$E:$E, MATCH(A105, Matches!$A:$A, 0)))</f>
        <v>5</v>
      </c>
      <c r="G105" t="str">
        <f>IF(E105&gt;F105,"Win",IF(E105&lt;F105,"Loss","Draw"))</f>
        <v>Win</v>
      </c>
      <c r="H105">
        <v>0</v>
      </c>
      <c r="I105">
        <v>0</v>
      </c>
      <c r="K105" t="str">
        <f t="shared" si="3"/>
        <v>10_A</v>
      </c>
    </row>
    <row r="106" spans="1:11" x14ac:dyDescent="0.35">
      <c r="A106">
        <v>10</v>
      </c>
      <c r="B106" s="6">
        <v>46051</v>
      </c>
      <c r="C106" t="s">
        <v>41</v>
      </c>
      <c r="D106" t="s">
        <v>17</v>
      </c>
      <c r="E106">
        <f>IF(D106="A", INDEX(Matches!$E:$E, MATCH(A106, Matches!$A:$A, 0)), INDEX(Matches!$F:$F, MATCH(A106, Matches!$A:$A, 0)))</f>
        <v>6</v>
      </c>
      <c r="F106">
        <f>IF(D106="A", INDEX(Matches!$F:$F, MATCH(A106, Matches!$A:$A, 0)), INDEX(Matches!$E:$E, MATCH(A106, Matches!$A:$A, 0)))</f>
        <v>5</v>
      </c>
      <c r="G106" t="str">
        <f t="shared" ref="G106:G119" si="6">IF(E106&gt;F106,"Win",IF(E106&lt;F106,"Loss","Draw"))</f>
        <v>Win</v>
      </c>
      <c r="H106">
        <v>0</v>
      </c>
      <c r="I106">
        <v>1</v>
      </c>
      <c r="J106">
        <v>2</v>
      </c>
      <c r="K106" t="str">
        <f t="shared" si="3"/>
        <v>10_A</v>
      </c>
    </row>
    <row r="107" spans="1:11" x14ac:dyDescent="0.35">
      <c r="A107">
        <v>10</v>
      </c>
      <c r="B107" s="6">
        <v>46051</v>
      </c>
      <c r="C107" t="s">
        <v>22</v>
      </c>
      <c r="D107" t="s">
        <v>17</v>
      </c>
      <c r="E107">
        <f>IF(D107="A", INDEX(Matches!$E:$E, MATCH(A107, Matches!$A:$A, 0)), INDEX(Matches!$F:$F, MATCH(A107, Matches!$A:$A, 0)))</f>
        <v>6</v>
      </c>
      <c r="F107">
        <f>IF(D107="A", INDEX(Matches!$F:$F, MATCH(A107, Matches!$A:$A, 0)), INDEX(Matches!$E:$E, MATCH(A107, Matches!$A:$A, 0)))</f>
        <v>5</v>
      </c>
      <c r="G107" t="str">
        <f t="shared" si="6"/>
        <v>Win</v>
      </c>
      <c r="H107">
        <v>0</v>
      </c>
      <c r="I107">
        <v>0</v>
      </c>
      <c r="K107" t="str">
        <f t="shared" si="3"/>
        <v>10_A</v>
      </c>
    </row>
    <row r="108" spans="1:11" x14ac:dyDescent="0.35">
      <c r="A108">
        <v>10</v>
      </c>
      <c r="B108" s="6">
        <v>46051</v>
      </c>
      <c r="C108" t="s">
        <v>18</v>
      </c>
      <c r="D108" t="s">
        <v>17</v>
      </c>
      <c r="E108">
        <f>IF(D108="A", INDEX(Matches!$E:$E, MATCH(A108, Matches!$A:$A, 0)), INDEX(Matches!$F:$F, MATCH(A108, Matches!$A:$A, 0)))</f>
        <v>6</v>
      </c>
      <c r="F108">
        <f>IF(D108="A", INDEX(Matches!$F:$F, MATCH(A108, Matches!$A:$A, 0)), INDEX(Matches!$E:$E, MATCH(A108, Matches!$A:$A, 0)))</f>
        <v>5</v>
      </c>
      <c r="G108" t="str">
        <f t="shared" si="6"/>
        <v>Win</v>
      </c>
      <c r="H108">
        <v>0</v>
      </c>
      <c r="I108">
        <v>2</v>
      </c>
      <c r="K108" t="str">
        <f t="shared" si="3"/>
        <v>10_A</v>
      </c>
    </row>
    <row r="109" spans="1:11" x14ac:dyDescent="0.35">
      <c r="A109">
        <v>10</v>
      </c>
      <c r="B109" s="6">
        <v>46051</v>
      </c>
      <c r="C109" t="s">
        <v>66</v>
      </c>
      <c r="D109" t="s">
        <v>17</v>
      </c>
      <c r="E109">
        <f>IF(D109="A", INDEX(Matches!$E:$E, MATCH(A109, Matches!$A:$A, 0)), INDEX(Matches!$F:$F, MATCH(A109, Matches!$A:$A, 0)))</f>
        <v>6</v>
      </c>
      <c r="F109">
        <f>IF(D109="A", INDEX(Matches!$F:$F, MATCH(A109, Matches!$A:$A, 0)), INDEX(Matches!$E:$E, MATCH(A109, Matches!$A:$A, 0)))</f>
        <v>5</v>
      </c>
      <c r="G109" t="str">
        <f t="shared" si="6"/>
        <v>Win</v>
      </c>
      <c r="H109">
        <v>5</v>
      </c>
      <c r="I109">
        <v>0</v>
      </c>
      <c r="K109" t="str">
        <f t="shared" si="3"/>
        <v>10_A</v>
      </c>
    </row>
    <row r="110" spans="1:11" x14ac:dyDescent="0.35">
      <c r="A110">
        <v>10</v>
      </c>
      <c r="B110" s="6">
        <v>46051</v>
      </c>
      <c r="C110" t="s">
        <v>53</v>
      </c>
      <c r="D110" t="s">
        <v>17</v>
      </c>
      <c r="E110">
        <f>IF(D110="A", INDEX(Matches!$E:$E, MATCH(A110, Matches!$A:$A, 0)), INDEX(Matches!$F:$F, MATCH(A110, Matches!$A:$A, 0)))</f>
        <v>6</v>
      </c>
      <c r="F110">
        <f>IF(D110="A", INDEX(Matches!$F:$F, MATCH(A110, Matches!$A:$A, 0)), INDEX(Matches!$E:$E, MATCH(A110, Matches!$A:$A, 0)))</f>
        <v>5</v>
      </c>
      <c r="G110" t="str">
        <f t="shared" si="6"/>
        <v>Win</v>
      </c>
      <c r="H110">
        <v>1</v>
      </c>
      <c r="I110">
        <v>0</v>
      </c>
      <c r="J110">
        <v>1</v>
      </c>
      <c r="K110" t="str">
        <f t="shared" si="3"/>
        <v>10_A</v>
      </c>
    </row>
    <row r="111" spans="1:11" x14ac:dyDescent="0.35">
      <c r="A111">
        <v>10</v>
      </c>
      <c r="B111" s="6">
        <v>46051</v>
      </c>
      <c r="C111" t="s">
        <v>60</v>
      </c>
      <c r="D111" t="s">
        <v>17</v>
      </c>
      <c r="E111">
        <f>IF(D111="A", INDEX(Matches!$E:$E, MATCH(A111, Matches!$A:$A, 0)), INDEX(Matches!$F:$F, MATCH(A111, Matches!$A:$A, 0)))</f>
        <v>6</v>
      </c>
      <c r="F111">
        <f>IF(D111="A", INDEX(Matches!$F:$F, MATCH(A111, Matches!$A:$A, 0)), INDEX(Matches!$E:$E, MATCH(A111, Matches!$A:$A, 0)))</f>
        <v>5</v>
      </c>
      <c r="G111" t="str">
        <f t="shared" si="6"/>
        <v>Win</v>
      </c>
      <c r="H111">
        <v>0</v>
      </c>
      <c r="I111">
        <v>0</v>
      </c>
      <c r="K111" t="str">
        <f t="shared" si="3"/>
        <v>10_A</v>
      </c>
    </row>
    <row r="112" spans="1:11" x14ac:dyDescent="0.35">
      <c r="A112">
        <v>10</v>
      </c>
      <c r="B112" s="6">
        <v>46051</v>
      </c>
      <c r="C112" t="s">
        <v>43</v>
      </c>
      <c r="D112" t="s">
        <v>17</v>
      </c>
      <c r="E112">
        <f>IF(D112="A", INDEX(Matches!$E:$E, MATCH(A112, Matches!$A:$A, 0)), INDEX(Matches!$F:$F, MATCH(A112, Matches!$A:$A, 0)))</f>
        <v>6</v>
      </c>
      <c r="F112">
        <f>IF(D112="A", INDEX(Matches!$F:$F, MATCH(A112, Matches!$A:$A, 0)), INDEX(Matches!$E:$E, MATCH(A112, Matches!$A:$A, 0)))</f>
        <v>5</v>
      </c>
      <c r="G112" t="str">
        <f t="shared" si="6"/>
        <v>Win</v>
      </c>
      <c r="H112">
        <v>0</v>
      </c>
      <c r="I112">
        <v>0</v>
      </c>
      <c r="K112" t="str">
        <f t="shared" si="3"/>
        <v>10_A</v>
      </c>
    </row>
    <row r="113" spans="1:11" x14ac:dyDescent="0.35">
      <c r="A113">
        <v>10</v>
      </c>
      <c r="B113" s="6">
        <v>46051</v>
      </c>
      <c r="C113" t="s">
        <v>21</v>
      </c>
      <c r="D113" t="s">
        <v>23</v>
      </c>
      <c r="E113">
        <f>IF(D113="A", INDEX(Matches!$E:$E, MATCH(A113, Matches!$A:$A, 0)), INDEX(Matches!$F:$F, MATCH(A113, Matches!$A:$A, 0)))</f>
        <v>5</v>
      </c>
      <c r="F113">
        <f>IF(D113="A", INDEX(Matches!$F:$F, MATCH(A113, Matches!$A:$A, 0)), INDEX(Matches!$E:$E, MATCH(A113, Matches!$A:$A, 0)))</f>
        <v>6</v>
      </c>
      <c r="G113" t="str">
        <f t="shared" si="6"/>
        <v>Loss</v>
      </c>
      <c r="H113">
        <v>0</v>
      </c>
      <c r="I113">
        <v>0</v>
      </c>
      <c r="K113" t="str">
        <f t="shared" si="3"/>
        <v>10_B</v>
      </c>
    </row>
    <row r="114" spans="1:11" x14ac:dyDescent="0.35">
      <c r="A114">
        <v>10</v>
      </c>
      <c r="B114" s="6">
        <v>46051</v>
      </c>
      <c r="C114" t="s">
        <v>46</v>
      </c>
      <c r="D114" t="s">
        <v>23</v>
      </c>
      <c r="E114">
        <f>IF(D114="A", INDEX(Matches!$E:$E, MATCH(A114, Matches!$A:$A, 0)), INDEX(Matches!$F:$F, MATCH(A114, Matches!$A:$A, 0)))</f>
        <v>5</v>
      </c>
      <c r="F114">
        <f>IF(D114="A", INDEX(Matches!$F:$F, MATCH(A114, Matches!$A:$A, 0)), INDEX(Matches!$E:$E, MATCH(A114, Matches!$A:$A, 0)))</f>
        <v>6</v>
      </c>
      <c r="G114" t="str">
        <f t="shared" si="6"/>
        <v>Loss</v>
      </c>
      <c r="H114">
        <v>2</v>
      </c>
      <c r="I114">
        <v>0</v>
      </c>
      <c r="K114" t="str">
        <f t="shared" si="3"/>
        <v>10_B</v>
      </c>
    </row>
    <row r="115" spans="1:11" x14ac:dyDescent="0.35">
      <c r="A115">
        <v>10</v>
      </c>
      <c r="B115" s="6">
        <v>46051</v>
      </c>
      <c r="C115" t="s">
        <v>24</v>
      </c>
      <c r="D115" t="s">
        <v>23</v>
      </c>
      <c r="E115">
        <f>IF(D115="A", INDEX(Matches!$E:$E, MATCH(A115, Matches!$A:$A, 0)), INDEX(Matches!$F:$F, MATCH(A115, Matches!$A:$A, 0)))</f>
        <v>5</v>
      </c>
      <c r="F115">
        <f>IF(D115="A", INDEX(Matches!$F:$F, MATCH(A115, Matches!$A:$A, 0)), INDEX(Matches!$E:$E, MATCH(A115, Matches!$A:$A, 0)))</f>
        <v>6</v>
      </c>
      <c r="G115" t="str">
        <f t="shared" si="6"/>
        <v>Loss</v>
      </c>
      <c r="H115">
        <v>0</v>
      </c>
      <c r="I115">
        <v>1</v>
      </c>
      <c r="K115" t="str">
        <f t="shared" si="3"/>
        <v>10_B</v>
      </c>
    </row>
    <row r="116" spans="1:11" x14ac:dyDescent="0.35">
      <c r="A116">
        <v>10</v>
      </c>
      <c r="B116" s="6">
        <v>46051</v>
      </c>
      <c r="C116" t="s">
        <v>51</v>
      </c>
      <c r="D116" t="s">
        <v>23</v>
      </c>
      <c r="E116">
        <f>IF(D116="A", INDEX(Matches!$E:$E, MATCH(A116, Matches!$A:$A, 0)), INDEX(Matches!$F:$F, MATCH(A116, Matches!$A:$A, 0)))</f>
        <v>5</v>
      </c>
      <c r="F116">
        <f>IF(D116="A", INDEX(Matches!$F:$F, MATCH(A116, Matches!$A:$A, 0)), INDEX(Matches!$E:$E, MATCH(A116, Matches!$A:$A, 0)))</f>
        <v>6</v>
      </c>
      <c r="G116" t="str">
        <f t="shared" si="6"/>
        <v>Loss</v>
      </c>
      <c r="H116">
        <v>1</v>
      </c>
      <c r="I116">
        <v>0</v>
      </c>
      <c r="J116">
        <v>1</v>
      </c>
      <c r="K116" t="str">
        <f t="shared" si="3"/>
        <v>10_B</v>
      </c>
    </row>
    <row r="117" spans="1:11" x14ac:dyDescent="0.35">
      <c r="A117">
        <v>10</v>
      </c>
      <c r="B117" s="6">
        <v>46051</v>
      </c>
      <c r="C117" t="s">
        <v>25</v>
      </c>
      <c r="D117" t="s">
        <v>23</v>
      </c>
      <c r="E117">
        <f>IF(D117="A", INDEX(Matches!$E:$E, MATCH(A117, Matches!$A:$A, 0)), INDEX(Matches!$F:$F, MATCH(A117, Matches!$A:$A, 0)))</f>
        <v>5</v>
      </c>
      <c r="F117">
        <f>IF(D117="A", INDEX(Matches!$F:$F, MATCH(A117, Matches!$A:$A, 0)), INDEX(Matches!$E:$E, MATCH(A117, Matches!$A:$A, 0)))</f>
        <v>6</v>
      </c>
      <c r="G117" t="str">
        <f t="shared" si="6"/>
        <v>Loss</v>
      </c>
      <c r="H117">
        <v>0</v>
      </c>
      <c r="I117">
        <v>1</v>
      </c>
      <c r="K117" t="str">
        <f t="shared" si="3"/>
        <v>10_B</v>
      </c>
    </row>
    <row r="118" spans="1:11" x14ac:dyDescent="0.35">
      <c r="A118">
        <v>10</v>
      </c>
      <c r="B118" s="6">
        <v>46051</v>
      </c>
      <c r="C118" t="s">
        <v>40</v>
      </c>
      <c r="D118" t="s">
        <v>23</v>
      </c>
      <c r="E118">
        <f>IF(D118="A", INDEX(Matches!$E:$E, MATCH(A118, Matches!$A:$A, 0)), INDEX(Matches!$F:$F, MATCH(A118, Matches!$A:$A, 0)))</f>
        <v>5</v>
      </c>
      <c r="F118">
        <f>IF(D118="A", INDEX(Matches!$F:$F, MATCH(A118, Matches!$A:$A, 0)), INDEX(Matches!$E:$E, MATCH(A118, Matches!$A:$A, 0)))</f>
        <v>6</v>
      </c>
      <c r="G118" t="str">
        <f t="shared" si="6"/>
        <v>Loss</v>
      </c>
      <c r="H118">
        <v>0</v>
      </c>
      <c r="I118">
        <v>0</v>
      </c>
      <c r="K118" t="str">
        <f t="shared" si="3"/>
        <v>10_B</v>
      </c>
    </row>
    <row r="119" spans="1:11" x14ac:dyDescent="0.35">
      <c r="A119">
        <v>10</v>
      </c>
      <c r="B119" s="6">
        <v>46051</v>
      </c>
      <c r="C119" t="s">
        <v>42</v>
      </c>
      <c r="D119" t="s">
        <v>23</v>
      </c>
      <c r="E119">
        <f>IF(D119="A", INDEX(Matches!$E:$E, MATCH(A119, Matches!$A:$A, 0)), INDEX(Matches!$F:$F, MATCH(A119, Matches!$A:$A, 0)))</f>
        <v>5</v>
      </c>
      <c r="F119">
        <f>IF(D119="A", INDEX(Matches!$F:$F, MATCH(A119, Matches!$A:$A, 0)), INDEX(Matches!$E:$E, MATCH(A119, Matches!$A:$A, 0)))</f>
        <v>6</v>
      </c>
      <c r="G119" t="str">
        <f t="shared" si="6"/>
        <v>Loss</v>
      </c>
      <c r="H119">
        <v>0</v>
      </c>
      <c r="I119">
        <v>0</v>
      </c>
      <c r="K119" t="str">
        <f t="shared" si="3"/>
        <v>10_B</v>
      </c>
    </row>
    <row r="120" spans="1:11" x14ac:dyDescent="0.35">
      <c r="A120">
        <v>10</v>
      </c>
      <c r="B120" s="6">
        <v>46051</v>
      </c>
      <c r="C120" t="s">
        <v>54</v>
      </c>
      <c r="D120" t="s">
        <v>23</v>
      </c>
      <c r="E120">
        <f>IF(D120="A", INDEX(Matches!$E:$E, MATCH(A120, Matches!$A:$A, 0)), INDEX(Matches!$F:$F, MATCH(A120, Matches!$A:$A, 0)))</f>
        <v>5</v>
      </c>
      <c r="F120">
        <f>IF(D120="A", INDEX(Matches!$F:$F, MATCH(A120, Matches!$A:$A, 0)), INDEX(Matches!$E:$E, MATCH(A120, Matches!$A:$A, 0)))</f>
        <v>6</v>
      </c>
      <c r="G120" t="str">
        <f>IF(E120&gt;F120,"Win",IF(E120&lt;F120,"Loss","Draw"))</f>
        <v>Loss</v>
      </c>
      <c r="H120">
        <v>0</v>
      </c>
      <c r="I120">
        <v>0</v>
      </c>
      <c r="K120" t="str">
        <f t="shared" si="3"/>
        <v>10_B</v>
      </c>
    </row>
    <row r="121" spans="1:11" x14ac:dyDescent="0.35">
      <c r="A121">
        <v>11</v>
      </c>
      <c r="B121" s="6">
        <v>46058</v>
      </c>
      <c r="C121" t="s">
        <v>54</v>
      </c>
      <c r="D121" t="s">
        <v>17</v>
      </c>
      <c r="E121">
        <f>IF(D121="A", INDEX(Matches!$E:$E, MATCH(A121, Matches!$A:$A, 0)), INDEX(Matches!$F:$F, MATCH(A121, Matches!$A:$A, 0)))</f>
        <v>2</v>
      </c>
      <c r="F121">
        <f>IF(D121="A", INDEX(Matches!$F:$F, MATCH(A121, Matches!$A:$A, 0)), INDEX(Matches!$E:$E, MATCH(A121, Matches!$A:$A, 0)))</f>
        <v>3</v>
      </c>
      <c r="G121" t="str">
        <f t="shared" ref="G121:G136" si="7">IF(E121&gt;F121,"Win",IF(E121&lt;F121,"Loss","Draw"))</f>
        <v>Loss</v>
      </c>
      <c r="H121">
        <v>0</v>
      </c>
      <c r="I121">
        <v>0</v>
      </c>
      <c r="K121" t="str">
        <f t="shared" si="3"/>
        <v>11_A</v>
      </c>
    </row>
    <row r="122" spans="1:11" x14ac:dyDescent="0.35">
      <c r="A122">
        <v>11</v>
      </c>
      <c r="B122" s="6">
        <v>46058</v>
      </c>
      <c r="C122" t="s">
        <v>25</v>
      </c>
      <c r="D122" t="s">
        <v>17</v>
      </c>
      <c r="E122">
        <f>IF(D122="A", INDEX(Matches!$E:$E, MATCH(A122, Matches!$A:$A, 0)), INDEX(Matches!$F:$F, MATCH(A122, Matches!$A:$A, 0)))</f>
        <v>2</v>
      </c>
      <c r="F122">
        <f>IF(D122="A", INDEX(Matches!$F:$F, MATCH(A122, Matches!$A:$A, 0)), INDEX(Matches!$E:$E, MATCH(A122, Matches!$A:$A, 0)))</f>
        <v>3</v>
      </c>
      <c r="G122" t="str">
        <f t="shared" si="7"/>
        <v>Loss</v>
      </c>
      <c r="H122">
        <v>0</v>
      </c>
      <c r="I122">
        <v>0</v>
      </c>
      <c r="K122" t="str">
        <f t="shared" si="3"/>
        <v>11_A</v>
      </c>
    </row>
    <row r="123" spans="1:11" x14ac:dyDescent="0.35">
      <c r="A123">
        <v>11</v>
      </c>
      <c r="B123" s="6">
        <v>46058</v>
      </c>
      <c r="C123" t="s">
        <v>24</v>
      </c>
      <c r="D123" t="s">
        <v>17</v>
      </c>
      <c r="E123">
        <f>IF(D123="A", INDEX(Matches!$E:$E, MATCH(A123, Matches!$A:$A, 0)), INDEX(Matches!$F:$F, MATCH(A123, Matches!$A:$A, 0)))</f>
        <v>2</v>
      </c>
      <c r="F123">
        <f>IF(D123="A", INDEX(Matches!$F:$F, MATCH(A123, Matches!$A:$A, 0)), INDEX(Matches!$E:$E, MATCH(A123, Matches!$A:$A, 0)))</f>
        <v>3</v>
      </c>
      <c r="G123" t="str">
        <f t="shared" si="7"/>
        <v>Loss</v>
      </c>
      <c r="H123">
        <v>0</v>
      </c>
      <c r="I123">
        <v>0</v>
      </c>
      <c r="K123" t="str">
        <f t="shared" si="3"/>
        <v>11_A</v>
      </c>
    </row>
    <row r="124" spans="1:11" x14ac:dyDescent="0.35">
      <c r="A124">
        <v>11</v>
      </c>
      <c r="B124" s="6">
        <v>46058</v>
      </c>
      <c r="C124" t="s">
        <v>18</v>
      </c>
      <c r="D124" t="s">
        <v>17</v>
      </c>
      <c r="E124">
        <f>IF(D124="A", INDEX(Matches!$E:$E, MATCH(A124, Matches!$A:$A, 0)), INDEX(Matches!$F:$F, MATCH(A124, Matches!$A:$A, 0)))</f>
        <v>2</v>
      </c>
      <c r="F124">
        <f>IF(D124="A", INDEX(Matches!$F:$F, MATCH(A124, Matches!$A:$A, 0)), INDEX(Matches!$E:$E, MATCH(A124, Matches!$A:$A, 0)))</f>
        <v>3</v>
      </c>
      <c r="G124" t="str">
        <f t="shared" si="7"/>
        <v>Loss</v>
      </c>
      <c r="H124">
        <v>1</v>
      </c>
      <c r="I124">
        <v>0</v>
      </c>
      <c r="K124" t="str">
        <f t="shared" si="3"/>
        <v>11_A</v>
      </c>
    </row>
    <row r="125" spans="1:11" x14ac:dyDescent="0.35">
      <c r="A125">
        <v>11</v>
      </c>
      <c r="B125" s="6">
        <v>46058</v>
      </c>
      <c r="C125" t="s">
        <v>16</v>
      </c>
      <c r="D125" t="s">
        <v>17</v>
      </c>
      <c r="E125">
        <f>IF(D125="A", INDEX(Matches!$E:$E, MATCH(A125, Matches!$A:$A, 0)), INDEX(Matches!$F:$F, MATCH(A125, Matches!$A:$A, 0)))</f>
        <v>2</v>
      </c>
      <c r="F125">
        <f>IF(D125="A", INDEX(Matches!$F:$F, MATCH(A125, Matches!$A:$A, 0)), INDEX(Matches!$E:$E, MATCH(A125, Matches!$A:$A, 0)))</f>
        <v>3</v>
      </c>
      <c r="G125" t="str">
        <f t="shared" si="7"/>
        <v>Loss</v>
      </c>
      <c r="H125">
        <v>0</v>
      </c>
      <c r="I125">
        <v>0</v>
      </c>
      <c r="K125" t="str">
        <f t="shared" si="3"/>
        <v>11_A</v>
      </c>
    </row>
    <row r="126" spans="1:11" x14ac:dyDescent="0.35">
      <c r="A126">
        <v>11</v>
      </c>
      <c r="B126" s="6">
        <v>46058</v>
      </c>
      <c r="C126" t="s">
        <v>19</v>
      </c>
      <c r="D126" t="s">
        <v>17</v>
      </c>
      <c r="E126">
        <f>IF(D126="A", INDEX(Matches!$E:$E, MATCH(A126, Matches!$A:$A, 0)), INDEX(Matches!$F:$F, MATCH(A126, Matches!$A:$A, 0)))</f>
        <v>2</v>
      </c>
      <c r="F126">
        <f>IF(D126="A", INDEX(Matches!$F:$F, MATCH(A126, Matches!$A:$A, 0)), INDEX(Matches!$E:$E, MATCH(A126, Matches!$A:$A, 0)))</f>
        <v>3</v>
      </c>
      <c r="G126" t="str">
        <f t="shared" si="7"/>
        <v>Loss</v>
      </c>
      <c r="H126">
        <v>1</v>
      </c>
      <c r="I126">
        <v>1</v>
      </c>
      <c r="K126" t="str">
        <f t="shared" si="3"/>
        <v>11_A</v>
      </c>
    </row>
    <row r="127" spans="1:11" x14ac:dyDescent="0.35">
      <c r="A127">
        <v>11</v>
      </c>
      <c r="B127" s="6">
        <v>46058</v>
      </c>
      <c r="C127" t="s">
        <v>46</v>
      </c>
      <c r="D127" t="s">
        <v>17</v>
      </c>
      <c r="E127">
        <f>IF(D127="A", INDEX(Matches!$E:$E, MATCH(A127, Matches!$A:$A, 0)), INDEX(Matches!$F:$F, MATCH(A127, Matches!$A:$A, 0)))</f>
        <v>2</v>
      </c>
      <c r="F127">
        <f>IF(D127="A", INDEX(Matches!$F:$F, MATCH(A127, Matches!$A:$A, 0)), INDEX(Matches!$E:$E, MATCH(A127, Matches!$A:$A, 0)))</f>
        <v>3</v>
      </c>
      <c r="G127" t="str">
        <f t="shared" si="7"/>
        <v>Loss</v>
      </c>
      <c r="H127">
        <v>0</v>
      </c>
      <c r="I127">
        <v>1</v>
      </c>
      <c r="K127" t="str">
        <f t="shared" si="3"/>
        <v>11_A</v>
      </c>
    </row>
    <row r="128" spans="1:11" x14ac:dyDescent="0.35">
      <c r="A128">
        <v>11</v>
      </c>
      <c r="B128" s="6">
        <v>46058</v>
      </c>
      <c r="C128" t="s">
        <v>43</v>
      </c>
      <c r="D128" t="s">
        <v>17</v>
      </c>
      <c r="E128">
        <f>IF(D128="A", INDEX(Matches!$E:$E, MATCH(A128, Matches!$A:$A, 0)), INDEX(Matches!$F:$F, MATCH(A128, Matches!$A:$A, 0)))</f>
        <v>2</v>
      </c>
      <c r="F128">
        <f>IF(D128="A", INDEX(Matches!$F:$F, MATCH(A128, Matches!$A:$A, 0)), INDEX(Matches!$E:$E, MATCH(A128, Matches!$A:$A, 0)))</f>
        <v>3</v>
      </c>
      <c r="G128" t="str">
        <f t="shared" si="7"/>
        <v>Loss</v>
      </c>
      <c r="H128">
        <v>0</v>
      </c>
      <c r="I128">
        <v>0</v>
      </c>
      <c r="K128" t="str">
        <f t="shared" si="3"/>
        <v>11_A</v>
      </c>
    </row>
    <row r="129" spans="1:11" x14ac:dyDescent="0.35">
      <c r="A129">
        <v>11</v>
      </c>
      <c r="B129" s="6">
        <v>46058</v>
      </c>
      <c r="C129" t="s">
        <v>53</v>
      </c>
      <c r="D129" t="s">
        <v>23</v>
      </c>
      <c r="E129">
        <f>IF(D129="A", INDEX(Matches!$E:$E, MATCH(A129, Matches!$A:$A, 0)), INDEX(Matches!$F:$F, MATCH(A129, Matches!$A:$A, 0)))</f>
        <v>3</v>
      </c>
      <c r="F129">
        <f>IF(D129="A", INDEX(Matches!$F:$F, MATCH(A129, Matches!$A:$A, 0)), INDEX(Matches!$E:$E, MATCH(A129, Matches!$A:$A, 0)))</f>
        <v>2</v>
      </c>
      <c r="G129" t="str">
        <f t="shared" si="7"/>
        <v>Win</v>
      </c>
      <c r="H129">
        <v>0</v>
      </c>
      <c r="I129">
        <v>0</v>
      </c>
      <c r="K129" t="str">
        <f t="shared" si="3"/>
        <v>11_B</v>
      </c>
    </row>
    <row r="130" spans="1:11" x14ac:dyDescent="0.35">
      <c r="A130">
        <v>11</v>
      </c>
      <c r="B130" s="6">
        <v>46058</v>
      </c>
      <c r="C130" t="s">
        <v>22</v>
      </c>
      <c r="D130" t="s">
        <v>23</v>
      </c>
      <c r="E130">
        <f>IF(D130="A", INDEX(Matches!$E:$E, MATCH(A130, Matches!$A:$A, 0)), INDEX(Matches!$F:$F, MATCH(A130, Matches!$A:$A, 0)))</f>
        <v>3</v>
      </c>
      <c r="F130">
        <f>IF(D130="A", INDEX(Matches!$F:$F, MATCH(A130, Matches!$A:$A, 0)), INDEX(Matches!$E:$E, MATCH(A130, Matches!$A:$A, 0)))</f>
        <v>2</v>
      </c>
      <c r="G130" t="str">
        <f t="shared" si="7"/>
        <v>Win</v>
      </c>
      <c r="H130">
        <v>0</v>
      </c>
      <c r="I130">
        <v>0</v>
      </c>
      <c r="K130" t="str">
        <f t="shared" si="3"/>
        <v>11_B</v>
      </c>
    </row>
    <row r="131" spans="1:11" x14ac:dyDescent="0.35">
      <c r="A131">
        <v>11</v>
      </c>
      <c r="B131" s="6">
        <v>46058</v>
      </c>
      <c r="C131" t="s">
        <v>20</v>
      </c>
      <c r="D131" t="s">
        <v>23</v>
      </c>
      <c r="E131">
        <f>IF(D131="A", INDEX(Matches!$E:$E, MATCH(A131, Matches!$A:$A, 0)), INDEX(Matches!$F:$F, MATCH(A131, Matches!$A:$A, 0)))</f>
        <v>3</v>
      </c>
      <c r="F131">
        <f>IF(D131="A", INDEX(Matches!$F:$F, MATCH(A131, Matches!$A:$A, 0)), INDEX(Matches!$E:$E, MATCH(A131, Matches!$A:$A, 0)))</f>
        <v>2</v>
      </c>
      <c r="G131" t="str">
        <f t="shared" si="7"/>
        <v>Win</v>
      </c>
      <c r="H131">
        <v>0</v>
      </c>
      <c r="I131">
        <v>1</v>
      </c>
      <c r="K131" t="str">
        <f t="shared" ref="K131:K194" si="8">A131&amp;"_"&amp;D131</f>
        <v>11_B</v>
      </c>
    </row>
    <row r="132" spans="1:11" x14ac:dyDescent="0.35">
      <c r="A132">
        <v>11</v>
      </c>
      <c r="B132" s="6">
        <v>46058</v>
      </c>
      <c r="C132" t="s">
        <v>42</v>
      </c>
      <c r="D132" t="s">
        <v>23</v>
      </c>
      <c r="E132">
        <f>IF(D132="A", INDEX(Matches!$E:$E, MATCH(A132, Matches!$A:$A, 0)), INDEX(Matches!$F:$F, MATCH(A132, Matches!$A:$A, 0)))</f>
        <v>3</v>
      </c>
      <c r="F132">
        <f>IF(D132="A", INDEX(Matches!$F:$F, MATCH(A132, Matches!$A:$A, 0)), INDEX(Matches!$E:$E, MATCH(A132, Matches!$A:$A, 0)))</f>
        <v>2</v>
      </c>
      <c r="G132" t="str">
        <f t="shared" si="7"/>
        <v>Win</v>
      </c>
      <c r="H132">
        <v>1</v>
      </c>
      <c r="I132">
        <v>0</v>
      </c>
      <c r="K132" t="str">
        <f t="shared" si="8"/>
        <v>11_B</v>
      </c>
    </row>
    <row r="133" spans="1:11" x14ac:dyDescent="0.35">
      <c r="A133">
        <v>11</v>
      </c>
      <c r="B133" s="6">
        <v>46058</v>
      </c>
      <c r="C133" t="s">
        <v>21</v>
      </c>
      <c r="D133" t="s">
        <v>23</v>
      </c>
      <c r="E133">
        <f>IF(D133="A", INDEX(Matches!$E:$E, MATCH(A133, Matches!$A:$A, 0)), INDEX(Matches!$F:$F, MATCH(A133, Matches!$A:$A, 0)))</f>
        <v>3</v>
      </c>
      <c r="F133">
        <f>IF(D133="A", INDEX(Matches!$F:$F, MATCH(A133, Matches!$A:$A, 0)), INDEX(Matches!$E:$E, MATCH(A133, Matches!$A:$A, 0)))</f>
        <v>2</v>
      </c>
      <c r="G133" t="str">
        <f t="shared" si="7"/>
        <v>Win</v>
      </c>
      <c r="H133">
        <v>0</v>
      </c>
      <c r="I133">
        <v>0</v>
      </c>
      <c r="K133" t="str">
        <f t="shared" si="8"/>
        <v>11_B</v>
      </c>
    </row>
    <row r="134" spans="1:11" x14ac:dyDescent="0.35">
      <c r="A134">
        <v>11</v>
      </c>
      <c r="B134" s="6">
        <v>46058</v>
      </c>
      <c r="C134" t="s">
        <v>66</v>
      </c>
      <c r="D134" t="s">
        <v>23</v>
      </c>
      <c r="E134">
        <f>IF(D134="A", INDEX(Matches!$E:$E, MATCH(A134, Matches!$A:$A, 0)), INDEX(Matches!$F:$F, MATCH(A134, Matches!$A:$A, 0)))</f>
        <v>3</v>
      </c>
      <c r="F134">
        <f>IF(D134="A", INDEX(Matches!$F:$F, MATCH(A134, Matches!$A:$A, 0)), INDEX(Matches!$E:$E, MATCH(A134, Matches!$A:$A, 0)))</f>
        <v>2</v>
      </c>
      <c r="G134" t="str">
        <f t="shared" si="7"/>
        <v>Win</v>
      </c>
      <c r="H134">
        <v>0</v>
      </c>
      <c r="I134">
        <v>1</v>
      </c>
      <c r="K134" t="str">
        <f t="shared" si="8"/>
        <v>11_B</v>
      </c>
    </row>
    <row r="135" spans="1:11" x14ac:dyDescent="0.35">
      <c r="A135">
        <v>11</v>
      </c>
      <c r="B135" s="6">
        <v>46058</v>
      </c>
      <c r="C135" t="s">
        <v>44</v>
      </c>
      <c r="D135" t="s">
        <v>23</v>
      </c>
      <c r="E135">
        <f>IF(D135="A", INDEX(Matches!$E:$E, MATCH(A135, Matches!$A:$A, 0)), INDEX(Matches!$F:$F, MATCH(A135, Matches!$A:$A, 0)))</f>
        <v>3</v>
      </c>
      <c r="F135">
        <f>IF(D135="A", INDEX(Matches!$F:$F, MATCH(A135, Matches!$A:$A, 0)), INDEX(Matches!$E:$E, MATCH(A135, Matches!$A:$A, 0)))</f>
        <v>2</v>
      </c>
      <c r="G135" t="str">
        <f t="shared" si="7"/>
        <v>Win</v>
      </c>
      <c r="H135">
        <v>2</v>
      </c>
      <c r="I135">
        <v>0</v>
      </c>
      <c r="K135" t="str">
        <f t="shared" si="8"/>
        <v>11_B</v>
      </c>
    </row>
    <row r="136" spans="1:11" x14ac:dyDescent="0.35">
      <c r="A136">
        <v>11</v>
      </c>
      <c r="B136" s="6">
        <v>46058</v>
      </c>
      <c r="C136" t="s">
        <v>40</v>
      </c>
      <c r="D136" t="s">
        <v>23</v>
      </c>
      <c r="E136">
        <f>IF(D136="A", INDEX(Matches!$E:$E, MATCH(A136, Matches!$A:$A, 0)), INDEX(Matches!$F:$F, MATCH(A136, Matches!$A:$A, 0)))</f>
        <v>3</v>
      </c>
      <c r="F136">
        <f>IF(D136="A", INDEX(Matches!$F:$F, MATCH(A136, Matches!$A:$A, 0)), INDEX(Matches!$E:$E, MATCH(A136, Matches!$A:$A, 0)))</f>
        <v>2</v>
      </c>
      <c r="G136" t="str">
        <f t="shared" si="7"/>
        <v>Win</v>
      </c>
      <c r="H136">
        <v>0</v>
      </c>
      <c r="I136">
        <v>0</v>
      </c>
      <c r="K136" t="str">
        <f t="shared" si="8"/>
        <v>11_B</v>
      </c>
    </row>
    <row r="137" spans="1:11" x14ac:dyDescent="0.35">
      <c r="A137">
        <v>12</v>
      </c>
      <c r="B137" s="6">
        <v>46065</v>
      </c>
      <c r="C137" t="s">
        <v>20</v>
      </c>
      <c r="D137" t="s">
        <v>17</v>
      </c>
      <c r="E137">
        <f>IF(D137="A", INDEX(Matches!$E:$E, MATCH(A137, Matches!$A:$A, 0)), INDEX(Matches!$F:$F, MATCH(A137, Matches!$A:$A, 0)))</f>
        <v>5</v>
      </c>
      <c r="F137">
        <f>IF(D137="A", INDEX(Matches!$F:$F, MATCH(A137, Matches!$A:$A, 0)), INDEX(Matches!$E:$E, MATCH(A137, Matches!$A:$A, 0)))</f>
        <v>4</v>
      </c>
      <c r="G137" t="str">
        <f t="shared" ref="G137:G138" si="9">IF(E137&gt;F137,"Win",IF(E137&lt;F137,"Loss","Draw"))</f>
        <v>Win</v>
      </c>
      <c r="K137" t="str">
        <f t="shared" si="8"/>
        <v>12_A</v>
      </c>
    </row>
    <row r="138" spans="1:11" x14ac:dyDescent="0.35">
      <c r="A138">
        <v>12</v>
      </c>
      <c r="B138" s="6">
        <v>46065</v>
      </c>
      <c r="C138" t="s">
        <v>19</v>
      </c>
      <c r="D138" t="s">
        <v>17</v>
      </c>
      <c r="E138">
        <f>IF(D138="A", INDEX(Matches!$E:$E, MATCH(A138, Matches!$A:$A, 0)), INDEX(Matches!$F:$F, MATCH(A138, Matches!$A:$A, 0)))</f>
        <v>5</v>
      </c>
      <c r="F138">
        <f>IF(D138="A", INDEX(Matches!$F:$F, MATCH(A138, Matches!$A:$A, 0)), INDEX(Matches!$E:$E, MATCH(A138, Matches!$A:$A, 0)))</f>
        <v>4</v>
      </c>
      <c r="G138" t="str">
        <f t="shared" si="9"/>
        <v>Win</v>
      </c>
      <c r="H138">
        <v>1</v>
      </c>
      <c r="I138">
        <v>1</v>
      </c>
      <c r="K138" t="str">
        <f t="shared" si="8"/>
        <v>12_A</v>
      </c>
    </row>
    <row r="139" spans="1:11" x14ac:dyDescent="0.35">
      <c r="A139">
        <v>12</v>
      </c>
      <c r="B139" s="6">
        <v>46065</v>
      </c>
      <c r="C139" t="s">
        <v>21</v>
      </c>
      <c r="D139" t="s">
        <v>17</v>
      </c>
      <c r="E139">
        <f>IF(D139="A", INDEX(Matches!$E:$E, MATCH(A139, Matches!$A:$A, 0)), INDEX(Matches!$F:$F, MATCH(A139, Matches!$A:$A, 0)))</f>
        <v>5</v>
      </c>
      <c r="F139">
        <f>IF(D139="A", INDEX(Matches!$F:$F, MATCH(A139, Matches!$A:$A, 0)), INDEX(Matches!$E:$E, MATCH(A139, Matches!$A:$A, 0)))</f>
        <v>4</v>
      </c>
      <c r="G139" t="str">
        <f t="shared" ref="G139:G145" si="10">IF(E139&gt;F139,"Win",IF(E139&lt;F139,"Loss","Draw"))</f>
        <v>Win</v>
      </c>
      <c r="H139">
        <v>1</v>
      </c>
      <c r="K139" t="str">
        <f t="shared" si="8"/>
        <v>12_A</v>
      </c>
    </row>
    <row r="140" spans="1:11" x14ac:dyDescent="0.35">
      <c r="A140">
        <v>12</v>
      </c>
      <c r="B140" s="6">
        <v>46065</v>
      </c>
      <c r="C140" t="s">
        <v>46</v>
      </c>
      <c r="D140" t="s">
        <v>17</v>
      </c>
      <c r="E140">
        <f>IF(D140="A", INDEX(Matches!$E:$E, MATCH(A140, Matches!$A:$A, 0)), INDEX(Matches!$F:$F, MATCH(A140, Matches!$A:$A, 0)))</f>
        <v>5</v>
      </c>
      <c r="F140">
        <f>IF(D140="A", INDEX(Matches!$F:$F, MATCH(A140, Matches!$A:$A, 0)), INDEX(Matches!$E:$E, MATCH(A140, Matches!$A:$A, 0)))</f>
        <v>4</v>
      </c>
      <c r="G140" t="str">
        <f t="shared" si="10"/>
        <v>Win</v>
      </c>
      <c r="H140">
        <v>1</v>
      </c>
      <c r="I140">
        <v>1</v>
      </c>
      <c r="K140" t="str">
        <f t="shared" si="8"/>
        <v>12_A</v>
      </c>
    </row>
    <row r="141" spans="1:11" x14ac:dyDescent="0.35">
      <c r="A141">
        <v>12</v>
      </c>
      <c r="B141" s="6">
        <v>46065</v>
      </c>
      <c r="C141" t="s">
        <v>50</v>
      </c>
      <c r="D141" t="s">
        <v>17</v>
      </c>
      <c r="E141">
        <f>IF(D141="A", INDEX(Matches!$E:$E, MATCH(A141, Matches!$A:$A, 0)), INDEX(Matches!$F:$F, MATCH(A141, Matches!$A:$A, 0)))</f>
        <v>5</v>
      </c>
      <c r="F141">
        <f>IF(D141="A", INDEX(Matches!$F:$F, MATCH(A141, Matches!$A:$A, 0)), INDEX(Matches!$E:$E, MATCH(A141, Matches!$A:$A, 0)))</f>
        <v>4</v>
      </c>
      <c r="G141" t="str">
        <f t="shared" si="10"/>
        <v>Win</v>
      </c>
      <c r="K141" t="str">
        <f t="shared" si="8"/>
        <v>12_A</v>
      </c>
    </row>
    <row r="142" spans="1:11" x14ac:dyDescent="0.35">
      <c r="A142">
        <v>12</v>
      </c>
      <c r="B142" s="6">
        <v>46065</v>
      </c>
      <c r="C142" t="s">
        <v>53</v>
      </c>
      <c r="D142" t="s">
        <v>17</v>
      </c>
      <c r="E142">
        <f>IF(D142="A", INDEX(Matches!$E:$E, MATCH(A142, Matches!$A:$A, 0)), INDEX(Matches!$F:$F, MATCH(A142, Matches!$A:$A, 0)))</f>
        <v>5</v>
      </c>
      <c r="F142">
        <f>IF(D142="A", INDEX(Matches!$F:$F, MATCH(A142, Matches!$A:$A, 0)), INDEX(Matches!$E:$E, MATCH(A142, Matches!$A:$A, 0)))</f>
        <v>4</v>
      </c>
      <c r="G142" t="str">
        <f t="shared" si="10"/>
        <v>Win</v>
      </c>
      <c r="K142" t="str">
        <f t="shared" si="8"/>
        <v>12_A</v>
      </c>
    </row>
    <row r="143" spans="1:11" x14ac:dyDescent="0.35">
      <c r="A143">
        <v>12</v>
      </c>
      <c r="B143" s="6">
        <v>46065</v>
      </c>
      <c r="C143" t="s">
        <v>66</v>
      </c>
      <c r="D143" t="s">
        <v>17</v>
      </c>
      <c r="E143">
        <f>IF(D143="A", INDEX(Matches!$E:$E, MATCH(A143, Matches!$A:$A, 0)), INDEX(Matches!$F:$F, MATCH(A143, Matches!$A:$A, 0)))</f>
        <v>5</v>
      </c>
      <c r="F143">
        <f>IF(D143="A", INDEX(Matches!$F:$F, MATCH(A143, Matches!$A:$A, 0)), INDEX(Matches!$E:$E, MATCH(A143, Matches!$A:$A, 0)))</f>
        <v>4</v>
      </c>
      <c r="G143" t="str">
        <f t="shared" si="10"/>
        <v>Win</v>
      </c>
      <c r="H143">
        <v>2</v>
      </c>
      <c r="I143">
        <v>1</v>
      </c>
      <c r="K143" t="str">
        <f t="shared" si="8"/>
        <v>12_A</v>
      </c>
    </row>
    <row r="144" spans="1:11" x14ac:dyDescent="0.35">
      <c r="A144">
        <v>12</v>
      </c>
      <c r="B144" s="6">
        <v>46065</v>
      </c>
      <c r="C144" t="s">
        <v>18</v>
      </c>
      <c r="D144" t="s">
        <v>17</v>
      </c>
      <c r="E144">
        <f>IF(D144="A", INDEX(Matches!$E:$E, MATCH(A144, Matches!$A:$A, 0)), INDEX(Matches!$F:$F, MATCH(A144, Matches!$A:$A, 0)))</f>
        <v>5</v>
      </c>
      <c r="F144">
        <f>IF(D144="A", INDEX(Matches!$F:$F, MATCH(A144, Matches!$A:$A, 0)), INDEX(Matches!$E:$E, MATCH(A144, Matches!$A:$A, 0)))</f>
        <v>4</v>
      </c>
      <c r="G144" t="str">
        <f t="shared" si="10"/>
        <v>Win</v>
      </c>
      <c r="K144" t="str">
        <f t="shared" si="8"/>
        <v>12_A</v>
      </c>
    </row>
    <row r="145" spans="1:11" x14ac:dyDescent="0.35">
      <c r="A145">
        <v>12</v>
      </c>
      <c r="B145" s="6">
        <v>46065</v>
      </c>
      <c r="C145" t="s">
        <v>54</v>
      </c>
      <c r="D145" t="s">
        <v>17</v>
      </c>
      <c r="E145">
        <f>IF(D145="A", INDEX(Matches!$E:$E, MATCH(A145, Matches!$A:$A, 0)), INDEX(Matches!$F:$F, MATCH(A145, Matches!$A:$A, 0)))</f>
        <v>5</v>
      </c>
      <c r="F145">
        <f>IF(D145="A", INDEX(Matches!$F:$F, MATCH(A145, Matches!$A:$A, 0)), INDEX(Matches!$E:$E, MATCH(A145, Matches!$A:$A, 0)))</f>
        <v>4</v>
      </c>
      <c r="G145" t="str">
        <f t="shared" si="10"/>
        <v>Win</v>
      </c>
      <c r="K145" t="str">
        <f t="shared" si="8"/>
        <v>12_A</v>
      </c>
    </row>
    <row r="146" spans="1:11" x14ac:dyDescent="0.35">
      <c r="A146">
        <v>12</v>
      </c>
      <c r="B146" s="6">
        <v>46065</v>
      </c>
      <c r="C146" t="s">
        <v>24</v>
      </c>
      <c r="D146" t="s">
        <v>23</v>
      </c>
      <c r="E146">
        <f>IF(D146="A", INDEX(Matches!$E:$E, MATCH(A146, Matches!$A:$A, 0)), INDEX(Matches!$F:$F, MATCH(A146, Matches!$A:$A, 0)))</f>
        <v>4</v>
      </c>
      <c r="F146">
        <f>IF(D146="A", INDEX(Matches!$F:$F, MATCH(A146, Matches!$A:$A, 0)), INDEX(Matches!$E:$E, MATCH(A146, Matches!$A:$A, 0)))</f>
        <v>5</v>
      </c>
      <c r="G146" t="str">
        <f t="shared" ref="G146:G154" si="11">IF(E146&gt;F146,"Win",IF(E146&lt;F146,"Loss","Draw"))</f>
        <v>Loss</v>
      </c>
      <c r="K146" t="str">
        <f t="shared" si="8"/>
        <v>12_B</v>
      </c>
    </row>
    <row r="147" spans="1:11" x14ac:dyDescent="0.35">
      <c r="A147">
        <v>12</v>
      </c>
      <c r="B147" s="6">
        <v>46065</v>
      </c>
      <c r="C147" t="s">
        <v>42</v>
      </c>
      <c r="D147" t="s">
        <v>23</v>
      </c>
      <c r="E147">
        <f>IF(D147="A", INDEX(Matches!$E:$E, MATCH(A147, Matches!$A:$A, 0)), INDEX(Matches!$F:$F, MATCH(A147, Matches!$A:$A, 0)))</f>
        <v>4</v>
      </c>
      <c r="F147">
        <f>IF(D147="A", INDEX(Matches!$F:$F, MATCH(A147, Matches!$A:$A, 0)), INDEX(Matches!$E:$E, MATCH(A147, Matches!$A:$A, 0)))</f>
        <v>5</v>
      </c>
      <c r="G147" t="str">
        <f t="shared" si="11"/>
        <v>Loss</v>
      </c>
      <c r="H147">
        <v>1</v>
      </c>
      <c r="K147" t="str">
        <f t="shared" si="8"/>
        <v>12_B</v>
      </c>
    </row>
    <row r="148" spans="1:11" x14ac:dyDescent="0.35">
      <c r="A148">
        <v>12</v>
      </c>
      <c r="B148" s="6">
        <v>46065</v>
      </c>
      <c r="C148" t="s">
        <v>44</v>
      </c>
      <c r="D148" t="s">
        <v>23</v>
      </c>
      <c r="E148">
        <f>IF(D148="A", INDEX(Matches!$E:$E, MATCH(A148, Matches!$A:$A, 0)), INDEX(Matches!$F:$F, MATCH(A148, Matches!$A:$A, 0)))</f>
        <v>4</v>
      </c>
      <c r="F148">
        <f>IF(D148="A", INDEX(Matches!$F:$F, MATCH(A148, Matches!$A:$A, 0)), INDEX(Matches!$E:$E, MATCH(A148, Matches!$A:$A, 0)))</f>
        <v>5</v>
      </c>
      <c r="G148" t="str">
        <f t="shared" si="11"/>
        <v>Loss</v>
      </c>
      <c r="I148">
        <v>3</v>
      </c>
      <c r="K148" t="str">
        <f t="shared" si="8"/>
        <v>12_B</v>
      </c>
    </row>
    <row r="149" spans="1:11" x14ac:dyDescent="0.35">
      <c r="A149">
        <v>12</v>
      </c>
      <c r="B149" s="6">
        <v>46065</v>
      </c>
      <c r="C149" t="s">
        <v>75</v>
      </c>
      <c r="D149" t="s">
        <v>23</v>
      </c>
      <c r="E149">
        <f>IF(D149="A", INDEX(Matches!$E:$E, MATCH(A149, Matches!$A:$A, 0)), INDEX(Matches!$F:$F, MATCH(A149, Matches!$A:$A, 0)))</f>
        <v>4</v>
      </c>
      <c r="F149">
        <f>IF(D149="A", INDEX(Matches!$F:$F, MATCH(A149, Matches!$A:$A, 0)), INDEX(Matches!$E:$E, MATCH(A149, Matches!$A:$A, 0)))</f>
        <v>5</v>
      </c>
      <c r="G149" t="str">
        <f t="shared" si="11"/>
        <v>Loss</v>
      </c>
      <c r="K149" t="str">
        <f t="shared" si="8"/>
        <v>12_B</v>
      </c>
    </row>
    <row r="150" spans="1:11" x14ac:dyDescent="0.35">
      <c r="A150">
        <v>12</v>
      </c>
      <c r="B150" s="6">
        <v>46065</v>
      </c>
      <c r="C150" t="s">
        <v>16</v>
      </c>
      <c r="D150" t="s">
        <v>23</v>
      </c>
      <c r="E150">
        <f>IF(D150="A", INDEX(Matches!$E:$E, MATCH(A150, Matches!$A:$A, 0)), INDEX(Matches!$F:$F, MATCH(A150, Matches!$A:$A, 0)))</f>
        <v>4</v>
      </c>
      <c r="F150">
        <f>IF(D150="A", INDEX(Matches!$F:$F, MATCH(A150, Matches!$A:$A, 0)), INDEX(Matches!$E:$E, MATCH(A150, Matches!$A:$A, 0)))</f>
        <v>5</v>
      </c>
      <c r="G150" t="str">
        <f t="shared" si="11"/>
        <v>Loss</v>
      </c>
      <c r="K150" t="str">
        <f t="shared" si="8"/>
        <v>12_B</v>
      </c>
    </row>
    <row r="151" spans="1:11" x14ac:dyDescent="0.35">
      <c r="A151">
        <v>12</v>
      </c>
      <c r="B151" s="6">
        <v>46065</v>
      </c>
      <c r="C151" t="s">
        <v>25</v>
      </c>
      <c r="D151" t="s">
        <v>23</v>
      </c>
      <c r="E151">
        <f>IF(D151="A", INDEX(Matches!$E:$E, MATCH(A151, Matches!$A:$A, 0)), INDEX(Matches!$F:$F, MATCH(A151, Matches!$A:$A, 0)))</f>
        <v>4</v>
      </c>
      <c r="F151">
        <f>IF(D151="A", INDEX(Matches!$F:$F, MATCH(A151, Matches!$A:$A, 0)), INDEX(Matches!$E:$E, MATCH(A151, Matches!$A:$A, 0)))</f>
        <v>5</v>
      </c>
      <c r="G151" t="str">
        <f t="shared" si="11"/>
        <v>Loss</v>
      </c>
      <c r="K151" t="str">
        <f t="shared" si="8"/>
        <v>12_B</v>
      </c>
    </row>
    <row r="152" spans="1:11" x14ac:dyDescent="0.35">
      <c r="A152">
        <v>12</v>
      </c>
      <c r="B152" s="6">
        <v>46065</v>
      </c>
      <c r="C152" t="s">
        <v>22</v>
      </c>
      <c r="D152" t="s">
        <v>23</v>
      </c>
      <c r="E152">
        <f>IF(D152="A", INDEX(Matches!$E:$E, MATCH(A152, Matches!$A:$A, 0)), INDEX(Matches!$F:$F, MATCH(A152, Matches!$A:$A, 0)))</f>
        <v>4</v>
      </c>
      <c r="F152">
        <f>IF(D152="A", INDEX(Matches!$F:$F, MATCH(A152, Matches!$A:$A, 0)), INDEX(Matches!$E:$E, MATCH(A152, Matches!$A:$A, 0)))</f>
        <v>5</v>
      </c>
      <c r="G152" t="str">
        <f t="shared" si="11"/>
        <v>Loss</v>
      </c>
      <c r="K152" t="str">
        <f t="shared" si="8"/>
        <v>12_B</v>
      </c>
    </row>
    <row r="153" spans="1:11" x14ac:dyDescent="0.35">
      <c r="A153">
        <v>12</v>
      </c>
      <c r="B153" s="6">
        <v>46065</v>
      </c>
      <c r="C153" t="s">
        <v>51</v>
      </c>
      <c r="D153" t="s">
        <v>23</v>
      </c>
      <c r="E153">
        <f>IF(D153="A", INDEX(Matches!$E:$E, MATCH(A153, Matches!$A:$A, 0)), INDEX(Matches!$F:$F, MATCH(A153, Matches!$A:$A, 0)))</f>
        <v>4</v>
      </c>
      <c r="F153">
        <f>IF(D153="A", INDEX(Matches!$F:$F, MATCH(A153, Matches!$A:$A, 0)), INDEX(Matches!$E:$E, MATCH(A153, Matches!$A:$A, 0)))</f>
        <v>5</v>
      </c>
      <c r="G153" t="str">
        <f t="shared" si="11"/>
        <v>Loss</v>
      </c>
      <c r="K153" t="str">
        <f t="shared" si="8"/>
        <v>12_B</v>
      </c>
    </row>
    <row r="154" spans="1:11" x14ac:dyDescent="0.35">
      <c r="A154">
        <v>12</v>
      </c>
      <c r="B154" s="6">
        <v>46065</v>
      </c>
      <c r="C154" t="s">
        <v>43</v>
      </c>
      <c r="D154" t="s">
        <v>23</v>
      </c>
      <c r="E154">
        <f>IF(D154="A", INDEX(Matches!$E:$E, MATCH(A154, Matches!$A:$A, 0)), INDEX(Matches!$F:$F, MATCH(A154, Matches!$A:$A, 0)))</f>
        <v>4</v>
      </c>
      <c r="F154">
        <f>IF(D154="A", INDEX(Matches!$F:$F, MATCH(A154, Matches!$A:$A, 0)), INDEX(Matches!$E:$E, MATCH(A154, Matches!$A:$A, 0)))</f>
        <v>5</v>
      </c>
      <c r="G154" t="str">
        <f t="shared" si="11"/>
        <v>Loss</v>
      </c>
      <c r="H154">
        <v>3</v>
      </c>
      <c r="K154" t="str">
        <f t="shared" si="8"/>
        <v>12_B</v>
      </c>
    </row>
    <row r="155" spans="1:11" x14ac:dyDescent="0.35">
      <c r="A155">
        <v>13</v>
      </c>
      <c r="B155" s="6">
        <v>46072</v>
      </c>
      <c r="C155" t="s">
        <v>77</v>
      </c>
      <c r="D155" t="s">
        <v>17</v>
      </c>
      <c r="E155">
        <f>IF(D155="A", INDEX(Matches!$E:$E, MATCH(A155, Matches!$A:$A, 0)), INDEX(Matches!$F:$F, MATCH(A155, Matches!$A:$A, 0)))</f>
        <v>8</v>
      </c>
      <c r="F155">
        <f>IF(D155="A", INDEX(Matches!$F:$F, MATCH(A155, Matches!$A:$A, 0)), INDEX(Matches!$E:$E, MATCH(A155, Matches!$A:$A, 0)))</f>
        <v>9</v>
      </c>
      <c r="G155" t="str">
        <f t="shared" ref="G155:G174" si="12">IF(E155&gt;F155,"Win",IF(E155&lt;F155,"Loss","Draw"))</f>
        <v>Loss</v>
      </c>
      <c r="I155">
        <v>2</v>
      </c>
      <c r="K155" t="str">
        <f t="shared" si="8"/>
        <v>13_A</v>
      </c>
    </row>
    <row r="156" spans="1:11" x14ac:dyDescent="0.35">
      <c r="A156">
        <v>13</v>
      </c>
      <c r="B156" s="6">
        <v>46072</v>
      </c>
      <c r="C156" t="s">
        <v>20</v>
      </c>
      <c r="D156" t="s">
        <v>17</v>
      </c>
      <c r="E156">
        <f>IF(D156="A", INDEX(Matches!$E:$E, MATCH(A156, Matches!$A:$A, 0)), INDEX(Matches!$F:$F, MATCH(A156, Matches!$A:$A, 0)))</f>
        <v>8</v>
      </c>
      <c r="F156">
        <f>IF(D156="A", INDEX(Matches!$F:$F, MATCH(A156, Matches!$A:$A, 0)), INDEX(Matches!$E:$E, MATCH(A156, Matches!$A:$A, 0)))</f>
        <v>9</v>
      </c>
      <c r="G156" t="str">
        <f t="shared" si="12"/>
        <v>Loss</v>
      </c>
      <c r="H156">
        <v>1</v>
      </c>
      <c r="I156">
        <v>2</v>
      </c>
      <c r="K156" t="str">
        <f t="shared" si="8"/>
        <v>13_A</v>
      </c>
    </row>
    <row r="157" spans="1:11" x14ac:dyDescent="0.35">
      <c r="A157">
        <v>13</v>
      </c>
      <c r="B157" s="6">
        <v>46072</v>
      </c>
      <c r="C157" t="s">
        <v>46</v>
      </c>
      <c r="D157" t="s">
        <v>17</v>
      </c>
      <c r="E157">
        <f>IF(D157="A", INDEX(Matches!$E:$E, MATCH(A157, Matches!$A:$A, 0)), INDEX(Matches!$F:$F, MATCH(A157, Matches!$A:$A, 0)))</f>
        <v>8</v>
      </c>
      <c r="F157">
        <f>IF(D157="A", INDEX(Matches!$F:$F, MATCH(A157, Matches!$A:$A, 0)), INDEX(Matches!$E:$E, MATCH(A157, Matches!$A:$A, 0)))</f>
        <v>9</v>
      </c>
      <c r="G157" t="str">
        <f t="shared" si="12"/>
        <v>Loss</v>
      </c>
      <c r="H157">
        <v>2</v>
      </c>
      <c r="K157" t="str">
        <f t="shared" si="8"/>
        <v>13_A</v>
      </c>
    </row>
    <row r="158" spans="1:11" x14ac:dyDescent="0.35">
      <c r="A158">
        <v>13</v>
      </c>
      <c r="B158" s="6">
        <v>46072</v>
      </c>
      <c r="C158" t="s">
        <v>16</v>
      </c>
      <c r="D158" t="s">
        <v>17</v>
      </c>
      <c r="E158">
        <f>IF(D158="A", INDEX(Matches!$E:$E, MATCH(A158, Matches!$A:$A, 0)), INDEX(Matches!$F:$F, MATCH(A158, Matches!$A:$A, 0)))</f>
        <v>8</v>
      </c>
      <c r="F158">
        <f>IF(D158="A", INDEX(Matches!$F:$F, MATCH(A158, Matches!$A:$A, 0)), INDEX(Matches!$E:$E, MATCH(A158, Matches!$A:$A, 0)))</f>
        <v>9</v>
      </c>
      <c r="G158" t="str">
        <f t="shared" si="12"/>
        <v>Loss</v>
      </c>
      <c r="H158">
        <v>2</v>
      </c>
      <c r="I158">
        <v>1</v>
      </c>
      <c r="K158" t="str">
        <f t="shared" si="8"/>
        <v>13_A</v>
      </c>
    </row>
    <row r="159" spans="1:11" x14ac:dyDescent="0.35">
      <c r="A159">
        <v>13</v>
      </c>
      <c r="B159" s="6">
        <v>46072</v>
      </c>
      <c r="C159" t="s">
        <v>66</v>
      </c>
      <c r="D159" t="s">
        <v>17</v>
      </c>
      <c r="E159">
        <f>IF(D159="A", INDEX(Matches!$E:$E, MATCH(A159, Matches!$A:$A, 0)), INDEX(Matches!$F:$F, MATCH(A159, Matches!$A:$A, 0)))</f>
        <v>8</v>
      </c>
      <c r="F159">
        <f>IF(D159="A", INDEX(Matches!$F:$F, MATCH(A159, Matches!$A:$A, 0)), INDEX(Matches!$E:$E, MATCH(A159, Matches!$A:$A, 0)))</f>
        <v>9</v>
      </c>
      <c r="G159" t="str">
        <f t="shared" si="12"/>
        <v>Loss</v>
      </c>
      <c r="H159">
        <v>3</v>
      </c>
      <c r="I159">
        <v>1</v>
      </c>
      <c r="K159" t="str">
        <f t="shared" si="8"/>
        <v>13_A</v>
      </c>
    </row>
    <row r="160" spans="1:11" x14ac:dyDescent="0.35">
      <c r="A160">
        <v>13</v>
      </c>
      <c r="B160" s="6">
        <v>46072</v>
      </c>
      <c r="C160" t="s">
        <v>18</v>
      </c>
      <c r="D160" t="s">
        <v>23</v>
      </c>
      <c r="E160">
        <f>IF(D160="A", INDEX(Matches!$E:$E, MATCH(A160, Matches!$A:$A, 0)), INDEX(Matches!$F:$F, MATCH(A160, Matches!$A:$A, 0)))</f>
        <v>9</v>
      </c>
      <c r="F160">
        <f>IF(D160="A", INDEX(Matches!$F:$F, MATCH(A160, Matches!$A:$A, 0)), INDEX(Matches!$E:$E, MATCH(A160, Matches!$A:$A, 0)))</f>
        <v>8</v>
      </c>
      <c r="G160" t="str">
        <f t="shared" si="12"/>
        <v>Win</v>
      </c>
      <c r="H160">
        <v>1</v>
      </c>
      <c r="K160" t="str">
        <f t="shared" si="8"/>
        <v>13_B</v>
      </c>
    </row>
    <row r="161" spans="1:11" x14ac:dyDescent="0.35">
      <c r="A161">
        <v>13</v>
      </c>
      <c r="B161" s="6">
        <v>46072</v>
      </c>
      <c r="C161" t="s">
        <v>24</v>
      </c>
      <c r="D161" t="s">
        <v>23</v>
      </c>
      <c r="E161">
        <f>IF(D161="A", INDEX(Matches!$E:$E, MATCH(A161, Matches!$A:$A, 0)), INDEX(Matches!$F:$F, MATCH(A161, Matches!$A:$A, 0)))</f>
        <v>9</v>
      </c>
      <c r="F161">
        <f>IF(D161="A", INDEX(Matches!$F:$F, MATCH(A161, Matches!$A:$A, 0)), INDEX(Matches!$E:$E, MATCH(A161, Matches!$A:$A, 0)))</f>
        <v>8</v>
      </c>
      <c r="G161" t="str">
        <f t="shared" si="12"/>
        <v>Win</v>
      </c>
      <c r="H161">
        <v>2</v>
      </c>
      <c r="K161" t="str">
        <f t="shared" si="8"/>
        <v>13_B</v>
      </c>
    </row>
    <row r="162" spans="1:11" x14ac:dyDescent="0.35">
      <c r="A162">
        <v>13</v>
      </c>
      <c r="B162" s="6">
        <v>46072</v>
      </c>
      <c r="C162" t="s">
        <v>41</v>
      </c>
      <c r="D162" t="s">
        <v>23</v>
      </c>
      <c r="E162">
        <f>IF(D162="A", INDEX(Matches!$E:$E, MATCH(A162, Matches!$A:$A, 0)), INDEX(Matches!$F:$F, MATCH(A162, Matches!$A:$A, 0)))</f>
        <v>9</v>
      </c>
      <c r="F162">
        <f>IF(D162="A", INDEX(Matches!$F:$F, MATCH(A162, Matches!$A:$A, 0)), INDEX(Matches!$E:$E, MATCH(A162, Matches!$A:$A, 0)))</f>
        <v>8</v>
      </c>
      <c r="G162" t="str">
        <f t="shared" si="12"/>
        <v>Win</v>
      </c>
      <c r="H162">
        <v>3</v>
      </c>
      <c r="K162" t="str">
        <f t="shared" si="8"/>
        <v>13_B</v>
      </c>
    </row>
    <row r="163" spans="1:11" x14ac:dyDescent="0.35">
      <c r="A163">
        <v>13</v>
      </c>
      <c r="B163" s="6">
        <v>46072</v>
      </c>
      <c r="C163" t="s">
        <v>75</v>
      </c>
      <c r="D163" t="s">
        <v>23</v>
      </c>
      <c r="E163">
        <f>IF(D163="A", INDEX(Matches!$E:$E, MATCH(A163, Matches!$A:$A, 0)), INDEX(Matches!$F:$F, MATCH(A163, Matches!$A:$A, 0)))</f>
        <v>9</v>
      </c>
      <c r="F163">
        <f>IF(D163="A", INDEX(Matches!$F:$F, MATCH(A163, Matches!$A:$A, 0)), INDEX(Matches!$E:$E, MATCH(A163, Matches!$A:$A, 0)))</f>
        <v>8</v>
      </c>
      <c r="G163" t="str">
        <f t="shared" si="12"/>
        <v>Win</v>
      </c>
      <c r="H163">
        <v>2</v>
      </c>
      <c r="I163">
        <v>1</v>
      </c>
      <c r="K163" t="str">
        <f t="shared" si="8"/>
        <v>13_B</v>
      </c>
    </row>
    <row r="164" spans="1:11" x14ac:dyDescent="0.35">
      <c r="A164">
        <v>13</v>
      </c>
      <c r="B164" s="6">
        <v>46072</v>
      </c>
      <c r="C164" t="s">
        <v>54</v>
      </c>
      <c r="D164" t="s">
        <v>23</v>
      </c>
      <c r="E164">
        <f>IF(D164="A", INDEX(Matches!$E:$E, MATCH(A164, Matches!$A:$A, 0)), INDEX(Matches!$F:$F, MATCH(A164, Matches!$A:$A, 0)))</f>
        <v>9</v>
      </c>
      <c r="F164">
        <f>IF(D164="A", INDEX(Matches!$F:$F, MATCH(A164, Matches!$A:$A, 0)), INDEX(Matches!$E:$E, MATCH(A164, Matches!$A:$A, 0)))</f>
        <v>8</v>
      </c>
      <c r="G164" t="str">
        <f t="shared" si="12"/>
        <v>Win</v>
      </c>
      <c r="I164">
        <v>2</v>
      </c>
      <c r="K164" t="str">
        <f t="shared" si="8"/>
        <v>13_B</v>
      </c>
    </row>
    <row r="165" spans="1:11" x14ac:dyDescent="0.35">
      <c r="A165">
        <v>14</v>
      </c>
      <c r="B165" s="6">
        <v>46072</v>
      </c>
      <c r="C165" t="s">
        <v>42</v>
      </c>
      <c r="D165" t="s">
        <v>17</v>
      </c>
      <c r="E165">
        <f>IF(D165="A", INDEX(Matches!$E:$E, MATCH(A165, Matches!$A:$A, 0)), INDEX(Matches!$F:$F, MATCH(A165, Matches!$A:$A, 0)))</f>
        <v>6</v>
      </c>
      <c r="F165">
        <f>IF(D165="A", INDEX(Matches!$F:$F, MATCH(A165, Matches!$A:$A, 0)), INDEX(Matches!$E:$E, MATCH(A165, Matches!$A:$A, 0)))</f>
        <v>6</v>
      </c>
      <c r="G165" t="str">
        <f t="shared" si="12"/>
        <v>Draw</v>
      </c>
      <c r="I165">
        <v>2</v>
      </c>
      <c r="K165" t="str">
        <f t="shared" si="8"/>
        <v>14_A</v>
      </c>
    </row>
    <row r="166" spans="1:11" x14ac:dyDescent="0.35">
      <c r="A166">
        <v>14</v>
      </c>
      <c r="B166" s="6">
        <v>46072</v>
      </c>
      <c r="C166" t="s">
        <v>22</v>
      </c>
      <c r="D166" t="s">
        <v>17</v>
      </c>
      <c r="E166">
        <f>IF(D166="A", INDEX(Matches!$E:$E, MATCH(A166, Matches!$A:$A, 0)), INDEX(Matches!$F:$F, MATCH(A166, Matches!$A:$A, 0)))</f>
        <v>6</v>
      </c>
      <c r="F166">
        <f>IF(D166="A", INDEX(Matches!$F:$F, MATCH(A166, Matches!$A:$A, 0)), INDEX(Matches!$E:$E, MATCH(A166, Matches!$A:$A, 0)))</f>
        <v>6</v>
      </c>
      <c r="G166" t="str">
        <f t="shared" si="12"/>
        <v>Draw</v>
      </c>
      <c r="H166">
        <v>2</v>
      </c>
      <c r="K166" t="str">
        <f t="shared" si="8"/>
        <v>14_A</v>
      </c>
    </row>
    <row r="167" spans="1:11" x14ac:dyDescent="0.35">
      <c r="A167">
        <v>14</v>
      </c>
      <c r="B167" s="6">
        <v>46072</v>
      </c>
      <c r="C167" t="s">
        <v>50</v>
      </c>
      <c r="D167" t="s">
        <v>17</v>
      </c>
      <c r="E167">
        <f>IF(D167="A", INDEX(Matches!$E:$E, MATCH(A167, Matches!$A:$A, 0)), INDEX(Matches!$F:$F, MATCH(A167, Matches!$A:$A, 0)))</f>
        <v>6</v>
      </c>
      <c r="F167">
        <f>IF(D167="A", INDEX(Matches!$F:$F, MATCH(A167, Matches!$A:$A, 0)), INDEX(Matches!$E:$E, MATCH(A167, Matches!$A:$A, 0)))</f>
        <v>6</v>
      </c>
      <c r="G167" t="str">
        <f t="shared" si="12"/>
        <v>Draw</v>
      </c>
      <c r="H167">
        <v>1</v>
      </c>
      <c r="K167" t="str">
        <f t="shared" si="8"/>
        <v>14_A</v>
      </c>
    </row>
    <row r="168" spans="1:11" x14ac:dyDescent="0.35">
      <c r="A168">
        <v>14</v>
      </c>
      <c r="B168" s="6">
        <v>46072</v>
      </c>
      <c r="C168" t="s">
        <v>51</v>
      </c>
      <c r="D168" t="s">
        <v>17</v>
      </c>
      <c r="E168">
        <f>IF(D168="A", INDEX(Matches!$E:$E, MATCH(A168, Matches!$A:$A, 0)), INDEX(Matches!$F:$F, MATCH(A168, Matches!$A:$A, 0)))</f>
        <v>6</v>
      </c>
      <c r="F168">
        <f>IF(D168="A", INDEX(Matches!$F:$F, MATCH(A168, Matches!$A:$A, 0)), INDEX(Matches!$E:$E, MATCH(A168, Matches!$A:$A, 0)))</f>
        <v>6</v>
      </c>
      <c r="G168" t="str">
        <f t="shared" si="12"/>
        <v>Draw</v>
      </c>
      <c r="I168">
        <v>1</v>
      </c>
      <c r="K168" t="str">
        <f t="shared" si="8"/>
        <v>14_A</v>
      </c>
    </row>
    <row r="169" spans="1:11" x14ac:dyDescent="0.35">
      <c r="A169">
        <v>14</v>
      </c>
      <c r="B169" s="6">
        <v>46072</v>
      </c>
      <c r="C169" t="s">
        <v>78</v>
      </c>
      <c r="D169" t="s">
        <v>17</v>
      </c>
      <c r="E169">
        <f>IF(D169="A", INDEX(Matches!$E:$E, MATCH(A169, Matches!$A:$A, 0)), INDEX(Matches!$F:$F, MATCH(A169, Matches!$A:$A, 0)))</f>
        <v>6</v>
      </c>
      <c r="F169">
        <f>IF(D169="A", INDEX(Matches!$F:$F, MATCH(A169, Matches!$A:$A, 0)), INDEX(Matches!$E:$E, MATCH(A169, Matches!$A:$A, 0)))</f>
        <v>6</v>
      </c>
      <c r="G169" t="str">
        <f t="shared" si="12"/>
        <v>Draw</v>
      </c>
      <c r="H169">
        <v>3</v>
      </c>
      <c r="K169" t="str">
        <f t="shared" si="8"/>
        <v>14_A</v>
      </c>
    </row>
    <row r="170" spans="1:11" x14ac:dyDescent="0.35">
      <c r="A170">
        <v>14</v>
      </c>
      <c r="B170" s="6">
        <v>46072</v>
      </c>
      <c r="C170" t="s">
        <v>43</v>
      </c>
      <c r="D170" t="s">
        <v>23</v>
      </c>
      <c r="E170">
        <f>IF(D170="A", INDEX(Matches!$E:$E, MATCH(A170, Matches!$A:$A, 0)), INDEX(Matches!$F:$F, MATCH(A170, Matches!$A:$A, 0)))</f>
        <v>6</v>
      </c>
      <c r="F170">
        <f>IF(D170="A", INDEX(Matches!$F:$F, MATCH(A170, Matches!$A:$A, 0)), INDEX(Matches!$E:$E, MATCH(A170, Matches!$A:$A, 0)))</f>
        <v>6</v>
      </c>
      <c r="G170" t="str">
        <f t="shared" si="12"/>
        <v>Draw</v>
      </c>
      <c r="K170" t="str">
        <f t="shared" si="8"/>
        <v>14_B</v>
      </c>
    </row>
    <row r="171" spans="1:11" x14ac:dyDescent="0.35">
      <c r="A171">
        <v>14</v>
      </c>
      <c r="B171" s="6">
        <v>46072</v>
      </c>
      <c r="C171" t="s">
        <v>53</v>
      </c>
      <c r="D171" t="s">
        <v>23</v>
      </c>
      <c r="E171">
        <f>IF(D171="A", INDEX(Matches!$E:$E, MATCH(A171, Matches!$A:$A, 0)), INDEX(Matches!$F:$F, MATCH(A171, Matches!$A:$A, 0)))</f>
        <v>6</v>
      </c>
      <c r="F171">
        <f>IF(D171="A", INDEX(Matches!$F:$F, MATCH(A171, Matches!$A:$A, 0)), INDEX(Matches!$E:$E, MATCH(A171, Matches!$A:$A, 0)))</f>
        <v>6</v>
      </c>
      <c r="G171" t="str">
        <f t="shared" si="12"/>
        <v>Draw</v>
      </c>
      <c r="H171">
        <v>3</v>
      </c>
      <c r="K171" t="str">
        <f t="shared" si="8"/>
        <v>14_B</v>
      </c>
    </row>
    <row r="172" spans="1:11" x14ac:dyDescent="0.35">
      <c r="A172">
        <v>14</v>
      </c>
      <c r="B172" s="6">
        <v>46072</v>
      </c>
      <c r="C172" t="s">
        <v>19</v>
      </c>
      <c r="D172" t="s">
        <v>23</v>
      </c>
      <c r="E172">
        <f>IF(D172="A", INDEX(Matches!$E:$E, MATCH(A172, Matches!$A:$A, 0)), INDEX(Matches!$F:$F, MATCH(A172, Matches!$A:$A, 0)))</f>
        <v>6</v>
      </c>
      <c r="F172">
        <f>IF(D172="A", INDEX(Matches!$F:$F, MATCH(A172, Matches!$A:$A, 0)), INDEX(Matches!$E:$E, MATCH(A172, Matches!$A:$A, 0)))</f>
        <v>6</v>
      </c>
      <c r="G172" t="str">
        <f t="shared" si="12"/>
        <v>Draw</v>
      </c>
      <c r="H172">
        <v>2</v>
      </c>
      <c r="I172">
        <v>1</v>
      </c>
      <c r="K172" t="str">
        <f t="shared" si="8"/>
        <v>14_B</v>
      </c>
    </row>
    <row r="173" spans="1:11" x14ac:dyDescent="0.35">
      <c r="A173">
        <v>14</v>
      </c>
      <c r="B173" s="6">
        <v>46072</v>
      </c>
      <c r="C173" t="s">
        <v>25</v>
      </c>
      <c r="D173" t="s">
        <v>23</v>
      </c>
      <c r="E173">
        <f>IF(D173="A", INDEX(Matches!$E:$E, MATCH(A173, Matches!$A:$A, 0)), INDEX(Matches!$F:$F, MATCH(A173, Matches!$A:$A, 0)))</f>
        <v>6</v>
      </c>
      <c r="F173">
        <f>IF(D173="A", INDEX(Matches!$F:$F, MATCH(A173, Matches!$A:$A, 0)), INDEX(Matches!$E:$E, MATCH(A173, Matches!$A:$A, 0)))</f>
        <v>6</v>
      </c>
      <c r="G173" t="str">
        <f t="shared" si="12"/>
        <v>Draw</v>
      </c>
      <c r="H173">
        <v>1</v>
      </c>
      <c r="I173">
        <v>1</v>
      </c>
      <c r="K173" t="str">
        <f t="shared" si="8"/>
        <v>14_B</v>
      </c>
    </row>
    <row r="174" spans="1:11" x14ac:dyDescent="0.35">
      <c r="A174">
        <v>14</v>
      </c>
      <c r="B174" s="6">
        <v>46072</v>
      </c>
      <c r="C174" t="s">
        <v>49</v>
      </c>
      <c r="D174" t="s">
        <v>23</v>
      </c>
      <c r="E174">
        <f>IF(D174="A", INDEX(Matches!$E:$E, MATCH(A174, Matches!$A:$A, 0)), INDEX(Matches!$F:$F, MATCH(A174, Matches!$A:$A, 0)))</f>
        <v>6</v>
      </c>
      <c r="F174">
        <f>IF(D174="A", INDEX(Matches!$F:$F, MATCH(A174, Matches!$A:$A, 0)), INDEX(Matches!$E:$E, MATCH(A174, Matches!$A:$A, 0)))</f>
        <v>6</v>
      </c>
      <c r="G174" t="str">
        <f t="shared" si="12"/>
        <v>Draw</v>
      </c>
      <c r="K174" t="str">
        <f t="shared" si="8"/>
        <v>14_B</v>
      </c>
    </row>
    <row r="175" spans="1:11" x14ac:dyDescent="0.35">
      <c r="A175">
        <v>15</v>
      </c>
      <c r="B175" s="6">
        <v>46079</v>
      </c>
      <c r="C175" t="s">
        <v>16</v>
      </c>
      <c r="D175" t="s">
        <v>17</v>
      </c>
      <c r="E175">
        <f>IF(D175="A", INDEX(Matches!$E:$E, MATCH(A175, Matches!$A:$A, 0)), INDEX(Matches!$F:$F, MATCH(A175, Matches!$A:$A, 0)))</f>
        <v>5</v>
      </c>
      <c r="F175">
        <f>IF(D175="A", INDEX(Matches!$F:$F, MATCH(A175, Matches!$A:$A, 0)), INDEX(Matches!$E:$E, MATCH(A175, Matches!$A:$A, 0)))</f>
        <v>3</v>
      </c>
      <c r="G175" t="str">
        <f t="shared" ref="G175:G188" si="13">IF(E175&gt;F175,"Win",IF(E175&lt;F175,"Loss","Draw"))</f>
        <v>Win</v>
      </c>
      <c r="H175">
        <v>1</v>
      </c>
      <c r="K175" t="str">
        <f t="shared" si="8"/>
        <v>15_A</v>
      </c>
    </row>
    <row r="176" spans="1:11" x14ac:dyDescent="0.35">
      <c r="A176">
        <v>15</v>
      </c>
      <c r="B176" s="6">
        <v>46079</v>
      </c>
      <c r="C176" t="s">
        <v>53</v>
      </c>
      <c r="D176" t="s">
        <v>17</v>
      </c>
      <c r="E176">
        <f>IF(D176="A", INDEX(Matches!$E:$E, MATCH(A176, Matches!$A:$A, 0)), INDEX(Matches!$F:$F, MATCH(A176, Matches!$A:$A, 0)))</f>
        <v>5</v>
      </c>
      <c r="F176">
        <f>IF(D176="A", INDEX(Matches!$F:$F, MATCH(A176, Matches!$A:$A, 0)), INDEX(Matches!$E:$E, MATCH(A176, Matches!$A:$A, 0)))</f>
        <v>3</v>
      </c>
      <c r="G176" t="str">
        <f t="shared" si="13"/>
        <v>Win</v>
      </c>
      <c r="K176" t="str">
        <f t="shared" si="8"/>
        <v>15_A</v>
      </c>
    </row>
    <row r="177" spans="1:11" x14ac:dyDescent="0.35">
      <c r="A177">
        <v>15</v>
      </c>
      <c r="B177" s="6">
        <v>46079</v>
      </c>
      <c r="C177" t="s">
        <v>25</v>
      </c>
      <c r="D177" t="s">
        <v>17</v>
      </c>
      <c r="E177">
        <f>IF(D177="A", INDEX(Matches!$E:$E, MATCH(A177, Matches!$A:$A, 0)), INDEX(Matches!$F:$F, MATCH(A177, Matches!$A:$A, 0)))</f>
        <v>5</v>
      </c>
      <c r="F177">
        <f>IF(D177="A", INDEX(Matches!$F:$F, MATCH(A177, Matches!$A:$A, 0)), INDEX(Matches!$E:$E, MATCH(A177, Matches!$A:$A, 0)))</f>
        <v>3</v>
      </c>
      <c r="G177" t="str">
        <f t="shared" si="13"/>
        <v>Win</v>
      </c>
      <c r="H177">
        <v>1</v>
      </c>
      <c r="K177" t="str">
        <f t="shared" si="8"/>
        <v>15_A</v>
      </c>
    </row>
    <row r="178" spans="1:11" x14ac:dyDescent="0.35">
      <c r="A178">
        <v>15</v>
      </c>
      <c r="B178" s="6">
        <v>46079</v>
      </c>
      <c r="C178" t="s">
        <v>75</v>
      </c>
      <c r="D178" t="s">
        <v>17</v>
      </c>
      <c r="E178">
        <f>IF(D178="A", INDEX(Matches!$E:$E, MATCH(A178, Matches!$A:$A, 0)), INDEX(Matches!$F:$F, MATCH(A178, Matches!$A:$A, 0)))</f>
        <v>5</v>
      </c>
      <c r="F178">
        <f>IF(D178="A", INDEX(Matches!$F:$F, MATCH(A178, Matches!$A:$A, 0)), INDEX(Matches!$E:$E, MATCH(A178, Matches!$A:$A, 0)))</f>
        <v>3</v>
      </c>
      <c r="G178" t="str">
        <f t="shared" si="13"/>
        <v>Win</v>
      </c>
      <c r="H178">
        <v>1</v>
      </c>
      <c r="I178">
        <v>1</v>
      </c>
      <c r="K178" t="str">
        <f t="shared" si="8"/>
        <v>15_A</v>
      </c>
    </row>
    <row r="179" spans="1:11" x14ac:dyDescent="0.35">
      <c r="A179">
        <v>15</v>
      </c>
      <c r="B179" s="6">
        <v>46079</v>
      </c>
      <c r="C179" t="s">
        <v>18</v>
      </c>
      <c r="D179" t="s">
        <v>17</v>
      </c>
      <c r="E179">
        <f>IF(D179="A", INDEX(Matches!$E:$E, MATCH(A179, Matches!$A:$A, 0)), INDEX(Matches!$F:$F, MATCH(A179, Matches!$A:$A, 0)))</f>
        <v>5</v>
      </c>
      <c r="F179">
        <f>IF(D179="A", INDEX(Matches!$F:$F, MATCH(A179, Matches!$A:$A, 0)), INDEX(Matches!$E:$E, MATCH(A179, Matches!$A:$A, 0)))</f>
        <v>3</v>
      </c>
      <c r="G179" t="str">
        <f t="shared" si="13"/>
        <v>Win</v>
      </c>
      <c r="H179">
        <v>2</v>
      </c>
      <c r="I179">
        <v>1</v>
      </c>
      <c r="K179" t="str">
        <f t="shared" si="8"/>
        <v>15_A</v>
      </c>
    </row>
    <row r="180" spans="1:11" x14ac:dyDescent="0.35">
      <c r="A180">
        <v>15</v>
      </c>
      <c r="B180" s="6">
        <v>46079</v>
      </c>
      <c r="C180" t="s">
        <v>22</v>
      </c>
      <c r="D180" t="s">
        <v>17</v>
      </c>
      <c r="E180">
        <f>IF(D180="A", INDEX(Matches!$E:$E, MATCH(A180, Matches!$A:$A, 0)), INDEX(Matches!$F:$F, MATCH(A180, Matches!$A:$A, 0)))</f>
        <v>5</v>
      </c>
      <c r="F180">
        <f>IF(D180="A", INDEX(Matches!$F:$F, MATCH(A180, Matches!$A:$A, 0)), INDEX(Matches!$E:$E, MATCH(A180, Matches!$A:$A, 0)))</f>
        <v>3</v>
      </c>
      <c r="G180" t="str">
        <f t="shared" si="13"/>
        <v>Win</v>
      </c>
      <c r="K180" t="str">
        <f t="shared" si="8"/>
        <v>15_A</v>
      </c>
    </row>
    <row r="181" spans="1:11" x14ac:dyDescent="0.35">
      <c r="A181">
        <v>15</v>
      </c>
      <c r="B181" s="6">
        <v>46079</v>
      </c>
      <c r="C181" t="s">
        <v>42</v>
      </c>
      <c r="D181" t="s">
        <v>17</v>
      </c>
      <c r="E181">
        <f>IF(D181="A", INDEX(Matches!$E:$E, MATCH(A181, Matches!$A:$A, 0)), INDEX(Matches!$F:$F, MATCH(A181, Matches!$A:$A, 0)))</f>
        <v>5</v>
      </c>
      <c r="F181">
        <f>IF(D181="A", INDEX(Matches!$F:$F, MATCH(A181, Matches!$A:$A, 0)), INDEX(Matches!$E:$E, MATCH(A181, Matches!$A:$A, 0)))</f>
        <v>3</v>
      </c>
      <c r="G181" t="str">
        <f t="shared" si="13"/>
        <v>Win</v>
      </c>
      <c r="I181">
        <v>1</v>
      </c>
      <c r="K181" t="str">
        <f t="shared" si="8"/>
        <v>15_A</v>
      </c>
    </row>
    <row r="182" spans="1:11" x14ac:dyDescent="0.35">
      <c r="A182">
        <v>15</v>
      </c>
      <c r="B182" s="6">
        <v>46079</v>
      </c>
      <c r="C182" t="s">
        <v>46</v>
      </c>
      <c r="D182" t="s">
        <v>23</v>
      </c>
      <c r="E182">
        <f>IF(D182="A", INDEX(Matches!$E:$E, MATCH(A182, Matches!$A:$A, 0)), INDEX(Matches!$F:$F, MATCH(A182, Matches!$A:$A, 0)))</f>
        <v>3</v>
      </c>
      <c r="F182">
        <f>IF(D182="A", INDEX(Matches!$F:$F, MATCH(A182, Matches!$A:$A, 0)), INDEX(Matches!$E:$E, MATCH(A182, Matches!$A:$A, 0)))</f>
        <v>5</v>
      </c>
      <c r="G182" t="str">
        <f t="shared" si="13"/>
        <v>Loss</v>
      </c>
      <c r="K182" t="str">
        <f t="shared" si="8"/>
        <v>15_B</v>
      </c>
    </row>
    <row r="183" spans="1:11" x14ac:dyDescent="0.35">
      <c r="A183">
        <v>15</v>
      </c>
      <c r="B183" s="6">
        <v>46079</v>
      </c>
      <c r="C183" t="s">
        <v>54</v>
      </c>
      <c r="D183" t="s">
        <v>23</v>
      </c>
      <c r="E183">
        <f>IF(D183="A", INDEX(Matches!$E:$E, MATCH(A183, Matches!$A:$A, 0)), INDEX(Matches!$F:$F, MATCH(A183, Matches!$A:$A, 0)))</f>
        <v>3</v>
      </c>
      <c r="F183">
        <f>IF(D183="A", INDEX(Matches!$F:$F, MATCH(A183, Matches!$A:$A, 0)), INDEX(Matches!$E:$E, MATCH(A183, Matches!$A:$A, 0)))</f>
        <v>5</v>
      </c>
      <c r="G183" t="str">
        <f t="shared" si="13"/>
        <v>Loss</v>
      </c>
      <c r="K183" t="str">
        <f t="shared" si="8"/>
        <v>15_B</v>
      </c>
    </row>
    <row r="184" spans="1:11" x14ac:dyDescent="0.35">
      <c r="A184">
        <v>15</v>
      </c>
      <c r="B184" s="6">
        <v>46079</v>
      </c>
      <c r="C184" t="s">
        <v>44</v>
      </c>
      <c r="D184" t="s">
        <v>23</v>
      </c>
      <c r="E184">
        <f>IF(D184="A", INDEX(Matches!$E:$E, MATCH(A184, Matches!$A:$A, 0)), INDEX(Matches!$F:$F, MATCH(A184, Matches!$A:$A, 0)))</f>
        <v>3</v>
      </c>
      <c r="F184">
        <f>IF(D184="A", INDEX(Matches!$F:$F, MATCH(A184, Matches!$A:$A, 0)), INDEX(Matches!$E:$E, MATCH(A184, Matches!$A:$A, 0)))</f>
        <v>5</v>
      </c>
      <c r="G184" t="str">
        <f t="shared" si="13"/>
        <v>Loss</v>
      </c>
      <c r="H184">
        <v>2</v>
      </c>
      <c r="I184">
        <v>1</v>
      </c>
      <c r="K184" t="str">
        <f t="shared" si="8"/>
        <v>15_B</v>
      </c>
    </row>
    <row r="185" spans="1:11" x14ac:dyDescent="0.35">
      <c r="A185">
        <v>15</v>
      </c>
      <c r="B185" s="6">
        <v>46079</v>
      </c>
      <c r="C185" t="s">
        <v>49</v>
      </c>
      <c r="D185" t="s">
        <v>23</v>
      </c>
      <c r="E185">
        <f>IF(D185="A", INDEX(Matches!$E:$E, MATCH(A185, Matches!$A:$A, 0)), INDEX(Matches!$F:$F, MATCH(A185, Matches!$A:$A, 0)))</f>
        <v>3</v>
      </c>
      <c r="F185">
        <f>IF(D185="A", INDEX(Matches!$F:$F, MATCH(A185, Matches!$A:$A, 0)), INDEX(Matches!$E:$E, MATCH(A185, Matches!$A:$A, 0)))</f>
        <v>5</v>
      </c>
      <c r="G185" t="str">
        <f t="shared" si="13"/>
        <v>Loss</v>
      </c>
      <c r="K185" t="str">
        <f t="shared" si="8"/>
        <v>15_B</v>
      </c>
    </row>
    <row r="186" spans="1:11" x14ac:dyDescent="0.35">
      <c r="A186">
        <v>15</v>
      </c>
      <c r="B186" s="6">
        <v>46079</v>
      </c>
      <c r="C186" t="s">
        <v>77</v>
      </c>
      <c r="D186" t="s">
        <v>23</v>
      </c>
      <c r="E186">
        <f>IF(D186="A", INDEX(Matches!$E:$E, MATCH(A186, Matches!$A:$A, 0)), INDEX(Matches!$F:$F, MATCH(A186, Matches!$A:$A, 0)))</f>
        <v>3</v>
      </c>
      <c r="F186">
        <f>IF(D186="A", INDEX(Matches!$F:$F, MATCH(A186, Matches!$A:$A, 0)), INDEX(Matches!$E:$E, MATCH(A186, Matches!$A:$A, 0)))</f>
        <v>5</v>
      </c>
      <c r="G186" t="str">
        <f t="shared" si="13"/>
        <v>Loss</v>
      </c>
      <c r="K186" t="str">
        <f t="shared" si="8"/>
        <v>15_B</v>
      </c>
    </row>
    <row r="187" spans="1:11" x14ac:dyDescent="0.35">
      <c r="A187">
        <v>15</v>
      </c>
      <c r="B187" s="6">
        <v>46079</v>
      </c>
      <c r="C187" t="s">
        <v>19</v>
      </c>
      <c r="D187" t="s">
        <v>23</v>
      </c>
      <c r="E187">
        <f>IF(D187="A", INDEX(Matches!$E:$E, MATCH(A187, Matches!$A:$A, 0)), INDEX(Matches!$F:$F, MATCH(A187, Matches!$A:$A, 0)))</f>
        <v>3</v>
      </c>
      <c r="F187">
        <f>IF(D187="A", INDEX(Matches!$F:$F, MATCH(A187, Matches!$A:$A, 0)), INDEX(Matches!$E:$E, MATCH(A187, Matches!$A:$A, 0)))</f>
        <v>5</v>
      </c>
      <c r="G187" t="str">
        <f t="shared" si="13"/>
        <v>Loss</v>
      </c>
      <c r="H187">
        <v>1</v>
      </c>
      <c r="I187">
        <v>1</v>
      </c>
      <c r="K187" t="str">
        <f t="shared" si="8"/>
        <v>15_B</v>
      </c>
    </row>
    <row r="188" spans="1:11" x14ac:dyDescent="0.35">
      <c r="A188">
        <v>15</v>
      </c>
      <c r="B188" s="6">
        <v>46079</v>
      </c>
      <c r="C188" t="s">
        <v>24</v>
      </c>
      <c r="D188" t="s">
        <v>23</v>
      </c>
      <c r="E188">
        <f>IF(D188="A", INDEX(Matches!$E:$E, MATCH(A188, Matches!$A:$A, 0)), INDEX(Matches!$F:$F, MATCH(A188, Matches!$A:$A, 0)))</f>
        <v>3</v>
      </c>
      <c r="F188">
        <f>IF(D188="A", INDEX(Matches!$F:$F, MATCH(A188, Matches!$A:$A, 0)), INDEX(Matches!$E:$E, MATCH(A188, Matches!$A:$A, 0)))</f>
        <v>5</v>
      </c>
      <c r="G188" t="str">
        <f t="shared" si="13"/>
        <v>Loss</v>
      </c>
      <c r="K188" t="str">
        <f t="shared" si="8"/>
        <v>15_B</v>
      </c>
    </row>
    <row r="189" spans="1:11" x14ac:dyDescent="0.35">
      <c r="A189">
        <v>16</v>
      </c>
      <c r="B189" s="6">
        <v>46086</v>
      </c>
      <c r="C189" t="s">
        <v>53</v>
      </c>
      <c r="D189" t="s">
        <v>17</v>
      </c>
      <c r="E189">
        <f>IF(D189="A", INDEX(Matches!$E:$E, MATCH(A189, Matches!$A:$A, 0)), INDEX(Matches!$F:$F, MATCH(A189, Matches!$A:$A, 0)))</f>
        <v>4</v>
      </c>
      <c r="F189">
        <f>IF(D189="A", INDEX(Matches!$F:$F, MATCH(A189, Matches!$A:$A, 0)), INDEX(Matches!$E:$E, MATCH(A189, Matches!$A:$A, 0)))</f>
        <v>4</v>
      </c>
      <c r="G189" t="str">
        <f t="shared" ref="G189:G202" si="14">IF(E189&gt;F189,"Win",IF(E189&lt;F189,"Loss","Draw"))</f>
        <v>Draw</v>
      </c>
      <c r="J189">
        <v>2</v>
      </c>
      <c r="K189" t="str">
        <f t="shared" si="8"/>
        <v>16_A</v>
      </c>
    </row>
    <row r="190" spans="1:11" x14ac:dyDescent="0.35">
      <c r="A190">
        <v>16</v>
      </c>
      <c r="B190" s="6">
        <v>46086</v>
      </c>
      <c r="C190" t="s">
        <v>54</v>
      </c>
      <c r="D190" t="s">
        <v>17</v>
      </c>
      <c r="E190">
        <f>IF(D190="A", INDEX(Matches!$E:$E, MATCH(A190, Matches!$A:$A, 0)), INDEX(Matches!$F:$F, MATCH(A190, Matches!$A:$A, 0)))</f>
        <v>4</v>
      </c>
      <c r="F190">
        <f>IF(D190="A", INDEX(Matches!$F:$F, MATCH(A190, Matches!$A:$A, 0)), INDEX(Matches!$E:$E, MATCH(A190, Matches!$A:$A, 0)))</f>
        <v>4</v>
      </c>
      <c r="G190" t="str">
        <f t="shared" si="14"/>
        <v>Draw</v>
      </c>
      <c r="I190">
        <v>1</v>
      </c>
      <c r="K190" t="str">
        <f t="shared" si="8"/>
        <v>16_A</v>
      </c>
    </row>
    <row r="191" spans="1:11" x14ac:dyDescent="0.35">
      <c r="A191">
        <v>16</v>
      </c>
      <c r="B191" s="6">
        <v>46086</v>
      </c>
      <c r="C191" t="s">
        <v>66</v>
      </c>
      <c r="D191" t="s">
        <v>17</v>
      </c>
      <c r="E191">
        <f>IF(D191="A", INDEX(Matches!$E:$E, MATCH(A191, Matches!$A:$A, 0)), INDEX(Matches!$F:$F, MATCH(A191, Matches!$A:$A, 0)))</f>
        <v>4</v>
      </c>
      <c r="F191">
        <f>IF(D191="A", INDEX(Matches!$F:$F, MATCH(A191, Matches!$A:$A, 0)), INDEX(Matches!$E:$E, MATCH(A191, Matches!$A:$A, 0)))</f>
        <v>4</v>
      </c>
      <c r="G191" t="str">
        <f t="shared" si="14"/>
        <v>Draw</v>
      </c>
      <c r="H191">
        <v>1</v>
      </c>
      <c r="K191" t="str">
        <f t="shared" si="8"/>
        <v>16_A</v>
      </c>
    </row>
    <row r="192" spans="1:11" x14ac:dyDescent="0.35">
      <c r="A192">
        <v>16</v>
      </c>
      <c r="B192" s="6">
        <v>46086</v>
      </c>
      <c r="C192" t="s">
        <v>49</v>
      </c>
      <c r="D192" t="s">
        <v>17</v>
      </c>
      <c r="E192">
        <f>IF(D192="A", INDEX(Matches!$E:$E, MATCH(A192, Matches!$A:$A, 0)), INDEX(Matches!$F:$F, MATCH(A192, Matches!$A:$A, 0)))</f>
        <v>4</v>
      </c>
      <c r="F192">
        <f>IF(D192="A", INDEX(Matches!$F:$F, MATCH(A192, Matches!$A:$A, 0)), INDEX(Matches!$E:$E, MATCH(A192, Matches!$A:$A, 0)))</f>
        <v>4</v>
      </c>
      <c r="G192" t="str">
        <f t="shared" si="14"/>
        <v>Draw</v>
      </c>
      <c r="K192" t="str">
        <f t="shared" si="8"/>
        <v>16_A</v>
      </c>
    </row>
    <row r="193" spans="1:11" x14ac:dyDescent="0.35">
      <c r="A193">
        <v>16</v>
      </c>
      <c r="B193" s="6">
        <v>46086</v>
      </c>
      <c r="C193" t="s">
        <v>75</v>
      </c>
      <c r="D193" t="s">
        <v>17</v>
      </c>
      <c r="E193">
        <f>IF(D193="A", INDEX(Matches!$E:$E, MATCH(A193, Matches!$A:$A, 0)), INDEX(Matches!$F:$F, MATCH(A193, Matches!$A:$A, 0)))</f>
        <v>4</v>
      </c>
      <c r="F193">
        <f>IF(D193="A", INDEX(Matches!$F:$F, MATCH(A193, Matches!$A:$A, 0)), INDEX(Matches!$E:$E, MATCH(A193, Matches!$A:$A, 0)))</f>
        <v>4</v>
      </c>
      <c r="G193" t="str">
        <f t="shared" si="14"/>
        <v>Draw</v>
      </c>
      <c r="H193">
        <v>2</v>
      </c>
      <c r="K193" t="str">
        <f t="shared" si="8"/>
        <v>16_A</v>
      </c>
    </row>
    <row r="194" spans="1:11" x14ac:dyDescent="0.35">
      <c r="A194">
        <v>16</v>
      </c>
      <c r="B194" s="6">
        <v>46086</v>
      </c>
      <c r="C194" t="s">
        <v>25</v>
      </c>
      <c r="D194" t="s">
        <v>17</v>
      </c>
      <c r="E194">
        <f>IF(D194="A", INDEX(Matches!$E:$E, MATCH(A194, Matches!$A:$A, 0)), INDEX(Matches!$F:$F, MATCH(A194, Matches!$A:$A, 0)))</f>
        <v>4</v>
      </c>
      <c r="F194">
        <f>IF(D194="A", INDEX(Matches!$F:$F, MATCH(A194, Matches!$A:$A, 0)), INDEX(Matches!$E:$E, MATCH(A194, Matches!$A:$A, 0)))</f>
        <v>4</v>
      </c>
      <c r="G194" t="str">
        <f t="shared" si="14"/>
        <v>Draw</v>
      </c>
      <c r="K194" t="str">
        <f t="shared" si="8"/>
        <v>16_A</v>
      </c>
    </row>
    <row r="195" spans="1:11" x14ac:dyDescent="0.35">
      <c r="A195">
        <v>16</v>
      </c>
      <c r="B195" s="6">
        <v>46086</v>
      </c>
      <c r="C195" t="s">
        <v>41</v>
      </c>
      <c r="D195" t="s">
        <v>17</v>
      </c>
      <c r="E195">
        <f>IF(D195="A", INDEX(Matches!$E:$E, MATCH(A195, Matches!$A:$A, 0)), INDEX(Matches!$F:$F, MATCH(A195, Matches!$A:$A, 0)))</f>
        <v>4</v>
      </c>
      <c r="F195">
        <f>IF(D195="A", INDEX(Matches!$F:$F, MATCH(A195, Matches!$A:$A, 0)), INDEX(Matches!$E:$E, MATCH(A195, Matches!$A:$A, 0)))</f>
        <v>4</v>
      </c>
      <c r="G195" t="str">
        <f t="shared" si="14"/>
        <v>Draw</v>
      </c>
      <c r="K195" t="str">
        <f t="shared" ref="K195:K258" si="15">A195&amp;"_"&amp;D195</f>
        <v>16_A</v>
      </c>
    </row>
    <row r="196" spans="1:11" x14ac:dyDescent="0.35">
      <c r="A196">
        <v>16</v>
      </c>
      <c r="B196" s="6">
        <v>46086</v>
      </c>
      <c r="C196" t="s">
        <v>16</v>
      </c>
      <c r="D196" t="s">
        <v>23</v>
      </c>
      <c r="E196">
        <f>IF(D196="A", INDEX(Matches!$E:$E, MATCH(A196, Matches!$A:$A, 0)), INDEX(Matches!$F:$F, MATCH(A196, Matches!$A:$A, 0)))</f>
        <v>4</v>
      </c>
      <c r="F196">
        <f>IF(D196="A", INDEX(Matches!$F:$F, MATCH(A196, Matches!$A:$A, 0)), INDEX(Matches!$E:$E, MATCH(A196, Matches!$A:$A, 0)))</f>
        <v>4</v>
      </c>
      <c r="G196" t="str">
        <f t="shared" si="14"/>
        <v>Draw</v>
      </c>
      <c r="K196" t="str">
        <f t="shared" si="15"/>
        <v>16_B</v>
      </c>
    </row>
    <row r="197" spans="1:11" x14ac:dyDescent="0.35">
      <c r="A197">
        <v>16</v>
      </c>
      <c r="B197" s="6">
        <v>46086</v>
      </c>
      <c r="C197" t="s">
        <v>44</v>
      </c>
      <c r="D197" t="s">
        <v>23</v>
      </c>
      <c r="E197">
        <f>IF(D197="A", INDEX(Matches!$E:$E, MATCH(A197, Matches!$A:$A, 0)), INDEX(Matches!$F:$F, MATCH(A197, Matches!$A:$A, 0)))</f>
        <v>4</v>
      </c>
      <c r="F197">
        <f>IF(D197="A", INDEX(Matches!$F:$F, MATCH(A197, Matches!$A:$A, 0)), INDEX(Matches!$E:$E, MATCH(A197, Matches!$A:$A, 0)))</f>
        <v>4</v>
      </c>
      <c r="G197" t="str">
        <f t="shared" si="14"/>
        <v>Draw</v>
      </c>
      <c r="I197">
        <v>1</v>
      </c>
      <c r="K197" t="str">
        <f t="shared" si="15"/>
        <v>16_B</v>
      </c>
    </row>
    <row r="198" spans="1:11" x14ac:dyDescent="0.35">
      <c r="A198">
        <v>16</v>
      </c>
      <c r="B198" s="6">
        <v>46086</v>
      </c>
      <c r="C198" t="s">
        <v>42</v>
      </c>
      <c r="D198" t="s">
        <v>23</v>
      </c>
      <c r="E198">
        <f>IF(D198="A", INDEX(Matches!$E:$E, MATCH(A198, Matches!$A:$A, 0)), INDEX(Matches!$F:$F, MATCH(A198, Matches!$A:$A, 0)))</f>
        <v>4</v>
      </c>
      <c r="F198">
        <f>IF(D198="A", INDEX(Matches!$F:$F, MATCH(A198, Matches!$A:$A, 0)), INDEX(Matches!$E:$E, MATCH(A198, Matches!$A:$A, 0)))</f>
        <v>4</v>
      </c>
      <c r="G198" t="str">
        <f t="shared" si="14"/>
        <v>Draw</v>
      </c>
      <c r="H198">
        <v>1</v>
      </c>
      <c r="I198">
        <v>1</v>
      </c>
      <c r="K198" t="str">
        <f t="shared" si="15"/>
        <v>16_B</v>
      </c>
    </row>
    <row r="199" spans="1:11" x14ac:dyDescent="0.35">
      <c r="A199">
        <v>16</v>
      </c>
      <c r="B199" s="6">
        <v>46086</v>
      </c>
      <c r="C199" t="s">
        <v>18</v>
      </c>
      <c r="D199" t="s">
        <v>23</v>
      </c>
      <c r="E199">
        <f>IF(D199="A", INDEX(Matches!$E:$E, MATCH(A199, Matches!$A:$A, 0)), INDEX(Matches!$F:$F, MATCH(A199, Matches!$A:$A, 0)))</f>
        <v>4</v>
      </c>
      <c r="F199">
        <f>IF(D199="A", INDEX(Matches!$F:$F, MATCH(A199, Matches!$A:$A, 0)), INDEX(Matches!$E:$E, MATCH(A199, Matches!$A:$A, 0)))</f>
        <v>4</v>
      </c>
      <c r="G199" t="str">
        <f t="shared" si="14"/>
        <v>Draw</v>
      </c>
      <c r="K199" t="str">
        <f t="shared" si="15"/>
        <v>16_B</v>
      </c>
    </row>
    <row r="200" spans="1:11" x14ac:dyDescent="0.35">
      <c r="A200">
        <v>16</v>
      </c>
      <c r="B200" s="6">
        <v>46086</v>
      </c>
      <c r="C200" t="s">
        <v>22</v>
      </c>
      <c r="D200" t="s">
        <v>23</v>
      </c>
      <c r="E200">
        <f>IF(D200="A", INDEX(Matches!$E:$E, MATCH(A200, Matches!$A:$A, 0)), INDEX(Matches!$F:$F, MATCH(A200, Matches!$A:$A, 0)))</f>
        <v>4</v>
      </c>
      <c r="F200">
        <f>IF(D200="A", INDEX(Matches!$F:$F, MATCH(A200, Matches!$A:$A, 0)), INDEX(Matches!$E:$E, MATCH(A200, Matches!$A:$A, 0)))</f>
        <v>4</v>
      </c>
      <c r="G200" t="str">
        <f t="shared" si="14"/>
        <v>Draw</v>
      </c>
      <c r="K200" t="str">
        <f t="shared" si="15"/>
        <v>16_B</v>
      </c>
    </row>
    <row r="201" spans="1:11" x14ac:dyDescent="0.35">
      <c r="A201">
        <v>16</v>
      </c>
      <c r="B201" s="6">
        <v>46086</v>
      </c>
      <c r="C201" t="s">
        <v>20</v>
      </c>
      <c r="D201" t="s">
        <v>23</v>
      </c>
      <c r="E201">
        <f>IF(D201="A", INDEX(Matches!$E:$E, MATCH(A201, Matches!$A:$A, 0)), INDEX(Matches!$F:$F, MATCH(A201, Matches!$A:$A, 0)))</f>
        <v>4</v>
      </c>
      <c r="F201">
        <f>IF(D201="A", INDEX(Matches!$F:$F, MATCH(A201, Matches!$A:$A, 0)), INDEX(Matches!$E:$E, MATCH(A201, Matches!$A:$A, 0)))</f>
        <v>4</v>
      </c>
      <c r="G201" t="str">
        <f t="shared" si="14"/>
        <v>Draw</v>
      </c>
      <c r="J201">
        <v>1</v>
      </c>
      <c r="K201" t="str">
        <f t="shared" si="15"/>
        <v>16_B</v>
      </c>
    </row>
    <row r="202" spans="1:11" x14ac:dyDescent="0.35">
      <c r="A202">
        <v>16</v>
      </c>
      <c r="B202" s="6">
        <v>46086</v>
      </c>
      <c r="C202" t="s">
        <v>46</v>
      </c>
      <c r="D202" t="s">
        <v>23</v>
      </c>
      <c r="E202">
        <f>IF(D202="A", INDEX(Matches!$E:$E, MATCH(A202, Matches!$A:$A, 0)), INDEX(Matches!$F:$F, MATCH(A202, Matches!$A:$A, 0)))</f>
        <v>4</v>
      </c>
      <c r="F202">
        <f>IF(D202="A", INDEX(Matches!$F:$F, MATCH(A202, Matches!$A:$A, 0)), INDEX(Matches!$E:$E, MATCH(A202, Matches!$A:$A, 0)))</f>
        <v>4</v>
      </c>
      <c r="G202" t="str">
        <f t="shared" si="14"/>
        <v>Draw</v>
      </c>
      <c r="H202">
        <v>1</v>
      </c>
      <c r="K202" t="str">
        <f t="shared" si="15"/>
        <v>16_B</v>
      </c>
    </row>
    <row r="203" spans="1:11" x14ac:dyDescent="0.35">
      <c r="A203">
        <v>17</v>
      </c>
      <c r="B203" s="6">
        <v>46093</v>
      </c>
      <c r="C203" t="s">
        <v>53</v>
      </c>
      <c r="D203" t="s">
        <v>17</v>
      </c>
      <c r="E203">
        <f>IF(D203="A", INDEX(Matches!$E:$E, MATCH(A203, Matches!$A:$A, 0)), INDEX(Matches!$F:$F, MATCH(A203, Matches!$A:$A, 0)))</f>
        <v>3</v>
      </c>
      <c r="F203">
        <f>IF(D203="A", INDEX(Matches!$F:$F, MATCH(A203, Matches!$A:$A, 0)), INDEX(Matches!$E:$E, MATCH(A203, Matches!$A:$A, 0)))</f>
        <v>2</v>
      </c>
      <c r="G203" t="str">
        <f t="shared" ref="G203:G212" si="16">IF(E203&gt;F203,"Win",IF(E203&lt;F203,"Loss","Draw"))</f>
        <v>Win</v>
      </c>
      <c r="H203">
        <v>1</v>
      </c>
      <c r="K203" t="str">
        <f t="shared" si="15"/>
        <v>17_A</v>
      </c>
    </row>
    <row r="204" spans="1:11" x14ac:dyDescent="0.35">
      <c r="A204">
        <v>17</v>
      </c>
      <c r="B204" s="6">
        <v>46093</v>
      </c>
      <c r="C204" t="s">
        <v>42</v>
      </c>
      <c r="D204" t="s">
        <v>17</v>
      </c>
      <c r="E204">
        <f>IF(D204="A", INDEX(Matches!$E:$E, MATCH(A204, Matches!$A:$A, 0)), INDEX(Matches!$F:$F, MATCH(A204, Matches!$A:$A, 0)))</f>
        <v>3</v>
      </c>
      <c r="F204">
        <f>IF(D204="A", INDEX(Matches!$F:$F, MATCH(A204, Matches!$A:$A, 0)), INDEX(Matches!$E:$E, MATCH(A204, Matches!$A:$A, 0)))</f>
        <v>2</v>
      </c>
      <c r="G204" t="str">
        <f t="shared" si="16"/>
        <v>Win</v>
      </c>
      <c r="K204" t="str">
        <f t="shared" si="15"/>
        <v>17_A</v>
      </c>
    </row>
    <row r="205" spans="1:11" x14ac:dyDescent="0.35">
      <c r="A205">
        <v>17</v>
      </c>
      <c r="B205" s="6">
        <v>46093</v>
      </c>
      <c r="C205" t="s">
        <v>44</v>
      </c>
      <c r="D205" t="s">
        <v>17</v>
      </c>
      <c r="E205">
        <f>IF(D205="A", INDEX(Matches!$E:$E, MATCH(A205, Matches!$A:$A, 0)), INDEX(Matches!$F:$F, MATCH(A205, Matches!$A:$A, 0)))</f>
        <v>3</v>
      </c>
      <c r="F205">
        <f>IF(D205="A", INDEX(Matches!$F:$F, MATCH(A205, Matches!$A:$A, 0)), INDEX(Matches!$E:$E, MATCH(A205, Matches!$A:$A, 0)))</f>
        <v>2</v>
      </c>
      <c r="G205" t="str">
        <f t="shared" si="16"/>
        <v>Win</v>
      </c>
      <c r="H205">
        <v>1</v>
      </c>
      <c r="K205" t="str">
        <f t="shared" si="15"/>
        <v>17_A</v>
      </c>
    </row>
    <row r="206" spans="1:11" x14ac:dyDescent="0.35">
      <c r="A206">
        <v>17</v>
      </c>
      <c r="B206" s="6">
        <v>46093</v>
      </c>
      <c r="C206" t="s">
        <v>84</v>
      </c>
      <c r="D206" t="s">
        <v>17</v>
      </c>
      <c r="E206">
        <f>IF(D206="A", INDEX(Matches!$E:$E, MATCH(A206, Matches!$A:$A, 0)), INDEX(Matches!$F:$F, MATCH(A206, Matches!$A:$A, 0)))</f>
        <v>3</v>
      </c>
      <c r="F206">
        <f>IF(D206="A", INDEX(Matches!$F:$F, MATCH(A206, Matches!$A:$A, 0)), INDEX(Matches!$E:$E, MATCH(A206, Matches!$A:$A, 0)))</f>
        <v>2</v>
      </c>
      <c r="G206" t="str">
        <f t="shared" si="16"/>
        <v>Win</v>
      </c>
      <c r="K206" t="str">
        <f t="shared" si="15"/>
        <v>17_A</v>
      </c>
    </row>
    <row r="207" spans="1:11" x14ac:dyDescent="0.35">
      <c r="A207">
        <v>17</v>
      </c>
      <c r="B207" s="6">
        <v>46093</v>
      </c>
      <c r="C207" t="s">
        <v>85</v>
      </c>
      <c r="D207" t="s">
        <v>17</v>
      </c>
      <c r="E207">
        <f>IF(D207="A", INDEX(Matches!$E:$E, MATCH(A207, Matches!$A:$A, 0)), INDEX(Matches!$F:$F, MATCH(A207, Matches!$A:$A, 0)))</f>
        <v>3</v>
      </c>
      <c r="F207">
        <f>IF(D207="A", INDEX(Matches!$F:$F, MATCH(A207, Matches!$A:$A, 0)), INDEX(Matches!$E:$E, MATCH(A207, Matches!$A:$A, 0)))</f>
        <v>2</v>
      </c>
      <c r="G207" t="str">
        <f t="shared" si="16"/>
        <v>Win</v>
      </c>
      <c r="H207">
        <v>1</v>
      </c>
      <c r="K207" t="str">
        <f t="shared" si="15"/>
        <v>17_A</v>
      </c>
    </row>
    <row r="208" spans="1:11" x14ac:dyDescent="0.35">
      <c r="A208">
        <v>17</v>
      </c>
      <c r="B208" s="6">
        <v>46093</v>
      </c>
      <c r="C208" t="s">
        <v>41</v>
      </c>
      <c r="D208" t="s">
        <v>23</v>
      </c>
      <c r="E208">
        <f>IF(D208="A", INDEX(Matches!$E:$E, MATCH(A208, Matches!$A:$A, 0)), INDEX(Matches!$F:$F, MATCH(A208, Matches!$A:$A, 0)))</f>
        <v>2</v>
      </c>
      <c r="F208">
        <f>IF(D208="A", INDEX(Matches!$F:$F, MATCH(A208, Matches!$A:$A, 0)), INDEX(Matches!$E:$E, MATCH(A208, Matches!$A:$A, 0)))</f>
        <v>3</v>
      </c>
      <c r="G208" t="str">
        <f t="shared" si="16"/>
        <v>Loss</v>
      </c>
      <c r="H208">
        <v>1</v>
      </c>
      <c r="K208" t="str">
        <f t="shared" si="15"/>
        <v>17_B</v>
      </c>
    </row>
    <row r="209" spans="1:11" x14ac:dyDescent="0.35">
      <c r="A209">
        <v>17</v>
      </c>
      <c r="B209" s="6">
        <v>46093</v>
      </c>
      <c r="C209" t="s">
        <v>46</v>
      </c>
      <c r="D209" t="s">
        <v>23</v>
      </c>
      <c r="E209">
        <f>IF(D209="A", INDEX(Matches!$E:$E, MATCH(A209, Matches!$A:$A, 0)), INDEX(Matches!$F:$F, MATCH(A209, Matches!$A:$A, 0)))</f>
        <v>2</v>
      </c>
      <c r="F209">
        <f>IF(D209="A", INDEX(Matches!$F:$F, MATCH(A209, Matches!$A:$A, 0)), INDEX(Matches!$E:$E, MATCH(A209, Matches!$A:$A, 0)))</f>
        <v>3</v>
      </c>
      <c r="G209" t="str">
        <f t="shared" si="16"/>
        <v>Loss</v>
      </c>
      <c r="K209" t="str">
        <f t="shared" si="15"/>
        <v>17_B</v>
      </c>
    </row>
    <row r="210" spans="1:11" x14ac:dyDescent="0.35">
      <c r="A210">
        <v>17</v>
      </c>
      <c r="B210" s="6">
        <v>46093</v>
      </c>
      <c r="C210" t="s">
        <v>24</v>
      </c>
      <c r="D210" t="s">
        <v>23</v>
      </c>
      <c r="E210">
        <f>IF(D210="A", INDEX(Matches!$E:$E, MATCH(A210, Matches!$A:$A, 0)), INDEX(Matches!$F:$F, MATCH(A210, Matches!$A:$A, 0)))</f>
        <v>2</v>
      </c>
      <c r="F210">
        <f>IF(D210="A", INDEX(Matches!$F:$F, MATCH(A210, Matches!$A:$A, 0)), INDEX(Matches!$E:$E, MATCH(A210, Matches!$A:$A, 0)))</f>
        <v>3</v>
      </c>
      <c r="G210" t="str">
        <f t="shared" si="16"/>
        <v>Loss</v>
      </c>
      <c r="I210">
        <v>1</v>
      </c>
      <c r="K210" t="str">
        <f t="shared" si="15"/>
        <v>17_B</v>
      </c>
    </row>
    <row r="211" spans="1:11" x14ac:dyDescent="0.35">
      <c r="A211">
        <v>17</v>
      </c>
      <c r="B211" s="6">
        <v>46093</v>
      </c>
      <c r="C211" t="s">
        <v>77</v>
      </c>
      <c r="D211" t="s">
        <v>23</v>
      </c>
      <c r="E211">
        <f>IF(D211="A", INDEX(Matches!$E:$E, MATCH(A211, Matches!$A:$A, 0)), INDEX(Matches!$F:$F, MATCH(A211, Matches!$A:$A, 0)))</f>
        <v>2</v>
      </c>
      <c r="F211">
        <f>IF(D211="A", INDEX(Matches!$F:$F, MATCH(A211, Matches!$A:$A, 0)), INDEX(Matches!$E:$E, MATCH(A211, Matches!$A:$A, 0)))</f>
        <v>3</v>
      </c>
      <c r="G211" t="str">
        <f t="shared" si="16"/>
        <v>Loss</v>
      </c>
      <c r="H211">
        <v>1</v>
      </c>
      <c r="K211" t="str">
        <f t="shared" si="15"/>
        <v>17_B</v>
      </c>
    </row>
    <row r="212" spans="1:11" x14ac:dyDescent="0.35">
      <c r="A212">
        <v>17</v>
      </c>
      <c r="B212" s="6">
        <v>46093</v>
      </c>
      <c r="C212" t="s">
        <v>87</v>
      </c>
      <c r="D212" t="s">
        <v>23</v>
      </c>
      <c r="E212">
        <f>IF(D212="A", INDEX(Matches!$E:$E, MATCH(A212, Matches!$A:$A, 0)), INDEX(Matches!$F:$F, MATCH(A212, Matches!$A:$A, 0)))</f>
        <v>2</v>
      </c>
      <c r="F212">
        <f>IF(D212="A", INDEX(Matches!$F:$F, MATCH(A212, Matches!$A:$A, 0)), INDEX(Matches!$E:$E, MATCH(A212, Matches!$A:$A, 0)))</f>
        <v>3</v>
      </c>
      <c r="G212" t="str">
        <f t="shared" si="16"/>
        <v>Loss</v>
      </c>
      <c r="I212">
        <v>1</v>
      </c>
      <c r="K212" t="str">
        <f t="shared" si="15"/>
        <v>17_B</v>
      </c>
    </row>
    <row r="213" spans="1:11" x14ac:dyDescent="0.35">
      <c r="A213">
        <v>18</v>
      </c>
      <c r="B213" s="6">
        <v>46093</v>
      </c>
      <c r="C213" t="s">
        <v>19</v>
      </c>
      <c r="D213" t="s">
        <v>17</v>
      </c>
      <c r="E213">
        <f>IF(D213="A", INDEX(Matches!$E:$E, MATCH(A213, Matches!$A:$A, 0)), INDEX(Matches!$F:$F, MATCH(A213, Matches!$A:$A, 0)))</f>
        <v>4</v>
      </c>
      <c r="F213">
        <f>IF(D213="A", INDEX(Matches!$F:$F, MATCH(A213, Matches!$A:$A, 0)), INDEX(Matches!$E:$E, MATCH(A213, Matches!$A:$A, 0)))</f>
        <v>1</v>
      </c>
      <c r="G213" t="str">
        <f t="shared" ref="G213:G222" si="17">IF(E213&gt;F213,"Win",IF(E213&lt;F213,"Loss","Draw"))</f>
        <v>Win</v>
      </c>
      <c r="K213" t="str">
        <f t="shared" si="15"/>
        <v>18_A</v>
      </c>
    </row>
    <row r="214" spans="1:11" x14ac:dyDescent="0.35">
      <c r="A214">
        <v>18</v>
      </c>
      <c r="B214" s="6">
        <v>46093</v>
      </c>
      <c r="C214" t="s">
        <v>43</v>
      </c>
      <c r="D214" t="s">
        <v>17</v>
      </c>
      <c r="E214">
        <f>IF(D214="A", INDEX(Matches!$E:$E, MATCH(A214, Matches!$A:$A, 0)), INDEX(Matches!$F:$F, MATCH(A214, Matches!$A:$A, 0)))</f>
        <v>4</v>
      </c>
      <c r="F214">
        <f>IF(D214="A", INDEX(Matches!$F:$F, MATCH(A214, Matches!$A:$A, 0)), INDEX(Matches!$E:$E, MATCH(A214, Matches!$A:$A, 0)))</f>
        <v>1</v>
      </c>
      <c r="G214" t="str">
        <f t="shared" si="17"/>
        <v>Win</v>
      </c>
      <c r="K214" t="str">
        <f t="shared" si="15"/>
        <v>18_A</v>
      </c>
    </row>
    <row r="215" spans="1:11" x14ac:dyDescent="0.35">
      <c r="A215">
        <v>18</v>
      </c>
      <c r="B215" s="6">
        <v>46093</v>
      </c>
      <c r="C215" t="s">
        <v>16</v>
      </c>
      <c r="D215" t="s">
        <v>17</v>
      </c>
      <c r="E215">
        <f>IF(D215="A", INDEX(Matches!$E:$E, MATCH(A215, Matches!$A:$A, 0)), INDEX(Matches!$F:$F, MATCH(A215, Matches!$A:$A, 0)))</f>
        <v>4</v>
      </c>
      <c r="F215">
        <f>IF(D215="A", INDEX(Matches!$F:$F, MATCH(A215, Matches!$A:$A, 0)), INDEX(Matches!$E:$E, MATCH(A215, Matches!$A:$A, 0)))</f>
        <v>1</v>
      </c>
      <c r="G215" t="str">
        <f t="shared" si="17"/>
        <v>Win</v>
      </c>
      <c r="H215">
        <v>4</v>
      </c>
      <c r="K215" t="str">
        <f t="shared" si="15"/>
        <v>18_A</v>
      </c>
    </row>
    <row r="216" spans="1:11" x14ac:dyDescent="0.35">
      <c r="A216">
        <v>18</v>
      </c>
      <c r="B216" s="6">
        <v>46093</v>
      </c>
      <c r="C216" t="s">
        <v>25</v>
      </c>
      <c r="D216" t="s">
        <v>17</v>
      </c>
      <c r="E216">
        <f>IF(D216="A", INDEX(Matches!$E:$E, MATCH(A216, Matches!$A:$A, 0)), INDEX(Matches!$F:$F, MATCH(A216, Matches!$A:$A, 0)))</f>
        <v>4</v>
      </c>
      <c r="F216">
        <f>IF(D216="A", INDEX(Matches!$F:$F, MATCH(A216, Matches!$A:$A, 0)), INDEX(Matches!$E:$E, MATCH(A216, Matches!$A:$A, 0)))</f>
        <v>1</v>
      </c>
      <c r="G216" t="str">
        <f t="shared" si="17"/>
        <v>Win</v>
      </c>
      <c r="K216" t="str">
        <f t="shared" si="15"/>
        <v>18_A</v>
      </c>
    </row>
    <row r="217" spans="1:11" x14ac:dyDescent="0.35">
      <c r="A217">
        <v>18</v>
      </c>
      <c r="B217" s="6">
        <v>46093</v>
      </c>
      <c r="C217" t="s">
        <v>88</v>
      </c>
      <c r="D217" t="s">
        <v>17</v>
      </c>
      <c r="E217">
        <f>IF(D217="A", INDEX(Matches!$E:$E, MATCH(A217, Matches!$A:$A, 0)), INDEX(Matches!$F:$F, MATCH(A217, Matches!$A:$A, 0)))</f>
        <v>4</v>
      </c>
      <c r="F217">
        <f>IF(D217="A", INDEX(Matches!$F:$F, MATCH(A217, Matches!$A:$A, 0)), INDEX(Matches!$E:$E, MATCH(A217, Matches!$A:$A, 0)))</f>
        <v>1</v>
      </c>
      <c r="G217" t="str">
        <f t="shared" si="17"/>
        <v>Win</v>
      </c>
      <c r="K217" t="str">
        <f t="shared" si="15"/>
        <v>18_A</v>
      </c>
    </row>
    <row r="218" spans="1:11" x14ac:dyDescent="0.35">
      <c r="A218">
        <v>18</v>
      </c>
      <c r="B218" s="6">
        <v>46093</v>
      </c>
      <c r="C218" t="s">
        <v>22</v>
      </c>
      <c r="D218" t="s">
        <v>23</v>
      </c>
      <c r="E218">
        <f>IF(D218="A", INDEX(Matches!$E:$E, MATCH(A218, Matches!$A:$A, 0)), INDEX(Matches!$F:$F, MATCH(A218, Matches!$A:$A, 0)))</f>
        <v>1</v>
      </c>
      <c r="F218">
        <f>IF(D218="A", INDEX(Matches!$F:$F, MATCH(A218, Matches!$A:$A, 0)), INDEX(Matches!$E:$E, MATCH(A218, Matches!$A:$A, 0)))</f>
        <v>4</v>
      </c>
      <c r="G218" t="str">
        <f t="shared" si="17"/>
        <v>Loss</v>
      </c>
      <c r="K218" t="str">
        <f t="shared" si="15"/>
        <v>18_B</v>
      </c>
    </row>
    <row r="219" spans="1:11" x14ac:dyDescent="0.35">
      <c r="A219">
        <v>18</v>
      </c>
      <c r="B219" s="6">
        <v>46093</v>
      </c>
      <c r="C219" t="s">
        <v>40</v>
      </c>
      <c r="D219" t="s">
        <v>23</v>
      </c>
      <c r="E219">
        <f>IF(D219="A", INDEX(Matches!$E:$E, MATCH(A219, Matches!$A:$A, 0)), INDEX(Matches!$F:$F, MATCH(A219, Matches!$A:$A, 0)))</f>
        <v>1</v>
      </c>
      <c r="F219">
        <f>IF(D219="A", INDEX(Matches!$F:$F, MATCH(A219, Matches!$A:$A, 0)), INDEX(Matches!$E:$E, MATCH(A219, Matches!$A:$A, 0)))</f>
        <v>4</v>
      </c>
      <c r="G219" t="str">
        <f t="shared" si="17"/>
        <v>Loss</v>
      </c>
      <c r="K219" t="str">
        <f t="shared" si="15"/>
        <v>18_B</v>
      </c>
    </row>
    <row r="220" spans="1:11" x14ac:dyDescent="0.35">
      <c r="A220">
        <v>18</v>
      </c>
      <c r="B220" s="6">
        <v>46093</v>
      </c>
      <c r="C220" t="s">
        <v>86</v>
      </c>
      <c r="D220" t="s">
        <v>23</v>
      </c>
      <c r="E220">
        <f>IF(D220="A", INDEX(Matches!$E:$E, MATCH(A220, Matches!$A:$A, 0)), INDEX(Matches!$F:$F, MATCH(A220, Matches!$A:$A, 0)))</f>
        <v>1</v>
      </c>
      <c r="F220">
        <f>IF(D220="A", INDEX(Matches!$F:$F, MATCH(A220, Matches!$A:$A, 0)), INDEX(Matches!$E:$E, MATCH(A220, Matches!$A:$A, 0)))</f>
        <v>4</v>
      </c>
      <c r="G220" t="str">
        <f t="shared" si="17"/>
        <v>Loss</v>
      </c>
      <c r="K220" t="str">
        <f t="shared" si="15"/>
        <v>18_B</v>
      </c>
    </row>
    <row r="221" spans="1:11" x14ac:dyDescent="0.35">
      <c r="A221">
        <v>18</v>
      </c>
      <c r="B221" s="6">
        <v>46093</v>
      </c>
      <c r="C221" t="s">
        <v>20</v>
      </c>
      <c r="D221" t="s">
        <v>23</v>
      </c>
      <c r="E221">
        <f>IF(D221="A", INDEX(Matches!$E:$E, MATCH(A221, Matches!$A:$A, 0)), INDEX(Matches!$F:$F, MATCH(A221, Matches!$A:$A, 0)))</f>
        <v>1</v>
      </c>
      <c r="F221">
        <f>IF(D221="A", INDEX(Matches!$F:$F, MATCH(A221, Matches!$A:$A, 0)), INDEX(Matches!$E:$E, MATCH(A221, Matches!$A:$A, 0)))</f>
        <v>4</v>
      </c>
      <c r="G221" t="str">
        <f t="shared" si="17"/>
        <v>Loss</v>
      </c>
      <c r="H221">
        <v>1</v>
      </c>
      <c r="K221" t="str">
        <f t="shared" si="15"/>
        <v>18_B</v>
      </c>
    </row>
    <row r="222" spans="1:11" x14ac:dyDescent="0.35">
      <c r="A222">
        <v>18</v>
      </c>
      <c r="B222" s="6">
        <v>46093</v>
      </c>
      <c r="C222" t="s">
        <v>89</v>
      </c>
      <c r="D222" t="s">
        <v>23</v>
      </c>
      <c r="E222">
        <f>IF(D222="A", INDEX(Matches!$E:$E, MATCH(A222, Matches!$A:$A, 0)), INDEX(Matches!$F:$F, MATCH(A222, Matches!$A:$A, 0)))</f>
        <v>1</v>
      </c>
      <c r="F222">
        <f>IF(D222="A", INDEX(Matches!$F:$F, MATCH(A222, Matches!$A:$A, 0)), INDEX(Matches!$E:$E, MATCH(A222, Matches!$A:$A, 0)))</f>
        <v>4</v>
      </c>
      <c r="G222" t="str">
        <f t="shared" si="17"/>
        <v>Loss</v>
      </c>
      <c r="I222">
        <v>1</v>
      </c>
      <c r="K222" t="str">
        <f t="shared" si="15"/>
        <v>18_B</v>
      </c>
    </row>
    <row r="223" spans="1:11" x14ac:dyDescent="0.35">
      <c r="A223">
        <v>19</v>
      </c>
      <c r="B223" s="6">
        <v>46093</v>
      </c>
      <c r="C223" t="s">
        <v>53</v>
      </c>
      <c r="D223" t="s">
        <v>17</v>
      </c>
      <c r="E223">
        <f>IF(D223="A", INDEX(Matches!$E:$E, MATCH(A223, Matches!$A:$A, 0)), INDEX(Matches!$F:$F, MATCH(A223, Matches!$A:$A, 0)))</f>
        <v>7</v>
      </c>
      <c r="F223">
        <f>IF(D223="A", INDEX(Matches!$F:$F, MATCH(A223, Matches!$A:$A, 0)), INDEX(Matches!$E:$E, MATCH(A223, Matches!$A:$A, 0)))</f>
        <v>4</v>
      </c>
      <c r="G223" t="str">
        <f t="shared" ref="G223:G232" si="18">IF(E223&gt;F223,"Win",IF(E223&lt;F223,"Loss","Draw"))</f>
        <v>Win</v>
      </c>
      <c r="H223">
        <v>2</v>
      </c>
      <c r="I223">
        <v>1</v>
      </c>
      <c r="K223" t="str">
        <f t="shared" si="15"/>
        <v>19_A</v>
      </c>
    </row>
    <row r="224" spans="1:11" x14ac:dyDescent="0.35">
      <c r="A224">
        <v>19</v>
      </c>
      <c r="B224" s="6">
        <v>46093</v>
      </c>
      <c r="C224" t="s">
        <v>42</v>
      </c>
      <c r="D224" t="s">
        <v>17</v>
      </c>
      <c r="E224">
        <f>IF(D224="A", INDEX(Matches!$E:$E, MATCH(A224, Matches!$A:$A, 0)), INDEX(Matches!$F:$F, MATCH(A224, Matches!$A:$A, 0)))</f>
        <v>7</v>
      </c>
      <c r="F224">
        <f>IF(D224="A", INDEX(Matches!$F:$F, MATCH(A224, Matches!$A:$A, 0)), INDEX(Matches!$E:$E, MATCH(A224, Matches!$A:$A, 0)))</f>
        <v>4</v>
      </c>
      <c r="G224" t="str">
        <f t="shared" si="18"/>
        <v>Win</v>
      </c>
      <c r="H224">
        <v>1</v>
      </c>
      <c r="I224">
        <v>2</v>
      </c>
      <c r="K224" t="str">
        <f t="shared" si="15"/>
        <v>19_A</v>
      </c>
    </row>
    <row r="225" spans="1:11" x14ac:dyDescent="0.35">
      <c r="A225">
        <v>19</v>
      </c>
      <c r="B225" s="6">
        <v>46093</v>
      </c>
      <c r="C225" t="s">
        <v>44</v>
      </c>
      <c r="D225" t="s">
        <v>17</v>
      </c>
      <c r="E225">
        <f>IF(D225="A", INDEX(Matches!$E:$E, MATCH(A225, Matches!$A:$A, 0)), INDEX(Matches!$F:$F, MATCH(A225, Matches!$A:$A, 0)))</f>
        <v>7</v>
      </c>
      <c r="F225">
        <f>IF(D225="A", INDEX(Matches!$F:$F, MATCH(A225, Matches!$A:$A, 0)), INDEX(Matches!$E:$E, MATCH(A225, Matches!$A:$A, 0)))</f>
        <v>4</v>
      </c>
      <c r="G225" t="str">
        <f t="shared" si="18"/>
        <v>Win</v>
      </c>
      <c r="H225">
        <v>3</v>
      </c>
      <c r="K225" t="str">
        <f t="shared" si="15"/>
        <v>19_A</v>
      </c>
    </row>
    <row r="226" spans="1:11" x14ac:dyDescent="0.35">
      <c r="A226">
        <v>19</v>
      </c>
      <c r="B226" s="6">
        <v>46093</v>
      </c>
      <c r="C226" t="s">
        <v>84</v>
      </c>
      <c r="D226" t="s">
        <v>17</v>
      </c>
      <c r="E226">
        <f>IF(D226="A", INDEX(Matches!$E:$E, MATCH(A226, Matches!$A:$A, 0)), INDEX(Matches!$F:$F, MATCH(A226, Matches!$A:$A, 0)))</f>
        <v>7</v>
      </c>
      <c r="F226">
        <f>IF(D226="A", INDEX(Matches!$F:$F, MATCH(A226, Matches!$A:$A, 0)), INDEX(Matches!$E:$E, MATCH(A226, Matches!$A:$A, 0)))</f>
        <v>4</v>
      </c>
      <c r="G226" t="str">
        <f t="shared" si="18"/>
        <v>Win</v>
      </c>
      <c r="K226" t="str">
        <f t="shared" si="15"/>
        <v>19_A</v>
      </c>
    </row>
    <row r="227" spans="1:11" x14ac:dyDescent="0.35">
      <c r="A227">
        <v>19</v>
      </c>
      <c r="B227" s="6">
        <v>46093</v>
      </c>
      <c r="C227" t="s">
        <v>85</v>
      </c>
      <c r="D227" t="s">
        <v>17</v>
      </c>
      <c r="E227">
        <f>IF(D227="A", INDEX(Matches!$E:$E, MATCH(A227, Matches!$A:$A, 0)), INDEX(Matches!$F:$F, MATCH(A227, Matches!$A:$A, 0)))</f>
        <v>7</v>
      </c>
      <c r="F227">
        <f>IF(D227="A", INDEX(Matches!$F:$F, MATCH(A227, Matches!$A:$A, 0)), INDEX(Matches!$E:$E, MATCH(A227, Matches!$A:$A, 0)))</f>
        <v>4</v>
      </c>
      <c r="G227" t="str">
        <f t="shared" si="18"/>
        <v>Win</v>
      </c>
      <c r="K227" t="str">
        <f t="shared" si="15"/>
        <v>19_A</v>
      </c>
    </row>
    <row r="228" spans="1:11" x14ac:dyDescent="0.35">
      <c r="A228">
        <v>19</v>
      </c>
      <c r="B228" s="6">
        <v>46093</v>
      </c>
      <c r="C228" t="s">
        <v>19</v>
      </c>
      <c r="D228" t="s">
        <v>23</v>
      </c>
      <c r="E228">
        <f>IF(D228="A", INDEX(Matches!$E:$E, MATCH(A228, Matches!$A:$A, 0)), INDEX(Matches!$F:$F, MATCH(A228, Matches!$A:$A, 0)))</f>
        <v>4</v>
      </c>
      <c r="F228">
        <f>IF(D228="A", INDEX(Matches!$F:$F, MATCH(A228, Matches!$A:$A, 0)), INDEX(Matches!$E:$E, MATCH(A228, Matches!$A:$A, 0)))</f>
        <v>7</v>
      </c>
      <c r="G228" t="str">
        <f t="shared" si="18"/>
        <v>Loss</v>
      </c>
      <c r="H228">
        <v>2</v>
      </c>
      <c r="K228" t="str">
        <f t="shared" si="15"/>
        <v>19_B</v>
      </c>
    </row>
    <row r="229" spans="1:11" x14ac:dyDescent="0.35">
      <c r="A229">
        <v>19</v>
      </c>
      <c r="B229" s="6">
        <v>46093</v>
      </c>
      <c r="C229" t="s">
        <v>43</v>
      </c>
      <c r="D229" t="s">
        <v>23</v>
      </c>
      <c r="E229">
        <f>IF(D229="A", INDEX(Matches!$E:$E, MATCH(A229, Matches!$A:$A, 0)), INDEX(Matches!$F:$F, MATCH(A229, Matches!$A:$A, 0)))</f>
        <v>4</v>
      </c>
      <c r="F229">
        <f>IF(D229="A", INDEX(Matches!$F:$F, MATCH(A229, Matches!$A:$A, 0)), INDEX(Matches!$E:$E, MATCH(A229, Matches!$A:$A, 0)))</f>
        <v>7</v>
      </c>
      <c r="G229" t="str">
        <f t="shared" si="18"/>
        <v>Loss</v>
      </c>
      <c r="H229">
        <v>1</v>
      </c>
      <c r="K229" t="str">
        <f t="shared" si="15"/>
        <v>19_B</v>
      </c>
    </row>
    <row r="230" spans="1:11" x14ac:dyDescent="0.35">
      <c r="A230">
        <v>19</v>
      </c>
      <c r="B230" s="6">
        <v>46093</v>
      </c>
      <c r="C230" t="s">
        <v>16</v>
      </c>
      <c r="D230" t="s">
        <v>23</v>
      </c>
      <c r="E230">
        <f>IF(D230="A", INDEX(Matches!$E:$E, MATCH(A230, Matches!$A:$A, 0)), INDEX(Matches!$F:$F, MATCH(A230, Matches!$A:$A, 0)))</f>
        <v>4</v>
      </c>
      <c r="F230">
        <f>IF(D230="A", INDEX(Matches!$F:$F, MATCH(A230, Matches!$A:$A, 0)), INDEX(Matches!$E:$E, MATCH(A230, Matches!$A:$A, 0)))</f>
        <v>7</v>
      </c>
      <c r="G230" t="str">
        <f t="shared" si="18"/>
        <v>Loss</v>
      </c>
      <c r="I230">
        <v>4</v>
      </c>
      <c r="K230" t="str">
        <f t="shared" si="15"/>
        <v>19_B</v>
      </c>
    </row>
    <row r="231" spans="1:11" x14ac:dyDescent="0.35">
      <c r="A231">
        <v>19</v>
      </c>
      <c r="B231" s="6">
        <v>46093</v>
      </c>
      <c r="C231" t="s">
        <v>25</v>
      </c>
      <c r="D231" t="s">
        <v>23</v>
      </c>
      <c r="E231">
        <f>IF(D231="A", INDEX(Matches!$E:$E, MATCH(A231, Matches!$A:$A, 0)), INDEX(Matches!$F:$F, MATCH(A231, Matches!$A:$A, 0)))</f>
        <v>4</v>
      </c>
      <c r="F231">
        <f>IF(D231="A", INDEX(Matches!$F:$F, MATCH(A231, Matches!$A:$A, 0)), INDEX(Matches!$E:$E, MATCH(A231, Matches!$A:$A, 0)))</f>
        <v>7</v>
      </c>
      <c r="G231" t="str">
        <f t="shared" si="18"/>
        <v>Loss</v>
      </c>
      <c r="H231">
        <v>1</v>
      </c>
      <c r="K231" t="str">
        <f t="shared" si="15"/>
        <v>19_B</v>
      </c>
    </row>
    <row r="232" spans="1:11" x14ac:dyDescent="0.35">
      <c r="A232">
        <v>19</v>
      </c>
      <c r="B232" s="6">
        <v>46093</v>
      </c>
      <c r="C232" t="s">
        <v>88</v>
      </c>
      <c r="D232" t="s">
        <v>23</v>
      </c>
      <c r="E232">
        <f>IF(D232="A", INDEX(Matches!$E:$E, MATCH(A232, Matches!$A:$A, 0)), INDEX(Matches!$F:$F, MATCH(A232, Matches!$A:$A, 0)))</f>
        <v>4</v>
      </c>
      <c r="F232">
        <f>IF(D232="A", INDEX(Matches!$F:$F, MATCH(A232, Matches!$A:$A, 0)), INDEX(Matches!$E:$E, MATCH(A232, Matches!$A:$A, 0)))</f>
        <v>7</v>
      </c>
      <c r="G232" t="str">
        <f t="shared" si="18"/>
        <v>Loss</v>
      </c>
      <c r="H232">
        <v>1</v>
      </c>
      <c r="K232" t="str">
        <f t="shared" si="15"/>
        <v>19_B</v>
      </c>
    </row>
    <row r="233" spans="1:11" x14ac:dyDescent="0.35">
      <c r="A233">
        <v>20</v>
      </c>
      <c r="B233" s="6">
        <v>46093</v>
      </c>
      <c r="C233" t="s">
        <v>22</v>
      </c>
      <c r="D233" t="s">
        <v>17</v>
      </c>
      <c r="E233">
        <f>IF(D233="A", INDEX(Matches!$E:$E, MATCH(A233, Matches!$A:$A, 0)), INDEX(Matches!$F:$F, MATCH(A233, Matches!$A:$A, 0)))</f>
        <v>6</v>
      </c>
      <c r="F233">
        <f>IF(D233="A", INDEX(Matches!$F:$F, MATCH(A233, Matches!$A:$A, 0)), INDEX(Matches!$E:$E, MATCH(A233, Matches!$A:$A, 0)))</f>
        <v>0</v>
      </c>
      <c r="G233" t="str">
        <f t="shared" ref="G233:G242" si="19">IF(E233&gt;F233,"Win",IF(E233&lt;F233,"Loss","Draw"))</f>
        <v>Win</v>
      </c>
      <c r="H233">
        <v>2</v>
      </c>
      <c r="K233" t="str">
        <f>A233&amp;"_"&amp;D233</f>
        <v>20_A</v>
      </c>
    </row>
    <row r="234" spans="1:11" x14ac:dyDescent="0.35">
      <c r="A234">
        <v>20</v>
      </c>
      <c r="B234" s="6">
        <v>46093</v>
      </c>
      <c r="C234" t="s">
        <v>40</v>
      </c>
      <c r="D234" t="s">
        <v>17</v>
      </c>
      <c r="E234">
        <f>IF(D234="A", INDEX(Matches!$E:$E, MATCH(A234, Matches!$A:$A, 0)), INDEX(Matches!$F:$F, MATCH(A234, Matches!$A:$A, 0)))</f>
        <v>6</v>
      </c>
      <c r="F234">
        <f>IF(D234="A", INDEX(Matches!$F:$F, MATCH(A234, Matches!$A:$A, 0)), INDEX(Matches!$E:$E, MATCH(A234, Matches!$A:$A, 0)))</f>
        <v>0</v>
      </c>
      <c r="G234" t="str">
        <f t="shared" si="19"/>
        <v>Win</v>
      </c>
      <c r="H234">
        <v>2</v>
      </c>
      <c r="K234" t="str">
        <f>A234&amp;"_"&amp;D234</f>
        <v>20_A</v>
      </c>
    </row>
    <row r="235" spans="1:11" x14ac:dyDescent="0.35">
      <c r="A235">
        <v>20</v>
      </c>
      <c r="B235" s="6">
        <v>46093</v>
      </c>
      <c r="C235" t="s">
        <v>86</v>
      </c>
      <c r="D235" t="s">
        <v>17</v>
      </c>
      <c r="E235">
        <f>IF(D235="A", INDEX(Matches!$E:$E, MATCH(A235, Matches!$A:$A, 0)), INDEX(Matches!$F:$F, MATCH(A235, Matches!$A:$A, 0)))</f>
        <v>6</v>
      </c>
      <c r="F235">
        <f>IF(D235="A", INDEX(Matches!$F:$F, MATCH(A235, Matches!$A:$A, 0)), INDEX(Matches!$E:$E, MATCH(A235, Matches!$A:$A, 0)))</f>
        <v>0</v>
      </c>
      <c r="G235" t="str">
        <f t="shared" si="19"/>
        <v>Win</v>
      </c>
      <c r="H235">
        <v>1</v>
      </c>
      <c r="K235" t="str">
        <f>A235&amp;"_"&amp;D235</f>
        <v>20_A</v>
      </c>
    </row>
    <row r="236" spans="1:11" x14ac:dyDescent="0.35">
      <c r="A236">
        <v>20</v>
      </c>
      <c r="B236" s="6">
        <v>46093</v>
      </c>
      <c r="C236" t="s">
        <v>20</v>
      </c>
      <c r="D236" t="s">
        <v>17</v>
      </c>
      <c r="E236">
        <f>IF(D236="A", INDEX(Matches!$E:$E, MATCH(A236, Matches!$A:$A, 0)), INDEX(Matches!$F:$F, MATCH(A236, Matches!$A:$A, 0)))</f>
        <v>6</v>
      </c>
      <c r="F236">
        <f>IF(D236="A", INDEX(Matches!$F:$F, MATCH(A236, Matches!$A:$A, 0)), INDEX(Matches!$E:$E, MATCH(A236, Matches!$A:$A, 0)))</f>
        <v>0</v>
      </c>
      <c r="G236" t="str">
        <f t="shared" si="19"/>
        <v>Win</v>
      </c>
      <c r="H236">
        <v>1</v>
      </c>
      <c r="I236">
        <v>2</v>
      </c>
      <c r="K236" t="str">
        <f>A236&amp;"_"&amp;D236</f>
        <v>20_A</v>
      </c>
    </row>
    <row r="237" spans="1:11" x14ac:dyDescent="0.35">
      <c r="A237">
        <v>20</v>
      </c>
      <c r="B237" s="6">
        <v>46093</v>
      </c>
      <c r="C237" t="s">
        <v>89</v>
      </c>
      <c r="D237" t="s">
        <v>17</v>
      </c>
      <c r="E237">
        <f>IF(D237="A", INDEX(Matches!$E:$E, MATCH(A237, Matches!$A:$A, 0)), INDEX(Matches!$F:$F, MATCH(A237, Matches!$A:$A, 0)))</f>
        <v>6</v>
      </c>
      <c r="F237">
        <f>IF(D237="A", INDEX(Matches!$F:$F, MATCH(A237, Matches!$A:$A, 0)), INDEX(Matches!$E:$E, MATCH(A237, Matches!$A:$A, 0)))</f>
        <v>0</v>
      </c>
      <c r="G237" t="str">
        <f t="shared" si="19"/>
        <v>Win</v>
      </c>
      <c r="H237">
        <v>1</v>
      </c>
      <c r="K237" t="str">
        <f>A237&amp;"_"&amp;D237</f>
        <v>20_A</v>
      </c>
    </row>
    <row r="238" spans="1:11" x14ac:dyDescent="0.35">
      <c r="A238">
        <v>20</v>
      </c>
      <c r="B238" s="6">
        <v>46093</v>
      </c>
      <c r="C238" t="s">
        <v>41</v>
      </c>
      <c r="D238" t="s">
        <v>23</v>
      </c>
      <c r="E238">
        <f>IF(D238="A", INDEX(Matches!$E:$E, MATCH(A238, Matches!$A:$A, 0)), INDEX(Matches!$F:$F, MATCH(A238, Matches!$A:$A, 0)))</f>
        <v>0</v>
      </c>
      <c r="F238">
        <f>IF(D238="A", INDEX(Matches!$F:$F, MATCH(A238, Matches!$A:$A, 0)), INDEX(Matches!$E:$E, MATCH(A238, Matches!$A:$A, 0)))</f>
        <v>6</v>
      </c>
      <c r="G238" t="str">
        <f t="shared" si="19"/>
        <v>Loss</v>
      </c>
      <c r="K238" t="str">
        <f t="shared" si="15"/>
        <v>20_B</v>
      </c>
    </row>
    <row r="239" spans="1:11" x14ac:dyDescent="0.35">
      <c r="A239">
        <v>20</v>
      </c>
      <c r="B239" s="6">
        <v>46093</v>
      </c>
      <c r="C239" t="s">
        <v>46</v>
      </c>
      <c r="D239" t="s">
        <v>23</v>
      </c>
      <c r="E239">
        <f>IF(D239="A", INDEX(Matches!$E:$E, MATCH(A239, Matches!$A:$A, 0)), INDEX(Matches!$F:$F, MATCH(A239, Matches!$A:$A, 0)))</f>
        <v>0</v>
      </c>
      <c r="F239">
        <f>IF(D239="A", INDEX(Matches!$F:$F, MATCH(A239, Matches!$A:$A, 0)), INDEX(Matches!$E:$E, MATCH(A239, Matches!$A:$A, 0)))</f>
        <v>6</v>
      </c>
      <c r="G239" t="str">
        <f t="shared" si="19"/>
        <v>Loss</v>
      </c>
      <c r="K239" t="str">
        <f t="shared" si="15"/>
        <v>20_B</v>
      </c>
    </row>
    <row r="240" spans="1:11" x14ac:dyDescent="0.35">
      <c r="A240">
        <v>20</v>
      </c>
      <c r="B240" s="6">
        <v>46093</v>
      </c>
      <c r="C240" t="s">
        <v>24</v>
      </c>
      <c r="D240" t="s">
        <v>23</v>
      </c>
      <c r="E240">
        <f>IF(D240="A", INDEX(Matches!$E:$E, MATCH(A240, Matches!$A:$A, 0)), INDEX(Matches!$F:$F, MATCH(A240, Matches!$A:$A, 0)))</f>
        <v>0</v>
      </c>
      <c r="F240">
        <f>IF(D240="A", INDEX(Matches!$F:$F, MATCH(A240, Matches!$A:$A, 0)), INDEX(Matches!$E:$E, MATCH(A240, Matches!$A:$A, 0)))</f>
        <v>6</v>
      </c>
      <c r="G240" t="str">
        <f t="shared" si="19"/>
        <v>Loss</v>
      </c>
      <c r="K240" t="str">
        <f t="shared" si="15"/>
        <v>20_B</v>
      </c>
    </row>
    <row r="241" spans="1:11" x14ac:dyDescent="0.35">
      <c r="A241">
        <v>20</v>
      </c>
      <c r="B241" s="6">
        <v>46093</v>
      </c>
      <c r="C241" t="s">
        <v>77</v>
      </c>
      <c r="D241" t="s">
        <v>23</v>
      </c>
      <c r="E241">
        <f>IF(D241="A", INDEX(Matches!$E:$E, MATCH(A241, Matches!$A:$A, 0)), INDEX(Matches!$F:$F, MATCH(A241, Matches!$A:$A, 0)))</f>
        <v>0</v>
      </c>
      <c r="F241">
        <f>IF(D241="A", INDEX(Matches!$F:$F, MATCH(A241, Matches!$A:$A, 0)), INDEX(Matches!$E:$E, MATCH(A241, Matches!$A:$A, 0)))</f>
        <v>6</v>
      </c>
      <c r="G241" t="str">
        <f t="shared" si="19"/>
        <v>Loss</v>
      </c>
      <c r="K241" t="str">
        <f t="shared" si="15"/>
        <v>20_B</v>
      </c>
    </row>
    <row r="242" spans="1:11" x14ac:dyDescent="0.35">
      <c r="A242">
        <v>20</v>
      </c>
      <c r="B242" s="6">
        <v>46093</v>
      </c>
      <c r="C242" t="s">
        <v>87</v>
      </c>
      <c r="D242" t="s">
        <v>23</v>
      </c>
      <c r="E242">
        <f>IF(D242="A", INDEX(Matches!$E:$E, MATCH(A242, Matches!$A:$A, 0)), INDEX(Matches!$F:$F, MATCH(A242, Matches!$A:$A, 0)))</f>
        <v>0</v>
      </c>
      <c r="F242">
        <f>IF(D242="A", INDEX(Matches!$F:$F, MATCH(A242, Matches!$A:$A, 0)), INDEX(Matches!$E:$E, MATCH(A242, Matches!$A:$A, 0)))</f>
        <v>6</v>
      </c>
      <c r="G242" t="str">
        <f t="shared" si="19"/>
        <v>Loss</v>
      </c>
      <c r="K242" t="str">
        <f t="shared" si="15"/>
        <v>20_B</v>
      </c>
    </row>
    <row r="243" spans="1:11" x14ac:dyDescent="0.35">
      <c r="A243">
        <v>21</v>
      </c>
      <c r="B243" s="6">
        <v>46100</v>
      </c>
      <c r="C243" t="s">
        <v>20</v>
      </c>
      <c r="D243" t="s">
        <v>17</v>
      </c>
      <c r="E243">
        <f>IF(D243="A", INDEX(Matches!$E:$E, MATCH(A243, Matches!$A:$A, 0)), INDEX(Matches!$F:$F, MATCH(A243, Matches!$A:$A, 0)))</f>
        <v>8</v>
      </c>
      <c r="F243">
        <f>IF(D243="A", INDEX(Matches!$F:$F, MATCH(A243, Matches!$A:$A, 0)), INDEX(Matches!$E:$E, MATCH(A243, Matches!$A:$A, 0)))</f>
        <v>6</v>
      </c>
      <c r="G243" t="str">
        <f t="shared" ref="G243:G262" si="20">IF(E243&gt;F243,"Win",IF(E243&lt;F243,"Loss","Draw"))</f>
        <v>Win</v>
      </c>
      <c r="H243">
        <v>1</v>
      </c>
      <c r="K243" t="str">
        <f t="shared" si="15"/>
        <v>21_A</v>
      </c>
    </row>
    <row r="244" spans="1:11" x14ac:dyDescent="0.35">
      <c r="A244">
        <v>21</v>
      </c>
      <c r="B244" s="6">
        <v>46100</v>
      </c>
      <c r="C244" t="s">
        <v>86</v>
      </c>
      <c r="D244" t="s">
        <v>17</v>
      </c>
      <c r="E244">
        <f>IF(D244="A", INDEX(Matches!$E:$E, MATCH(A244, Matches!$A:$A, 0)), INDEX(Matches!$F:$F, MATCH(A244, Matches!$A:$A, 0)))</f>
        <v>8</v>
      </c>
      <c r="F244">
        <f>IF(D244="A", INDEX(Matches!$F:$F, MATCH(A244, Matches!$A:$A, 0)), INDEX(Matches!$E:$E, MATCH(A244, Matches!$A:$A, 0)))</f>
        <v>6</v>
      </c>
      <c r="G244" t="str">
        <f t="shared" si="20"/>
        <v>Win</v>
      </c>
      <c r="H244">
        <v>1</v>
      </c>
      <c r="K244" t="str">
        <f t="shared" si="15"/>
        <v>21_A</v>
      </c>
    </row>
    <row r="245" spans="1:11" x14ac:dyDescent="0.35">
      <c r="A245">
        <v>21</v>
      </c>
      <c r="B245" s="6">
        <v>46100</v>
      </c>
      <c r="C245" t="s">
        <v>51</v>
      </c>
      <c r="D245" t="s">
        <v>17</v>
      </c>
      <c r="E245">
        <f>IF(D245="A", INDEX(Matches!$E:$E, MATCH(A245, Matches!$A:$A, 0)), INDEX(Matches!$F:$F, MATCH(A245, Matches!$A:$A, 0)))</f>
        <v>8</v>
      </c>
      <c r="F245">
        <f>IF(D245="A", INDEX(Matches!$F:$F, MATCH(A245, Matches!$A:$A, 0)), INDEX(Matches!$E:$E, MATCH(A245, Matches!$A:$A, 0)))</f>
        <v>6</v>
      </c>
      <c r="G245" t="str">
        <f t="shared" si="20"/>
        <v>Win</v>
      </c>
      <c r="H245">
        <v>1</v>
      </c>
      <c r="I245">
        <v>2</v>
      </c>
      <c r="K245" t="str">
        <f t="shared" si="15"/>
        <v>21_A</v>
      </c>
    </row>
    <row r="246" spans="1:11" x14ac:dyDescent="0.35">
      <c r="A246">
        <v>21</v>
      </c>
      <c r="B246" s="6">
        <v>46100</v>
      </c>
      <c r="C246" t="s">
        <v>22</v>
      </c>
      <c r="D246" t="s">
        <v>17</v>
      </c>
      <c r="E246">
        <f>IF(D246="A", INDEX(Matches!$E:$E, MATCH(A246, Matches!$A:$A, 0)), INDEX(Matches!$F:$F, MATCH(A246, Matches!$A:$A, 0)))</f>
        <v>8</v>
      </c>
      <c r="F246">
        <f>IF(D246="A", INDEX(Matches!$F:$F, MATCH(A246, Matches!$A:$A, 0)), INDEX(Matches!$E:$E, MATCH(A246, Matches!$A:$A, 0)))</f>
        <v>6</v>
      </c>
      <c r="G246" t="str">
        <f t="shared" si="20"/>
        <v>Win</v>
      </c>
      <c r="H246">
        <v>3</v>
      </c>
      <c r="I246">
        <v>3</v>
      </c>
      <c r="K246" t="str">
        <f t="shared" si="15"/>
        <v>21_A</v>
      </c>
    </row>
    <row r="247" spans="1:11" x14ac:dyDescent="0.35">
      <c r="A247">
        <v>21</v>
      </c>
      <c r="B247" s="6">
        <v>46100</v>
      </c>
      <c r="C247" t="s">
        <v>95</v>
      </c>
      <c r="D247" t="s">
        <v>17</v>
      </c>
      <c r="E247">
        <f>IF(D247="A", INDEX(Matches!$E:$E, MATCH(A247, Matches!$A:$A, 0)), INDEX(Matches!$F:$F, MATCH(A247, Matches!$A:$A, 0)))</f>
        <v>8</v>
      </c>
      <c r="F247">
        <f>IF(D247="A", INDEX(Matches!$F:$F, MATCH(A247, Matches!$A:$A, 0)), INDEX(Matches!$E:$E, MATCH(A247, Matches!$A:$A, 0)))</f>
        <v>6</v>
      </c>
      <c r="G247" t="str">
        <f t="shared" si="20"/>
        <v>Win</v>
      </c>
      <c r="H247">
        <v>2</v>
      </c>
      <c r="K247" t="str">
        <f t="shared" si="15"/>
        <v>21_A</v>
      </c>
    </row>
    <row r="248" spans="1:11" x14ac:dyDescent="0.35">
      <c r="A248">
        <v>21</v>
      </c>
      <c r="B248" s="6">
        <v>46100</v>
      </c>
      <c r="C248" t="s">
        <v>53</v>
      </c>
      <c r="D248" t="s">
        <v>23</v>
      </c>
      <c r="E248">
        <f>IF(D248="A", INDEX(Matches!$E:$E, MATCH(A248, Matches!$A:$A, 0)), INDEX(Matches!$F:$F, MATCH(A248, Matches!$A:$A, 0)))</f>
        <v>6</v>
      </c>
      <c r="F248">
        <f>IF(D248="A", INDEX(Matches!$F:$F, MATCH(A248, Matches!$A:$A, 0)), INDEX(Matches!$E:$E, MATCH(A248, Matches!$A:$A, 0)))</f>
        <v>8</v>
      </c>
      <c r="G248" t="str">
        <f t="shared" si="20"/>
        <v>Loss</v>
      </c>
      <c r="H248">
        <v>1</v>
      </c>
      <c r="I248">
        <v>1</v>
      </c>
      <c r="K248" t="str">
        <f t="shared" si="15"/>
        <v>21_B</v>
      </c>
    </row>
    <row r="249" spans="1:11" x14ac:dyDescent="0.35">
      <c r="A249">
        <v>21</v>
      </c>
      <c r="B249" s="6">
        <v>46100</v>
      </c>
      <c r="C249" t="s">
        <v>16</v>
      </c>
      <c r="D249" t="s">
        <v>23</v>
      </c>
      <c r="E249">
        <f>IF(D249="A", INDEX(Matches!$E:$E, MATCH(A249, Matches!$A:$A, 0)), INDEX(Matches!$F:$F, MATCH(A249, Matches!$A:$A, 0)))</f>
        <v>6</v>
      </c>
      <c r="F249">
        <f>IF(D249="A", INDEX(Matches!$F:$F, MATCH(A249, Matches!$A:$A, 0)), INDEX(Matches!$E:$E, MATCH(A249, Matches!$A:$A, 0)))</f>
        <v>8</v>
      </c>
      <c r="G249" t="str">
        <f t="shared" si="20"/>
        <v>Loss</v>
      </c>
      <c r="I249">
        <v>2</v>
      </c>
      <c r="K249" t="str">
        <f t="shared" si="15"/>
        <v>21_B</v>
      </c>
    </row>
    <row r="250" spans="1:11" x14ac:dyDescent="0.35">
      <c r="A250">
        <v>21</v>
      </c>
      <c r="B250" s="6">
        <v>46100</v>
      </c>
      <c r="C250" t="s">
        <v>44</v>
      </c>
      <c r="D250" t="s">
        <v>23</v>
      </c>
      <c r="E250">
        <f>IF(D250="A", INDEX(Matches!$E:$E, MATCH(A250, Matches!$A:$A, 0)), INDEX(Matches!$F:$F, MATCH(A250, Matches!$A:$A, 0)))</f>
        <v>6</v>
      </c>
      <c r="F250">
        <f>IF(D250="A", INDEX(Matches!$F:$F, MATCH(A250, Matches!$A:$A, 0)), INDEX(Matches!$E:$E, MATCH(A250, Matches!$A:$A, 0)))</f>
        <v>8</v>
      </c>
      <c r="G250" t="str">
        <f t="shared" si="20"/>
        <v>Loss</v>
      </c>
      <c r="H250">
        <v>3</v>
      </c>
      <c r="I250">
        <v>2</v>
      </c>
      <c r="K250" t="str">
        <f t="shared" si="15"/>
        <v>21_B</v>
      </c>
    </row>
    <row r="251" spans="1:11" x14ac:dyDescent="0.35">
      <c r="A251">
        <v>21</v>
      </c>
      <c r="B251" s="6">
        <v>46100</v>
      </c>
      <c r="C251" t="s">
        <v>48</v>
      </c>
      <c r="D251" t="s">
        <v>23</v>
      </c>
      <c r="E251">
        <f>IF(D251="A", INDEX(Matches!$E:$E, MATCH(A251, Matches!$A:$A, 0)), INDEX(Matches!$F:$F, MATCH(A251, Matches!$A:$A, 0)))</f>
        <v>6</v>
      </c>
      <c r="F251">
        <f>IF(D251="A", INDEX(Matches!$F:$F, MATCH(A251, Matches!$A:$A, 0)), INDEX(Matches!$E:$E, MATCH(A251, Matches!$A:$A, 0)))</f>
        <v>8</v>
      </c>
      <c r="G251" t="str">
        <f t="shared" si="20"/>
        <v>Loss</v>
      </c>
      <c r="K251" t="str">
        <f t="shared" si="15"/>
        <v>21_B</v>
      </c>
    </row>
    <row r="252" spans="1:11" x14ac:dyDescent="0.35">
      <c r="A252">
        <v>21</v>
      </c>
      <c r="B252" s="6">
        <v>46100</v>
      </c>
      <c r="C252" t="s">
        <v>43</v>
      </c>
      <c r="D252" t="s">
        <v>23</v>
      </c>
      <c r="E252">
        <f>IF(D252="A", INDEX(Matches!$E:$E, MATCH(A252, Matches!$A:$A, 0)), INDEX(Matches!$F:$F, MATCH(A252, Matches!$A:$A, 0)))</f>
        <v>6</v>
      </c>
      <c r="F252">
        <f>IF(D252="A", INDEX(Matches!$F:$F, MATCH(A252, Matches!$A:$A, 0)), INDEX(Matches!$E:$E, MATCH(A252, Matches!$A:$A, 0)))</f>
        <v>8</v>
      </c>
      <c r="G252" t="str">
        <f t="shared" si="20"/>
        <v>Loss</v>
      </c>
      <c r="H252">
        <v>2</v>
      </c>
      <c r="I252">
        <v>1</v>
      </c>
      <c r="K252" t="str">
        <f t="shared" si="15"/>
        <v>21_B</v>
      </c>
    </row>
    <row r="253" spans="1:11" x14ac:dyDescent="0.35">
      <c r="A253">
        <v>22</v>
      </c>
      <c r="B253" s="6">
        <v>46100</v>
      </c>
      <c r="C253" t="s">
        <v>24</v>
      </c>
      <c r="D253" t="s">
        <v>17</v>
      </c>
      <c r="E253">
        <f>IF(D253="A", INDEX(Matches!$E:$E, MATCH(A253, Matches!$A:$A, 0)), INDEX(Matches!$F:$F, MATCH(A253, Matches!$A:$A, 0)))</f>
        <v>6</v>
      </c>
      <c r="F253">
        <f>IF(D253="A", INDEX(Matches!$F:$F, MATCH(A253, Matches!$A:$A, 0)), INDEX(Matches!$E:$E, MATCH(A253, Matches!$A:$A, 0)))</f>
        <v>6</v>
      </c>
      <c r="G253" t="str">
        <f t="shared" si="20"/>
        <v>Draw</v>
      </c>
      <c r="K253" t="str">
        <f t="shared" si="15"/>
        <v>22_A</v>
      </c>
    </row>
    <row r="254" spans="1:11" x14ac:dyDescent="0.35">
      <c r="A254">
        <v>22</v>
      </c>
      <c r="B254" s="6">
        <v>46100</v>
      </c>
      <c r="C254" t="s">
        <v>42</v>
      </c>
      <c r="D254" t="s">
        <v>17</v>
      </c>
      <c r="E254">
        <f>IF(D254="A", INDEX(Matches!$E:$E, MATCH(A254, Matches!$A:$A, 0)), INDEX(Matches!$F:$F, MATCH(A254, Matches!$A:$A, 0)))</f>
        <v>6</v>
      </c>
      <c r="F254">
        <f>IF(D254="A", INDEX(Matches!$F:$F, MATCH(A254, Matches!$A:$A, 0)), INDEX(Matches!$E:$E, MATCH(A254, Matches!$A:$A, 0)))</f>
        <v>6</v>
      </c>
      <c r="G254" t="str">
        <f t="shared" si="20"/>
        <v>Draw</v>
      </c>
      <c r="H254">
        <v>2</v>
      </c>
      <c r="I254">
        <v>1</v>
      </c>
      <c r="K254" t="str">
        <f t="shared" si="15"/>
        <v>22_A</v>
      </c>
    </row>
    <row r="255" spans="1:11" x14ac:dyDescent="0.35">
      <c r="A255">
        <v>22</v>
      </c>
      <c r="B255" s="6">
        <v>46100</v>
      </c>
      <c r="C255" t="s">
        <v>25</v>
      </c>
      <c r="D255" t="s">
        <v>17</v>
      </c>
      <c r="E255">
        <f>IF(D255="A", INDEX(Matches!$E:$E, MATCH(A255, Matches!$A:$A, 0)), INDEX(Matches!$F:$F, MATCH(A255, Matches!$A:$A, 0)))</f>
        <v>6</v>
      </c>
      <c r="F255">
        <f>IF(D255="A", INDEX(Matches!$F:$F, MATCH(A255, Matches!$A:$A, 0)), INDEX(Matches!$E:$E, MATCH(A255, Matches!$A:$A, 0)))</f>
        <v>6</v>
      </c>
      <c r="G255" t="str">
        <f t="shared" si="20"/>
        <v>Draw</v>
      </c>
      <c r="H255">
        <v>1</v>
      </c>
      <c r="I255">
        <v>1</v>
      </c>
      <c r="K255" t="str">
        <f t="shared" si="15"/>
        <v>22_A</v>
      </c>
    </row>
    <row r="256" spans="1:11" x14ac:dyDescent="0.35">
      <c r="A256">
        <v>22</v>
      </c>
      <c r="B256" s="6">
        <v>46100</v>
      </c>
      <c r="C256" t="s">
        <v>88</v>
      </c>
      <c r="D256" t="s">
        <v>17</v>
      </c>
      <c r="E256">
        <f>IF(D256="A", INDEX(Matches!$E:$E, MATCH(A256, Matches!$A:$A, 0)), INDEX(Matches!$F:$F, MATCH(A256, Matches!$A:$A, 0)))</f>
        <v>6</v>
      </c>
      <c r="F256">
        <f>IF(D256="A", INDEX(Matches!$F:$F, MATCH(A256, Matches!$A:$A, 0)), INDEX(Matches!$E:$E, MATCH(A256, Matches!$A:$A, 0)))</f>
        <v>6</v>
      </c>
      <c r="G256" t="str">
        <f t="shared" si="20"/>
        <v>Draw</v>
      </c>
      <c r="H256">
        <v>2</v>
      </c>
      <c r="K256" t="str">
        <f t="shared" si="15"/>
        <v>22_A</v>
      </c>
    </row>
    <row r="257" spans="1:11" x14ac:dyDescent="0.35">
      <c r="A257">
        <v>22</v>
      </c>
      <c r="B257" s="6">
        <v>46100</v>
      </c>
      <c r="C257" t="s">
        <v>46</v>
      </c>
      <c r="D257" t="s">
        <v>17</v>
      </c>
      <c r="E257">
        <f>IF(D257="A", INDEX(Matches!$E:$E, MATCH(A257, Matches!$A:$A, 0)), INDEX(Matches!$F:$F, MATCH(A257, Matches!$A:$A, 0)))</f>
        <v>6</v>
      </c>
      <c r="F257">
        <f>IF(D257="A", INDEX(Matches!$F:$F, MATCH(A257, Matches!$A:$A, 0)), INDEX(Matches!$E:$E, MATCH(A257, Matches!$A:$A, 0)))</f>
        <v>6</v>
      </c>
      <c r="G257" t="str">
        <f t="shared" si="20"/>
        <v>Draw</v>
      </c>
      <c r="H257">
        <v>1</v>
      </c>
      <c r="I257">
        <v>1</v>
      </c>
      <c r="K257" t="str">
        <f t="shared" si="15"/>
        <v>22_A</v>
      </c>
    </row>
    <row r="258" spans="1:11" x14ac:dyDescent="0.35">
      <c r="A258">
        <v>22</v>
      </c>
      <c r="B258" s="6">
        <v>46100</v>
      </c>
      <c r="C258" t="s">
        <v>41</v>
      </c>
      <c r="D258" t="s">
        <v>23</v>
      </c>
      <c r="E258">
        <f>IF(D258="A", INDEX(Matches!$E:$E, MATCH(A258, Matches!$A:$A, 0)), INDEX(Matches!$F:$F, MATCH(A258, Matches!$A:$A, 0)))</f>
        <v>6</v>
      </c>
      <c r="F258">
        <f>IF(D258="A", INDEX(Matches!$F:$F, MATCH(A258, Matches!$A:$A, 0)), INDEX(Matches!$E:$E, MATCH(A258, Matches!$A:$A, 0)))</f>
        <v>6</v>
      </c>
      <c r="G258" t="str">
        <f t="shared" si="20"/>
        <v>Draw</v>
      </c>
      <c r="H258">
        <v>1</v>
      </c>
      <c r="K258" t="str">
        <f t="shared" si="15"/>
        <v>22_B</v>
      </c>
    </row>
    <row r="259" spans="1:11" x14ac:dyDescent="0.35">
      <c r="A259">
        <v>22</v>
      </c>
      <c r="B259" s="6">
        <v>46100</v>
      </c>
      <c r="C259" t="s">
        <v>66</v>
      </c>
      <c r="D259" t="s">
        <v>23</v>
      </c>
      <c r="E259">
        <f>IF(D259="A", INDEX(Matches!$E:$E, MATCH(A259, Matches!$A:$A, 0)), INDEX(Matches!$F:$F, MATCH(A259, Matches!$A:$A, 0)))</f>
        <v>6</v>
      </c>
      <c r="F259">
        <f>IF(D259="A", INDEX(Matches!$F:$F, MATCH(A259, Matches!$A:$A, 0)), INDEX(Matches!$E:$E, MATCH(A259, Matches!$A:$A, 0)))</f>
        <v>6</v>
      </c>
      <c r="G259" t="str">
        <f t="shared" si="20"/>
        <v>Draw</v>
      </c>
      <c r="H259">
        <v>3</v>
      </c>
      <c r="I259">
        <v>2</v>
      </c>
      <c r="K259" t="str">
        <f t="shared" ref="K259:K329" si="21">A259&amp;"_"&amp;D259</f>
        <v>22_B</v>
      </c>
    </row>
    <row r="260" spans="1:11" x14ac:dyDescent="0.35">
      <c r="A260">
        <v>22</v>
      </c>
      <c r="B260" s="6">
        <v>46100</v>
      </c>
      <c r="C260" t="s">
        <v>89</v>
      </c>
      <c r="D260" t="s">
        <v>23</v>
      </c>
      <c r="E260">
        <f>IF(D260="A", INDEX(Matches!$E:$E, MATCH(A260, Matches!$A:$A, 0)), INDEX(Matches!$F:$F, MATCH(A260, Matches!$A:$A, 0)))</f>
        <v>6</v>
      </c>
      <c r="F260">
        <f>IF(D260="A", INDEX(Matches!$F:$F, MATCH(A260, Matches!$A:$A, 0)), INDEX(Matches!$E:$E, MATCH(A260, Matches!$A:$A, 0)))</f>
        <v>6</v>
      </c>
      <c r="G260" t="str">
        <f t="shared" si="20"/>
        <v>Draw</v>
      </c>
      <c r="H260">
        <v>1</v>
      </c>
      <c r="K260" t="str">
        <f t="shared" si="21"/>
        <v>22_B</v>
      </c>
    </row>
    <row r="261" spans="1:11" x14ac:dyDescent="0.35">
      <c r="A261">
        <v>22</v>
      </c>
      <c r="B261" s="6">
        <v>46100</v>
      </c>
      <c r="C261" t="s">
        <v>18</v>
      </c>
      <c r="D261" t="s">
        <v>23</v>
      </c>
      <c r="E261">
        <f>IF(D261="A", INDEX(Matches!$E:$E, MATCH(A261, Matches!$A:$A, 0)), INDEX(Matches!$F:$F, MATCH(A261, Matches!$A:$A, 0)))</f>
        <v>6</v>
      </c>
      <c r="F261">
        <f>IF(D261="A", INDEX(Matches!$F:$F, MATCH(A261, Matches!$A:$A, 0)), INDEX(Matches!$E:$E, MATCH(A261, Matches!$A:$A, 0)))</f>
        <v>6</v>
      </c>
      <c r="G261" t="str">
        <f t="shared" si="20"/>
        <v>Draw</v>
      </c>
      <c r="H261">
        <v>1</v>
      </c>
      <c r="I261">
        <v>1</v>
      </c>
      <c r="K261" t="str">
        <f t="shared" si="21"/>
        <v>22_B</v>
      </c>
    </row>
    <row r="262" spans="1:11" x14ac:dyDescent="0.35">
      <c r="A262">
        <v>22</v>
      </c>
      <c r="B262" s="6">
        <v>46100</v>
      </c>
      <c r="C262" t="s">
        <v>40</v>
      </c>
      <c r="D262" t="s">
        <v>23</v>
      </c>
      <c r="E262">
        <f>IF(D262="A", INDEX(Matches!$E:$E, MATCH(A262, Matches!$A:$A, 0)), INDEX(Matches!$F:$F, MATCH(A262, Matches!$A:$A, 0)))</f>
        <v>6</v>
      </c>
      <c r="F262">
        <f>IF(D262="A", INDEX(Matches!$F:$F, MATCH(A262, Matches!$A:$A, 0)), INDEX(Matches!$E:$E, MATCH(A262, Matches!$A:$A, 0)))</f>
        <v>6</v>
      </c>
      <c r="G262" t="str">
        <f t="shared" si="20"/>
        <v>Draw</v>
      </c>
      <c r="K262" t="str">
        <f t="shared" si="21"/>
        <v>22_B</v>
      </c>
    </row>
    <row r="263" spans="1:11" x14ac:dyDescent="0.35">
      <c r="A263">
        <v>23</v>
      </c>
      <c r="B263" s="6">
        <v>46106</v>
      </c>
      <c r="C263" t="s">
        <v>46</v>
      </c>
      <c r="D263" t="s">
        <v>17</v>
      </c>
      <c r="E263">
        <f>IF(D263="A", INDEX(Matches!$E:$E, MATCH(A263, Matches!$A:$A, 0)), INDEX(Matches!$F:$F, MATCH(A263, Matches!$A:$A, 0)))</f>
        <v>14</v>
      </c>
      <c r="F263">
        <f>IF(D263="A", INDEX(Matches!$F:$F, MATCH(A263, Matches!$A:$A, 0)), INDEX(Matches!$E:$E, MATCH(A263, Matches!$A:$A, 0)))</f>
        <v>10</v>
      </c>
      <c r="G263" t="str">
        <f t="shared" ref="G263:G282" si="22">IF(E263&gt;F263,"Win",IF(E263&lt;F263,"Loss","Draw"))</f>
        <v>Win</v>
      </c>
      <c r="H263">
        <v>3</v>
      </c>
      <c r="I263">
        <v>1</v>
      </c>
      <c r="K263" t="str">
        <f t="shared" si="21"/>
        <v>23_A</v>
      </c>
    </row>
    <row r="264" spans="1:11" x14ac:dyDescent="0.35">
      <c r="A264">
        <v>23</v>
      </c>
      <c r="B264" s="6">
        <v>46106</v>
      </c>
      <c r="C264" t="s">
        <v>66</v>
      </c>
      <c r="D264" t="s">
        <v>17</v>
      </c>
      <c r="E264">
        <f>IF(D264="A", INDEX(Matches!$E:$E, MATCH(A264, Matches!$A:$A, 0)), INDEX(Matches!$F:$F, MATCH(A264, Matches!$A:$A, 0)))</f>
        <v>14</v>
      </c>
      <c r="F264">
        <f>IF(D264="A", INDEX(Matches!$F:$F, MATCH(A264, Matches!$A:$A, 0)), INDEX(Matches!$E:$E, MATCH(A264, Matches!$A:$A, 0)))</f>
        <v>10</v>
      </c>
      <c r="G264" t="str">
        <f t="shared" si="22"/>
        <v>Win</v>
      </c>
      <c r="H264">
        <v>4</v>
      </c>
      <c r="I264">
        <v>2</v>
      </c>
      <c r="K264" t="str">
        <f t="shared" si="21"/>
        <v>23_A</v>
      </c>
    </row>
    <row r="265" spans="1:11" x14ac:dyDescent="0.35">
      <c r="A265">
        <v>23</v>
      </c>
      <c r="B265" s="6">
        <v>46106</v>
      </c>
      <c r="C265" t="s">
        <v>98</v>
      </c>
      <c r="D265" t="s">
        <v>17</v>
      </c>
      <c r="E265">
        <f>IF(D265="A", INDEX(Matches!$E:$E, MATCH(A265, Matches!$A:$A, 0)), INDEX(Matches!$F:$F, MATCH(A265, Matches!$A:$A, 0)))</f>
        <v>14</v>
      </c>
      <c r="F265">
        <f>IF(D265="A", INDEX(Matches!$F:$F, MATCH(A265, Matches!$A:$A, 0)), INDEX(Matches!$E:$E, MATCH(A265, Matches!$A:$A, 0)))</f>
        <v>10</v>
      </c>
      <c r="G265" t="str">
        <f t="shared" si="22"/>
        <v>Win</v>
      </c>
      <c r="H265">
        <v>1</v>
      </c>
      <c r="I265">
        <v>1</v>
      </c>
      <c r="K265" t="str">
        <f t="shared" si="21"/>
        <v>23_A</v>
      </c>
    </row>
    <row r="266" spans="1:11" x14ac:dyDescent="0.35">
      <c r="A266">
        <v>23</v>
      </c>
      <c r="B266" s="6">
        <v>46106</v>
      </c>
      <c r="C266" t="s">
        <v>95</v>
      </c>
      <c r="D266" t="s">
        <v>17</v>
      </c>
      <c r="E266">
        <f>IF(D266="A", INDEX(Matches!$E:$E, MATCH(A266, Matches!$A:$A, 0)), INDEX(Matches!$F:$F, MATCH(A266, Matches!$A:$A, 0)))</f>
        <v>14</v>
      </c>
      <c r="F266">
        <f>IF(D266="A", INDEX(Matches!$F:$F, MATCH(A266, Matches!$A:$A, 0)), INDEX(Matches!$E:$E, MATCH(A266, Matches!$A:$A, 0)))</f>
        <v>10</v>
      </c>
      <c r="G266" t="str">
        <f t="shared" si="22"/>
        <v>Win</v>
      </c>
      <c r="H266">
        <v>3</v>
      </c>
      <c r="I266">
        <v>2</v>
      </c>
      <c r="K266" t="str">
        <f t="shared" si="21"/>
        <v>23_A</v>
      </c>
    </row>
    <row r="267" spans="1:11" x14ac:dyDescent="0.35">
      <c r="A267">
        <v>23</v>
      </c>
      <c r="B267" s="6">
        <v>46106</v>
      </c>
      <c r="C267" t="s">
        <v>22</v>
      </c>
      <c r="D267" t="s">
        <v>17</v>
      </c>
      <c r="E267">
        <f>IF(D267="A", INDEX(Matches!$E:$E, MATCH(A267, Matches!$A:$A, 0)), INDEX(Matches!$F:$F, MATCH(A267, Matches!$A:$A, 0)))</f>
        <v>14</v>
      </c>
      <c r="F267">
        <f>IF(D267="A", INDEX(Matches!$F:$F, MATCH(A267, Matches!$A:$A, 0)), INDEX(Matches!$E:$E, MATCH(A267, Matches!$A:$A, 0)))</f>
        <v>10</v>
      </c>
      <c r="G267" t="str">
        <f t="shared" si="22"/>
        <v>Win</v>
      </c>
      <c r="H267">
        <v>3</v>
      </c>
      <c r="I267">
        <v>2</v>
      </c>
      <c r="K267" t="str">
        <f t="shared" si="21"/>
        <v>23_A</v>
      </c>
    </row>
    <row r="268" spans="1:11" x14ac:dyDescent="0.35">
      <c r="A268">
        <v>23</v>
      </c>
      <c r="B268" s="6">
        <v>46106</v>
      </c>
      <c r="C268" t="s">
        <v>16</v>
      </c>
      <c r="D268" t="s">
        <v>23</v>
      </c>
      <c r="E268">
        <f>IF(D268="A", INDEX(Matches!$E:$E, MATCH(A268, Matches!$A:$A, 0)), INDEX(Matches!$F:$F, MATCH(A268, Matches!$A:$A, 0)))</f>
        <v>10</v>
      </c>
      <c r="F268">
        <f>IF(D268="A", INDEX(Matches!$F:$F, MATCH(A268, Matches!$A:$A, 0)), INDEX(Matches!$E:$E, MATCH(A268, Matches!$A:$A, 0)))</f>
        <v>14</v>
      </c>
      <c r="G268" t="str">
        <f t="shared" si="22"/>
        <v>Loss</v>
      </c>
      <c r="H268">
        <v>3</v>
      </c>
      <c r="I268">
        <v>1</v>
      </c>
      <c r="K268" t="str">
        <f t="shared" si="21"/>
        <v>23_B</v>
      </c>
    </row>
    <row r="269" spans="1:11" x14ac:dyDescent="0.35">
      <c r="A269">
        <v>23</v>
      </c>
      <c r="B269" s="6">
        <v>46106</v>
      </c>
      <c r="C269" t="s">
        <v>51</v>
      </c>
      <c r="D269" t="s">
        <v>23</v>
      </c>
      <c r="E269">
        <f>IF(D269="A", INDEX(Matches!$E:$E, MATCH(A269, Matches!$A:$A, 0)), INDEX(Matches!$F:$F, MATCH(A269, Matches!$A:$A, 0)))</f>
        <v>10</v>
      </c>
      <c r="F269">
        <f>IF(D269="A", INDEX(Matches!$F:$F, MATCH(A269, Matches!$A:$A, 0)), INDEX(Matches!$E:$E, MATCH(A269, Matches!$A:$A, 0)))</f>
        <v>14</v>
      </c>
      <c r="G269" t="str">
        <f t="shared" si="22"/>
        <v>Loss</v>
      </c>
      <c r="I269">
        <v>2</v>
      </c>
      <c r="K269" t="str">
        <f t="shared" si="21"/>
        <v>23_B</v>
      </c>
    </row>
    <row r="270" spans="1:11" x14ac:dyDescent="0.35">
      <c r="A270">
        <v>23</v>
      </c>
      <c r="B270" s="6">
        <v>46106</v>
      </c>
      <c r="C270" t="s">
        <v>48</v>
      </c>
      <c r="D270" t="s">
        <v>23</v>
      </c>
      <c r="E270">
        <f>IF(D270="A", INDEX(Matches!$E:$E, MATCH(A270, Matches!$A:$A, 0)), INDEX(Matches!$F:$F, MATCH(A270, Matches!$A:$A, 0)))</f>
        <v>10</v>
      </c>
      <c r="F270">
        <f>IF(D270="A", INDEX(Matches!$F:$F, MATCH(A270, Matches!$A:$A, 0)), INDEX(Matches!$E:$E, MATCH(A270, Matches!$A:$A, 0)))</f>
        <v>14</v>
      </c>
      <c r="G270" t="str">
        <f t="shared" si="22"/>
        <v>Loss</v>
      </c>
      <c r="I270">
        <v>1</v>
      </c>
      <c r="K270" t="str">
        <f t="shared" si="21"/>
        <v>23_B</v>
      </c>
    </row>
    <row r="271" spans="1:11" x14ac:dyDescent="0.35">
      <c r="A271">
        <v>23</v>
      </c>
      <c r="B271" s="6">
        <v>46106</v>
      </c>
      <c r="C271" t="s">
        <v>89</v>
      </c>
      <c r="D271" t="s">
        <v>23</v>
      </c>
      <c r="E271">
        <f>IF(D271="A", INDEX(Matches!$E:$E, MATCH(A271, Matches!$A:$A, 0)), INDEX(Matches!$F:$F, MATCH(A271, Matches!$A:$A, 0)))</f>
        <v>10</v>
      </c>
      <c r="F271">
        <f>IF(D271="A", INDEX(Matches!$F:$F, MATCH(A271, Matches!$A:$A, 0)), INDEX(Matches!$E:$E, MATCH(A271, Matches!$A:$A, 0)))</f>
        <v>14</v>
      </c>
      <c r="G271" t="str">
        <f t="shared" si="22"/>
        <v>Loss</v>
      </c>
      <c r="K271" t="str">
        <f t="shared" si="21"/>
        <v>23_B</v>
      </c>
    </row>
    <row r="272" spans="1:11" x14ac:dyDescent="0.35">
      <c r="A272">
        <v>23</v>
      </c>
      <c r="B272" s="6">
        <v>46106</v>
      </c>
      <c r="C272" t="s">
        <v>25</v>
      </c>
      <c r="D272" t="s">
        <v>23</v>
      </c>
      <c r="E272">
        <f>IF(D272="A", INDEX(Matches!$E:$E, MATCH(A272, Matches!$A:$A, 0)), INDEX(Matches!$F:$F, MATCH(A272, Matches!$A:$A, 0)))</f>
        <v>10</v>
      </c>
      <c r="F272">
        <f>IF(D272="A", INDEX(Matches!$F:$F, MATCH(A272, Matches!$A:$A, 0)), INDEX(Matches!$E:$E, MATCH(A272, Matches!$A:$A, 0)))</f>
        <v>14</v>
      </c>
      <c r="G272" t="str">
        <f t="shared" si="22"/>
        <v>Loss</v>
      </c>
      <c r="H272">
        <v>2</v>
      </c>
      <c r="K272" t="str">
        <f t="shared" si="21"/>
        <v>23_B</v>
      </c>
    </row>
    <row r="273" spans="1:11" x14ac:dyDescent="0.35">
      <c r="A273">
        <v>24</v>
      </c>
      <c r="B273" s="6">
        <v>46106</v>
      </c>
      <c r="C273" t="s">
        <v>53</v>
      </c>
      <c r="D273" t="s">
        <v>17</v>
      </c>
      <c r="E273">
        <f>IF(D273="A", INDEX(Matches!$E:$E, MATCH(A273, Matches!$A:$A, 0)), INDEX(Matches!$F:$F, MATCH(A273, Matches!$A:$A, 0)))</f>
        <v>8</v>
      </c>
      <c r="F273">
        <f>IF(D273="A", INDEX(Matches!$F:$F, MATCH(A273, Matches!$A:$A, 0)), INDEX(Matches!$E:$E, MATCH(A273, Matches!$A:$A, 0)))</f>
        <v>8</v>
      </c>
      <c r="G273" t="str">
        <f t="shared" si="22"/>
        <v>Draw</v>
      </c>
      <c r="H273">
        <v>3</v>
      </c>
      <c r="I273">
        <v>1</v>
      </c>
      <c r="K273" t="str">
        <f t="shared" si="21"/>
        <v>24_A</v>
      </c>
    </row>
    <row r="274" spans="1:11" x14ac:dyDescent="0.35">
      <c r="A274">
        <v>24</v>
      </c>
      <c r="B274" s="6">
        <v>46106</v>
      </c>
      <c r="C274" t="s">
        <v>24</v>
      </c>
      <c r="D274" t="s">
        <v>17</v>
      </c>
      <c r="E274">
        <f>IF(D274="A", INDEX(Matches!$E:$E, MATCH(A274, Matches!$A:$A, 0)), INDEX(Matches!$F:$F, MATCH(A274, Matches!$A:$A, 0)))</f>
        <v>8</v>
      </c>
      <c r="F274">
        <f>IF(D274="A", INDEX(Matches!$F:$F, MATCH(A274, Matches!$A:$A, 0)), INDEX(Matches!$E:$E, MATCH(A274, Matches!$A:$A, 0)))</f>
        <v>8</v>
      </c>
      <c r="G274" t="str">
        <f t="shared" si="22"/>
        <v>Draw</v>
      </c>
      <c r="H274">
        <v>1</v>
      </c>
      <c r="I274">
        <v>2</v>
      </c>
      <c r="K274" t="str">
        <f t="shared" si="21"/>
        <v>24_A</v>
      </c>
    </row>
    <row r="275" spans="1:11" x14ac:dyDescent="0.35">
      <c r="A275">
        <v>24</v>
      </c>
      <c r="B275" s="6">
        <v>46106</v>
      </c>
      <c r="C275" t="s">
        <v>41</v>
      </c>
      <c r="D275" t="s">
        <v>17</v>
      </c>
      <c r="E275">
        <f>IF(D275="A", INDEX(Matches!$E:$E, MATCH(A275, Matches!$A:$A, 0)), INDEX(Matches!$F:$F, MATCH(A275, Matches!$A:$A, 0)))</f>
        <v>8</v>
      </c>
      <c r="F275">
        <f>IF(D275="A", INDEX(Matches!$F:$F, MATCH(A275, Matches!$A:$A, 0)), INDEX(Matches!$E:$E, MATCH(A275, Matches!$A:$A, 0)))</f>
        <v>8</v>
      </c>
      <c r="G275" t="str">
        <f t="shared" si="22"/>
        <v>Draw</v>
      </c>
      <c r="H275">
        <v>1</v>
      </c>
      <c r="I275">
        <v>3</v>
      </c>
      <c r="K275" t="str">
        <f t="shared" si="21"/>
        <v>24_A</v>
      </c>
    </row>
    <row r="276" spans="1:11" x14ac:dyDescent="0.35">
      <c r="A276">
        <v>24</v>
      </c>
      <c r="B276" s="6">
        <v>46106</v>
      </c>
      <c r="C276" t="s">
        <v>40</v>
      </c>
      <c r="D276" t="s">
        <v>17</v>
      </c>
      <c r="E276">
        <f>IF(D276="A", INDEX(Matches!$E:$E, MATCH(A276, Matches!$A:$A, 0)), INDEX(Matches!$F:$F, MATCH(A276, Matches!$A:$A, 0)))</f>
        <v>8</v>
      </c>
      <c r="F276">
        <f>IF(D276="A", INDEX(Matches!$F:$F, MATCH(A276, Matches!$A:$A, 0)), INDEX(Matches!$E:$E, MATCH(A276, Matches!$A:$A, 0)))</f>
        <v>8</v>
      </c>
      <c r="G276" t="str">
        <f t="shared" si="22"/>
        <v>Draw</v>
      </c>
      <c r="K276" t="str">
        <f t="shared" si="21"/>
        <v>24_A</v>
      </c>
    </row>
    <row r="277" spans="1:11" x14ac:dyDescent="0.35">
      <c r="A277">
        <v>24</v>
      </c>
      <c r="B277" s="6">
        <v>46106</v>
      </c>
      <c r="C277" t="s">
        <v>19</v>
      </c>
      <c r="D277" t="s">
        <v>17</v>
      </c>
      <c r="E277">
        <f>IF(D277="A", INDEX(Matches!$E:$E, MATCH(A277, Matches!$A:$A, 0)), INDEX(Matches!$F:$F, MATCH(A277, Matches!$A:$A, 0)))</f>
        <v>8</v>
      </c>
      <c r="F277">
        <f>IF(D277="A", INDEX(Matches!$F:$F, MATCH(A277, Matches!$A:$A, 0)), INDEX(Matches!$E:$E, MATCH(A277, Matches!$A:$A, 0)))</f>
        <v>8</v>
      </c>
      <c r="G277" t="str">
        <f t="shared" si="22"/>
        <v>Draw</v>
      </c>
      <c r="H277">
        <v>3</v>
      </c>
      <c r="I277">
        <v>1</v>
      </c>
      <c r="K277" t="str">
        <f t="shared" si="21"/>
        <v>24_A</v>
      </c>
    </row>
    <row r="278" spans="1:11" x14ac:dyDescent="0.35">
      <c r="A278">
        <v>24</v>
      </c>
      <c r="B278" s="6">
        <v>46106</v>
      </c>
      <c r="C278" t="s">
        <v>44</v>
      </c>
      <c r="D278" t="s">
        <v>23</v>
      </c>
      <c r="E278">
        <f>IF(D278="A", INDEX(Matches!$E:$E, MATCH(A278, Matches!$A:$A, 0)), INDEX(Matches!$F:$F, MATCH(A278, Matches!$A:$A, 0)))</f>
        <v>8</v>
      </c>
      <c r="F278">
        <f>IF(D278="A", INDEX(Matches!$F:$F, MATCH(A278, Matches!$A:$A, 0)), INDEX(Matches!$E:$E, MATCH(A278, Matches!$A:$A, 0)))</f>
        <v>8</v>
      </c>
      <c r="G278" t="str">
        <f t="shared" si="22"/>
        <v>Draw</v>
      </c>
      <c r="H278">
        <v>3</v>
      </c>
      <c r="I278">
        <v>1</v>
      </c>
      <c r="K278" t="str">
        <f t="shared" si="21"/>
        <v>24_B</v>
      </c>
    </row>
    <row r="279" spans="1:11" x14ac:dyDescent="0.35">
      <c r="A279">
        <v>24</v>
      </c>
      <c r="B279" s="6">
        <v>46106</v>
      </c>
      <c r="C279" t="s">
        <v>84</v>
      </c>
      <c r="D279" t="s">
        <v>23</v>
      </c>
      <c r="E279">
        <f>IF(D279="A", INDEX(Matches!$E:$E, MATCH(A279, Matches!$A:$A, 0)), INDEX(Matches!$F:$F, MATCH(A279, Matches!$A:$A, 0)))</f>
        <v>8</v>
      </c>
      <c r="F279">
        <f>IF(D279="A", INDEX(Matches!$F:$F, MATCH(A279, Matches!$A:$A, 0)), INDEX(Matches!$E:$E, MATCH(A279, Matches!$A:$A, 0)))</f>
        <v>8</v>
      </c>
      <c r="G279" t="str">
        <f t="shared" si="22"/>
        <v>Draw</v>
      </c>
      <c r="H279">
        <v>2</v>
      </c>
      <c r="I279">
        <v>1</v>
      </c>
      <c r="K279" t="str">
        <f t="shared" si="21"/>
        <v>24_B</v>
      </c>
    </row>
    <row r="280" spans="1:11" x14ac:dyDescent="0.35">
      <c r="A280">
        <v>24</v>
      </c>
      <c r="B280" s="6">
        <v>46106</v>
      </c>
      <c r="C280" t="s">
        <v>20</v>
      </c>
      <c r="D280" t="s">
        <v>23</v>
      </c>
      <c r="E280">
        <f>IF(D280="A", INDEX(Matches!$E:$E, MATCH(A280, Matches!$A:$A, 0)), INDEX(Matches!$F:$F, MATCH(A280, Matches!$A:$A, 0)))</f>
        <v>8</v>
      </c>
      <c r="F280">
        <f>IF(D280="A", INDEX(Matches!$F:$F, MATCH(A280, Matches!$A:$A, 0)), INDEX(Matches!$E:$E, MATCH(A280, Matches!$A:$A, 0)))</f>
        <v>8</v>
      </c>
      <c r="G280" t="str">
        <f t="shared" si="22"/>
        <v>Draw</v>
      </c>
      <c r="I280">
        <v>2</v>
      </c>
      <c r="K280" t="str">
        <f t="shared" si="21"/>
        <v>24_B</v>
      </c>
    </row>
    <row r="281" spans="1:11" x14ac:dyDescent="0.35">
      <c r="A281">
        <v>24</v>
      </c>
      <c r="B281" s="6">
        <v>46106</v>
      </c>
      <c r="C281" t="s">
        <v>18</v>
      </c>
      <c r="D281" t="s">
        <v>23</v>
      </c>
      <c r="E281">
        <f>IF(D281="A", INDEX(Matches!$E:$E, MATCH(A281, Matches!$A:$A, 0)), INDEX(Matches!$F:$F, MATCH(A281, Matches!$A:$A, 0)))</f>
        <v>8</v>
      </c>
      <c r="F281">
        <f>IF(D281="A", INDEX(Matches!$F:$F, MATCH(A281, Matches!$A:$A, 0)), INDEX(Matches!$E:$E, MATCH(A281, Matches!$A:$A, 0)))</f>
        <v>8</v>
      </c>
      <c r="G281" t="str">
        <f t="shared" si="22"/>
        <v>Draw</v>
      </c>
      <c r="H281">
        <v>3</v>
      </c>
      <c r="K281" t="str">
        <f t="shared" si="21"/>
        <v>24_B</v>
      </c>
    </row>
    <row r="282" spans="1:11" x14ac:dyDescent="0.35">
      <c r="A282">
        <v>24</v>
      </c>
      <c r="B282" s="6">
        <v>46106</v>
      </c>
      <c r="C282" t="s">
        <v>21</v>
      </c>
      <c r="D282" t="s">
        <v>23</v>
      </c>
      <c r="E282">
        <f>IF(D282="A", INDEX(Matches!$E:$E, MATCH(A282, Matches!$A:$A, 0)), INDEX(Matches!$F:$F, MATCH(A282, Matches!$A:$A, 0)))</f>
        <v>8</v>
      </c>
      <c r="F282">
        <f>IF(D282="A", INDEX(Matches!$F:$F, MATCH(A282, Matches!$A:$A, 0)), INDEX(Matches!$E:$E, MATCH(A282, Matches!$A:$A, 0)))</f>
        <v>8</v>
      </c>
      <c r="G282" t="str">
        <f t="shared" si="22"/>
        <v>Draw</v>
      </c>
      <c r="I282">
        <v>1</v>
      </c>
      <c r="K282" t="str">
        <f t="shared" si="21"/>
        <v>24_B</v>
      </c>
    </row>
    <row r="283" spans="1:11" x14ac:dyDescent="0.35">
      <c r="A283">
        <v>25</v>
      </c>
      <c r="B283" s="6">
        <v>46114</v>
      </c>
      <c r="C283" t="s">
        <v>66</v>
      </c>
      <c r="D283" t="s">
        <v>17</v>
      </c>
      <c r="E283">
        <f>IF(D283="A", INDEX(Matches!$E:$E, MATCH(A283, Matches!$A:$A, 0)), INDEX(Matches!$F:$F, MATCH(A283, Matches!$A:$A, 0)))</f>
        <v>5</v>
      </c>
      <c r="F283">
        <f>IF(D283="A", INDEX(Matches!$F:$F, MATCH(A283, Matches!$A:$A, 0)), INDEX(Matches!$E:$E, MATCH(A283, Matches!$A:$A, 0)))</f>
        <v>4</v>
      </c>
      <c r="G283" t="str">
        <f t="shared" ref="G283:G294" si="23">IF(E283&gt;F283,"Win",IF(E283&lt;F283,"Loss","Draw"))</f>
        <v>Win</v>
      </c>
      <c r="H283">
        <v>1</v>
      </c>
      <c r="K283" t="str">
        <f t="shared" si="21"/>
        <v>25_A</v>
      </c>
    </row>
    <row r="284" spans="1:11" x14ac:dyDescent="0.35">
      <c r="A284">
        <v>25</v>
      </c>
      <c r="B284" s="6">
        <v>46114</v>
      </c>
      <c r="C284" t="s">
        <v>84</v>
      </c>
      <c r="D284" t="s">
        <v>17</v>
      </c>
      <c r="E284">
        <f>IF(D284="A", INDEX(Matches!$E:$E, MATCH(A284, Matches!$A:$A, 0)), INDEX(Matches!$F:$F, MATCH(A284, Matches!$A:$A, 0)))</f>
        <v>5</v>
      </c>
      <c r="F284">
        <f>IF(D284="A", INDEX(Matches!$F:$F, MATCH(A284, Matches!$A:$A, 0)), INDEX(Matches!$E:$E, MATCH(A284, Matches!$A:$A, 0)))</f>
        <v>4</v>
      </c>
      <c r="G284" t="str">
        <f t="shared" si="23"/>
        <v>Win</v>
      </c>
      <c r="J284">
        <v>1</v>
      </c>
      <c r="K284" t="str">
        <f t="shared" si="21"/>
        <v>25_A</v>
      </c>
    </row>
    <row r="285" spans="1:11" x14ac:dyDescent="0.35">
      <c r="A285">
        <v>25</v>
      </c>
      <c r="B285" s="6">
        <v>46114</v>
      </c>
      <c r="C285" t="s">
        <v>43</v>
      </c>
      <c r="D285" t="s">
        <v>17</v>
      </c>
      <c r="E285">
        <f>IF(D285="A", INDEX(Matches!$E:$E, MATCH(A285, Matches!$A:$A, 0)), INDEX(Matches!$F:$F, MATCH(A285, Matches!$A:$A, 0)))</f>
        <v>5</v>
      </c>
      <c r="F285">
        <f>IF(D285="A", INDEX(Matches!$F:$F, MATCH(A285, Matches!$A:$A, 0)), INDEX(Matches!$E:$E, MATCH(A285, Matches!$A:$A, 0)))</f>
        <v>4</v>
      </c>
      <c r="G285" t="str">
        <f t="shared" si="23"/>
        <v>Win</v>
      </c>
      <c r="H285">
        <v>2</v>
      </c>
      <c r="K285" t="str">
        <f t="shared" si="21"/>
        <v>25_A</v>
      </c>
    </row>
    <row r="286" spans="1:11" x14ac:dyDescent="0.35">
      <c r="A286">
        <v>25</v>
      </c>
      <c r="B286" s="6">
        <v>46114</v>
      </c>
      <c r="C286" t="s">
        <v>20</v>
      </c>
      <c r="D286" t="s">
        <v>17</v>
      </c>
      <c r="E286">
        <f>IF(D286="A", INDEX(Matches!$E:$E, MATCH(A286, Matches!$A:$A, 0)), INDEX(Matches!$F:$F, MATCH(A286, Matches!$A:$A, 0)))</f>
        <v>5</v>
      </c>
      <c r="F286">
        <f>IF(D286="A", INDEX(Matches!$F:$F, MATCH(A286, Matches!$A:$A, 0)), INDEX(Matches!$E:$E, MATCH(A286, Matches!$A:$A, 0)))</f>
        <v>4</v>
      </c>
      <c r="G286" t="str">
        <f t="shared" si="23"/>
        <v>Win</v>
      </c>
      <c r="I286">
        <v>1</v>
      </c>
      <c r="K286" t="str">
        <f t="shared" si="21"/>
        <v>25_A</v>
      </c>
    </row>
    <row r="287" spans="1:11" x14ac:dyDescent="0.35">
      <c r="A287">
        <v>25</v>
      </c>
      <c r="B287" s="6">
        <v>46114</v>
      </c>
      <c r="C287" t="s">
        <v>44</v>
      </c>
      <c r="D287" t="s">
        <v>17</v>
      </c>
      <c r="E287">
        <f>IF(D287="A", INDEX(Matches!$E:$E, MATCH(A287, Matches!$A:$A, 0)), INDEX(Matches!$F:$F, MATCH(A287, Matches!$A:$A, 0)))</f>
        <v>5</v>
      </c>
      <c r="F287">
        <f>IF(D287="A", INDEX(Matches!$F:$F, MATCH(A287, Matches!$A:$A, 0)), INDEX(Matches!$E:$E, MATCH(A287, Matches!$A:$A, 0)))</f>
        <v>4</v>
      </c>
      <c r="G287" t="str">
        <f t="shared" si="23"/>
        <v>Win</v>
      </c>
      <c r="H287">
        <v>1</v>
      </c>
      <c r="I287">
        <v>2</v>
      </c>
      <c r="K287" t="str">
        <f t="shared" si="21"/>
        <v>25_A</v>
      </c>
    </row>
    <row r="288" spans="1:11" x14ac:dyDescent="0.35">
      <c r="A288">
        <v>25</v>
      </c>
      <c r="B288" s="6">
        <v>46114</v>
      </c>
      <c r="C288" t="s">
        <v>99</v>
      </c>
      <c r="D288" t="s">
        <v>17</v>
      </c>
      <c r="E288">
        <f>IF(D288="A", INDEX(Matches!$E:$E, MATCH(A288, Matches!$A:$A, 0)), INDEX(Matches!$F:$F, MATCH(A288, Matches!$A:$A, 0)))</f>
        <v>5</v>
      </c>
      <c r="F288">
        <f>IF(D288="A", INDEX(Matches!$F:$F, MATCH(A288, Matches!$A:$A, 0)), INDEX(Matches!$E:$E, MATCH(A288, Matches!$A:$A, 0)))</f>
        <v>4</v>
      </c>
      <c r="G288" t="str">
        <f t="shared" si="23"/>
        <v>Win</v>
      </c>
      <c r="H288">
        <v>1</v>
      </c>
      <c r="K288" t="str">
        <f t="shared" si="21"/>
        <v>25_A</v>
      </c>
    </row>
    <row r="289" spans="1:11" x14ac:dyDescent="0.35">
      <c r="A289">
        <v>25</v>
      </c>
      <c r="B289" s="6">
        <v>46114</v>
      </c>
      <c r="C289" t="s">
        <v>22</v>
      </c>
      <c r="D289" t="s">
        <v>23</v>
      </c>
      <c r="E289">
        <f>IF(D289="A", INDEX(Matches!$E:$E, MATCH(A289, Matches!$A:$A, 0)), INDEX(Matches!$F:$F, MATCH(A289, Matches!$A:$A, 0)))</f>
        <v>4</v>
      </c>
      <c r="F289">
        <f>IF(D289="A", INDEX(Matches!$F:$F, MATCH(A289, Matches!$A:$A, 0)), INDEX(Matches!$E:$E, MATCH(A289, Matches!$A:$A, 0)))</f>
        <v>5</v>
      </c>
      <c r="G289" t="str">
        <f t="shared" si="23"/>
        <v>Loss</v>
      </c>
      <c r="H289">
        <v>2</v>
      </c>
      <c r="I289">
        <v>1</v>
      </c>
      <c r="K289" t="str">
        <f t="shared" si="21"/>
        <v>25_B</v>
      </c>
    </row>
    <row r="290" spans="1:11" x14ac:dyDescent="0.35">
      <c r="A290">
        <v>25</v>
      </c>
      <c r="B290" s="6">
        <v>46114</v>
      </c>
      <c r="C290" t="s">
        <v>42</v>
      </c>
      <c r="D290" t="s">
        <v>23</v>
      </c>
      <c r="E290">
        <f>IF(D290="A", INDEX(Matches!$E:$E, MATCH(A290, Matches!$A:$A, 0)), INDEX(Matches!$F:$F, MATCH(A290, Matches!$A:$A, 0)))</f>
        <v>4</v>
      </c>
      <c r="F290">
        <f>IF(D290="A", INDEX(Matches!$F:$F, MATCH(A290, Matches!$A:$A, 0)), INDEX(Matches!$E:$E, MATCH(A290, Matches!$A:$A, 0)))</f>
        <v>5</v>
      </c>
      <c r="G290" t="str">
        <f t="shared" si="23"/>
        <v>Loss</v>
      </c>
      <c r="K290" t="str">
        <f t="shared" si="21"/>
        <v>25_B</v>
      </c>
    </row>
    <row r="291" spans="1:11" x14ac:dyDescent="0.35">
      <c r="A291">
        <v>25</v>
      </c>
      <c r="B291" s="6">
        <v>46114</v>
      </c>
      <c r="C291" t="s">
        <v>46</v>
      </c>
      <c r="D291" t="s">
        <v>23</v>
      </c>
      <c r="E291">
        <f>IF(D291="A", INDEX(Matches!$E:$E, MATCH(A291, Matches!$A:$A, 0)), INDEX(Matches!$F:$F, MATCH(A291, Matches!$A:$A, 0)))</f>
        <v>4</v>
      </c>
      <c r="F291">
        <f>IF(D291="A", INDEX(Matches!$F:$F, MATCH(A291, Matches!$A:$A, 0)), INDEX(Matches!$E:$E, MATCH(A291, Matches!$A:$A, 0)))</f>
        <v>5</v>
      </c>
      <c r="G291" t="str">
        <f t="shared" si="23"/>
        <v>Loss</v>
      </c>
      <c r="H291">
        <v>1</v>
      </c>
      <c r="I291">
        <v>1</v>
      </c>
      <c r="K291" t="str">
        <f t="shared" si="21"/>
        <v>25_B</v>
      </c>
    </row>
    <row r="292" spans="1:11" x14ac:dyDescent="0.35">
      <c r="A292">
        <v>25</v>
      </c>
      <c r="B292" s="6">
        <v>46114</v>
      </c>
      <c r="C292" t="s">
        <v>24</v>
      </c>
      <c r="D292" t="s">
        <v>23</v>
      </c>
      <c r="E292">
        <f>IF(D292="A", INDEX(Matches!$E:$E, MATCH(A292, Matches!$A:$A, 0)), INDEX(Matches!$F:$F, MATCH(A292, Matches!$A:$A, 0)))</f>
        <v>4</v>
      </c>
      <c r="F292">
        <f>IF(D292="A", INDEX(Matches!$F:$F, MATCH(A292, Matches!$A:$A, 0)), INDEX(Matches!$E:$E, MATCH(A292, Matches!$A:$A, 0)))</f>
        <v>5</v>
      </c>
      <c r="G292" t="str">
        <f t="shared" si="23"/>
        <v>Loss</v>
      </c>
      <c r="K292" t="str">
        <f t="shared" si="21"/>
        <v>25_B</v>
      </c>
    </row>
    <row r="293" spans="1:11" x14ac:dyDescent="0.35">
      <c r="A293">
        <v>25</v>
      </c>
      <c r="B293" s="6">
        <v>46114</v>
      </c>
      <c r="C293" t="s">
        <v>75</v>
      </c>
      <c r="D293" t="s">
        <v>23</v>
      </c>
      <c r="E293">
        <f>IF(D293="A", INDEX(Matches!$E:$E, MATCH(A293, Matches!$A:$A, 0)), INDEX(Matches!$F:$F, MATCH(A293, Matches!$A:$A, 0)))</f>
        <v>4</v>
      </c>
      <c r="F293">
        <f>IF(D293="A", INDEX(Matches!$F:$F, MATCH(A293, Matches!$A:$A, 0)), INDEX(Matches!$E:$E, MATCH(A293, Matches!$A:$A, 0)))</f>
        <v>5</v>
      </c>
      <c r="G293" t="str">
        <f t="shared" si="23"/>
        <v>Loss</v>
      </c>
      <c r="K293" t="str">
        <f t="shared" si="21"/>
        <v>25_B</v>
      </c>
    </row>
    <row r="294" spans="1:11" x14ac:dyDescent="0.35">
      <c r="A294">
        <v>25</v>
      </c>
      <c r="B294" s="6">
        <v>46114</v>
      </c>
      <c r="C294" t="s">
        <v>54</v>
      </c>
      <c r="D294" t="s">
        <v>23</v>
      </c>
      <c r="E294">
        <f>IF(D294="A", INDEX(Matches!$E:$E, MATCH(A294, Matches!$A:$A, 0)), INDEX(Matches!$F:$F, MATCH(A294, Matches!$A:$A, 0)))</f>
        <v>4</v>
      </c>
      <c r="F294">
        <f>IF(D294="A", INDEX(Matches!$F:$F, MATCH(A294, Matches!$A:$A, 0)), INDEX(Matches!$E:$E, MATCH(A294, Matches!$A:$A, 0)))</f>
        <v>5</v>
      </c>
      <c r="G294" t="str">
        <f t="shared" si="23"/>
        <v>Loss</v>
      </c>
      <c r="K294" t="str">
        <f t="shared" si="21"/>
        <v>25_B</v>
      </c>
    </row>
    <row r="295" spans="1:11" x14ac:dyDescent="0.35">
      <c r="A295">
        <v>26</v>
      </c>
      <c r="B295" s="6">
        <v>46121</v>
      </c>
      <c r="C295" t="s">
        <v>66</v>
      </c>
      <c r="D295" t="s">
        <v>17</v>
      </c>
      <c r="E295">
        <f>IF(D295="A", INDEX(Matches!$E:$E, MATCH(A295, Matches!$A:$A, 0)), INDEX(Matches!$F:$F, MATCH(A295, Matches!$A:$A, 0)))</f>
        <v>7</v>
      </c>
      <c r="F295">
        <f>IF(D295="A", INDEX(Matches!$F:$F, MATCH(A295, Matches!$A:$A, 0)), INDEX(Matches!$E:$E, MATCH(A295, Matches!$A:$A, 0)))</f>
        <v>9</v>
      </c>
      <c r="G295" t="str">
        <f t="shared" ref="G295:G306" si="24">IF(E295&gt;F295,"Win",IF(E295&lt;F295,"Loss","Draw"))</f>
        <v>Loss</v>
      </c>
      <c r="H295">
        <v>4</v>
      </c>
      <c r="K295" t="str">
        <f t="shared" si="21"/>
        <v>26_A</v>
      </c>
    </row>
    <row r="296" spans="1:11" x14ac:dyDescent="0.35">
      <c r="A296">
        <v>26</v>
      </c>
      <c r="B296" s="6">
        <v>46121</v>
      </c>
      <c r="C296" t="s">
        <v>16</v>
      </c>
      <c r="D296" t="s">
        <v>17</v>
      </c>
      <c r="E296">
        <f>IF(D296="A", INDEX(Matches!$E:$E, MATCH(A296, Matches!$A:$A, 0)), INDEX(Matches!$F:$F, MATCH(A296, Matches!$A:$A, 0)))</f>
        <v>7</v>
      </c>
      <c r="F296">
        <f>IF(D296="A", INDEX(Matches!$F:$F, MATCH(A296, Matches!$A:$A, 0)), INDEX(Matches!$E:$E, MATCH(A296, Matches!$A:$A, 0)))</f>
        <v>9</v>
      </c>
      <c r="G296" t="str">
        <f t="shared" si="24"/>
        <v>Loss</v>
      </c>
      <c r="H296">
        <v>1</v>
      </c>
      <c r="I296">
        <v>3</v>
      </c>
      <c r="K296" t="str">
        <f t="shared" si="21"/>
        <v>26_A</v>
      </c>
    </row>
    <row r="297" spans="1:11" x14ac:dyDescent="0.35">
      <c r="A297">
        <v>26</v>
      </c>
      <c r="B297" s="6">
        <v>46121</v>
      </c>
      <c r="C297" t="s">
        <v>22</v>
      </c>
      <c r="D297" t="s">
        <v>17</v>
      </c>
      <c r="E297">
        <f>IF(D297="A", INDEX(Matches!$E:$E, MATCH(A297, Matches!$A:$A, 0)), INDEX(Matches!$F:$F, MATCH(A297, Matches!$A:$A, 0)))</f>
        <v>7</v>
      </c>
      <c r="F297">
        <f>IF(D297="A", INDEX(Matches!$F:$F, MATCH(A297, Matches!$A:$A, 0)), INDEX(Matches!$E:$E, MATCH(A297, Matches!$A:$A, 0)))</f>
        <v>9</v>
      </c>
      <c r="G297" t="str">
        <f t="shared" si="24"/>
        <v>Loss</v>
      </c>
      <c r="H297">
        <v>2</v>
      </c>
      <c r="I297">
        <v>1</v>
      </c>
      <c r="J297">
        <v>1</v>
      </c>
      <c r="K297" t="str">
        <f t="shared" si="21"/>
        <v>26_A</v>
      </c>
    </row>
    <row r="298" spans="1:11" x14ac:dyDescent="0.35">
      <c r="A298">
        <v>26</v>
      </c>
      <c r="B298" s="6">
        <v>46121</v>
      </c>
      <c r="C298" t="s">
        <v>25</v>
      </c>
      <c r="D298" t="s">
        <v>17</v>
      </c>
      <c r="E298">
        <f>IF(D298="A", INDEX(Matches!$E:$E, MATCH(A298, Matches!$A:$A, 0)), INDEX(Matches!$F:$F, MATCH(A298, Matches!$A:$A, 0)))</f>
        <v>7</v>
      </c>
      <c r="F298">
        <f>IF(D298="A", INDEX(Matches!$F:$F, MATCH(A298, Matches!$A:$A, 0)), INDEX(Matches!$E:$E, MATCH(A298, Matches!$A:$A, 0)))</f>
        <v>9</v>
      </c>
      <c r="G298" t="str">
        <f t="shared" si="24"/>
        <v>Loss</v>
      </c>
      <c r="K298" t="str">
        <f t="shared" si="21"/>
        <v>26_A</v>
      </c>
    </row>
    <row r="299" spans="1:11" x14ac:dyDescent="0.35">
      <c r="A299">
        <v>26</v>
      </c>
      <c r="B299" s="6">
        <v>46121</v>
      </c>
      <c r="C299" t="s">
        <v>77</v>
      </c>
      <c r="D299" t="s">
        <v>17</v>
      </c>
      <c r="E299">
        <f>IF(D299="A", INDEX(Matches!$E:$E, MATCH(A299, Matches!$A:$A, 0)), INDEX(Matches!$F:$F, MATCH(A299, Matches!$A:$A, 0)))</f>
        <v>7</v>
      </c>
      <c r="F299">
        <f>IF(D299="A", INDEX(Matches!$F:$F, MATCH(A299, Matches!$A:$A, 0)), INDEX(Matches!$E:$E, MATCH(A299, Matches!$A:$A, 0)))</f>
        <v>9</v>
      </c>
      <c r="G299" t="str">
        <f t="shared" si="24"/>
        <v>Loss</v>
      </c>
      <c r="K299" t="str">
        <f t="shared" si="21"/>
        <v>26_A</v>
      </c>
    </row>
    <row r="300" spans="1:11" x14ac:dyDescent="0.35">
      <c r="A300">
        <v>26</v>
      </c>
      <c r="B300" s="6">
        <v>46121</v>
      </c>
      <c r="C300" t="s">
        <v>40</v>
      </c>
      <c r="D300" t="s">
        <v>17</v>
      </c>
      <c r="E300">
        <f>IF(D300="A", INDEX(Matches!$E:$E, MATCH(A300, Matches!$A:$A, 0)), INDEX(Matches!$F:$F, MATCH(A300, Matches!$A:$A, 0)))</f>
        <v>7</v>
      </c>
      <c r="F300">
        <f>IF(D300="A", INDEX(Matches!$F:$F, MATCH(A300, Matches!$A:$A, 0)), INDEX(Matches!$E:$E, MATCH(A300, Matches!$A:$A, 0)))</f>
        <v>9</v>
      </c>
      <c r="G300" t="str">
        <f t="shared" si="24"/>
        <v>Loss</v>
      </c>
      <c r="I300">
        <v>2</v>
      </c>
      <c r="K300" t="str">
        <f t="shared" si="21"/>
        <v>26_A</v>
      </c>
    </row>
    <row r="301" spans="1:11" x14ac:dyDescent="0.35">
      <c r="A301">
        <v>26</v>
      </c>
      <c r="B301" s="6">
        <v>46121</v>
      </c>
      <c r="C301" t="s">
        <v>44</v>
      </c>
      <c r="D301" t="s">
        <v>23</v>
      </c>
      <c r="E301">
        <f>IF(D301="A", INDEX(Matches!$E:$E, MATCH(A301, Matches!$A:$A, 0)), INDEX(Matches!$F:$F, MATCH(A301, Matches!$A:$A, 0)))</f>
        <v>9</v>
      </c>
      <c r="F301">
        <f>IF(D301="A", INDEX(Matches!$F:$F, MATCH(A301, Matches!$A:$A, 0)), INDEX(Matches!$E:$E, MATCH(A301, Matches!$A:$A, 0)))</f>
        <v>7</v>
      </c>
      <c r="G301" t="str">
        <f t="shared" si="24"/>
        <v>Win</v>
      </c>
      <c r="H301">
        <v>1</v>
      </c>
      <c r="K301" t="str">
        <f t="shared" si="21"/>
        <v>26_B</v>
      </c>
    </row>
    <row r="302" spans="1:11" x14ac:dyDescent="0.35">
      <c r="A302">
        <v>26</v>
      </c>
      <c r="B302" s="6">
        <v>46121</v>
      </c>
      <c r="C302" t="s">
        <v>41</v>
      </c>
      <c r="D302" t="s">
        <v>23</v>
      </c>
      <c r="E302">
        <f>IF(D302="A", INDEX(Matches!$E:$E, MATCH(A302, Matches!$A:$A, 0)), INDEX(Matches!$F:$F, MATCH(A302, Matches!$A:$A, 0)))</f>
        <v>9</v>
      </c>
      <c r="F302">
        <f>IF(D302="A", INDEX(Matches!$F:$F, MATCH(A302, Matches!$A:$A, 0)), INDEX(Matches!$E:$E, MATCH(A302, Matches!$A:$A, 0)))</f>
        <v>7</v>
      </c>
      <c r="G302" t="str">
        <f t="shared" si="24"/>
        <v>Win</v>
      </c>
      <c r="H302">
        <v>2</v>
      </c>
      <c r="I302">
        <v>2</v>
      </c>
      <c r="K302" t="str">
        <f t="shared" si="21"/>
        <v>26_B</v>
      </c>
    </row>
    <row r="303" spans="1:11" x14ac:dyDescent="0.35">
      <c r="A303">
        <v>26</v>
      </c>
      <c r="B303" s="6">
        <v>46121</v>
      </c>
      <c r="C303" t="s">
        <v>46</v>
      </c>
      <c r="D303" t="s">
        <v>23</v>
      </c>
      <c r="E303">
        <f>IF(D303="A", INDEX(Matches!$E:$E, MATCH(A303, Matches!$A:$A, 0)), INDEX(Matches!$F:$F, MATCH(A303, Matches!$A:$A, 0)))</f>
        <v>9</v>
      </c>
      <c r="F303">
        <f>IF(D303="A", INDEX(Matches!$F:$F, MATCH(A303, Matches!$A:$A, 0)), INDEX(Matches!$E:$E, MATCH(A303, Matches!$A:$A, 0)))</f>
        <v>7</v>
      </c>
      <c r="G303" t="str">
        <f t="shared" si="24"/>
        <v>Win</v>
      </c>
      <c r="H303">
        <v>3</v>
      </c>
      <c r="K303" t="str">
        <f t="shared" si="21"/>
        <v>26_B</v>
      </c>
    </row>
    <row r="304" spans="1:11" x14ac:dyDescent="0.35">
      <c r="A304">
        <v>26</v>
      </c>
      <c r="B304" s="6">
        <v>46121</v>
      </c>
      <c r="C304" t="s">
        <v>20</v>
      </c>
      <c r="D304" t="s">
        <v>23</v>
      </c>
      <c r="E304">
        <f>IF(D304="A", INDEX(Matches!$E:$E, MATCH(A304, Matches!$A:$A, 0)), INDEX(Matches!$F:$F, MATCH(A304, Matches!$A:$A, 0)))</f>
        <v>9</v>
      </c>
      <c r="F304">
        <f>IF(D304="A", INDEX(Matches!$F:$F, MATCH(A304, Matches!$A:$A, 0)), INDEX(Matches!$E:$E, MATCH(A304, Matches!$A:$A, 0)))</f>
        <v>7</v>
      </c>
      <c r="G304" t="str">
        <f t="shared" si="24"/>
        <v>Win</v>
      </c>
      <c r="I304">
        <v>1</v>
      </c>
      <c r="K304" t="str">
        <f t="shared" si="21"/>
        <v>26_B</v>
      </c>
    </row>
    <row r="305" spans="1:11" x14ac:dyDescent="0.35">
      <c r="A305">
        <v>26</v>
      </c>
      <c r="B305" s="6">
        <v>46121</v>
      </c>
      <c r="C305" t="s">
        <v>48</v>
      </c>
      <c r="D305" t="s">
        <v>23</v>
      </c>
      <c r="E305">
        <f>IF(D305="A", INDEX(Matches!$E:$E, MATCH(A305, Matches!$A:$A, 0)), INDEX(Matches!$F:$F, MATCH(A305, Matches!$A:$A, 0)))</f>
        <v>9</v>
      </c>
      <c r="F305">
        <f>IF(D305="A", INDEX(Matches!$F:$F, MATCH(A305, Matches!$A:$A, 0)), INDEX(Matches!$E:$E, MATCH(A305, Matches!$A:$A, 0)))</f>
        <v>7</v>
      </c>
      <c r="G305" t="str">
        <f t="shared" si="24"/>
        <v>Win</v>
      </c>
      <c r="I305">
        <v>2</v>
      </c>
      <c r="K305" t="str">
        <f t="shared" si="21"/>
        <v>26_B</v>
      </c>
    </row>
    <row r="306" spans="1:11" x14ac:dyDescent="0.35">
      <c r="A306">
        <v>26</v>
      </c>
      <c r="B306" s="6">
        <v>46121</v>
      </c>
      <c r="C306" t="s">
        <v>89</v>
      </c>
      <c r="D306" t="s">
        <v>23</v>
      </c>
      <c r="E306">
        <f>IF(D306="A", INDEX(Matches!$E:$E, MATCH(A306, Matches!$A:$A, 0)), INDEX(Matches!$F:$F, MATCH(A306, Matches!$A:$A, 0)))</f>
        <v>9</v>
      </c>
      <c r="F306">
        <f>IF(D306="A", INDEX(Matches!$F:$F, MATCH(A306, Matches!$A:$A, 0)), INDEX(Matches!$E:$E, MATCH(A306, Matches!$A:$A, 0)))</f>
        <v>7</v>
      </c>
      <c r="G306" t="str">
        <f t="shared" si="24"/>
        <v>Win</v>
      </c>
      <c r="H306">
        <v>2</v>
      </c>
      <c r="K306" t="str">
        <f t="shared" si="21"/>
        <v>26_B</v>
      </c>
    </row>
    <row r="307" spans="1:11" x14ac:dyDescent="0.35">
      <c r="A307">
        <v>27</v>
      </c>
      <c r="B307" s="6">
        <v>46128</v>
      </c>
      <c r="C307" t="s">
        <v>24</v>
      </c>
      <c r="D307" t="s">
        <v>17</v>
      </c>
      <c r="E307">
        <f>IF(D307="A", INDEX(Matches!$E:$E, MATCH(A307, Matches!$A:$A, 0)), INDEX(Matches!$F:$F, MATCH(A307, Matches!$A:$A, 0)))</f>
        <v>8</v>
      </c>
      <c r="F307">
        <f>IF(D307="A", INDEX(Matches!$F:$F, MATCH(A307, Matches!$A:$A, 0)), INDEX(Matches!$E:$E, MATCH(A307, Matches!$A:$A, 0)))</f>
        <v>7</v>
      </c>
      <c r="G307" t="str">
        <f t="shared" ref="G307:G318" si="25">IF(E307&gt;F307,"Win",IF(E307&lt;F307,"Loss","Draw"))</f>
        <v>Win</v>
      </c>
      <c r="H307">
        <v>1</v>
      </c>
      <c r="K307" t="str">
        <f t="shared" si="21"/>
        <v>27_A</v>
      </c>
    </row>
    <row r="308" spans="1:11" x14ac:dyDescent="0.35">
      <c r="A308">
        <v>27</v>
      </c>
      <c r="B308" s="6">
        <v>46128</v>
      </c>
      <c r="C308" t="s">
        <v>19</v>
      </c>
      <c r="D308" t="s">
        <v>17</v>
      </c>
      <c r="E308">
        <f>IF(D308="A", INDEX(Matches!$E:$E, MATCH(A308, Matches!$A:$A, 0)), INDEX(Matches!$F:$F, MATCH(A308, Matches!$A:$A, 0)))</f>
        <v>8</v>
      </c>
      <c r="F308">
        <f>IF(D308="A", INDEX(Matches!$F:$F, MATCH(A308, Matches!$A:$A, 0)), INDEX(Matches!$E:$E, MATCH(A308, Matches!$A:$A, 0)))</f>
        <v>7</v>
      </c>
      <c r="G308" t="str">
        <f t="shared" si="25"/>
        <v>Win</v>
      </c>
      <c r="H308">
        <v>3</v>
      </c>
      <c r="I308">
        <v>1</v>
      </c>
      <c r="K308" t="str">
        <f t="shared" si="21"/>
        <v>27_A</v>
      </c>
    </row>
    <row r="309" spans="1:11" x14ac:dyDescent="0.35">
      <c r="A309">
        <v>27</v>
      </c>
      <c r="B309" s="6">
        <v>46128</v>
      </c>
      <c r="C309" t="s">
        <v>46</v>
      </c>
      <c r="D309" t="s">
        <v>17</v>
      </c>
      <c r="E309">
        <f>IF(D309="A", INDEX(Matches!$E:$E, MATCH(A309, Matches!$A:$A, 0)), INDEX(Matches!$F:$F, MATCH(A309, Matches!$A:$A, 0)))</f>
        <v>8</v>
      </c>
      <c r="F309">
        <f>IF(D309="A", INDEX(Matches!$F:$F, MATCH(A309, Matches!$A:$A, 0)), INDEX(Matches!$E:$E, MATCH(A309, Matches!$A:$A, 0)))</f>
        <v>7</v>
      </c>
      <c r="G309" t="str">
        <f t="shared" si="25"/>
        <v>Win</v>
      </c>
      <c r="H309">
        <v>2</v>
      </c>
      <c r="K309" t="str">
        <f t="shared" si="21"/>
        <v>27_A</v>
      </c>
    </row>
    <row r="310" spans="1:11" x14ac:dyDescent="0.35">
      <c r="A310">
        <v>27</v>
      </c>
      <c r="B310" s="6">
        <v>46128</v>
      </c>
      <c r="C310" t="s">
        <v>21</v>
      </c>
      <c r="D310" t="s">
        <v>17</v>
      </c>
      <c r="E310">
        <f>IF(D310="A", INDEX(Matches!$E:$E, MATCH(A310, Matches!$A:$A, 0)), INDEX(Matches!$F:$F, MATCH(A310, Matches!$A:$A, 0)))</f>
        <v>8</v>
      </c>
      <c r="F310">
        <f>IF(D310="A", INDEX(Matches!$F:$F, MATCH(A310, Matches!$A:$A, 0)), INDEX(Matches!$E:$E, MATCH(A310, Matches!$A:$A, 0)))</f>
        <v>7</v>
      </c>
      <c r="G310" t="str">
        <f t="shared" si="25"/>
        <v>Win</v>
      </c>
      <c r="K310" t="str">
        <f t="shared" si="21"/>
        <v>27_A</v>
      </c>
    </row>
    <row r="311" spans="1:11" x14ac:dyDescent="0.35">
      <c r="A311">
        <v>27</v>
      </c>
      <c r="B311" s="6">
        <v>46128</v>
      </c>
      <c r="C311" t="s">
        <v>84</v>
      </c>
      <c r="D311" t="s">
        <v>17</v>
      </c>
      <c r="E311">
        <f>IF(D311="A", INDEX(Matches!$E:$E, MATCH(A311, Matches!$A:$A, 0)), INDEX(Matches!$F:$F, MATCH(A311, Matches!$A:$A, 0)))</f>
        <v>8</v>
      </c>
      <c r="F311">
        <f>IF(D311="A", INDEX(Matches!$F:$F, MATCH(A311, Matches!$A:$A, 0)), INDEX(Matches!$E:$E, MATCH(A311, Matches!$A:$A, 0)))</f>
        <v>7</v>
      </c>
      <c r="G311" t="str">
        <f t="shared" si="25"/>
        <v>Win</v>
      </c>
      <c r="H311">
        <v>1</v>
      </c>
      <c r="I311">
        <v>3</v>
      </c>
      <c r="K311" t="str">
        <f t="shared" si="21"/>
        <v>27_A</v>
      </c>
    </row>
    <row r="312" spans="1:11" x14ac:dyDescent="0.35">
      <c r="A312">
        <v>27</v>
      </c>
      <c r="B312" s="6">
        <v>46128</v>
      </c>
      <c r="C312" t="s">
        <v>18</v>
      </c>
      <c r="D312" t="s">
        <v>17</v>
      </c>
      <c r="E312">
        <f>IF(D312="A", INDEX(Matches!$E:$E, MATCH(A312, Matches!$A:$A, 0)), INDEX(Matches!$F:$F, MATCH(A312, Matches!$A:$A, 0)))</f>
        <v>8</v>
      </c>
      <c r="F312">
        <f>IF(D312="A", INDEX(Matches!$F:$F, MATCH(A312, Matches!$A:$A, 0)), INDEX(Matches!$E:$E, MATCH(A312, Matches!$A:$A, 0)))</f>
        <v>7</v>
      </c>
      <c r="G312" t="str">
        <f t="shared" si="25"/>
        <v>Win</v>
      </c>
      <c r="H312">
        <v>1</v>
      </c>
      <c r="I312">
        <v>1</v>
      </c>
      <c r="K312" t="str">
        <f t="shared" si="21"/>
        <v>27_A</v>
      </c>
    </row>
    <row r="313" spans="1:11" x14ac:dyDescent="0.35">
      <c r="A313">
        <v>27</v>
      </c>
      <c r="B313" s="6">
        <v>46128</v>
      </c>
      <c r="C313" t="s">
        <v>22</v>
      </c>
      <c r="D313" t="s">
        <v>23</v>
      </c>
      <c r="E313">
        <f>IF(D313="A", INDEX(Matches!$E:$E, MATCH(A313, Matches!$A:$A, 0)), INDEX(Matches!$F:$F, MATCH(A313, Matches!$A:$A, 0)))</f>
        <v>7</v>
      </c>
      <c r="F313">
        <f>IF(D313="A", INDEX(Matches!$F:$F, MATCH(A313, Matches!$A:$A, 0)), INDEX(Matches!$E:$E, MATCH(A313, Matches!$A:$A, 0)))</f>
        <v>8</v>
      </c>
      <c r="G313" t="str">
        <f t="shared" si="25"/>
        <v>Loss</v>
      </c>
      <c r="H313">
        <v>2</v>
      </c>
      <c r="I313">
        <v>1</v>
      </c>
      <c r="K313" t="str">
        <f t="shared" si="21"/>
        <v>27_B</v>
      </c>
    </row>
    <row r="314" spans="1:11" x14ac:dyDescent="0.35">
      <c r="A314">
        <v>27</v>
      </c>
      <c r="B314" s="6">
        <v>46128</v>
      </c>
      <c r="C314" t="s">
        <v>66</v>
      </c>
      <c r="D314" t="s">
        <v>23</v>
      </c>
      <c r="E314">
        <f>IF(D314="A", INDEX(Matches!$E:$E, MATCH(A314, Matches!$A:$A, 0)), INDEX(Matches!$F:$F, MATCH(A314, Matches!$A:$A, 0)))</f>
        <v>7</v>
      </c>
      <c r="F314">
        <f>IF(D314="A", INDEX(Matches!$F:$F, MATCH(A314, Matches!$A:$A, 0)), INDEX(Matches!$E:$E, MATCH(A314, Matches!$A:$A, 0)))</f>
        <v>8</v>
      </c>
      <c r="G314" t="str">
        <f t="shared" si="25"/>
        <v>Loss</v>
      </c>
      <c r="H314">
        <v>3</v>
      </c>
      <c r="I314">
        <v>1</v>
      </c>
      <c r="K314" t="str">
        <f t="shared" si="21"/>
        <v>27_B</v>
      </c>
    </row>
    <row r="315" spans="1:11" x14ac:dyDescent="0.35">
      <c r="A315">
        <v>27</v>
      </c>
      <c r="B315" s="6">
        <v>46128</v>
      </c>
      <c r="C315" t="s">
        <v>42</v>
      </c>
      <c r="D315" t="s">
        <v>23</v>
      </c>
      <c r="E315">
        <f>IF(D315="A", INDEX(Matches!$E:$E, MATCH(A315, Matches!$A:$A, 0)), INDEX(Matches!$F:$F, MATCH(A315, Matches!$A:$A, 0)))</f>
        <v>7</v>
      </c>
      <c r="F315">
        <f>IF(D315="A", INDEX(Matches!$F:$F, MATCH(A315, Matches!$A:$A, 0)), INDEX(Matches!$E:$E, MATCH(A315, Matches!$A:$A, 0)))</f>
        <v>8</v>
      </c>
      <c r="G315" t="str">
        <f t="shared" si="25"/>
        <v>Loss</v>
      </c>
      <c r="I315">
        <v>3</v>
      </c>
      <c r="K315" t="str">
        <f t="shared" si="21"/>
        <v>27_B</v>
      </c>
    </row>
    <row r="316" spans="1:11" x14ac:dyDescent="0.35">
      <c r="A316">
        <v>27</v>
      </c>
      <c r="B316" s="6">
        <v>46128</v>
      </c>
      <c r="C316" t="s">
        <v>48</v>
      </c>
      <c r="D316" t="s">
        <v>23</v>
      </c>
      <c r="E316">
        <f>IF(D316="A", INDEX(Matches!$E:$E, MATCH(A316, Matches!$A:$A, 0)), INDEX(Matches!$F:$F, MATCH(A316, Matches!$A:$A, 0)))</f>
        <v>7</v>
      </c>
      <c r="F316">
        <f>IF(D316="A", INDEX(Matches!$F:$F, MATCH(A316, Matches!$A:$A, 0)), INDEX(Matches!$E:$E, MATCH(A316, Matches!$A:$A, 0)))</f>
        <v>8</v>
      </c>
      <c r="G316" t="str">
        <f t="shared" si="25"/>
        <v>Loss</v>
      </c>
      <c r="K316" t="str">
        <f t="shared" si="21"/>
        <v>27_B</v>
      </c>
    </row>
    <row r="317" spans="1:11" x14ac:dyDescent="0.35">
      <c r="A317">
        <v>27</v>
      </c>
      <c r="B317" s="6">
        <v>46128</v>
      </c>
      <c r="C317" t="s">
        <v>86</v>
      </c>
      <c r="D317" t="s">
        <v>23</v>
      </c>
      <c r="E317">
        <f>IF(D317="A", INDEX(Matches!$E:$E, MATCH(A317, Matches!$A:$A, 0)), INDEX(Matches!$F:$F, MATCH(A317, Matches!$A:$A, 0)))</f>
        <v>7</v>
      </c>
      <c r="F317">
        <f>IF(D317="A", INDEX(Matches!$F:$F, MATCH(A317, Matches!$A:$A, 0)), INDEX(Matches!$E:$E, MATCH(A317, Matches!$A:$A, 0)))</f>
        <v>8</v>
      </c>
      <c r="G317" t="str">
        <f t="shared" si="25"/>
        <v>Loss</v>
      </c>
      <c r="H317">
        <v>2</v>
      </c>
      <c r="I317">
        <v>1</v>
      </c>
      <c r="K317" t="str">
        <f t="shared" si="21"/>
        <v>27_B</v>
      </c>
    </row>
    <row r="318" spans="1:11" x14ac:dyDescent="0.35">
      <c r="A318">
        <v>27</v>
      </c>
      <c r="B318" s="6">
        <v>46128</v>
      </c>
      <c r="C318" t="s">
        <v>25</v>
      </c>
      <c r="D318" t="s">
        <v>23</v>
      </c>
      <c r="E318">
        <f>IF(D318="A", INDEX(Matches!$E:$E, MATCH(A318, Matches!$A:$A, 0)), INDEX(Matches!$F:$F, MATCH(A318, Matches!$A:$A, 0)))</f>
        <v>7</v>
      </c>
      <c r="F318">
        <f>IF(D318="A", INDEX(Matches!$F:$F, MATCH(A318, Matches!$A:$A, 0)), INDEX(Matches!$E:$E, MATCH(A318, Matches!$A:$A, 0)))</f>
        <v>8</v>
      </c>
      <c r="G318" t="str">
        <f t="shared" si="25"/>
        <v>Loss</v>
      </c>
      <c r="I318">
        <v>1</v>
      </c>
      <c r="K318" t="str">
        <f t="shared" si="21"/>
        <v>27_B</v>
      </c>
    </row>
    <row r="319" spans="1:11" x14ac:dyDescent="0.35">
      <c r="A319">
        <v>28</v>
      </c>
      <c r="B319" s="6">
        <v>46135</v>
      </c>
      <c r="C319" t="s">
        <v>66</v>
      </c>
      <c r="D319" t="s">
        <v>17</v>
      </c>
      <c r="E319">
        <f>IF(D319="A", INDEX(Matches!$E:$E, MATCH(A319, Matches!$A:$A, 0)), INDEX(Matches!$F:$F, MATCH(A319, Matches!$A:$A, 0)))</f>
        <v>6</v>
      </c>
      <c r="F319">
        <f>IF(D319="A", INDEX(Matches!$F:$F, MATCH(A319, Matches!$A:$A, 0)), INDEX(Matches!$E:$E, MATCH(A319, Matches!$A:$A, 0)))</f>
        <v>8</v>
      </c>
      <c r="G319" t="str">
        <f t="shared" ref="G319:G338" si="26">IF(E319&gt;F319,"Win",IF(E319&lt;F319,"Loss","Draw"))</f>
        <v>Loss</v>
      </c>
      <c r="H319">
        <v>2</v>
      </c>
      <c r="K319" t="str">
        <f t="shared" si="21"/>
        <v>28_A</v>
      </c>
    </row>
    <row r="320" spans="1:11" x14ac:dyDescent="0.35">
      <c r="A320">
        <v>28</v>
      </c>
      <c r="B320" s="6">
        <v>46135</v>
      </c>
      <c r="C320" t="s">
        <v>16</v>
      </c>
      <c r="D320" t="s">
        <v>17</v>
      </c>
      <c r="E320">
        <f>IF(D320="A", INDEX(Matches!$E:$E, MATCH(A320, Matches!$A:$A, 0)), INDEX(Matches!$F:$F, MATCH(A320, Matches!$A:$A, 0)))</f>
        <v>6</v>
      </c>
      <c r="F320">
        <f>IF(D320="A", INDEX(Matches!$F:$F, MATCH(A320, Matches!$A:$A, 0)), INDEX(Matches!$E:$E, MATCH(A320, Matches!$A:$A, 0)))</f>
        <v>8</v>
      </c>
      <c r="G320" t="str">
        <f t="shared" si="26"/>
        <v>Loss</v>
      </c>
      <c r="H320">
        <v>2</v>
      </c>
      <c r="I320">
        <v>2</v>
      </c>
      <c r="K320" t="str">
        <f t="shared" si="21"/>
        <v>28_A</v>
      </c>
    </row>
    <row r="321" spans="1:11" x14ac:dyDescent="0.35">
      <c r="A321">
        <v>28</v>
      </c>
      <c r="B321" s="6">
        <v>46135</v>
      </c>
      <c r="C321" t="s">
        <v>24</v>
      </c>
      <c r="D321" t="s">
        <v>17</v>
      </c>
      <c r="E321">
        <f>IF(D321="A", INDEX(Matches!$E:$E, MATCH(A321, Matches!$A:$A, 0)), INDEX(Matches!$F:$F, MATCH(A321, Matches!$A:$A, 0)))</f>
        <v>6</v>
      </c>
      <c r="F321">
        <f>IF(D321="A", INDEX(Matches!$F:$F, MATCH(A321, Matches!$A:$A, 0)), INDEX(Matches!$E:$E, MATCH(A321, Matches!$A:$A, 0)))</f>
        <v>8</v>
      </c>
      <c r="G321" t="str">
        <f t="shared" si="26"/>
        <v>Loss</v>
      </c>
      <c r="K321" t="str">
        <f t="shared" si="21"/>
        <v>28_A</v>
      </c>
    </row>
    <row r="322" spans="1:11" x14ac:dyDescent="0.35">
      <c r="A322">
        <v>28</v>
      </c>
      <c r="B322" s="6">
        <v>46135</v>
      </c>
      <c r="C322" t="s">
        <v>88</v>
      </c>
      <c r="D322" t="s">
        <v>17</v>
      </c>
      <c r="E322">
        <f>IF(D322="A", INDEX(Matches!$E:$E, MATCH(A322, Matches!$A:$A, 0)), INDEX(Matches!$F:$F, MATCH(A322, Matches!$A:$A, 0)))</f>
        <v>6</v>
      </c>
      <c r="F322">
        <f>IF(D322="A", INDEX(Matches!$F:$F, MATCH(A322, Matches!$A:$A, 0)), INDEX(Matches!$E:$E, MATCH(A322, Matches!$A:$A, 0)))</f>
        <v>8</v>
      </c>
      <c r="G322" t="str">
        <f t="shared" si="26"/>
        <v>Loss</v>
      </c>
      <c r="H322">
        <v>2</v>
      </c>
      <c r="I322">
        <v>1</v>
      </c>
      <c r="K322" t="str">
        <f t="shared" si="21"/>
        <v>28_A</v>
      </c>
    </row>
    <row r="323" spans="1:11" x14ac:dyDescent="0.35">
      <c r="A323">
        <v>28</v>
      </c>
      <c r="B323" s="6">
        <v>46135</v>
      </c>
      <c r="C323" t="s">
        <v>43</v>
      </c>
      <c r="D323" t="s">
        <v>17</v>
      </c>
      <c r="E323">
        <f>IF(D323="A", INDEX(Matches!$E:$E, MATCH(A323, Matches!$A:$A, 0)), INDEX(Matches!$F:$F, MATCH(A323, Matches!$A:$A, 0)))</f>
        <v>6</v>
      </c>
      <c r="F323">
        <f>IF(D323="A", INDEX(Matches!$F:$F, MATCH(A323, Matches!$A:$A, 0)), INDEX(Matches!$E:$E, MATCH(A323, Matches!$A:$A, 0)))</f>
        <v>8</v>
      </c>
      <c r="G323" t="str">
        <f t="shared" si="26"/>
        <v>Loss</v>
      </c>
      <c r="I323">
        <v>1</v>
      </c>
      <c r="K323" t="str">
        <f t="shared" si="21"/>
        <v>28_A</v>
      </c>
    </row>
    <row r="324" spans="1:11" x14ac:dyDescent="0.35">
      <c r="A324">
        <v>28</v>
      </c>
      <c r="B324" s="6">
        <v>46135</v>
      </c>
      <c r="C324" t="s">
        <v>42</v>
      </c>
      <c r="D324" t="s">
        <v>23</v>
      </c>
      <c r="E324">
        <f>IF(D324="A", INDEX(Matches!$E:$E, MATCH(A324, Matches!$A:$A, 0)), INDEX(Matches!$F:$F, MATCH(A324, Matches!$A:$A, 0)))</f>
        <v>8</v>
      </c>
      <c r="F324">
        <f>IF(D324="A", INDEX(Matches!$F:$F, MATCH(A324, Matches!$A:$A, 0)), INDEX(Matches!$E:$E, MATCH(A324, Matches!$A:$A, 0)))</f>
        <v>6</v>
      </c>
      <c r="G324" t="str">
        <f t="shared" si="26"/>
        <v>Win</v>
      </c>
      <c r="H324">
        <v>4</v>
      </c>
      <c r="I324">
        <v>1</v>
      </c>
      <c r="K324" t="str">
        <f t="shared" si="21"/>
        <v>28_B</v>
      </c>
    </row>
    <row r="325" spans="1:11" x14ac:dyDescent="0.35">
      <c r="A325">
        <v>28</v>
      </c>
      <c r="B325" s="6">
        <v>46135</v>
      </c>
      <c r="C325" t="s">
        <v>46</v>
      </c>
      <c r="D325" t="s">
        <v>23</v>
      </c>
      <c r="E325">
        <f>IF(D325="A", INDEX(Matches!$E:$E, MATCH(A325, Matches!$A:$A, 0)), INDEX(Matches!$F:$F, MATCH(A325, Matches!$A:$A, 0)))</f>
        <v>8</v>
      </c>
      <c r="F325">
        <f>IF(D325="A", INDEX(Matches!$F:$F, MATCH(A325, Matches!$A:$A, 0)), INDEX(Matches!$E:$E, MATCH(A325, Matches!$A:$A, 0)))</f>
        <v>6</v>
      </c>
      <c r="G325" t="str">
        <f t="shared" si="26"/>
        <v>Win</v>
      </c>
      <c r="H325">
        <v>2</v>
      </c>
      <c r="K325" t="str">
        <f t="shared" si="21"/>
        <v>28_B</v>
      </c>
    </row>
    <row r="326" spans="1:11" x14ac:dyDescent="0.35">
      <c r="A326">
        <v>28</v>
      </c>
      <c r="B326" s="6">
        <v>46135</v>
      </c>
      <c r="C326" t="s">
        <v>20</v>
      </c>
      <c r="D326" t="s">
        <v>23</v>
      </c>
      <c r="E326">
        <f>IF(D326="A", INDEX(Matches!$E:$E, MATCH(A326, Matches!$A:$A, 0)), INDEX(Matches!$F:$F, MATCH(A326, Matches!$A:$A, 0)))</f>
        <v>8</v>
      </c>
      <c r="F326">
        <f>IF(D326="A", INDEX(Matches!$F:$F, MATCH(A326, Matches!$A:$A, 0)), INDEX(Matches!$E:$E, MATCH(A326, Matches!$A:$A, 0)))</f>
        <v>6</v>
      </c>
      <c r="G326" t="str">
        <f t="shared" si="26"/>
        <v>Win</v>
      </c>
      <c r="H326">
        <v>2</v>
      </c>
      <c r="I326">
        <v>1</v>
      </c>
      <c r="K326" t="str">
        <f t="shared" si="21"/>
        <v>28_B</v>
      </c>
    </row>
    <row r="327" spans="1:11" x14ac:dyDescent="0.35">
      <c r="A327">
        <v>28</v>
      </c>
      <c r="B327" s="6">
        <v>46135</v>
      </c>
      <c r="C327" t="s">
        <v>51</v>
      </c>
      <c r="D327" t="s">
        <v>23</v>
      </c>
      <c r="E327">
        <f>IF(D327="A", INDEX(Matches!$E:$E, MATCH(A327, Matches!$A:$A, 0)), INDEX(Matches!$F:$F, MATCH(A327, Matches!$A:$A, 0)))</f>
        <v>8</v>
      </c>
      <c r="F327">
        <f>IF(D327="A", INDEX(Matches!$F:$F, MATCH(A327, Matches!$A:$A, 0)), INDEX(Matches!$E:$E, MATCH(A327, Matches!$A:$A, 0)))</f>
        <v>6</v>
      </c>
      <c r="G327" t="str">
        <f t="shared" si="26"/>
        <v>Win</v>
      </c>
      <c r="I327">
        <v>2</v>
      </c>
      <c r="K327" t="str">
        <f t="shared" si="21"/>
        <v>28_B</v>
      </c>
    </row>
    <row r="328" spans="1:11" x14ac:dyDescent="0.35">
      <c r="A328">
        <v>28</v>
      </c>
      <c r="B328" s="6">
        <v>46135</v>
      </c>
      <c r="C328" t="s">
        <v>89</v>
      </c>
      <c r="D328" t="s">
        <v>23</v>
      </c>
      <c r="E328">
        <f>IF(D328="A", INDEX(Matches!$E:$E, MATCH(A328, Matches!$A:$A, 0)), INDEX(Matches!$F:$F, MATCH(A328, Matches!$A:$A, 0)))</f>
        <v>8</v>
      </c>
      <c r="F328">
        <f>IF(D328="A", INDEX(Matches!$F:$F, MATCH(A328, Matches!$A:$A, 0)), INDEX(Matches!$E:$E, MATCH(A328, Matches!$A:$A, 0)))</f>
        <v>6</v>
      </c>
      <c r="G328" t="str">
        <f t="shared" si="26"/>
        <v>Win</v>
      </c>
      <c r="I328">
        <v>1</v>
      </c>
      <c r="K328" t="str">
        <f t="shared" si="21"/>
        <v>28_B</v>
      </c>
    </row>
    <row r="329" spans="1:11" x14ac:dyDescent="0.35">
      <c r="A329">
        <v>29</v>
      </c>
      <c r="B329" s="6">
        <v>46135</v>
      </c>
      <c r="C329" t="s">
        <v>21</v>
      </c>
      <c r="D329" t="s">
        <v>17</v>
      </c>
      <c r="E329">
        <f>IF(D329="A", INDEX(Matches!$E:$E, MATCH(A329, Matches!$A:$A, 0)), INDEX(Matches!$F:$F, MATCH(A329, Matches!$A:$A, 0)))</f>
        <v>1</v>
      </c>
      <c r="F329">
        <f>IF(D329="A", INDEX(Matches!$F:$F, MATCH(A329, Matches!$A:$A, 0)), INDEX(Matches!$E:$E, MATCH(A329, Matches!$A:$A, 0)))</f>
        <v>11</v>
      </c>
      <c r="G329" t="str">
        <f t="shared" si="26"/>
        <v>Loss</v>
      </c>
      <c r="H329">
        <v>1</v>
      </c>
      <c r="K329" t="str">
        <f t="shared" si="21"/>
        <v>29_A</v>
      </c>
    </row>
    <row r="330" spans="1:11" x14ac:dyDescent="0.35">
      <c r="A330">
        <v>29</v>
      </c>
      <c r="B330" s="6">
        <v>46135</v>
      </c>
      <c r="C330" t="s">
        <v>99</v>
      </c>
      <c r="D330" t="s">
        <v>17</v>
      </c>
      <c r="E330">
        <f>IF(D330="A", INDEX(Matches!$E:$E, MATCH(A330, Matches!$A:$A, 0)), INDEX(Matches!$F:$F, MATCH(A330, Matches!$A:$A, 0)))</f>
        <v>1</v>
      </c>
      <c r="F330">
        <f>IF(D330="A", INDEX(Matches!$F:$F, MATCH(A330, Matches!$A:$A, 0)), INDEX(Matches!$E:$E, MATCH(A330, Matches!$A:$A, 0)))</f>
        <v>11</v>
      </c>
      <c r="G330" t="str">
        <f t="shared" si="26"/>
        <v>Loss</v>
      </c>
      <c r="K330" t="str">
        <f t="shared" ref="K330:K393" si="27">A330&amp;"_"&amp;D330</f>
        <v>29_A</v>
      </c>
    </row>
    <row r="331" spans="1:11" x14ac:dyDescent="0.35">
      <c r="A331">
        <v>29</v>
      </c>
      <c r="B331" s="6">
        <v>46135</v>
      </c>
      <c r="C331" t="s">
        <v>19</v>
      </c>
      <c r="D331" t="s">
        <v>17</v>
      </c>
      <c r="E331">
        <f>IF(D331="A", INDEX(Matches!$E:$E, MATCH(A331, Matches!$A:$A, 0)), INDEX(Matches!$F:$F, MATCH(A331, Matches!$A:$A, 0)))</f>
        <v>1</v>
      </c>
      <c r="F331">
        <f>IF(D331="A", INDEX(Matches!$F:$F, MATCH(A331, Matches!$A:$A, 0)), INDEX(Matches!$E:$E, MATCH(A331, Matches!$A:$A, 0)))</f>
        <v>11</v>
      </c>
      <c r="G331" t="str">
        <f t="shared" si="26"/>
        <v>Loss</v>
      </c>
      <c r="K331" t="str">
        <f t="shared" si="27"/>
        <v>29_A</v>
      </c>
    </row>
    <row r="332" spans="1:11" x14ac:dyDescent="0.35">
      <c r="A332">
        <v>29</v>
      </c>
      <c r="B332" s="6">
        <v>46135</v>
      </c>
      <c r="C332" t="s">
        <v>84</v>
      </c>
      <c r="D332" t="s">
        <v>17</v>
      </c>
      <c r="E332">
        <f>IF(D332="A", INDEX(Matches!$E:$E, MATCH(A332, Matches!$A:$A, 0)), INDEX(Matches!$F:$F, MATCH(A332, Matches!$A:$A, 0)))</f>
        <v>1</v>
      </c>
      <c r="F332">
        <f>IF(D332="A", INDEX(Matches!$F:$F, MATCH(A332, Matches!$A:$A, 0)), INDEX(Matches!$E:$E, MATCH(A332, Matches!$A:$A, 0)))</f>
        <v>11</v>
      </c>
      <c r="G332" t="str">
        <f t="shared" si="26"/>
        <v>Loss</v>
      </c>
      <c r="K332" t="str">
        <f t="shared" si="27"/>
        <v>29_A</v>
      </c>
    </row>
    <row r="333" spans="1:11" x14ac:dyDescent="0.35">
      <c r="A333">
        <v>29</v>
      </c>
      <c r="B333" s="6">
        <v>46135</v>
      </c>
      <c r="C333" t="s">
        <v>48</v>
      </c>
      <c r="D333" t="s">
        <v>17</v>
      </c>
      <c r="E333">
        <f>IF(D333="A", INDEX(Matches!$E:$E, MATCH(A333, Matches!$A:$A, 0)), INDEX(Matches!$F:$F, MATCH(A333, Matches!$A:$A, 0)))</f>
        <v>1</v>
      </c>
      <c r="F333">
        <f>IF(D333="A", INDEX(Matches!$F:$F, MATCH(A333, Matches!$A:$A, 0)), INDEX(Matches!$E:$E, MATCH(A333, Matches!$A:$A, 0)))</f>
        <v>11</v>
      </c>
      <c r="G333" t="str">
        <f t="shared" si="26"/>
        <v>Loss</v>
      </c>
      <c r="K333" t="str">
        <f t="shared" si="27"/>
        <v>29_A</v>
      </c>
    </row>
    <row r="334" spans="1:11" x14ac:dyDescent="0.35">
      <c r="A334">
        <v>29</v>
      </c>
      <c r="B334" s="6">
        <v>46135</v>
      </c>
      <c r="C334" t="s">
        <v>75</v>
      </c>
      <c r="D334" t="s">
        <v>23</v>
      </c>
      <c r="E334">
        <f>IF(D334="A", INDEX(Matches!$E:$E, MATCH(A334, Matches!$A:$A, 0)), INDEX(Matches!$F:$F, MATCH(A334, Matches!$A:$A, 0)))</f>
        <v>11</v>
      </c>
      <c r="F334">
        <f>IF(D334="A", INDEX(Matches!$F:$F, MATCH(A334, Matches!$A:$A, 0)), INDEX(Matches!$E:$E, MATCH(A334, Matches!$A:$A, 0)))</f>
        <v>1</v>
      </c>
      <c r="G334" t="str">
        <f t="shared" si="26"/>
        <v>Win</v>
      </c>
      <c r="H334">
        <v>1</v>
      </c>
      <c r="I334">
        <v>2</v>
      </c>
      <c r="K334" t="str">
        <f t="shared" si="27"/>
        <v>29_B</v>
      </c>
    </row>
    <row r="335" spans="1:11" x14ac:dyDescent="0.35">
      <c r="A335">
        <v>29</v>
      </c>
      <c r="B335" s="6">
        <v>46135</v>
      </c>
      <c r="C335" t="s">
        <v>41</v>
      </c>
      <c r="D335" t="s">
        <v>23</v>
      </c>
      <c r="E335">
        <f>IF(D335="A", INDEX(Matches!$E:$E, MATCH(A335, Matches!$A:$A, 0)), INDEX(Matches!$F:$F, MATCH(A335, Matches!$A:$A, 0)))</f>
        <v>11</v>
      </c>
      <c r="F335">
        <f>IF(D335="A", INDEX(Matches!$F:$F, MATCH(A335, Matches!$A:$A, 0)), INDEX(Matches!$E:$E, MATCH(A335, Matches!$A:$A, 0)))</f>
        <v>1</v>
      </c>
      <c r="G335" t="str">
        <f t="shared" si="26"/>
        <v>Win</v>
      </c>
      <c r="H335">
        <v>3</v>
      </c>
      <c r="K335" t="str">
        <f t="shared" si="27"/>
        <v>29_B</v>
      </c>
    </row>
    <row r="336" spans="1:11" x14ac:dyDescent="0.35">
      <c r="A336">
        <v>29</v>
      </c>
      <c r="B336" s="6">
        <v>46135</v>
      </c>
      <c r="C336" t="s">
        <v>49</v>
      </c>
      <c r="D336" t="s">
        <v>23</v>
      </c>
      <c r="E336">
        <f>IF(D336="A", INDEX(Matches!$E:$E, MATCH(A336, Matches!$A:$A, 0)), INDEX(Matches!$F:$F, MATCH(A336, Matches!$A:$A, 0)))</f>
        <v>11</v>
      </c>
      <c r="F336">
        <f>IF(D336="A", INDEX(Matches!$F:$F, MATCH(A336, Matches!$A:$A, 0)), INDEX(Matches!$E:$E, MATCH(A336, Matches!$A:$A, 0)))</f>
        <v>1</v>
      </c>
      <c r="G336" t="str">
        <f t="shared" si="26"/>
        <v>Win</v>
      </c>
      <c r="I336">
        <v>4</v>
      </c>
      <c r="K336" t="str">
        <f t="shared" si="27"/>
        <v>29_B</v>
      </c>
    </row>
    <row r="337" spans="1:11" x14ac:dyDescent="0.35">
      <c r="A337">
        <v>29</v>
      </c>
      <c r="B337" s="6">
        <v>46135</v>
      </c>
      <c r="C337" t="s">
        <v>53</v>
      </c>
      <c r="D337" t="s">
        <v>23</v>
      </c>
      <c r="E337">
        <f>IF(D337="A", INDEX(Matches!$E:$E, MATCH(A337, Matches!$A:$A, 0)), INDEX(Matches!$F:$F, MATCH(A337, Matches!$A:$A, 0)))</f>
        <v>11</v>
      </c>
      <c r="F337">
        <f>IF(D337="A", INDEX(Matches!$F:$F, MATCH(A337, Matches!$A:$A, 0)), INDEX(Matches!$E:$E, MATCH(A337, Matches!$A:$A, 0)))</f>
        <v>1</v>
      </c>
      <c r="G337" t="str">
        <f t="shared" si="26"/>
        <v>Win</v>
      </c>
      <c r="H337">
        <v>4</v>
      </c>
      <c r="K337" t="str">
        <f t="shared" si="27"/>
        <v>29_B</v>
      </c>
    </row>
    <row r="338" spans="1:11" x14ac:dyDescent="0.35">
      <c r="A338">
        <v>29</v>
      </c>
      <c r="B338" s="6">
        <v>46135</v>
      </c>
      <c r="C338" t="s">
        <v>86</v>
      </c>
      <c r="D338" t="s">
        <v>23</v>
      </c>
      <c r="E338">
        <f>IF(D338="A", INDEX(Matches!$E:$E, MATCH(A338, Matches!$A:$A, 0)), INDEX(Matches!$F:$F, MATCH(A338, Matches!$A:$A, 0)))</f>
        <v>11</v>
      </c>
      <c r="F338">
        <f>IF(D338="A", INDEX(Matches!$F:$F, MATCH(A338, Matches!$A:$A, 0)), INDEX(Matches!$E:$E, MATCH(A338, Matches!$A:$A, 0)))</f>
        <v>1</v>
      </c>
      <c r="G338" t="str">
        <f t="shared" si="26"/>
        <v>Win</v>
      </c>
      <c r="H338">
        <v>3</v>
      </c>
      <c r="I338">
        <v>1</v>
      </c>
      <c r="K338" t="str">
        <f t="shared" si="27"/>
        <v>29_B</v>
      </c>
    </row>
    <row r="339" spans="1:11" x14ac:dyDescent="0.35">
      <c r="A339">
        <v>30</v>
      </c>
      <c r="B339" s="6">
        <v>46142</v>
      </c>
      <c r="C339" t="s">
        <v>53</v>
      </c>
      <c r="D339" t="s">
        <v>17</v>
      </c>
      <c r="E339">
        <f>IF(D339="A", INDEX(Matches!$E:$E, MATCH(A339, Matches!$A:$A, 0)), INDEX(Matches!$F:$F, MATCH(A339, Matches!$A:$A, 0)))</f>
        <v>7</v>
      </c>
      <c r="F339">
        <f>IF(D339="A", INDEX(Matches!$F:$F, MATCH(A339, Matches!$A:$A, 0)), INDEX(Matches!$E:$E, MATCH(A339, Matches!$A:$A, 0)))</f>
        <v>10</v>
      </c>
      <c r="G339" t="str">
        <f t="shared" ref="G339:G358" si="28">IF(E339&gt;F339,"Win",IF(E339&lt;F339,"Loss","Draw"))</f>
        <v>Loss</v>
      </c>
      <c r="H339">
        <v>1</v>
      </c>
      <c r="I339">
        <v>2</v>
      </c>
      <c r="K339" t="str">
        <f t="shared" si="27"/>
        <v>30_A</v>
      </c>
    </row>
    <row r="340" spans="1:11" x14ac:dyDescent="0.35">
      <c r="A340">
        <v>30</v>
      </c>
      <c r="B340" s="6">
        <v>46142</v>
      </c>
      <c r="C340" t="s">
        <v>99</v>
      </c>
      <c r="D340" t="s">
        <v>17</v>
      </c>
      <c r="E340">
        <f>IF(D340="A", INDEX(Matches!$E:$E, MATCH(A340, Matches!$A:$A, 0)), INDEX(Matches!$F:$F, MATCH(A340, Matches!$A:$A, 0)))</f>
        <v>7</v>
      </c>
      <c r="F340">
        <f>IF(D340="A", INDEX(Matches!$F:$F, MATCH(A340, Matches!$A:$A, 0)), INDEX(Matches!$E:$E, MATCH(A340, Matches!$A:$A, 0)))</f>
        <v>10</v>
      </c>
      <c r="G340" t="str">
        <f t="shared" si="28"/>
        <v>Loss</v>
      </c>
      <c r="K340" t="str">
        <f t="shared" si="27"/>
        <v>30_A</v>
      </c>
    </row>
    <row r="341" spans="1:11" x14ac:dyDescent="0.35">
      <c r="A341">
        <v>30</v>
      </c>
      <c r="B341" s="6">
        <v>46142</v>
      </c>
      <c r="C341" t="s">
        <v>21</v>
      </c>
      <c r="D341" t="s">
        <v>17</v>
      </c>
      <c r="E341">
        <f>IF(D341="A", INDEX(Matches!$E:$E, MATCH(A341, Matches!$A:$A, 0)), INDEX(Matches!$F:$F, MATCH(A341, Matches!$A:$A, 0)))</f>
        <v>7</v>
      </c>
      <c r="F341">
        <f>IF(D341="A", INDEX(Matches!$F:$F, MATCH(A341, Matches!$A:$A, 0)), INDEX(Matches!$E:$E, MATCH(A341, Matches!$A:$A, 0)))</f>
        <v>10</v>
      </c>
      <c r="G341" t="str">
        <f t="shared" si="28"/>
        <v>Loss</v>
      </c>
      <c r="H341">
        <v>1</v>
      </c>
      <c r="I341">
        <v>2</v>
      </c>
      <c r="K341" t="str">
        <f t="shared" si="27"/>
        <v>30_A</v>
      </c>
    </row>
    <row r="342" spans="1:11" x14ac:dyDescent="0.35">
      <c r="A342">
        <v>30</v>
      </c>
      <c r="B342" s="6">
        <v>46142</v>
      </c>
      <c r="C342" t="s">
        <v>88</v>
      </c>
      <c r="D342" t="s">
        <v>17</v>
      </c>
      <c r="E342">
        <f>IF(D342="A", INDEX(Matches!$E:$E, MATCH(A342, Matches!$A:$A, 0)), INDEX(Matches!$F:$F, MATCH(A342, Matches!$A:$A, 0)))</f>
        <v>7</v>
      </c>
      <c r="F342">
        <f>IF(D342="A", INDEX(Matches!$F:$F, MATCH(A342, Matches!$A:$A, 0)), INDEX(Matches!$E:$E, MATCH(A342, Matches!$A:$A, 0)))</f>
        <v>10</v>
      </c>
      <c r="G342" t="str">
        <f t="shared" si="28"/>
        <v>Loss</v>
      </c>
      <c r="H342">
        <v>3</v>
      </c>
      <c r="I342">
        <v>1</v>
      </c>
      <c r="K342" t="str">
        <f t="shared" si="27"/>
        <v>30_A</v>
      </c>
    </row>
    <row r="343" spans="1:11" x14ac:dyDescent="0.35">
      <c r="A343">
        <v>30</v>
      </c>
      <c r="B343" s="6">
        <v>46142</v>
      </c>
      <c r="C343" t="s">
        <v>48</v>
      </c>
      <c r="D343" t="s">
        <v>17</v>
      </c>
      <c r="E343">
        <f>IF(D343="A", INDEX(Matches!$E:$E, MATCH(A343, Matches!$A:$A, 0)), INDEX(Matches!$F:$F, MATCH(A343, Matches!$A:$A, 0)))</f>
        <v>7</v>
      </c>
      <c r="F343">
        <f>IF(D343="A", INDEX(Matches!$F:$F, MATCH(A343, Matches!$A:$A, 0)), INDEX(Matches!$E:$E, MATCH(A343, Matches!$A:$A, 0)))</f>
        <v>10</v>
      </c>
      <c r="G343" t="str">
        <f t="shared" si="28"/>
        <v>Loss</v>
      </c>
      <c r="H343">
        <v>2</v>
      </c>
      <c r="I343">
        <v>1</v>
      </c>
      <c r="K343" t="str">
        <f t="shared" si="27"/>
        <v>30_A</v>
      </c>
    </row>
    <row r="344" spans="1:11" x14ac:dyDescent="0.35">
      <c r="A344">
        <v>30</v>
      </c>
      <c r="B344" s="6">
        <v>46142</v>
      </c>
      <c r="C344" t="s">
        <v>20</v>
      </c>
      <c r="D344" t="s">
        <v>23</v>
      </c>
      <c r="E344">
        <f>IF(D344="A", INDEX(Matches!$E:$E, MATCH(A344, Matches!$A:$A, 0)), INDEX(Matches!$F:$F, MATCH(A344, Matches!$A:$A, 0)))</f>
        <v>10</v>
      </c>
      <c r="F344">
        <f>IF(D344="A", INDEX(Matches!$F:$F, MATCH(A344, Matches!$A:$A, 0)), INDEX(Matches!$E:$E, MATCH(A344, Matches!$A:$A, 0)))</f>
        <v>7</v>
      </c>
      <c r="G344" t="str">
        <f t="shared" si="28"/>
        <v>Win</v>
      </c>
      <c r="H344">
        <v>2</v>
      </c>
      <c r="I344">
        <v>4</v>
      </c>
      <c r="K344" t="str">
        <f t="shared" si="27"/>
        <v>30_B</v>
      </c>
    </row>
    <row r="345" spans="1:11" x14ac:dyDescent="0.35">
      <c r="A345">
        <v>30</v>
      </c>
      <c r="B345" s="6">
        <v>46142</v>
      </c>
      <c r="C345" t="s">
        <v>25</v>
      </c>
      <c r="D345" t="s">
        <v>23</v>
      </c>
      <c r="E345">
        <f>IF(D345="A", INDEX(Matches!$E:$E, MATCH(A345, Matches!$A:$A, 0)), INDEX(Matches!$F:$F, MATCH(A345, Matches!$A:$A, 0)))</f>
        <v>10</v>
      </c>
      <c r="F345">
        <f>IF(D345="A", INDEX(Matches!$F:$F, MATCH(A345, Matches!$A:$A, 0)), INDEX(Matches!$E:$E, MATCH(A345, Matches!$A:$A, 0)))</f>
        <v>7</v>
      </c>
      <c r="G345" t="str">
        <f t="shared" si="28"/>
        <v>Win</v>
      </c>
      <c r="H345">
        <v>1</v>
      </c>
      <c r="K345" t="str">
        <f t="shared" si="27"/>
        <v>30_B</v>
      </c>
    </row>
    <row r="346" spans="1:11" x14ac:dyDescent="0.35">
      <c r="A346">
        <v>30</v>
      </c>
      <c r="B346" s="6">
        <v>46142</v>
      </c>
      <c r="C346" t="s">
        <v>75</v>
      </c>
      <c r="D346" t="s">
        <v>23</v>
      </c>
      <c r="E346">
        <f>IF(D346="A", INDEX(Matches!$E:$E, MATCH(A346, Matches!$A:$A, 0)), INDEX(Matches!$F:$F, MATCH(A346, Matches!$A:$A, 0)))</f>
        <v>10</v>
      </c>
      <c r="F346">
        <f>IF(D346="A", INDEX(Matches!$F:$F, MATCH(A346, Matches!$A:$A, 0)), INDEX(Matches!$E:$E, MATCH(A346, Matches!$A:$A, 0)))</f>
        <v>7</v>
      </c>
      <c r="G346" t="str">
        <f t="shared" si="28"/>
        <v>Win</v>
      </c>
      <c r="H346">
        <v>4</v>
      </c>
      <c r="K346" t="str">
        <f t="shared" si="27"/>
        <v>30_B</v>
      </c>
    </row>
    <row r="347" spans="1:11" x14ac:dyDescent="0.35">
      <c r="A347">
        <v>30</v>
      </c>
      <c r="B347" s="6">
        <v>46142</v>
      </c>
      <c r="C347" t="s">
        <v>49</v>
      </c>
      <c r="D347" t="s">
        <v>23</v>
      </c>
      <c r="E347">
        <f>IF(D347="A", INDEX(Matches!$E:$E, MATCH(A347, Matches!$A:$A, 0)), INDEX(Matches!$F:$F, MATCH(A347, Matches!$A:$A, 0)))</f>
        <v>10</v>
      </c>
      <c r="F347">
        <f>IF(D347="A", INDEX(Matches!$F:$F, MATCH(A347, Matches!$A:$A, 0)), INDEX(Matches!$E:$E, MATCH(A347, Matches!$A:$A, 0)))</f>
        <v>7</v>
      </c>
      <c r="G347" t="str">
        <f t="shared" si="28"/>
        <v>Win</v>
      </c>
      <c r="H347">
        <v>2</v>
      </c>
      <c r="I347">
        <v>2</v>
      </c>
      <c r="K347" t="str">
        <f t="shared" si="27"/>
        <v>30_B</v>
      </c>
    </row>
    <row r="348" spans="1:11" x14ac:dyDescent="0.35">
      <c r="A348">
        <v>30</v>
      </c>
      <c r="B348" s="6">
        <v>46142</v>
      </c>
      <c r="C348" t="s">
        <v>77</v>
      </c>
      <c r="D348" t="s">
        <v>23</v>
      </c>
      <c r="E348">
        <f>IF(D348="A", INDEX(Matches!$E:$E, MATCH(A348, Matches!$A:$A, 0)), INDEX(Matches!$F:$F, MATCH(A348, Matches!$A:$A, 0)))</f>
        <v>10</v>
      </c>
      <c r="F348">
        <f>IF(D348="A", INDEX(Matches!$F:$F, MATCH(A348, Matches!$A:$A, 0)), INDEX(Matches!$E:$E, MATCH(A348, Matches!$A:$A, 0)))</f>
        <v>7</v>
      </c>
      <c r="G348" t="str">
        <f t="shared" si="28"/>
        <v>Win</v>
      </c>
      <c r="H348">
        <v>1</v>
      </c>
      <c r="K348" t="str">
        <f t="shared" si="27"/>
        <v>30_B</v>
      </c>
    </row>
    <row r="349" spans="1:11" x14ac:dyDescent="0.35">
      <c r="A349">
        <v>31</v>
      </c>
      <c r="B349" s="6">
        <v>46142</v>
      </c>
      <c r="C349" t="s">
        <v>51</v>
      </c>
      <c r="D349" t="s">
        <v>17</v>
      </c>
      <c r="E349">
        <f>IF(D349="A", INDEX(Matches!$E:$E, MATCH(A349, Matches!$A:$A, 0)), INDEX(Matches!$F:$F, MATCH(A349, Matches!$A:$A, 0)))</f>
        <v>10</v>
      </c>
      <c r="F349">
        <f>IF(D349="A", INDEX(Matches!$F:$F, MATCH(A349, Matches!$A:$A, 0)), INDEX(Matches!$E:$E, MATCH(A349, Matches!$A:$A, 0)))</f>
        <v>5</v>
      </c>
      <c r="G349" t="str">
        <f t="shared" si="28"/>
        <v>Win</v>
      </c>
      <c r="H349">
        <v>1</v>
      </c>
      <c r="I349">
        <v>3</v>
      </c>
      <c r="K349" t="str">
        <f t="shared" si="27"/>
        <v>31_A</v>
      </c>
    </row>
    <row r="350" spans="1:11" x14ac:dyDescent="0.35">
      <c r="A350">
        <v>31</v>
      </c>
      <c r="B350" s="6">
        <v>46142</v>
      </c>
      <c r="C350" t="s">
        <v>22</v>
      </c>
      <c r="D350" t="s">
        <v>17</v>
      </c>
      <c r="E350">
        <f>IF(D350="A", INDEX(Matches!$E:$E, MATCH(A350, Matches!$A:$A, 0)), INDEX(Matches!$F:$F, MATCH(A350, Matches!$A:$A, 0)))</f>
        <v>10</v>
      </c>
      <c r="F350">
        <f>IF(D350="A", INDEX(Matches!$F:$F, MATCH(A350, Matches!$A:$A, 0)), INDEX(Matches!$E:$E, MATCH(A350, Matches!$A:$A, 0)))</f>
        <v>5</v>
      </c>
      <c r="G350" t="str">
        <f t="shared" si="28"/>
        <v>Win</v>
      </c>
      <c r="H350">
        <v>1</v>
      </c>
      <c r="I350">
        <v>1</v>
      </c>
      <c r="K350" t="str">
        <f t="shared" si="27"/>
        <v>31_A</v>
      </c>
    </row>
    <row r="351" spans="1:11" x14ac:dyDescent="0.35">
      <c r="A351">
        <v>31</v>
      </c>
      <c r="B351" s="6">
        <v>46142</v>
      </c>
      <c r="C351" t="s">
        <v>19</v>
      </c>
      <c r="D351" t="s">
        <v>17</v>
      </c>
      <c r="E351">
        <f>IF(D351="A", INDEX(Matches!$E:$E, MATCH(A351, Matches!$A:$A, 0)), INDEX(Matches!$F:$F, MATCH(A351, Matches!$A:$A, 0)))</f>
        <v>10</v>
      </c>
      <c r="F351">
        <f>IF(D351="A", INDEX(Matches!$F:$F, MATCH(A351, Matches!$A:$A, 0)), INDEX(Matches!$E:$E, MATCH(A351, Matches!$A:$A, 0)))</f>
        <v>5</v>
      </c>
      <c r="G351" t="str">
        <f t="shared" si="28"/>
        <v>Win</v>
      </c>
      <c r="H351">
        <v>4</v>
      </c>
      <c r="K351" t="str">
        <f t="shared" si="27"/>
        <v>31_A</v>
      </c>
    </row>
    <row r="352" spans="1:11" x14ac:dyDescent="0.35">
      <c r="A352">
        <v>31</v>
      </c>
      <c r="B352" s="6">
        <v>46142</v>
      </c>
      <c r="C352" t="s">
        <v>89</v>
      </c>
      <c r="D352" t="s">
        <v>17</v>
      </c>
      <c r="E352">
        <f>IF(D352="A", INDEX(Matches!$E:$E, MATCH(A352, Matches!$A:$A, 0)), INDEX(Matches!$F:$F, MATCH(A352, Matches!$A:$A, 0)))</f>
        <v>10</v>
      </c>
      <c r="F352">
        <f>IF(D352="A", INDEX(Matches!$F:$F, MATCH(A352, Matches!$A:$A, 0)), INDEX(Matches!$E:$E, MATCH(A352, Matches!$A:$A, 0)))</f>
        <v>5</v>
      </c>
      <c r="G352" t="str">
        <f t="shared" si="28"/>
        <v>Win</v>
      </c>
      <c r="H352">
        <v>2</v>
      </c>
      <c r="I352">
        <v>3</v>
      </c>
      <c r="K352" t="str">
        <f t="shared" si="27"/>
        <v>31_A</v>
      </c>
    </row>
    <row r="353" spans="1:11" x14ac:dyDescent="0.35">
      <c r="A353">
        <v>31</v>
      </c>
      <c r="B353" s="6">
        <v>46142</v>
      </c>
      <c r="C353" t="s">
        <v>40</v>
      </c>
      <c r="D353" t="s">
        <v>17</v>
      </c>
      <c r="E353">
        <f>IF(D353="A", INDEX(Matches!$E:$E, MATCH(A353, Matches!$A:$A, 0)), INDEX(Matches!$F:$F, MATCH(A353, Matches!$A:$A, 0)))</f>
        <v>10</v>
      </c>
      <c r="F353">
        <f>IF(D353="A", INDEX(Matches!$F:$F, MATCH(A353, Matches!$A:$A, 0)), INDEX(Matches!$E:$E, MATCH(A353, Matches!$A:$A, 0)))</f>
        <v>5</v>
      </c>
      <c r="G353" t="str">
        <f t="shared" si="28"/>
        <v>Win</v>
      </c>
      <c r="H353">
        <v>2</v>
      </c>
      <c r="I353">
        <v>2</v>
      </c>
      <c r="K353" t="str">
        <f t="shared" si="27"/>
        <v>31_A</v>
      </c>
    </row>
    <row r="354" spans="1:11" x14ac:dyDescent="0.35">
      <c r="A354">
        <v>31</v>
      </c>
      <c r="B354" s="6">
        <v>46142</v>
      </c>
      <c r="C354" t="s">
        <v>41</v>
      </c>
      <c r="D354" t="s">
        <v>23</v>
      </c>
      <c r="E354">
        <f>IF(D354="A", INDEX(Matches!$E:$E, MATCH(A354, Matches!$A:$A, 0)), INDEX(Matches!$F:$F, MATCH(A354, Matches!$A:$A, 0)))</f>
        <v>5</v>
      </c>
      <c r="F354">
        <f>IF(D354="A", INDEX(Matches!$F:$F, MATCH(A354, Matches!$A:$A, 0)), INDEX(Matches!$E:$E, MATCH(A354, Matches!$A:$A, 0)))</f>
        <v>10</v>
      </c>
      <c r="G354" t="str">
        <f t="shared" si="28"/>
        <v>Loss</v>
      </c>
      <c r="H354">
        <v>1</v>
      </c>
      <c r="I354">
        <v>2</v>
      </c>
      <c r="K354" t="str">
        <f t="shared" si="27"/>
        <v>31_B</v>
      </c>
    </row>
    <row r="355" spans="1:11" x14ac:dyDescent="0.35">
      <c r="A355">
        <v>31</v>
      </c>
      <c r="B355" s="6">
        <v>46142</v>
      </c>
      <c r="C355" t="s">
        <v>46</v>
      </c>
      <c r="D355" t="s">
        <v>23</v>
      </c>
      <c r="E355">
        <f>IF(D355="A", INDEX(Matches!$E:$E, MATCH(A355, Matches!$A:$A, 0)), INDEX(Matches!$F:$F, MATCH(A355, Matches!$A:$A, 0)))</f>
        <v>5</v>
      </c>
      <c r="F355">
        <f>IF(D355="A", INDEX(Matches!$F:$F, MATCH(A355, Matches!$A:$A, 0)), INDEX(Matches!$E:$E, MATCH(A355, Matches!$A:$A, 0)))</f>
        <v>10</v>
      </c>
      <c r="G355" t="str">
        <f t="shared" si="28"/>
        <v>Loss</v>
      </c>
      <c r="H355">
        <v>3</v>
      </c>
      <c r="K355" t="str">
        <f t="shared" si="27"/>
        <v>31_B</v>
      </c>
    </row>
    <row r="356" spans="1:11" x14ac:dyDescent="0.35">
      <c r="A356">
        <v>31</v>
      </c>
      <c r="B356" s="6">
        <v>46142</v>
      </c>
      <c r="C356" t="s">
        <v>43</v>
      </c>
      <c r="D356" t="s">
        <v>23</v>
      </c>
      <c r="E356">
        <f>IF(D356="A", INDEX(Matches!$E:$E, MATCH(A356, Matches!$A:$A, 0)), INDEX(Matches!$F:$F, MATCH(A356, Matches!$A:$A, 0)))</f>
        <v>5</v>
      </c>
      <c r="F356">
        <f>IF(D356="A", INDEX(Matches!$F:$F, MATCH(A356, Matches!$A:$A, 0)), INDEX(Matches!$E:$E, MATCH(A356, Matches!$A:$A, 0)))</f>
        <v>10</v>
      </c>
      <c r="G356" t="str">
        <f t="shared" si="28"/>
        <v>Loss</v>
      </c>
      <c r="K356" t="str">
        <f t="shared" si="27"/>
        <v>31_B</v>
      </c>
    </row>
    <row r="357" spans="1:11" x14ac:dyDescent="0.35">
      <c r="A357">
        <v>31</v>
      </c>
      <c r="B357" s="6">
        <v>46142</v>
      </c>
      <c r="C357" t="s">
        <v>54</v>
      </c>
      <c r="D357" t="s">
        <v>23</v>
      </c>
      <c r="E357">
        <f>IF(D357="A", INDEX(Matches!$E:$E, MATCH(A357, Matches!$A:$A, 0)), INDEX(Matches!$F:$F, MATCH(A357, Matches!$A:$A, 0)))</f>
        <v>5</v>
      </c>
      <c r="F357">
        <f>IF(D357="A", INDEX(Matches!$F:$F, MATCH(A357, Matches!$A:$A, 0)), INDEX(Matches!$E:$E, MATCH(A357, Matches!$A:$A, 0)))</f>
        <v>10</v>
      </c>
      <c r="G357" t="str">
        <f t="shared" si="28"/>
        <v>Loss</v>
      </c>
      <c r="H357">
        <v>1</v>
      </c>
      <c r="I357">
        <v>2</v>
      </c>
      <c r="K357" t="str">
        <f t="shared" si="27"/>
        <v>31_B</v>
      </c>
    </row>
    <row r="358" spans="1:11" x14ac:dyDescent="0.35">
      <c r="A358">
        <v>31</v>
      </c>
      <c r="B358" s="6">
        <v>46142</v>
      </c>
      <c r="C358" t="s">
        <v>42</v>
      </c>
      <c r="D358" t="s">
        <v>23</v>
      </c>
      <c r="E358">
        <f>IF(D358="A", INDEX(Matches!$E:$E, MATCH(A358, Matches!$A:$A, 0)), INDEX(Matches!$F:$F, MATCH(A358, Matches!$A:$A, 0)))</f>
        <v>5</v>
      </c>
      <c r="F358">
        <f>IF(D358="A", INDEX(Matches!$F:$F, MATCH(A358, Matches!$A:$A, 0)), INDEX(Matches!$E:$E, MATCH(A358, Matches!$A:$A, 0)))</f>
        <v>10</v>
      </c>
      <c r="G358" t="str">
        <f t="shared" si="28"/>
        <v>Loss</v>
      </c>
      <c r="K358" t="str">
        <f t="shared" si="27"/>
        <v>31_B</v>
      </c>
    </row>
    <row r="359" spans="1:11" x14ac:dyDescent="0.35">
      <c r="A359">
        <v>32</v>
      </c>
      <c r="B359" s="6">
        <v>46149</v>
      </c>
      <c r="C359" t="s">
        <v>53</v>
      </c>
      <c r="D359" t="s">
        <v>17</v>
      </c>
      <c r="E359">
        <f>IF(D359="A", INDEX(Matches!$E:$E, MATCH(A359, Matches!$A:$A, 0)), INDEX(Matches!$F:$F, MATCH(A359, Matches!$A:$A, 0)))</f>
        <v>2</v>
      </c>
      <c r="F359">
        <f>IF(D359="A", INDEX(Matches!$F:$F, MATCH(A359, Matches!$A:$A, 0)), INDEX(Matches!$E:$E, MATCH(A359, Matches!$A:$A, 0)))</f>
        <v>4</v>
      </c>
      <c r="G359" t="str">
        <f t="shared" ref="G359:G374" si="29">IF(E359&gt;F359,"Win",IF(E359&lt;F359,"Loss","Draw"))</f>
        <v>Loss</v>
      </c>
      <c r="K359" t="str">
        <f t="shared" si="27"/>
        <v>32_A</v>
      </c>
    </row>
    <row r="360" spans="1:11" x14ac:dyDescent="0.35">
      <c r="A360">
        <v>32</v>
      </c>
      <c r="B360" s="6">
        <v>46149</v>
      </c>
      <c r="C360" t="s">
        <v>66</v>
      </c>
      <c r="D360" t="s">
        <v>17</v>
      </c>
      <c r="E360">
        <f>IF(D360="A", INDEX(Matches!$E:$E, MATCH(A360, Matches!$A:$A, 0)), INDEX(Matches!$F:$F, MATCH(A360, Matches!$A:$A, 0)))</f>
        <v>2</v>
      </c>
      <c r="F360">
        <f>IF(D360="A", INDEX(Matches!$F:$F, MATCH(A360, Matches!$A:$A, 0)), INDEX(Matches!$E:$E, MATCH(A360, Matches!$A:$A, 0)))</f>
        <v>4</v>
      </c>
      <c r="G360" t="str">
        <f t="shared" si="29"/>
        <v>Loss</v>
      </c>
      <c r="H360">
        <v>1</v>
      </c>
      <c r="K360" t="str">
        <f t="shared" si="27"/>
        <v>32_A</v>
      </c>
    </row>
    <row r="361" spans="1:11" x14ac:dyDescent="0.35">
      <c r="A361">
        <v>32</v>
      </c>
      <c r="B361" s="6">
        <v>46149</v>
      </c>
      <c r="C361" t="s">
        <v>46</v>
      </c>
      <c r="D361" t="s">
        <v>17</v>
      </c>
      <c r="E361">
        <f>IF(D361="A", INDEX(Matches!$E:$E, MATCH(A361, Matches!$A:$A, 0)), INDEX(Matches!$F:$F, MATCH(A361, Matches!$A:$A, 0)))</f>
        <v>2</v>
      </c>
      <c r="F361">
        <f>IF(D361="A", INDEX(Matches!$F:$F, MATCH(A361, Matches!$A:$A, 0)), INDEX(Matches!$E:$E, MATCH(A361, Matches!$A:$A, 0)))</f>
        <v>4</v>
      </c>
      <c r="G361" t="str">
        <f t="shared" si="29"/>
        <v>Loss</v>
      </c>
      <c r="H361">
        <v>1</v>
      </c>
      <c r="K361" t="str">
        <f t="shared" si="27"/>
        <v>32_A</v>
      </c>
    </row>
    <row r="362" spans="1:11" x14ac:dyDescent="0.35">
      <c r="A362">
        <v>32</v>
      </c>
      <c r="B362" s="6">
        <v>46149</v>
      </c>
      <c r="C362" t="s">
        <v>42</v>
      </c>
      <c r="D362" t="s">
        <v>17</v>
      </c>
      <c r="E362">
        <f>IF(D362="A", INDEX(Matches!$E:$E, MATCH(A362, Matches!$A:$A, 0)), INDEX(Matches!$F:$F, MATCH(A362, Matches!$A:$A, 0)))</f>
        <v>2</v>
      </c>
      <c r="F362">
        <f>IF(D362="A", INDEX(Matches!$F:$F, MATCH(A362, Matches!$A:$A, 0)), INDEX(Matches!$E:$E, MATCH(A362, Matches!$A:$A, 0)))</f>
        <v>4</v>
      </c>
      <c r="G362" t="str">
        <f t="shared" si="29"/>
        <v>Loss</v>
      </c>
      <c r="I362">
        <v>1</v>
      </c>
      <c r="K362" t="str">
        <f t="shared" si="27"/>
        <v>32_A</v>
      </c>
    </row>
    <row r="363" spans="1:11" x14ac:dyDescent="0.35">
      <c r="A363">
        <v>32</v>
      </c>
      <c r="B363" s="6">
        <v>46149</v>
      </c>
      <c r="C363" t="s">
        <v>49</v>
      </c>
      <c r="D363" t="s">
        <v>17</v>
      </c>
      <c r="E363">
        <f>IF(D363="A", INDEX(Matches!$E:$E, MATCH(A363, Matches!$A:$A, 0)), INDEX(Matches!$F:$F, MATCH(A363, Matches!$A:$A, 0)))</f>
        <v>2</v>
      </c>
      <c r="F363">
        <f>IF(D363="A", INDEX(Matches!$F:$F, MATCH(A363, Matches!$A:$A, 0)), INDEX(Matches!$E:$E, MATCH(A363, Matches!$A:$A, 0)))</f>
        <v>4</v>
      </c>
      <c r="G363" t="str">
        <f t="shared" si="29"/>
        <v>Loss</v>
      </c>
      <c r="K363" t="str">
        <f t="shared" si="27"/>
        <v>32_A</v>
      </c>
    </row>
    <row r="364" spans="1:11" x14ac:dyDescent="0.35">
      <c r="A364">
        <v>32</v>
      </c>
      <c r="B364" s="6">
        <v>46149</v>
      </c>
      <c r="C364" t="s">
        <v>54</v>
      </c>
      <c r="D364" t="s">
        <v>17</v>
      </c>
      <c r="E364">
        <f>IF(D364="A", INDEX(Matches!$E:$E, MATCH(A364, Matches!$A:$A, 0)), INDEX(Matches!$F:$F, MATCH(A364, Matches!$A:$A, 0)))</f>
        <v>2</v>
      </c>
      <c r="F364">
        <f>IF(D364="A", INDEX(Matches!$F:$F, MATCH(A364, Matches!$A:$A, 0)), INDEX(Matches!$E:$E, MATCH(A364, Matches!$A:$A, 0)))</f>
        <v>4</v>
      </c>
      <c r="G364" t="str">
        <f t="shared" si="29"/>
        <v>Loss</v>
      </c>
      <c r="K364" t="str">
        <f t="shared" si="27"/>
        <v>32_A</v>
      </c>
    </row>
    <row r="365" spans="1:11" x14ac:dyDescent="0.35">
      <c r="A365">
        <v>32</v>
      </c>
      <c r="B365" s="6">
        <v>46149</v>
      </c>
      <c r="C365" t="s">
        <v>88</v>
      </c>
      <c r="D365" t="s">
        <v>17</v>
      </c>
      <c r="E365">
        <f>IF(D365="A", INDEX(Matches!$E:$E, MATCH(A365, Matches!$A:$A, 0)), INDEX(Matches!$F:$F, MATCH(A365, Matches!$A:$A, 0)))</f>
        <v>2</v>
      </c>
      <c r="F365">
        <f>IF(D365="A", INDEX(Matches!$F:$F, MATCH(A365, Matches!$A:$A, 0)), INDEX(Matches!$E:$E, MATCH(A365, Matches!$A:$A, 0)))</f>
        <v>4</v>
      </c>
      <c r="G365" t="str">
        <f t="shared" si="29"/>
        <v>Loss</v>
      </c>
      <c r="K365" t="str">
        <f t="shared" si="27"/>
        <v>32_A</v>
      </c>
    </row>
    <row r="366" spans="1:11" x14ac:dyDescent="0.35">
      <c r="A366">
        <v>32</v>
      </c>
      <c r="B366" s="6">
        <v>46149</v>
      </c>
      <c r="C366" t="s">
        <v>21</v>
      </c>
      <c r="D366" t="s">
        <v>17</v>
      </c>
      <c r="E366">
        <f>IF(D366="A", INDEX(Matches!$E:$E, MATCH(A366, Matches!$A:$A, 0)), INDEX(Matches!$F:$F, MATCH(A366, Matches!$A:$A, 0)))</f>
        <v>2</v>
      </c>
      <c r="F366">
        <f>IF(D366="A", INDEX(Matches!$F:$F, MATCH(A366, Matches!$A:$A, 0)), INDEX(Matches!$E:$E, MATCH(A366, Matches!$A:$A, 0)))</f>
        <v>4</v>
      </c>
      <c r="G366" t="str">
        <f t="shared" si="29"/>
        <v>Loss</v>
      </c>
      <c r="I366">
        <v>1</v>
      </c>
      <c r="K366" t="str">
        <f t="shared" si="27"/>
        <v>32_A</v>
      </c>
    </row>
    <row r="367" spans="1:11" x14ac:dyDescent="0.35">
      <c r="A367">
        <v>32</v>
      </c>
      <c r="B367" s="6">
        <v>46149</v>
      </c>
      <c r="C367" t="s">
        <v>16</v>
      </c>
      <c r="D367" t="s">
        <v>23</v>
      </c>
      <c r="E367">
        <f>IF(D367="A", INDEX(Matches!$E:$E, MATCH(A367, Matches!$A:$A, 0)), INDEX(Matches!$F:$F, MATCH(A367, Matches!$A:$A, 0)))</f>
        <v>4</v>
      </c>
      <c r="F367">
        <f>IF(D367="A", INDEX(Matches!$F:$F, MATCH(A367, Matches!$A:$A, 0)), INDEX(Matches!$E:$E, MATCH(A367, Matches!$A:$A, 0)))</f>
        <v>2</v>
      </c>
      <c r="G367" t="str">
        <f t="shared" si="29"/>
        <v>Win</v>
      </c>
      <c r="K367" t="str">
        <f t="shared" si="27"/>
        <v>32_B</v>
      </c>
    </row>
    <row r="368" spans="1:11" x14ac:dyDescent="0.35">
      <c r="A368">
        <v>32</v>
      </c>
      <c r="B368" s="6">
        <v>46149</v>
      </c>
      <c r="C368" t="s">
        <v>20</v>
      </c>
      <c r="D368" t="s">
        <v>23</v>
      </c>
      <c r="E368">
        <f>IF(D368="A", INDEX(Matches!$E:$E, MATCH(A368, Matches!$A:$A, 0)), INDEX(Matches!$F:$F, MATCH(A368, Matches!$A:$A, 0)))</f>
        <v>4</v>
      </c>
      <c r="F368">
        <f>IF(D368="A", INDEX(Matches!$F:$F, MATCH(A368, Matches!$A:$A, 0)), INDEX(Matches!$E:$E, MATCH(A368, Matches!$A:$A, 0)))</f>
        <v>2</v>
      </c>
      <c r="G368" t="str">
        <f t="shared" si="29"/>
        <v>Win</v>
      </c>
      <c r="K368" t="str">
        <f t="shared" si="27"/>
        <v>32_B</v>
      </c>
    </row>
    <row r="369" spans="1:11" x14ac:dyDescent="0.35">
      <c r="A369">
        <v>32</v>
      </c>
      <c r="B369" s="6">
        <v>46149</v>
      </c>
      <c r="C369" t="s">
        <v>41</v>
      </c>
      <c r="D369" t="s">
        <v>23</v>
      </c>
      <c r="E369">
        <f>IF(D369="A", INDEX(Matches!$E:$E, MATCH(A369, Matches!$A:$A, 0)), INDEX(Matches!$F:$F, MATCH(A369, Matches!$A:$A, 0)))</f>
        <v>4</v>
      </c>
      <c r="F369">
        <f>IF(D369="A", INDEX(Matches!$F:$F, MATCH(A369, Matches!$A:$A, 0)), INDEX(Matches!$E:$E, MATCH(A369, Matches!$A:$A, 0)))</f>
        <v>2</v>
      </c>
      <c r="G369" t="str">
        <f t="shared" si="29"/>
        <v>Win</v>
      </c>
      <c r="K369" t="str">
        <f t="shared" si="27"/>
        <v>32_B</v>
      </c>
    </row>
    <row r="370" spans="1:11" x14ac:dyDescent="0.35">
      <c r="A370">
        <v>32</v>
      </c>
      <c r="B370" s="6">
        <v>46149</v>
      </c>
      <c r="C370" t="s">
        <v>22</v>
      </c>
      <c r="D370" t="s">
        <v>23</v>
      </c>
      <c r="E370">
        <f>IF(D370="A", INDEX(Matches!$E:$E, MATCH(A370, Matches!$A:$A, 0)), INDEX(Matches!$F:$F, MATCH(A370, Matches!$A:$A, 0)))</f>
        <v>4</v>
      </c>
      <c r="F370">
        <f>IF(D370="A", INDEX(Matches!$F:$F, MATCH(A370, Matches!$A:$A, 0)), INDEX(Matches!$E:$E, MATCH(A370, Matches!$A:$A, 0)))</f>
        <v>2</v>
      </c>
      <c r="G370" t="str">
        <f t="shared" si="29"/>
        <v>Win</v>
      </c>
      <c r="K370" t="str">
        <f t="shared" si="27"/>
        <v>32_B</v>
      </c>
    </row>
    <row r="371" spans="1:11" x14ac:dyDescent="0.35">
      <c r="A371">
        <v>32</v>
      </c>
      <c r="B371" s="6">
        <v>46149</v>
      </c>
      <c r="C371" t="s">
        <v>43</v>
      </c>
      <c r="D371" t="s">
        <v>23</v>
      </c>
      <c r="E371">
        <f>IF(D371="A", INDEX(Matches!$E:$E, MATCH(A371, Matches!$A:$A, 0)), INDEX(Matches!$F:$F, MATCH(A371, Matches!$A:$A, 0)))</f>
        <v>4</v>
      </c>
      <c r="F371">
        <f>IF(D371="A", INDEX(Matches!$F:$F, MATCH(A371, Matches!$A:$A, 0)), INDEX(Matches!$E:$E, MATCH(A371, Matches!$A:$A, 0)))</f>
        <v>2</v>
      </c>
      <c r="G371" t="str">
        <f t="shared" si="29"/>
        <v>Win</v>
      </c>
      <c r="K371" t="str">
        <f t="shared" si="27"/>
        <v>32_B</v>
      </c>
    </row>
    <row r="372" spans="1:11" x14ac:dyDescent="0.35">
      <c r="A372">
        <v>32</v>
      </c>
      <c r="B372" s="6">
        <v>46149</v>
      </c>
      <c r="C372" t="s">
        <v>89</v>
      </c>
      <c r="D372" t="s">
        <v>23</v>
      </c>
      <c r="E372">
        <f>IF(D372="A", INDEX(Matches!$E:$E, MATCH(A372, Matches!$A:$A, 0)), INDEX(Matches!$F:$F, MATCH(A372, Matches!$A:$A, 0)))</f>
        <v>4</v>
      </c>
      <c r="F372">
        <f>IF(D372="A", INDEX(Matches!$F:$F, MATCH(A372, Matches!$A:$A, 0)), INDEX(Matches!$E:$E, MATCH(A372, Matches!$A:$A, 0)))</f>
        <v>2</v>
      </c>
      <c r="G372" t="str">
        <f t="shared" si="29"/>
        <v>Win</v>
      </c>
      <c r="H372">
        <v>3</v>
      </c>
      <c r="I372">
        <v>1</v>
      </c>
      <c r="K372" t="str">
        <f t="shared" si="27"/>
        <v>32_B</v>
      </c>
    </row>
    <row r="373" spans="1:11" x14ac:dyDescent="0.35">
      <c r="A373">
        <v>32</v>
      </c>
      <c r="B373" s="6">
        <v>46149</v>
      </c>
      <c r="C373" t="s">
        <v>75</v>
      </c>
      <c r="D373" t="s">
        <v>23</v>
      </c>
      <c r="E373">
        <f>IF(D373="A", INDEX(Matches!$E:$E, MATCH(A373, Matches!$A:$A, 0)), INDEX(Matches!$F:$F, MATCH(A373, Matches!$A:$A, 0)))</f>
        <v>4</v>
      </c>
      <c r="F373">
        <f>IF(D373="A", INDEX(Matches!$F:$F, MATCH(A373, Matches!$A:$A, 0)), INDEX(Matches!$E:$E, MATCH(A373, Matches!$A:$A, 0)))</f>
        <v>2</v>
      </c>
      <c r="G373" t="str">
        <f t="shared" si="29"/>
        <v>Win</v>
      </c>
      <c r="H373">
        <v>1</v>
      </c>
      <c r="I373">
        <v>3</v>
      </c>
      <c r="K373" t="str">
        <f t="shared" si="27"/>
        <v>32_B</v>
      </c>
    </row>
    <row r="374" spans="1:11" x14ac:dyDescent="0.35">
      <c r="A374">
        <v>32</v>
      </c>
      <c r="B374" s="6">
        <v>46149</v>
      </c>
      <c r="C374" t="s">
        <v>99</v>
      </c>
      <c r="D374" t="s">
        <v>23</v>
      </c>
      <c r="E374">
        <f>IF(D374="A", INDEX(Matches!$E:$E, MATCH(A374, Matches!$A:$A, 0)), INDEX(Matches!$F:$F, MATCH(A374, Matches!$A:$A, 0)))</f>
        <v>4</v>
      </c>
      <c r="F374">
        <f>IF(D374="A", INDEX(Matches!$F:$F, MATCH(A374, Matches!$A:$A, 0)), INDEX(Matches!$E:$E, MATCH(A374, Matches!$A:$A, 0)))</f>
        <v>2</v>
      </c>
      <c r="G374" t="str">
        <f t="shared" si="29"/>
        <v>Win</v>
      </c>
      <c r="K374" t="str">
        <f t="shared" si="27"/>
        <v>32_B</v>
      </c>
    </row>
    <row r="375" spans="1:11" x14ac:dyDescent="0.35">
      <c r="A375">
        <v>33</v>
      </c>
      <c r="B375" s="6">
        <v>46156</v>
      </c>
      <c r="C375" t="s">
        <v>53</v>
      </c>
      <c r="D375" t="s">
        <v>17</v>
      </c>
      <c r="E375">
        <f>IF(D375="A", INDEX(Matches!$E:$E, MATCH(A375, Matches!$A:$A, 0)), INDEX(Matches!$F:$F, MATCH(A375, Matches!$A:$A, 0)))</f>
        <v>6</v>
      </c>
      <c r="F375">
        <f>IF(D375="A", INDEX(Matches!$F:$F, MATCH(A375, Matches!$A:$A, 0)), INDEX(Matches!$E:$E, MATCH(A375, Matches!$A:$A, 0)))</f>
        <v>4</v>
      </c>
      <c r="G375" t="str">
        <f t="shared" ref="G375:G402" si="30">IF(E375&gt;F375,"Win",IF(E375&lt;F375,"Loss","Draw"))</f>
        <v>Win</v>
      </c>
      <c r="H375">
        <v>1</v>
      </c>
      <c r="K375" t="str">
        <f t="shared" si="27"/>
        <v>33_A</v>
      </c>
    </row>
    <row r="376" spans="1:11" x14ac:dyDescent="0.35">
      <c r="A376">
        <v>33</v>
      </c>
      <c r="B376" s="6">
        <v>46156</v>
      </c>
      <c r="C376" t="s">
        <v>49</v>
      </c>
      <c r="D376" t="s">
        <v>17</v>
      </c>
      <c r="E376">
        <f>IF(D376="A", INDEX(Matches!$E:$E, MATCH(A376, Matches!$A:$A, 0)), INDEX(Matches!$F:$F, MATCH(A376, Matches!$A:$A, 0)))</f>
        <v>6</v>
      </c>
      <c r="F376">
        <f>IF(D376="A", INDEX(Matches!$F:$F, MATCH(A376, Matches!$A:$A, 0)), INDEX(Matches!$E:$E, MATCH(A376, Matches!$A:$A, 0)))</f>
        <v>4</v>
      </c>
      <c r="G376" t="str">
        <f t="shared" si="30"/>
        <v>Win</v>
      </c>
      <c r="K376" t="str">
        <f t="shared" si="27"/>
        <v>33_A</v>
      </c>
    </row>
    <row r="377" spans="1:11" x14ac:dyDescent="0.35">
      <c r="A377">
        <v>33</v>
      </c>
      <c r="B377" s="6">
        <v>46156</v>
      </c>
      <c r="C377" t="s">
        <v>75</v>
      </c>
      <c r="D377" t="s">
        <v>17</v>
      </c>
      <c r="E377">
        <f>IF(D377="A", INDEX(Matches!$E:$E, MATCH(A377, Matches!$A:$A, 0)), INDEX(Matches!$F:$F, MATCH(A377, Matches!$A:$A, 0)))</f>
        <v>6</v>
      </c>
      <c r="F377">
        <f>IF(D377="A", INDEX(Matches!$F:$F, MATCH(A377, Matches!$A:$A, 0)), INDEX(Matches!$E:$E, MATCH(A377, Matches!$A:$A, 0)))</f>
        <v>4</v>
      </c>
      <c r="G377" t="str">
        <f t="shared" si="30"/>
        <v>Win</v>
      </c>
      <c r="H377">
        <v>1</v>
      </c>
      <c r="K377" t="str">
        <f t="shared" si="27"/>
        <v>33_A</v>
      </c>
    </row>
    <row r="378" spans="1:11" x14ac:dyDescent="0.35">
      <c r="A378">
        <v>33</v>
      </c>
      <c r="B378" s="6">
        <v>46156</v>
      </c>
      <c r="C378" t="s">
        <v>88</v>
      </c>
      <c r="D378" t="s">
        <v>17</v>
      </c>
      <c r="E378">
        <f>IF(D378="A", INDEX(Matches!$E:$E, MATCH(A378, Matches!$A:$A, 0)), INDEX(Matches!$F:$F, MATCH(A378, Matches!$A:$A, 0)))</f>
        <v>6</v>
      </c>
      <c r="F378">
        <f>IF(D378="A", INDEX(Matches!$F:$F, MATCH(A378, Matches!$A:$A, 0)), INDEX(Matches!$E:$E, MATCH(A378, Matches!$A:$A, 0)))</f>
        <v>4</v>
      </c>
      <c r="G378" t="str">
        <f t="shared" si="30"/>
        <v>Win</v>
      </c>
      <c r="H378">
        <v>1</v>
      </c>
      <c r="K378" t="str">
        <f t="shared" si="27"/>
        <v>33_A</v>
      </c>
    </row>
    <row r="379" spans="1:11" x14ac:dyDescent="0.35">
      <c r="A379">
        <v>33</v>
      </c>
      <c r="B379" s="6">
        <v>46156</v>
      </c>
      <c r="C379" t="s">
        <v>66</v>
      </c>
      <c r="D379" t="s">
        <v>17</v>
      </c>
      <c r="E379">
        <f>IF(D379="A", INDEX(Matches!$E:$E, MATCH(A379, Matches!$A:$A, 0)), INDEX(Matches!$F:$F, MATCH(A379, Matches!$A:$A, 0)))</f>
        <v>6</v>
      </c>
      <c r="F379">
        <f>IF(D379="A", INDEX(Matches!$F:$F, MATCH(A379, Matches!$A:$A, 0)), INDEX(Matches!$E:$E, MATCH(A379, Matches!$A:$A, 0)))</f>
        <v>4</v>
      </c>
      <c r="G379" t="str">
        <f t="shared" si="30"/>
        <v>Win</v>
      </c>
      <c r="H379">
        <v>1</v>
      </c>
      <c r="K379" t="str">
        <f t="shared" si="27"/>
        <v>33_A</v>
      </c>
    </row>
    <row r="380" spans="1:11" x14ac:dyDescent="0.35">
      <c r="A380">
        <v>33</v>
      </c>
      <c r="B380" s="6">
        <v>46156</v>
      </c>
      <c r="C380" t="s">
        <v>43</v>
      </c>
      <c r="D380" t="s">
        <v>17</v>
      </c>
      <c r="E380">
        <f>IF(D380="A", INDEX(Matches!$E:$E, MATCH(A380, Matches!$A:$A, 0)), INDEX(Matches!$F:$F, MATCH(A380, Matches!$A:$A, 0)))</f>
        <v>6</v>
      </c>
      <c r="F380">
        <f>IF(D380="A", INDEX(Matches!$F:$F, MATCH(A380, Matches!$A:$A, 0)), INDEX(Matches!$E:$E, MATCH(A380, Matches!$A:$A, 0)))</f>
        <v>4</v>
      </c>
      <c r="G380" t="str">
        <f t="shared" si="30"/>
        <v>Win</v>
      </c>
      <c r="H380">
        <v>1</v>
      </c>
      <c r="K380" t="str">
        <f t="shared" si="27"/>
        <v>33_A</v>
      </c>
    </row>
    <row r="381" spans="1:11" x14ac:dyDescent="0.35">
      <c r="A381">
        <v>33</v>
      </c>
      <c r="B381" s="6">
        <v>46156</v>
      </c>
      <c r="C381" t="s">
        <v>98</v>
      </c>
      <c r="D381" t="s">
        <v>17</v>
      </c>
      <c r="E381">
        <f>IF(D381="A", INDEX(Matches!$E:$E, MATCH(A381, Matches!$A:$A, 0)), INDEX(Matches!$F:$F, MATCH(A381, Matches!$A:$A, 0)))</f>
        <v>6</v>
      </c>
      <c r="F381">
        <f>IF(D381="A", INDEX(Matches!$F:$F, MATCH(A381, Matches!$A:$A, 0)), INDEX(Matches!$E:$E, MATCH(A381, Matches!$A:$A, 0)))</f>
        <v>4</v>
      </c>
      <c r="G381" t="str">
        <f t="shared" si="30"/>
        <v>Win</v>
      </c>
      <c r="H381">
        <v>1</v>
      </c>
      <c r="I381">
        <v>2</v>
      </c>
      <c r="K381" t="str">
        <f t="shared" si="27"/>
        <v>33_A</v>
      </c>
    </row>
    <row r="382" spans="1:11" x14ac:dyDescent="0.35">
      <c r="A382">
        <v>33</v>
      </c>
      <c r="B382" s="6">
        <v>46156</v>
      </c>
      <c r="C382" t="s">
        <v>25</v>
      </c>
      <c r="D382" t="s">
        <v>17</v>
      </c>
      <c r="E382">
        <f>IF(D382="A", INDEX(Matches!$E:$E, MATCH(A382, Matches!$A:$A, 0)), INDEX(Matches!$F:$F, MATCH(A382, Matches!$A:$A, 0)))</f>
        <v>6</v>
      </c>
      <c r="F382">
        <f>IF(D382="A", INDEX(Matches!$F:$F, MATCH(A382, Matches!$A:$A, 0)), INDEX(Matches!$E:$E, MATCH(A382, Matches!$A:$A, 0)))</f>
        <v>4</v>
      </c>
      <c r="G382" t="str">
        <f t="shared" si="30"/>
        <v>Win</v>
      </c>
      <c r="K382" t="str">
        <f t="shared" si="27"/>
        <v>33_A</v>
      </c>
    </row>
    <row r="383" spans="1:11" x14ac:dyDescent="0.35">
      <c r="A383">
        <v>33</v>
      </c>
      <c r="B383" s="6">
        <v>46156</v>
      </c>
      <c r="C383" t="s">
        <v>20</v>
      </c>
      <c r="D383" t="s">
        <v>23</v>
      </c>
      <c r="E383">
        <f>IF(D383="A", INDEX(Matches!$E:$E, MATCH(A383, Matches!$A:$A, 0)), INDEX(Matches!$F:$F, MATCH(A383, Matches!$A:$A, 0)))</f>
        <v>4</v>
      </c>
      <c r="F383">
        <f>IF(D383="A", INDEX(Matches!$F:$F, MATCH(A383, Matches!$A:$A, 0)), INDEX(Matches!$E:$E, MATCH(A383, Matches!$A:$A, 0)))</f>
        <v>6</v>
      </c>
      <c r="G383" t="str">
        <f t="shared" si="30"/>
        <v>Loss</v>
      </c>
      <c r="K383" t="str">
        <f t="shared" si="27"/>
        <v>33_B</v>
      </c>
    </row>
    <row r="384" spans="1:11" x14ac:dyDescent="0.35">
      <c r="A384">
        <v>33</v>
      </c>
      <c r="B384" s="6">
        <v>46156</v>
      </c>
      <c r="C384" t="s">
        <v>42</v>
      </c>
      <c r="D384" t="s">
        <v>23</v>
      </c>
      <c r="E384">
        <f>IF(D384="A", INDEX(Matches!$E:$E, MATCH(A384, Matches!$A:$A, 0)), INDEX(Matches!$F:$F, MATCH(A384, Matches!$A:$A, 0)))</f>
        <v>4</v>
      </c>
      <c r="F384">
        <f>IF(D384="A", INDEX(Matches!$F:$F, MATCH(A384, Matches!$A:$A, 0)), INDEX(Matches!$E:$E, MATCH(A384, Matches!$A:$A, 0)))</f>
        <v>6</v>
      </c>
      <c r="G384" t="str">
        <f t="shared" si="30"/>
        <v>Loss</v>
      </c>
      <c r="K384" t="str">
        <f t="shared" si="27"/>
        <v>33_B</v>
      </c>
    </row>
    <row r="385" spans="1:11" x14ac:dyDescent="0.35">
      <c r="A385">
        <v>33</v>
      </c>
      <c r="B385" s="6">
        <v>46156</v>
      </c>
      <c r="C385" t="s">
        <v>21</v>
      </c>
      <c r="D385" t="s">
        <v>23</v>
      </c>
      <c r="E385">
        <f>IF(D385="A", INDEX(Matches!$E:$E, MATCH(A385, Matches!$A:$A, 0)), INDEX(Matches!$F:$F, MATCH(A385, Matches!$A:$A, 0)))</f>
        <v>4</v>
      </c>
      <c r="F385">
        <f>IF(D385="A", INDEX(Matches!$F:$F, MATCH(A385, Matches!$A:$A, 0)), INDEX(Matches!$E:$E, MATCH(A385, Matches!$A:$A, 0)))</f>
        <v>6</v>
      </c>
      <c r="G385" t="str">
        <f t="shared" si="30"/>
        <v>Loss</v>
      </c>
      <c r="K385" t="str">
        <f t="shared" si="27"/>
        <v>33_B</v>
      </c>
    </row>
    <row r="386" spans="1:11" x14ac:dyDescent="0.35">
      <c r="A386">
        <v>33</v>
      </c>
      <c r="B386" s="6">
        <v>46156</v>
      </c>
      <c r="C386" t="s">
        <v>99</v>
      </c>
      <c r="D386" t="s">
        <v>23</v>
      </c>
      <c r="E386">
        <f>IF(D386="A", INDEX(Matches!$E:$E, MATCH(A386, Matches!$A:$A, 0)), INDEX(Matches!$F:$F, MATCH(A386, Matches!$A:$A, 0)))</f>
        <v>4</v>
      </c>
      <c r="F386">
        <f>IF(D386="A", INDEX(Matches!$F:$F, MATCH(A386, Matches!$A:$A, 0)), INDEX(Matches!$E:$E, MATCH(A386, Matches!$A:$A, 0)))</f>
        <v>6</v>
      </c>
      <c r="G386" t="str">
        <f t="shared" si="30"/>
        <v>Loss</v>
      </c>
      <c r="K386" t="str">
        <f t="shared" si="27"/>
        <v>33_B</v>
      </c>
    </row>
    <row r="387" spans="1:11" x14ac:dyDescent="0.35">
      <c r="A387">
        <v>33</v>
      </c>
      <c r="B387" s="6">
        <v>46156</v>
      </c>
      <c r="C387" t="s">
        <v>89</v>
      </c>
      <c r="D387" t="s">
        <v>23</v>
      </c>
      <c r="E387">
        <f>IF(D387="A", INDEX(Matches!$E:$E, MATCH(A387, Matches!$A:$A, 0)), INDEX(Matches!$F:$F, MATCH(A387, Matches!$A:$A, 0)))</f>
        <v>4</v>
      </c>
      <c r="F387">
        <f>IF(D387="A", INDEX(Matches!$F:$F, MATCH(A387, Matches!$A:$A, 0)), INDEX(Matches!$E:$E, MATCH(A387, Matches!$A:$A, 0)))</f>
        <v>6</v>
      </c>
      <c r="G387" t="str">
        <f t="shared" si="30"/>
        <v>Loss</v>
      </c>
      <c r="H387">
        <v>3</v>
      </c>
      <c r="K387" t="str">
        <f t="shared" si="27"/>
        <v>33_B</v>
      </c>
    </row>
    <row r="388" spans="1:11" x14ac:dyDescent="0.35">
      <c r="A388">
        <v>33</v>
      </c>
      <c r="B388" s="6">
        <v>46156</v>
      </c>
      <c r="C388" t="s">
        <v>19</v>
      </c>
      <c r="D388" t="s">
        <v>23</v>
      </c>
      <c r="E388">
        <f>IF(D388="A", INDEX(Matches!$E:$E, MATCH(A388, Matches!$A:$A, 0)), INDEX(Matches!$F:$F, MATCH(A388, Matches!$A:$A, 0)))</f>
        <v>4</v>
      </c>
      <c r="F388">
        <f>IF(D388="A", INDEX(Matches!$F:$F, MATCH(A388, Matches!$A:$A, 0)), INDEX(Matches!$E:$E, MATCH(A388, Matches!$A:$A, 0)))</f>
        <v>6</v>
      </c>
      <c r="G388" t="str">
        <f t="shared" si="30"/>
        <v>Loss</v>
      </c>
      <c r="H388">
        <v>1</v>
      </c>
      <c r="I388">
        <v>1</v>
      </c>
      <c r="K388" t="str">
        <f t="shared" si="27"/>
        <v>33_B</v>
      </c>
    </row>
    <row r="389" spans="1:11" x14ac:dyDescent="0.35">
      <c r="A389">
        <v>33</v>
      </c>
      <c r="B389" s="6">
        <v>46156</v>
      </c>
      <c r="C389" t="s">
        <v>40</v>
      </c>
      <c r="D389" t="s">
        <v>23</v>
      </c>
      <c r="E389">
        <f>IF(D389="A", INDEX(Matches!$E:$E, MATCH(A389, Matches!$A:$A, 0)), INDEX(Matches!$F:$F, MATCH(A389, Matches!$A:$A, 0)))</f>
        <v>4</v>
      </c>
      <c r="F389">
        <f>IF(D389="A", INDEX(Matches!$F:$F, MATCH(A389, Matches!$A:$A, 0)), INDEX(Matches!$E:$E, MATCH(A389, Matches!$A:$A, 0)))</f>
        <v>6</v>
      </c>
      <c r="G389" t="str">
        <f t="shared" si="30"/>
        <v>Loss</v>
      </c>
      <c r="K389" t="str">
        <f t="shared" si="27"/>
        <v>33_B</v>
      </c>
    </row>
    <row r="390" spans="1:11" x14ac:dyDescent="0.35">
      <c r="A390">
        <v>33</v>
      </c>
      <c r="B390" s="6">
        <v>46156</v>
      </c>
      <c r="C390" t="s">
        <v>48</v>
      </c>
      <c r="D390" t="s">
        <v>23</v>
      </c>
      <c r="E390">
        <f>IF(D390="A", INDEX(Matches!$E:$E, MATCH(A390, Matches!$A:$A, 0)), INDEX(Matches!$F:$F, MATCH(A390, Matches!$A:$A, 0)))</f>
        <v>4</v>
      </c>
      <c r="F390">
        <f>IF(D390="A", INDEX(Matches!$F:$F, MATCH(A390, Matches!$A:$A, 0)), INDEX(Matches!$E:$E, MATCH(A390, Matches!$A:$A, 0)))</f>
        <v>6</v>
      </c>
      <c r="G390" t="str">
        <f t="shared" si="30"/>
        <v>Loss</v>
      </c>
      <c r="I390">
        <v>2</v>
      </c>
      <c r="K390" t="str">
        <f t="shared" si="27"/>
        <v>33_B</v>
      </c>
    </row>
    <row r="391" spans="1:11" x14ac:dyDescent="0.35">
      <c r="A391">
        <v>34</v>
      </c>
      <c r="B391" s="6">
        <v>46163</v>
      </c>
      <c r="C391" t="s">
        <v>48</v>
      </c>
      <c r="D391" t="s">
        <v>17</v>
      </c>
      <c r="E391">
        <f>IF(D391="A", INDEX(Matches!$E:$E, MATCH(A391, Matches!$A:$A, 0)), INDEX(Matches!$F:$F, MATCH(A391, Matches!$A:$A, 0)))</f>
        <v>17</v>
      </c>
      <c r="F391">
        <f>IF(D391="A", INDEX(Matches!$F:$F, MATCH(A391, Matches!$A:$A, 0)), INDEX(Matches!$E:$E, MATCH(A391, Matches!$A:$A, 0)))</f>
        <v>8</v>
      </c>
      <c r="G391" t="str">
        <f t="shared" si="30"/>
        <v>Win</v>
      </c>
      <c r="H391">
        <v>1</v>
      </c>
      <c r="I391">
        <v>1</v>
      </c>
      <c r="K391" t="str">
        <f t="shared" si="27"/>
        <v>34_A</v>
      </c>
    </row>
    <row r="392" spans="1:11" x14ac:dyDescent="0.35">
      <c r="A392">
        <v>34</v>
      </c>
      <c r="B392" s="6">
        <v>46163</v>
      </c>
      <c r="C392" t="s">
        <v>98</v>
      </c>
      <c r="D392" t="s">
        <v>17</v>
      </c>
      <c r="E392">
        <f>IF(D392="A", INDEX(Matches!$E:$E, MATCH(A392, Matches!$A:$A, 0)), INDEX(Matches!$F:$F, MATCH(A392, Matches!$A:$A, 0)))</f>
        <v>17</v>
      </c>
      <c r="F392">
        <f>IF(D392="A", INDEX(Matches!$F:$F, MATCH(A392, Matches!$A:$A, 0)), INDEX(Matches!$E:$E, MATCH(A392, Matches!$A:$A, 0)))</f>
        <v>8</v>
      </c>
      <c r="G392" t="str">
        <f t="shared" si="30"/>
        <v>Win</v>
      </c>
      <c r="H392">
        <v>6</v>
      </c>
      <c r="I392">
        <v>4</v>
      </c>
      <c r="K392" t="str">
        <f t="shared" si="27"/>
        <v>34_A</v>
      </c>
    </row>
    <row r="393" spans="1:11" x14ac:dyDescent="0.35">
      <c r="A393">
        <v>34</v>
      </c>
      <c r="B393" s="6">
        <v>46163</v>
      </c>
      <c r="C393" t="s">
        <v>22</v>
      </c>
      <c r="D393" t="s">
        <v>17</v>
      </c>
      <c r="E393">
        <f>IF(D393="A", INDEX(Matches!$E:$E, MATCH(A393, Matches!$A:$A, 0)), INDEX(Matches!$F:$F, MATCH(A393, Matches!$A:$A, 0)))</f>
        <v>17</v>
      </c>
      <c r="F393">
        <f>IF(D393="A", INDEX(Matches!$F:$F, MATCH(A393, Matches!$A:$A, 0)), INDEX(Matches!$E:$E, MATCH(A393, Matches!$A:$A, 0)))</f>
        <v>8</v>
      </c>
      <c r="G393" t="str">
        <f t="shared" si="30"/>
        <v>Win</v>
      </c>
      <c r="H393">
        <v>3</v>
      </c>
      <c r="I393">
        <v>1</v>
      </c>
      <c r="K393" t="str">
        <f t="shared" si="27"/>
        <v>34_A</v>
      </c>
    </row>
    <row r="394" spans="1:11" x14ac:dyDescent="0.35">
      <c r="A394">
        <v>34</v>
      </c>
      <c r="B394" s="6">
        <v>46163</v>
      </c>
      <c r="C394" t="s">
        <v>21</v>
      </c>
      <c r="D394" t="s">
        <v>17</v>
      </c>
      <c r="E394">
        <f>IF(D394="A", INDEX(Matches!$E:$E, MATCH(A394, Matches!$A:$A, 0)), INDEX(Matches!$F:$F, MATCH(A394, Matches!$A:$A, 0)))</f>
        <v>17</v>
      </c>
      <c r="F394">
        <f>IF(D394="A", INDEX(Matches!$F:$F, MATCH(A394, Matches!$A:$A, 0)), INDEX(Matches!$E:$E, MATCH(A394, Matches!$A:$A, 0)))</f>
        <v>8</v>
      </c>
      <c r="G394" t="str">
        <f t="shared" si="30"/>
        <v>Win</v>
      </c>
      <c r="I394">
        <v>1</v>
      </c>
      <c r="K394" t="str">
        <f t="shared" ref="K394:K457" si="31">A394&amp;"_"&amp;D394</f>
        <v>34_A</v>
      </c>
    </row>
    <row r="395" spans="1:11" x14ac:dyDescent="0.35">
      <c r="A395">
        <v>34</v>
      </c>
      <c r="B395" s="6">
        <v>46163</v>
      </c>
      <c r="C395" t="s">
        <v>46</v>
      </c>
      <c r="D395" t="s">
        <v>17</v>
      </c>
      <c r="E395">
        <f>IF(D395="A", INDEX(Matches!$E:$E, MATCH(A395, Matches!$A:$A, 0)), INDEX(Matches!$F:$F, MATCH(A395, Matches!$A:$A, 0)))</f>
        <v>17</v>
      </c>
      <c r="F395">
        <f>IF(D395="A", INDEX(Matches!$F:$F, MATCH(A395, Matches!$A:$A, 0)), INDEX(Matches!$E:$E, MATCH(A395, Matches!$A:$A, 0)))</f>
        <v>8</v>
      </c>
      <c r="G395" t="str">
        <f t="shared" si="30"/>
        <v>Win</v>
      </c>
      <c r="H395">
        <v>7</v>
      </c>
      <c r="I395">
        <v>1</v>
      </c>
      <c r="K395" t="str">
        <f t="shared" si="31"/>
        <v>34_A</v>
      </c>
    </row>
    <row r="396" spans="1:11" x14ac:dyDescent="0.35">
      <c r="A396">
        <v>34</v>
      </c>
      <c r="B396" s="6">
        <v>46163</v>
      </c>
      <c r="C396" t="s">
        <v>88</v>
      </c>
      <c r="D396" t="s">
        <v>17</v>
      </c>
      <c r="E396">
        <f>IF(D396="A", INDEX(Matches!$E:$E, MATCH(A396, Matches!$A:$A, 0)), INDEX(Matches!$F:$F, MATCH(A396, Matches!$A:$A, 0)))</f>
        <v>17</v>
      </c>
      <c r="F396">
        <f>IF(D396="A", INDEX(Matches!$F:$F, MATCH(A396, Matches!$A:$A, 0)), INDEX(Matches!$E:$E, MATCH(A396, Matches!$A:$A, 0)))</f>
        <v>8</v>
      </c>
      <c r="G396" t="str">
        <f t="shared" si="30"/>
        <v>Win</v>
      </c>
      <c r="H396">
        <v>1</v>
      </c>
      <c r="K396" t="str">
        <f t="shared" si="31"/>
        <v>34_A</v>
      </c>
    </row>
    <row r="397" spans="1:11" x14ac:dyDescent="0.35">
      <c r="A397">
        <v>34</v>
      </c>
      <c r="B397" s="6">
        <v>46163</v>
      </c>
      <c r="C397" t="s">
        <v>24</v>
      </c>
      <c r="D397" t="s">
        <v>23</v>
      </c>
      <c r="E397">
        <f>IF(D397="A", INDEX(Matches!$E:$E, MATCH(A397, Matches!$A:$A, 0)), INDEX(Matches!$F:$F, MATCH(A397, Matches!$A:$A, 0)))</f>
        <v>8</v>
      </c>
      <c r="F397">
        <f>IF(D397="A", INDEX(Matches!$F:$F, MATCH(A397, Matches!$A:$A, 0)), INDEX(Matches!$E:$E, MATCH(A397, Matches!$A:$A, 0)))</f>
        <v>17</v>
      </c>
      <c r="G397" t="str">
        <f t="shared" si="30"/>
        <v>Loss</v>
      </c>
      <c r="K397" t="str">
        <f t="shared" si="31"/>
        <v>34_B</v>
      </c>
    </row>
    <row r="398" spans="1:11" x14ac:dyDescent="0.35">
      <c r="A398">
        <v>34</v>
      </c>
      <c r="B398" s="6">
        <v>46163</v>
      </c>
      <c r="C398" t="s">
        <v>40</v>
      </c>
      <c r="D398" t="s">
        <v>23</v>
      </c>
      <c r="E398">
        <f>IF(D398="A", INDEX(Matches!$E:$E, MATCH(A398, Matches!$A:$A, 0)), INDEX(Matches!$F:$F, MATCH(A398, Matches!$A:$A, 0)))</f>
        <v>8</v>
      </c>
      <c r="F398">
        <f>IF(D398="A", INDEX(Matches!$F:$F, MATCH(A398, Matches!$A:$A, 0)), INDEX(Matches!$E:$E, MATCH(A398, Matches!$A:$A, 0)))</f>
        <v>17</v>
      </c>
      <c r="G398" t="str">
        <f t="shared" si="30"/>
        <v>Loss</v>
      </c>
      <c r="H398">
        <v>1</v>
      </c>
      <c r="K398" t="str">
        <f t="shared" si="31"/>
        <v>34_B</v>
      </c>
    </row>
    <row r="399" spans="1:11" x14ac:dyDescent="0.35">
      <c r="A399">
        <v>34</v>
      </c>
      <c r="B399" s="6">
        <v>46163</v>
      </c>
      <c r="C399" t="s">
        <v>66</v>
      </c>
      <c r="D399" t="s">
        <v>23</v>
      </c>
      <c r="E399">
        <f>IF(D399="A", INDEX(Matches!$E:$E, MATCH(A399, Matches!$A:$A, 0)), INDEX(Matches!$F:$F, MATCH(A399, Matches!$A:$A, 0)))</f>
        <v>8</v>
      </c>
      <c r="F399">
        <f>IF(D399="A", INDEX(Matches!$F:$F, MATCH(A399, Matches!$A:$A, 0)), INDEX(Matches!$E:$E, MATCH(A399, Matches!$A:$A, 0)))</f>
        <v>17</v>
      </c>
      <c r="G399" t="str">
        <f t="shared" si="30"/>
        <v>Loss</v>
      </c>
      <c r="H399">
        <v>1</v>
      </c>
      <c r="I399">
        <v>2</v>
      </c>
      <c r="K399" t="str">
        <f t="shared" si="31"/>
        <v>34_B</v>
      </c>
    </row>
    <row r="400" spans="1:11" x14ac:dyDescent="0.35">
      <c r="A400">
        <v>34</v>
      </c>
      <c r="B400" s="6">
        <v>46163</v>
      </c>
      <c r="C400" t="s">
        <v>42</v>
      </c>
      <c r="D400" t="s">
        <v>23</v>
      </c>
      <c r="E400">
        <f>IF(D400="A", INDEX(Matches!$E:$E, MATCH(A400, Matches!$A:$A, 0)), INDEX(Matches!$F:$F, MATCH(A400, Matches!$A:$A, 0)))</f>
        <v>8</v>
      </c>
      <c r="F400">
        <f>IF(D400="A", INDEX(Matches!$F:$F, MATCH(A400, Matches!$A:$A, 0)), INDEX(Matches!$E:$E, MATCH(A400, Matches!$A:$A, 0)))</f>
        <v>17</v>
      </c>
      <c r="G400" t="str">
        <f t="shared" si="30"/>
        <v>Loss</v>
      </c>
      <c r="I400">
        <v>3</v>
      </c>
      <c r="K400" t="str">
        <f t="shared" si="31"/>
        <v>34_B</v>
      </c>
    </row>
    <row r="401" spans="1:11" x14ac:dyDescent="0.35">
      <c r="A401">
        <v>34</v>
      </c>
      <c r="B401" s="6">
        <v>46163</v>
      </c>
      <c r="C401" t="s">
        <v>89</v>
      </c>
      <c r="D401" t="s">
        <v>23</v>
      </c>
      <c r="E401">
        <f>IF(D401="A", INDEX(Matches!$E:$E, MATCH(A401, Matches!$A:$A, 0)), INDEX(Matches!$F:$F, MATCH(A401, Matches!$A:$A, 0)))</f>
        <v>8</v>
      </c>
      <c r="F401">
        <f>IF(D401="A", INDEX(Matches!$F:$F, MATCH(A401, Matches!$A:$A, 0)), INDEX(Matches!$E:$E, MATCH(A401, Matches!$A:$A, 0)))</f>
        <v>17</v>
      </c>
      <c r="G401" t="str">
        <f t="shared" si="30"/>
        <v>Loss</v>
      </c>
      <c r="H401">
        <v>6</v>
      </c>
      <c r="K401" t="str">
        <f t="shared" si="31"/>
        <v>34_B</v>
      </c>
    </row>
    <row r="402" spans="1:11" x14ac:dyDescent="0.35">
      <c r="A402">
        <v>34</v>
      </c>
      <c r="B402" s="6">
        <v>46163</v>
      </c>
      <c r="C402" t="s">
        <v>51</v>
      </c>
      <c r="D402" t="s">
        <v>23</v>
      </c>
      <c r="E402">
        <f>IF(D402="A", INDEX(Matches!$E:$E, MATCH(A402, Matches!$A:$A, 0)), INDEX(Matches!$F:$F, MATCH(A402, Matches!$A:$A, 0)))</f>
        <v>8</v>
      </c>
      <c r="F402">
        <f>IF(D402="A", INDEX(Matches!$F:$F, MATCH(A402, Matches!$A:$A, 0)), INDEX(Matches!$E:$E, MATCH(A402, Matches!$A:$A, 0)))</f>
        <v>17</v>
      </c>
      <c r="G402" t="str">
        <f t="shared" si="30"/>
        <v>Loss</v>
      </c>
      <c r="I402">
        <v>1</v>
      </c>
      <c r="K402" t="str">
        <f t="shared" si="31"/>
        <v>34_B</v>
      </c>
    </row>
    <row r="403" spans="1:11" x14ac:dyDescent="0.35">
      <c r="A403">
        <v>35</v>
      </c>
      <c r="B403" s="6">
        <v>46170</v>
      </c>
      <c r="C403" t="s">
        <v>41</v>
      </c>
      <c r="D403" t="s">
        <v>17</v>
      </c>
      <c r="E403">
        <f>IF(D403="A", INDEX(Matches!$E:$E, MATCH(A403, Matches!$A:$A, 0)), INDEX(Matches!$F:$F, MATCH(A403, Matches!$A:$A, 0)))</f>
        <v>7</v>
      </c>
      <c r="F403">
        <f>IF(D403="A", INDEX(Matches!$F:$F, MATCH(A403, Matches!$A:$A, 0)), INDEX(Matches!$E:$E, MATCH(A403, Matches!$A:$A, 0)))</f>
        <v>5</v>
      </c>
      <c r="G403" t="str">
        <f t="shared" ref="G403:G416" si="32">IF(E403&gt;F403,"Win",IF(E403&lt;F403,"Loss","Draw"))</f>
        <v>Win</v>
      </c>
      <c r="H403">
        <v>2</v>
      </c>
      <c r="K403" t="str">
        <f t="shared" si="31"/>
        <v>35_A</v>
      </c>
    </row>
    <row r="404" spans="1:11" x14ac:dyDescent="0.35">
      <c r="A404">
        <v>35</v>
      </c>
      <c r="B404" s="6">
        <v>46170</v>
      </c>
      <c r="C404" t="s">
        <v>25</v>
      </c>
      <c r="D404" t="s">
        <v>17</v>
      </c>
      <c r="E404">
        <f>IF(D404="A", INDEX(Matches!$E:$E, MATCH(A404, Matches!$A:$A, 0)), INDEX(Matches!$F:$F, MATCH(A404, Matches!$A:$A, 0)))</f>
        <v>7</v>
      </c>
      <c r="F404">
        <f>IF(D404="A", INDEX(Matches!$F:$F, MATCH(A404, Matches!$A:$A, 0)), INDEX(Matches!$E:$E, MATCH(A404, Matches!$A:$A, 0)))</f>
        <v>5</v>
      </c>
      <c r="G404" t="str">
        <f t="shared" si="32"/>
        <v>Win</v>
      </c>
      <c r="K404" t="str">
        <f t="shared" si="31"/>
        <v>35_A</v>
      </c>
    </row>
    <row r="405" spans="1:11" x14ac:dyDescent="0.35">
      <c r="A405">
        <v>35</v>
      </c>
      <c r="B405" s="6">
        <v>46170</v>
      </c>
      <c r="C405" t="s">
        <v>75</v>
      </c>
      <c r="D405" t="s">
        <v>17</v>
      </c>
      <c r="E405">
        <f>IF(D405="A", INDEX(Matches!$E:$E, MATCH(A405, Matches!$A:$A, 0)), INDEX(Matches!$F:$F, MATCH(A405, Matches!$A:$A, 0)))</f>
        <v>7</v>
      </c>
      <c r="F405">
        <f>IF(D405="A", INDEX(Matches!$F:$F, MATCH(A405, Matches!$A:$A, 0)), INDEX(Matches!$E:$E, MATCH(A405, Matches!$A:$A, 0)))</f>
        <v>5</v>
      </c>
      <c r="G405" t="str">
        <f t="shared" si="32"/>
        <v>Win</v>
      </c>
      <c r="H405">
        <v>3</v>
      </c>
      <c r="K405" t="str">
        <f t="shared" si="31"/>
        <v>35_A</v>
      </c>
    </row>
    <row r="406" spans="1:11" x14ac:dyDescent="0.35">
      <c r="A406">
        <v>35</v>
      </c>
      <c r="B406" s="6">
        <v>46170</v>
      </c>
      <c r="C406" t="s">
        <v>89</v>
      </c>
      <c r="D406" t="s">
        <v>17</v>
      </c>
      <c r="E406">
        <f>IF(D406="A", INDEX(Matches!$E:$E, MATCH(A406, Matches!$A:$A, 0)), INDEX(Matches!$F:$F, MATCH(A406, Matches!$A:$A, 0)))</f>
        <v>7</v>
      </c>
      <c r="F406">
        <f>IF(D406="A", INDEX(Matches!$F:$F, MATCH(A406, Matches!$A:$A, 0)), INDEX(Matches!$E:$E, MATCH(A406, Matches!$A:$A, 0)))</f>
        <v>5</v>
      </c>
      <c r="G406" t="str">
        <f t="shared" si="32"/>
        <v>Win</v>
      </c>
      <c r="H406">
        <v>1</v>
      </c>
      <c r="I406">
        <v>2</v>
      </c>
      <c r="K406" t="str">
        <f t="shared" si="31"/>
        <v>35_A</v>
      </c>
    </row>
    <row r="407" spans="1:11" x14ac:dyDescent="0.35">
      <c r="A407">
        <v>35</v>
      </c>
      <c r="B407" s="6">
        <v>46170</v>
      </c>
      <c r="C407" t="s">
        <v>88</v>
      </c>
      <c r="D407" t="s">
        <v>17</v>
      </c>
      <c r="E407">
        <f>IF(D407="A", INDEX(Matches!$E:$E, MATCH(A407, Matches!$A:$A, 0)), INDEX(Matches!$F:$F, MATCH(A407, Matches!$A:$A, 0)))</f>
        <v>7</v>
      </c>
      <c r="F407">
        <f>IF(D407="A", INDEX(Matches!$F:$F, MATCH(A407, Matches!$A:$A, 0)), INDEX(Matches!$E:$E, MATCH(A407, Matches!$A:$A, 0)))</f>
        <v>5</v>
      </c>
      <c r="G407" t="str">
        <f t="shared" si="32"/>
        <v>Win</v>
      </c>
      <c r="H407">
        <v>1</v>
      </c>
      <c r="K407" t="str">
        <f t="shared" si="31"/>
        <v>35_A</v>
      </c>
    </row>
    <row r="408" spans="1:11" x14ac:dyDescent="0.35">
      <c r="A408">
        <v>35</v>
      </c>
      <c r="B408" s="6">
        <v>46170</v>
      </c>
      <c r="C408" t="s">
        <v>66</v>
      </c>
      <c r="D408" t="s">
        <v>17</v>
      </c>
      <c r="E408">
        <f>IF(D408="A", INDEX(Matches!$E:$E, MATCH(A408, Matches!$A:$A, 0)), INDEX(Matches!$F:$F, MATCH(A408, Matches!$A:$A, 0)))</f>
        <v>7</v>
      </c>
      <c r="F408">
        <f>IF(D408="A", INDEX(Matches!$F:$F, MATCH(A408, Matches!$A:$A, 0)), INDEX(Matches!$E:$E, MATCH(A408, Matches!$A:$A, 0)))</f>
        <v>5</v>
      </c>
      <c r="G408" t="str">
        <f t="shared" si="32"/>
        <v>Win</v>
      </c>
      <c r="H408">
        <v>1</v>
      </c>
      <c r="K408" t="str">
        <f t="shared" si="31"/>
        <v>35_A</v>
      </c>
    </row>
    <row r="409" spans="1:11" x14ac:dyDescent="0.35">
      <c r="A409">
        <v>35</v>
      </c>
      <c r="B409" s="6">
        <v>46170</v>
      </c>
      <c r="C409" t="s">
        <v>48</v>
      </c>
      <c r="D409" t="s">
        <v>17</v>
      </c>
      <c r="E409">
        <f>IF(D409="A", INDEX(Matches!$E:$E, MATCH(A409, Matches!$A:$A, 0)), INDEX(Matches!$F:$F, MATCH(A409, Matches!$A:$A, 0)))</f>
        <v>7</v>
      </c>
      <c r="F409">
        <f>IF(D409="A", INDEX(Matches!$F:$F, MATCH(A409, Matches!$A:$A, 0)), INDEX(Matches!$E:$E, MATCH(A409, Matches!$A:$A, 0)))</f>
        <v>5</v>
      </c>
      <c r="G409" t="str">
        <f t="shared" si="32"/>
        <v>Win</v>
      </c>
      <c r="K409" t="str">
        <f t="shared" si="31"/>
        <v>35_A</v>
      </c>
    </row>
    <row r="410" spans="1:11" x14ac:dyDescent="0.35">
      <c r="A410">
        <v>35</v>
      </c>
      <c r="B410" s="6">
        <v>46170</v>
      </c>
      <c r="C410" t="s">
        <v>77</v>
      </c>
      <c r="D410" t="s">
        <v>23</v>
      </c>
      <c r="E410">
        <f>IF(D410="A", INDEX(Matches!$E:$E, MATCH(A410, Matches!$A:$A, 0)), INDEX(Matches!$F:$F, MATCH(A410, Matches!$A:$A, 0)))</f>
        <v>5</v>
      </c>
      <c r="F410">
        <f>IF(D410="A", INDEX(Matches!$F:$F, MATCH(A410, Matches!$A:$A, 0)), INDEX(Matches!$E:$E, MATCH(A410, Matches!$A:$A, 0)))</f>
        <v>7</v>
      </c>
      <c r="G410" t="str">
        <f t="shared" si="32"/>
        <v>Loss</v>
      </c>
      <c r="H410">
        <v>1</v>
      </c>
      <c r="K410" t="str">
        <f t="shared" si="31"/>
        <v>35_B</v>
      </c>
    </row>
    <row r="411" spans="1:11" x14ac:dyDescent="0.35">
      <c r="A411">
        <v>35</v>
      </c>
      <c r="B411" s="6">
        <v>46170</v>
      </c>
      <c r="C411" t="s">
        <v>53</v>
      </c>
      <c r="D411" t="s">
        <v>23</v>
      </c>
      <c r="E411">
        <f>IF(D411="A", INDEX(Matches!$E:$E, MATCH(A411, Matches!$A:$A, 0)), INDEX(Matches!$F:$F, MATCH(A411, Matches!$A:$A, 0)))</f>
        <v>5</v>
      </c>
      <c r="F411">
        <f>IF(D411="A", INDEX(Matches!$F:$F, MATCH(A411, Matches!$A:$A, 0)), INDEX(Matches!$E:$E, MATCH(A411, Matches!$A:$A, 0)))</f>
        <v>7</v>
      </c>
      <c r="G411" t="str">
        <f t="shared" si="32"/>
        <v>Loss</v>
      </c>
      <c r="K411" t="str">
        <f t="shared" si="31"/>
        <v>35_B</v>
      </c>
    </row>
    <row r="412" spans="1:11" x14ac:dyDescent="0.35">
      <c r="A412">
        <v>35</v>
      </c>
      <c r="B412" s="6">
        <v>46170</v>
      </c>
      <c r="C412" t="s">
        <v>46</v>
      </c>
      <c r="D412" t="s">
        <v>23</v>
      </c>
      <c r="E412">
        <f>IF(D412="A", INDEX(Matches!$E:$E, MATCH(A412, Matches!$A:$A, 0)), INDEX(Matches!$F:$F, MATCH(A412, Matches!$A:$A, 0)))</f>
        <v>5</v>
      </c>
      <c r="F412">
        <f>IF(D412="A", INDEX(Matches!$F:$F, MATCH(A412, Matches!$A:$A, 0)), INDEX(Matches!$E:$E, MATCH(A412, Matches!$A:$A, 0)))</f>
        <v>7</v>
      </c>
      <c r="G412" t="str">
        <f t="shared" si="32"/>
        <v>Loss</v>
      </c>
      <c r="I412">
        <v>1</v>
      </c>
      <c r="K412" t="str">
        <f t="shared" si="31"/>
        <v>35_B</v>
      </c>
    </row>
    <row r="413" spans="1:11" x14ac:dyDescent="0.35">
      <c r="A413">
        <v>35</v>
      </c>
      <c r="B413" s="6">
        <v>46170</v>
      </c>
      <c r="C413" t="s">
        <v>98</v>
      </c>
      <c r="D413" t="s">
        <v>23</v>
      </c>
      <c r="E413">
        <f>IF(D413="A", INDEX(Matches!$E:$E, MATCH(A413, Matches!$A:$A, 0)), INDEX(Matches!$F:$F, MATCH(A413, Matches!$A:$A, 0)))</f>
        <v>5</v>
      </c>
      <c r="F413">
        <f>IF(D413="A", INDEX(Matches!$F:$F, MATCH(A413, Matches!$A:$A, 0)), INDEX(Matches!$E:$E, MATCH(A413, Matches!$A:$A, 0)))</f>
        <v>7</v>
      </c>
      <c r="G413" t="str">
        <f t="shared" si="32"/>
        <v>Loss</v>
      </c>
      <c r="H413">
        <v>3</v>
      </c>
      <c r="I413">
        <v>1</v>
      </c>
      <c r="K413" t="str">
        <f t="shared" si="31"/>
        <v>35_B</v>
      </c>
    </row>
    <row r="414" spans="1:11" x14ac:dyDescent="0.35">
      <c r="A414">
        <v>35</v>
      </c>
      <c r="B414" s="6">
        <v>46170</v>
      </c>
      <c r="C414" t="s">
        <v>52</v>
      </c>
      <c r="D414" t="s">
        <v>23</v>
      </c>
      <c r="E414">
        <f>IF(D414="A", INDEX(Matches!$E:$E, MATCH(A414, Matches!$A:$A, 0)), INDEX(Matches!$F:$F, MATCH(A414, Matches!$A:$A, 0)))</f>
        <v>5</v>
      </c>
      <c r="F414">
        <f>IF(D414="A", INDEX(Matches!$F:$F, MATCH(A414, Matches!$A:$A, 0)), INDEX(Matches!$E:$E, MATCH(A414, Matches!$A:$A, 0)))</f>
        <v>7</v>
      </c>
      <c r="G414" t="str">
        <f t="shared" si="32"/>
        <v>Loss</v>
      </c>
      <c r="I414">
        <v>1</v>
      </c>
      <c r="K414" t="str">
        <f t="shared" si="31"/>
        <v>35_B</v>
      </c>
    </row>
    <row r="415" spans="1:11" x14ac:dyDescent="0.35">
      <c r="A415">
        <v>35</v>
      </c>
      <c r="B415" s="6">
        <v>46170</v>
      </c>
      <c r="C415" t="s">
        <v>22</v>
      </c>
      <c r="D415" t="s">
        <v>23</v>
      </c>
      <c r="E415">
        <f>IF(D415="A", INDEX(Matches!$E:$E, MATCH(A415, Matches!$A:$A, 0)), INDEX(Matches!$F:$F, MATCH(A415, Matches!$A:$A, 0)))</f>
        <v>5</v>
      </c>
      <c r="F415">
        <f>IF(D415="A", INDEX(Matches!$F:$F, MATCH(A415, Matches!$A:$A, 0)), INDEX(Matches!$E:$E, MATCH(A415, Matches!$A:$A, 0)))</f>
        <v>7</v>
      </c>
      <c r="G415" t="str">
        <f t="shared" si="32"/>
        <v>Loss</v>
      </c>
      <c r="H415">
        <v>1</v>
      </c>
      <c r="K415" t="str">
        <f t="shared" si="31"/>
        <v>35_B</v>
      </c>
    </row>
    <row r="416" spans="1:11" x14ac:dyDescent="0.35">
      <c r="A416">
        <v>35</v>
      </c>
      <c r="B416" s="6">
        <v>46170</v>
      </c>
      <c r="C416" t="s">
        <v>43</v>
      </c>
      <c r="D416" t="s">
        <v>23</v>
      </c>
      <c r="E416">
        <f>IF(D416="A", INDEX(Matches!$E:$E, MATCH(A416, Matches!$A:$A, 0)), INDEX(Matches!$F:$F, MATCH(A416, Matches!$A:$A, 0)))</f>
        <v>5</v>
      </c>
      <c r="F416">
        <f>IF(D416="A", INDEX(Matches!$F:$F, MATCH(A416, Matches!$A:$A, 0)), INDEX(Matches!$E:$E, MATCH(A416, Matches!$A:$A, 0)))</f>
        <v>7</v>
      </c>
      <c r="G416" t="str">
        <f t="shared" si="32"/>
        <v>Loss</v>
      </c>
      <c r="I416">
        <v>1</v>
      </c>
      <c r="K416" t="str">
        <f t="shared" si="31"/>
        <v>35_B</v>
      </c>
    </row>
    <row r="417" spans="1:11" x14ac:dyDescent="0.35">
      <c r="A417">
        <v>36</v>
      </c>
      <c r="B417" s="6">
        <v>46177</v>
      </c>
      <c r="C417" t="s">
        <v>19</v>
      </c>
      <c r="D417" t="s">
        <v>17</v>
      </c>
      <c r="E417">
        <f>IF(D417="A", INDEX(Matches!$E:$E, MATCH(A417, Matches!$A:$A, 0)), INDEX(Matches!$F:$F, MATCH(A417, Matches!$A:$A, 0)))</f>
        <v>11</v>
      </c>
      <c r="F417">
        <f>IF(D417="A", INDEX(Matches!$F:$F, MATCH(A417, Matches!$A:$A, 0)), INDEX(Matches!$E:$E, MATCH(A417, Matches!$A:$A, 0)))</f>
        <v>11</v>
      </c>
      <c r="G417" t="str">
        <f t="shared" ref="G417:G436" si="33">IF(E417&gt;F417,"Win",IF(E417&lt;F417,"Loss","Draw"))</f>
        <v>Draw</v>
      </c>
      <c r="H417">
        <v>1</v>
      </c>
      <c r="I417">
        <v>5</v>
      </c>
      <c r="K417" t="str">
        <f t="shared" si="31"/>
        <v>36_A</v>
      </c>
    </row>
    <row r="418" spans="1:11" x14ac:dyDescent="0.35">
      <c r="A418">
        <v>36</v>
      </c>
      <c r="B418" s="6">
        <v>46177</v>
      </c>
      <c r="C418" t="s">
        <v>43</v>
      </c>
      <c r="D418" t="s">
        <v>17</v>
      </c>
      <c r="E418">
        <f>IF(D418="A", INDEX(Matches!$E:$E, MATCH(A418, Matches!$A:$A, 0)), INDEX(Matches!$F:$F, MATCH(A418, Matches!$A:$A, 0)))</f>
        <v>11</v>
      </c>
      <c r="F418">
        <f>IF(D418="A", INDEX(Matches!$F:$F, MATCH(A418, Matches!$A:$A, 0)), INDEX(Matches!$E:$E, MATCH(A418, Matches!$A:$A, 0)))</f>
        <v>11</v>
      </c>
      <c r="G418" t="str">
        <f t="shared" si="33"/>
        <v>Draw</v>
      </c>
      <c r="H418">
        <v>1</v>
      </c>
      <c r="K418" t="str">
        <f t="shared" si="31"/>
        <v>36_A</v>
      </c>
    </row>
    <row r="419" spans="1:11" x14ac:dyDescent="0.35">
      <c r="A419">
        <v>36</v>
      </c>
      <c r="B419" s="6">
        <v>46177</v>
      </c>
      <c r="C419" t="s">
        <v>40</v>
      </c>
      <c r="D419" t="s">
        <v>17</v>
      </c>
      <c r="E419">
        <f>IF(D419="A", INDEX(Matches!$E:$E, MATCH(A419, Matches!$A:$A, 0)), INDEX(Matches!$F:$F, MATCH(A419, Matches!$A:$A, 0)))</f>
        <v>11</v>
      </c>
      <c r="F419">
        <f>IF(D419="A", INDEX(Matches!$F:$F, MATCH(A419, Matches!$A:$A, 0)), INDEX(Matches!$E:$E, MATCH(A419, Matches!$A:$A, 0)))</f>
        <v>11</v>
      </c>
      <c r="G419" t="str">
        <f t="shared" si="33"/>
        <v>Draw</v>
      </c>
      <c r="H419">
        <v>1</v>
      </c>
      <c r="K419" t="str">
        <f t="shared" si="31"/>
        <v>36_A</v>
      </c>
    </row>
    <row r="420" spans="1:11" x14ac:dyDescent="0.35">
      <c r="A420">
        <v>36</v>
      </c>
      <c r="B420" s="6">
        <v>46177</v>
      </c>
      <c r="C420" t="s">
        <v>49</v>
      </c>
      <c r="D420" t="s">
        <v>17</v>
      </c>
      <c r="E420">
        <f>IF(D420="A", INDEX(Matches!$E:$E, MATCH(A420, Matches!$A:$A, 0)), INDEX(Matches!$F:$F, MATCH(A420, Matches!$A:$A, 0)))</f>
        <v>11</v>
      </c>
      <c r="F420">
        <f>IF(D420="A", INDEX(Matches!$F:$F, MATCH(A420, Matches!$A:$A, 0)), INDEX(Matches!$E:$E, MATCH(A420, Matches!$A:$A, 0)))</f>
        <v>11</v>
      </c>
      <c r="G420" t="str">
        <f t="shared" si="33"/>
        <v>Draw</v>
      </c>
      <c r="H420">
        <v>2</v>
      </c>
      <c r="I420">
        <v>1</v>
      </c>
      <c r="K420" t="str">
        <f t="shared" si="31"/>
        <v>36_A</v>
      </c>
    </row>
    <row r="421" spans="1:11" x14ac:dyDescent="0.35">
      <c r="A421">
        <v>36</v>
      </c>
      <c r="B421" s="6">
        <v>46177</v>
      </c>
      <c r="C421" t="s">
        <v>89</v>
      </c>
      <c r="D421" t="s">
        <v>17</v>
      </c>
      <c r="E421">
        <f>IF(D421="A", INDEX(Matches!$E:$E, MATCH(A421, Matches!$A:$A, 0)), INDEX(Matches!$F:$F, MATCH(A421, Matches!$A:$A, 0)))</f>
        <v>11</v>
      </c>
      <c r="F421">
        <f>IF(D421="A", INDEX(Matches!$F:$F, MATCH(A421, Matches!$A:$A, 0)), INDEX(Matches!$E:$E, MATCH(A421, Matches!$A:$A, 0)))</f>
        <v>11</v>
      </c>
      <c r="G421" t="str">
        <f t="shared" si="33"/>
        <v>Draw</v>
      </c>
      <c r="H421">
        <v>6</v>
      </c>
      <c r="K421" t="str">
        <f t="shared" si="31"/>
        <v>36_A</v>
      </c>
    </row>
    <row r="422" spans="1:11" x14ac:dyDescent="0.35">
      <c r="A422">
        <v>36</v>
      </c>
      <c r="B422" s="6">
        <v>46177</v>
      </c>
      <c r="C422" t="s">
        <v>66</v>
      </c>
      <c r="D422" t="s">
        <v>23</v>
      </c>
      <c r="E422">
        <f>IF(D422="A", INDEX(Matches!$E:$E, MATCH(A422, Matches!$A:$A, 0)), INDEX(Matches!$F:$F, MATCH(A422, Matches!$A:$A, 0)))</f>
        <v>11</v>
      </c>
      <c r="F422">
        <f>IF(D422="A", INDEX(Matches!$F:$F, MATCH(A422, Matches!$A:$A, 0)), INDEX(Matches!$E:$E, MATCH(A422, Matches!$A:$A, 0)))</f>
        <v>11</v>
      </c>
      <c r="G422" t="str">
        <f t="shared" si="33"/>
        <v>Draw</v>
      </c>
      <c r="H422">
        <v>4</v>
      </c>
      <c r="I422">
        <v>2</v>
      </c>
      <c r="K422" t="str">
        <f t="shared" si="31"/>
        <v>36_B</v>
      </c>
    </row>
    <row r="423" spans="1:11" x14ac:dyDescent="0.35">
      <c r="A423">
        <v>36</v>
      </c>
      <c r="B423" s="6">
        <v>46177</v>
      </c>
      <c r="C423" t="s">
        <v>41</v>
      </c>
      <c r="D423" t="s">
        <v>23</v>
      </c>
      <c r="E423">
        <f>IF(D423="A", INDEX(Matches!$E:$E, MATCH(A423, Matches!$A:$A, 0)), INDEX(Matches!$F:$F, MATCH(A423, Matches!$A:$A, 0)))</f>
        <v>11</v>
      </c>
      <c r="F423">
        <f>IF(D423="A", INDEX(Matches!$F:$F, MATCH(A423, Matches!$A:$A, 0)), INDEX(Matches!$E:$E, MATCH(A423, Matches!$A:$A, 0)))</f>
        <v>11</v>
      </c>
      <c r="G423" t="str">
        <f t="shared" si="33"/>
        <v>Draw</v>
      </c>
      <c r="H423">
        <v>3</v>
      </c>
      <c r="K423" t="str">
        <f t="shared" si="31"/>
        <v>36_B</v>
      </c>
    </row>
    <row r="424" spans="1:11" x14ac:dyDescent="0.35">
      <c r="A424">
        <v>36</v>
      </c>
      <c r="B424" s="6">
        <v>46177</v>
      </c>
      <c r="C424" t="s">
        <v>21</v>
      </c>
      <c r="D424" t="s">
        <v>23</v>
      </c>
      <c r="E424">
        <f>IF(D424="A", INDEX(Matches!$E:$E, MATCH(A424, Matches!$A:$A, 0)), INDEX(Matches!$F:$F, MATCH(A424, Matches!$A:$A, 0)))</f>
        <v>11</v>
      </c>
      <c r="F424">
        <f>IF(D424="A", INDEX(Matches!$F:$F, MATCH(A424, Matches!$A:$A, 0)), INDEX(Matches!$E:$E, MATCH(A424, Matches!$A:$A, 0)))</f>
        <v>11</v>
      </c>
      <c r="G424" t="str">
        <f t="shared" si="33"/>
        <v>Draw</v>
      </c>
      <c r="K424" t="str">
        <f t="shared" si="31"/>
        <v>36_B</v>
      </c>
    </row>
    <row r="425" spans="1:11" x14ac:dyDescent="0.35">
      <c r="A425">
        <v>36</v>
      </c>
      <c r="B425" s="6">
        <v>46177</v>
      </c>
      <c r="C425" t="s">
        <v>88</v>
      </c>
      <c r="D425" t="s">
        <v>23</v>
      </c>
      <c r="E425">
        <f>IF(D425="A", INDEX(Matches!$E:$E, MATCH(A425, Matches!$A:$A, 0)), INDEX(Matches!$F:$F, MATCH(A425, Matches!$A:$A, 0)))</f>
        <v>11</v>
      </c>
      <c r="F425">
        <f>IF(D425="A", INDEX(Matches!$F:$F, MATCH(A425, Matches!$A:$A, 0)), INDEX(Matches!$E:$E, MATCH(A425, Matches!$A:$A, 0)))</f>
        <v>11</v>
      </c>
      <c r="G425" t="str">
        <f t="shared" si="33"/>
        <v>Draw</v>
      </c>
      <c r="H425">
        <v>1</v>
      </c>
      <c r="I425">
        <v>2</v>
      </c>
      <c r="K425" t="str">
        <f t="shared" si="31"/>
        <v>36_B</v>
      </c>
    </row>
    <row r="426" spans="1:11" x14ac:dyDescent="0.35">
      <c r="A426">
        <v>36</v>
      </c>
      <c r="B426" s="6">
        <v>46177</v>
      </c>
      <c r="C426" t="s">
        <v>20</v>
      </c>
      <c r="D426" t="s">
        <v>23</v>
      </c>
      <c r="E426">
        <f>IF(D426="A", INDEX(Matches!$E:$E, MATCH(A426, Matches!$A:$A, 0)), INDEX(Matches!$F:$F, MATCH(A426, Matches!$A:$A, 0)))</f>
        <v>11</v>
      </c>
      <c r="F426">
        <f>IF(D426="A", INDEX(Matches!$F:$F, MATCH(A426, Matches!$A:$A, 0)), INDEX(Matches!$E:$E, MATCH(A426, Matches!$A:$A, 0)))</f>
        <v>11</v>
      </c>
      <c r="G426" t="str">
        <f t="shared" si="33"/>
        <v>Draw</v>
      </c>
      <c r="H426">
        <v>3</v>
      </c>
      <c r="I426">
        <v>3</v>
      </c>
      <c r="K426" t="str">
        <f t="shared" si="31"/>
        <v>36_B</v>
      </c>
    </row>
    <row r="427" spans="1:11" x14ac:dyDescent="0.35">
      <c r="A427">
        <v>37</v>
      </c>
      <c r="B427" s="6">
        <v>46177</v>
      </c>
      <c r="C427" t="s">
        <v>25</v>
      </c>
      <c r="D427" t="s">
        <v>17</v>
      </c>
      <c r="E427">
        <f>IF(D427="A", INDEX(Matches!$E:$E, MATCH(A427, Matches!$A:$A, 0)), INDEX(Matches!$F:$F, MATCH(A427, Matches!$A:$A, 0)))</f>
        <v>9</v>
      </c>
      <c r="F427">
        <f>IF(D427="A", INDEX(Matches!$F:$F, MATCH(A427, Matches!$A:$A, 0)), INDEX(Matches!$E:$E, MATCH(A427, Matches!$A:$A, 0)))</f>
        <v>7</v>
      </c>
      <c r="G427" t="str">
        <f t="shared" si="33"/>
        <v>Win</v>
      </c>
      <c r="H427">
        <v>1</v>
      </c>
      <c r="I427">
        <v>1</v>
      </c>
      <c r="K427" t="str">
        <f t="shared" si="31"/>
        <v>37_A</v>
      </c>
    </row>
    <row r="428" spans="1:11" x14ac:dyDescent="0.35">
      <c r="A428">
        <v>37</v>
      </c>
      <c r="B428" s="6">
        <v>46177</v>
      </c>
      <c r="C428" t="s">
        <v>53</v>
      </c>
      <c r="D428" t="s">
        <v>17</v>
      </c>
      <c r="E428">
        <f>IF(D428="A", INDEX(Matches!$E:$E, MATCH(A428, Matches!$A:$A, 0)), INDEX(Matches!$F:$F, MATCH(A428, Matches!$A:$A, 0)))</f>
        <v>9</v>
      </c>
      <c r="F428">
        <f>IF(D428="A", INDEX(Matches!$F:$F, MATCH(A428, Matches!$A:$A, 0)), INDEX(Matches!$E:$E, MATCH(A428, Matches!$A:$A, 0)))</f>
        <v>7</v>
      </c>
      <c r="G428" t="str">
        <f t="shared" si="33"/>
        <v>Win</v>
      </c>
      <c r="H428">
        <v>1</v>
      </c>
      <c r="I428">
        <v>1</v>
      </c>
      <c r="K428" t="str">
        <f t="shared" si="31"/>
        <v>37_A</v>
      </c>
    </row>
    <row r="429" spans="1:11" x14ac:dyDescent="0.35">
      <c r="A429">
        <v>37</v>
      </c>
      <c r="B429" s="6">
        <v>46177</v>
      </c>
      <c r="C429" t="s">
        <v>98</v>
      </c>
      <c r="D429" t="s">
        <v>17</v>
      </c>
      <c r="E429">
        <f>IF(D429="A", INDEX(Matches!$E:$E, MATCH(A429, Matches!$A:$A, 0)), INDEX(Matches!$F:$F, MATCH(A429, Matches!$A:$A, 0)))</f>
        <v>9</v>
      </c>
      <c r="F429">
        <f>IF(D429="A", INDEX(Matches!$F:$F, MATCH(A429, Matches!$A:$A, 0)), INDEX(Matches!$E:$E, MATCH(A429, Matches!$A:$A, 0)))</f>
        <v>7</v>
      </c>
      <c r="G429" t="str">
        <f t="shared" si="33"/>
        <v>Win</v>
      </c>
      <c r="H429">
        <v>4</v>
      </c>
      <c r="K429" t="str">
        <f t="shared" si="31"/>
        <v>37_A</v>
      </c>
    </row>
    <row r="430" spans="1:11" x14ac:dyDescent="0.35">
      <c r="A430">
        <v>37</v>
      </c>
      <c r="B430" s="6">
        <v>46177</v>
      </c>
      <c r="C430" t="s">
        <v>54</v>
      </c>
      <c r="D430" t="s">
        <v>17</v>
      </c>
      <c r="E430">
        <f>IF(D430="A", INDEX(Matches!$E:$E, MATCH(A430, Matches!$A:$A, 0)), INDEX(Matches!$F:$F, MATCH(A430, Matches!$A:$A, 0)))</f>
        <v>9</v>
      </c>
      <c r="F430">
        <f>IF(D430="A", INDEX(Matches!$F:$F, MATCH(A430, Matches!$A:$A, 0)), INDEX(Matches!$E:$E, MATCH(A430, Matches!$A:$A, 0)))</f>
        <v>7</v>
      </c>
      <c r="G430" t="str">
        <f t="shared" si="33"/>
        <v>Win</v>
      </c>
      <c r="H430">
        <v>2</v>
      </c>
      <c r="I430">
        <v>1</v>
      </c>
      <c r="K430" t="str">
        <f t="shared" si="31"/>
        <v>37_A</v>
      </c>
    </row>
    <row r="431" spans="1:11" x14ac:dyDescent="0.35">
      <c r="A431">
        <v>37</v>
      </c>
      <c r="B431" s="6">
        <v>46177</v>
      </c>
      <c r="C431" t="s">
        <v>46</v>
      </c>
      <c r="D431" t="s">
        <v>17</v>
      </c>
      <c r="E431">
        <f>IF(D431="A", INDEX(Matches!$E:$E, MATCH(A431, Matches!$A:$A, 0)), INDEX(Matches!$F:$F, MATCH(A431, Matches!$A:$A, 0)))</f>
        <v>9</v>
      </c>
      <c r="F431">
        <f>IF(D431="A", INDEX(Matches!$F:$F, MATCH(A431, Matches!$A:$A, 0)), INDEX(Matches!$E:$E, MATCH(A431, Matches!$A:$A, 0)))</f>
        <v>7</v>
      </c>
      <c r="G431" t="str">
        <f t="shared" si="33"/>
        <v>Win</v>
      </c>
      <c r="H431">
        <v>1</v>
      </c>
      <c r="I431">
        <v>2</v>
      </c>
      <c r="K431" t="str">
        <f t="shared" si="31"/>
        <v>37_A</v>
      </c>
    </row>
    <row r="432" spans="1:11" x14ac:dyDescent="0.35">
      <c r="A432">
        <v>37</v>
      </c>
      <c r="B432" s="6">
        <v>46177</v>
      </c>
      <c r="C432" t="s">
        <v>75</v>
      </c>
      <c r="D432" t="s">
        <v>23</v>
      </c>
      <c r="E432">
        <f>IF(D432="A", INDEX(Matches!$E:$E, MATCH(A432, Matches!$A:$A, 0)), INDEX(Matches!$F:$F, MATCH(A432, Matches!$A:$A, 0)))</f>
        <v>7</v>
      </c>
      <c r="F432">
        <f>IF(D432="A", INDEX(Matches!$F:$F, MATCH(A432, Matches!$A:$A, 0)), INDEX(Matches!$E:$E, MATCH(A432, Matches!$A:$A, 0)))</f>
        <v>9</v>
      </c>
      <c r="G432" t="str">
        <f t="shared" si="33"/>
        <v>Loss</v>
      </c>
      <c r="H432">
        <v>1</v>
      </c>
      <c r="I432">
        <v>1</v>
      </c>
      <c r="K432" t="str">
        <f t="shared" si="31"/>
        <v>37_B</v>
      </c>
    </row>
    <row r="433" spans="1:11" x14ac:dyDescent="0.35">
      <c r="A433">
        <v>37</v>
      </c>
      <c r="B433" s="6">
        <v>46177</v>
      </c>
      <c r="C433" t="s">
        <v>84</v>
      </c>
      <c r="D433" t="s">
        <v>23</v>
      </c>
      <c r="E433">
        <f>IF(D433="A", INDEX(Matches!$E:$E, MATCH(A433, Matches!$A:$A, 0)), INDEX(Matches!$F:$F, MATCH(A433, Matches!$A:$A, 0)))</f>
        <v>7</v>
      </c>
      <c r="F433">
        <f>IF(D433="A", INDEX(Matches!$F:$F, MATCH(A433, Matches!$A:$A, 0)), INDEX(Matches!$E:$E, MATCH(A433, Matches!$A:$A, 0)))</f>
        <v>9</v>
      </c>
      <c r="G433" t="str">
        <f t="shared" si="33"/>
        <v>Loss</v>
      </c>
      <c r="I433">
        <v>2</v>
      </c>
      <c r="K433" t="str">
        <f t="shared" si="31"/>
        <v>37_B</v>
      </c>
    </row>
    <row r="434" spans="1:11" x14ac:dyDescent="0.35">
      <c r="A434">
        <v>37</v>
      </c>
      <c r="B434" s="6">
        <v>46177</v>
      </c>
      <c r="C434" t="s">
        <v>85</v>
      </c>
      <c r="D434" t="s">
        <v>23</v>
      </c>
      <c r="E434">
        <f>IF(D434="A", INDEX(Matches!$E:$E, MATCH(A434, Matches!$A:$A, 0)), INDEX(Matches!$F:$F, MATCH(A434, Matches!$A:$A, 0)))</f>
        <v>7</v>
      </c>
      <c r="F434">
        <f>IF(D434="A", INDEX(Matches!$F:$F, MATCH(A434, Matches!$A:$A, 0)), INDEX(Matches!$E:$E, MATCH(A434, Matches!$A:$A, 0)))</f>
        <v>9</v>
      </c>
      <c r="G434" t="str">
        <f t="shared" si="33"/>
        <v>Loss</v>
      </c>
      <c r="H434">
        <v>4</v>
      </c>
      <c r="K434" t="str">
        <f t="shared" si="31"/>
        <v>37_B</v>
      </c>
    </row>
    <row r="435" spans="1:11" x14ac:dyDescent="0.35">
      <c r="A435">
        <v>37</v>
      </c>
      <c r="B435" s="6">
        <v>46177</v>
      </c>
      <c r="C435" t="s">
        <v>22</v>
      </c>
      <c r="D435" t="s">
        <v>23</v>
      </c>
      <c r="E435">
        <f>IF(D435="A", INDEX(Matches!$E:$E, MATCH(A435, Matches!$A:$A, 0)), INDEX(Matches!$F:$F, MATCH(A435, Matches!$A:$A, 0)))</f>
        <v>7</v>
      </c>
      <c r="F435">
        <f>IF(D435="A", INDEX(Matches!$F:$F, MATCH(A435, Matches!$A:$A, 0)), INDEX(Matches!$E:$E, MATCH(A435, Matches!$A:$A, 0)))</f>
        <v>9</v>
      </c>
      <c r="G435" t="str">
        <f t="shared" si="33"/>
        <v>Loss</v>
      </c>
      <c r="H435">
        <v>1</v>
      </c>
      <c r="K435" t="str">
        <f t="shared" si="31"/>
        <v>37_B</v>
      </c>
    </row>
    <row r="436" spans="1:11" x14ac:dyDescent="0.35">
      <c r="A436">
        <v>37</v>
      </c>
      <c r="B436" s="6">
        <v>46177</v>
      </c>
      <c r="C436" t="s">
        <v>111</v>
      </c>
      <c r="D436" t="s">
        <v>23</v>
      </c>
      <c r="E436">
        <f>IF(D436="A", INDEX(Matches!$E:$E, MATCH(A436, Matches!$A:$A, 0)), INDEX(Matches!$F:$F, MATCH(A436, Matches!$A:$A, 0)))</f>
        <v>7</v>
      </c>
      <c r="F436">
        <f>IF(D436="A", INDEX(Matches!$F:$F, MATCH(A436, Matches!$A:$A, 0)), INDEX(Matches!$E:$E, MATCH(A436, Matches!$A:$A, 0)))</f>
        <v>9</v>
      </c>
      <c r="G436" t="str">
        <f t="shared" si="33"/>
        <v>Loss</v>
      </c>
      <c r="H436">
        <v>1</v>
      </c>
      <c r="I436">
        <v>1</v>
      </c>
      <c r="K436" t="str">
        <f t="shared" si="31"/>
        <v>37_B</v>
      </c>
    </row>
    <row r="437" spans="1:11" x14ac:dyDescent="0.35">
      <c r="A437">
        <v>38</v>
      </c>
      <c r="B437" s="6">
        <v>46184</v>
      </c>
      <c r="C437" t="s">
        <v>22</v>
      </c>
      <c r="D437" t="s">
        <v>17</v>
      </c>
      <c r="E437">
        <f>IF(D437="A", INDEX(Matches!$E:$E, MATCH(A437, Matches!$A:$A, 0)), INDEX(Matches!$F:$F, MATCH(A437, Matches!$A:$A, 0)))</f>
        <v>12</v>
      </c>
      <c r="F437">
        <f>IF(D437="A", INDEX(Matches!$F:$F, MATCH(A437, Matches!$A:$A, 0)), INDEX(Matches!$E:$E, MATCH(A437, Matches!$A:$A, 0)))</f>
        <v>4</v>
      </c>
      <c r="G437" t="str">
        <f t="shared" ref="G437:G448" si="34">IF(E437&gt;F437,"Win",IF(E437&lt;F437,"Loss","Draw"))</f>
        <v>Win</v>
      </c>
      <c r="H437">
        <v>4</v>
      </c>
      <c r="K437" t="str">
        <f t="shared" si="31"/>
        <v>38_A</v>
      </c>
    </row>
    <row r="438" spans="1:11" x14ac:dyDescent="0.35">
      <c r="A438">
        <v>38</v>
      </c>
      <c r="B438" s="6">
        <v>46184</v>
      </c>
      <c r="C438" t="s">
        <v>46</v>
      </c>
      <c r="D438" t="s">
        <v>17</v>
      </c>
      <c r="E438">
        <f>IF(D438="A", INDEX(Matches!$E:$E, MATCH(A438, Matches!$A:$A, 0)), INDEX(Matches!$F:$F, MATCH(A438, Matches!$A:$A, 0)))</f>
        <v>12</v>
      </c>
      <c r="F438">
        <f>IF(D438="A", INDEX(Matches!$F:$F, MATCH(A438, Matches!$A:$A, 0)), INDEX(Matches!$E:$E, MATCH(A438, Matches!$A:$A, 0)))</f>
        <v>4</v>
      </c>
      <c r="G438" t="str">
        <f t="shared" si="34"/>
        <v>Win</v>
      </c>
      <c r="H438">
        <v>2</v>
      </c>
      <c r="I438">
        <v>2</v>
      </c>
      <c r="K438" t="str">
        <f t="shared" si="31"/>
        <v>38_A</v>
      </c>
    </row>
    <row r="439" spans="1:11" x14ac:dyDescent="0.35">
      <c r="A439">
        <v>38</v>
      </c>
      <c r="B439" s="6">
        <v>46184</v>
      </c>
      <c r="C439" t="s">
        <v>49</v>
      </c>
      <c r="D439" t="s">
        <v>17</v>
      </c>
      <c r="E439">
        <f>IF(D439="A", INDEX(Matches!$E:$E, MATCH(A439, Matches!$A:$A, 0)), INDEX(Matches!$F:$F, MATCH(A439, Matches!$A:$A, 0)))</f>
        <v>12</v>
      </c>
      <c r="F439">
        <f>IF(D439="A", INDEX(Matches!$F:$F, MATCH(A439, Matches!$A:$A, 0)), INDEX(Matches!$E:$E, MATCH(A439, Matches!$A:$A, 0)))</f>
        <v>4</v>
      </c>
      <c r="G439" t="str">
        <f t="shared" si="34"/>
        <v>Win</v>
      </c>
      <c r="K439" t="str">
        <f t="shared" si="31"/>
        <v>38_A</v>
      </c>
    </row>
    <row r="440" spans="1:11" x14ac:dyDescent="0.35">
      <c r="A440">
        <v>38</v>
      </c>
      <c r="B440" s="6">
        <v>46184</v>
      </c>
      <c r="C440" t="s">
        <v>42</v>
      </c>
      <c r="D440" t="s">
        <v>17</v>
      </c>
      <c r="E440">
        <f>IF(D440="A", INDEX(Matches!$E:$E, MATCH(A440, Matches!$A:$A, 0)), INDEX(Matches!$F:$F, MATCH(A440, Matches!$A:$A, 0)))</f>
        <v>12</v>
      </c>
      <c r="F440">
        <f>IF(D440="A", INDEX(Matches!$F:$F, MATCH(A440, Matches!$A:$A, 0)), INDEX(Matches!$E:$E, MATCH(A440, Matches!$A:$A, 0)))</f>
        <v>4</v>
      </c>
      <c r="G440" t="str">
        <f t="shared" si="34"/>
        <v>Win</v>
      </c>
      <c r="H440">
        <v>1</v>
      </c>
      <c r="I440">
        <v>2</v>
      </c>
      <c r="K440" t="str">
        <f t="shared" si="31"/>
        <v>38_A</v>
      </c>
    </row>
    <row r="441" spans="1:11" x14ac:dyDescent="0.35">
      <c r="A441">
        <v>38</v>
      </c>
      <c r="B441" s="6">
        <v>46184</v>
      </c>
      <c r="C441" t="s">
        <v>89</v>
      </c>
      <c r="D441" t="s">
        <v>17</v>
      </c>
      <c r="E441">
        <f>IF(D441="A", INDEX(Matches!$E:$E, MATCH(A441, Matches!$A:$A, 0)), INDEX(Matches!$F:$F, MATCH(A441, Matches!$A:$A, 0)))</f>
        <v>12</v>
      </c>
      <c r="F441">
        <f>IF(D441="A", INDEX(Matches!$F:$F, MATCH(A441, Matches!$A:$A, 0)), INDEX(Matches!$E:$E, MATCH(A441, Matches!$A:$A, 0)))</f>
        <v>4</v>
      </c>
      <c r="G441" t="str">
        <f t="shared" si="34"/>
        <v>Win</v>
      </c>
      <c r="H441">
        <v>5</v>
      </c>
      <c r="I441">
        <v>4</v>
      </c>
      <c r="K441" t="str">
        <f t="shared" si="31"/>
        <v>38_A</v>
      </c>
    </row>
    <row r="442" spans="1:11" x14ac:dyDescent="0.35">
      <c r="A442">
        <v>38</v>
      </c>
      <c r="B442" s="6">
        <v>46184</v>
      </c>
      <c r="C442" t="s">
        <v>99</v>
      </c>
      <c r="D442" t="s">
        <v>17</v>
      </c>
      <c r="E442">
        <f>IF(D442="A", INDEX(Matches!$E:$E, MATCH(A442, Matches!$A:$A, 0)), INDEX(Matches!$F:$F, MATCH(A442, Matches!$A:$A, 0)))</f>
        <v>12</v>
      </c>
      <c r="F442">
        <f>IF(D442="A", INDEX(Matches!$F:$F, MATCH(A442, Matches!$A:$A, 0)), INDEX(Matches!$E:$E, MATCH(A442, Matches!$A:$A, 0)))</f>
        <v>4</v>
      </c>
      <c r="G442" t="str">
        <f t="shared" si="34"/>
        <v>Win</v>
      </c>
      <c r="I442">
        <v>1</v>
      </c>
      <c r="K442" t="str">
        <f t="shared" si="31"/>
        <v>38_A</v>
      </c>
    </row>
    <row r="443" spans="1:11" x14ac:dyDescent="0.35">
      <c r="A443">
        <v>38</v>
      </c>
      <c r="B443" s="6">
        <v>46184</v>
      </c>
      <c r="C443" t="s">
        <v>25</v>
      </c>
      <c r="D443" t="s">
        <v>23</v>
      </c>
      <c r="E443">
        <f>IF(D443="A", INDEX(Matches!$E:$E, MATCH(A443, Matches!$A:$A, 0)), INDEX(Matches!$F:$F, MATCH(A443, Matches!$A:$A, 0)))</f>
        <v>4</v>
      </c>
      <c r="F443">
        <f>IF(D443="A", INDEX(Matches!$F:$F, MATCH(A443, Matches!$A:$A, 0)), INDEX(Matches!$E:$E, MATCH(A443, Matches!$A:$A, 0)))</f>
        <v>12</v>
      </c>
      <c r="G443" t="str">
        <f t="shared" si="34"/>
        <v>Loss</v>
      </c>
      <c r="K443" t="str">
        <f t="shared" si="31"/>
        <v>38_B</v>
      </c>
    </row>
    <row r="444" spans="1:11" x14ac:dyDescent="0.35">
      <c r="A444">
        <v>38</v>
      </c>
      <c r="B444" s="6">
        <v>46184</v>
      </c>
      <c r="C444" t="s">
        <v>20</v>
      </c>
      <c r="D444" t="s">
        <v>23</v>
      </c>
      <c r="E444">
        <f>IF(D444="A", INDEX(Matches!$E:$E, MATCH(A444, Matches!$A:$A, 0)), INDEX(Matches!$F:$F, MATCH(A444, Matches!$A:$A, 0)))</f>
        <v>4</v>
      </c>
      <c r="F444">
        <f>IF(D444="A", INDEX(Matches!$F:$F, MATCH(A444, Matches!$A:$A, 0)), INDEX(Matches!$E:$E, MATCH(A444, Matches!$A:$A, 0)))</f>
        <v>12</v>
      </c>
      <c r="G444" t="str">
        <f t="shared" si="34"/>
        <v>Loss</v>
      </c>
      <c r="H444">
        <v>2</v>
      </c>
      <c r="K444" t="str">
        <f t="shared" si="31"/>
        <v>38_B</v>
      </c>
    </row>
    <row r="445" spans="1:11" x14ac:dyDescent="0.35">
      <c r="A445">
        <v>38</v>
      </c>
      <c r="B445" s="6">
        <v>46184</v>
      </c>
      <c r="C445" t="s">
        <v>21</v>
      </c>
      <c r="D445" t="s">
        <v>23</v>
      </c>
      <c r="E445">
        <f>IF(D445="A", INDEX(Matches!$E:$E, MATCH(A445, Matches!$A:$A, 0)), INDEX(Matches!$F:$F, MATCH(A445, Matches!$A:$A, 0)))</f>
        <v>4</v>
      </c>
      <c r="F445">
        <f>IF(D445="A", INDEX(Matches!$F:$F, MATCH(A445, Matches!$A:$A, 0)), INDEX(Matches!$E:$E, MATCH(A445, Matches!$A:$A, 0)))</f>
        <v>12</v>
      </c>
      <c r="G445" t="str">
        <f t="shared" si="34"/>
        <v>Loss</v>
      </c>
      <c r="H445">
        <v>1</v>
      </c>
      <c r="I445">
        <v>1</v>
      </c>
      <c r="K445" t="str">
        <f t="shared" si="31"/>
        <v>38_B</v>
      </c>
    </row>
    <row r="446" spans="1:11" x14ac:dyDescent="0.35">
      <c r="A446">
        <v>38</v>
      </c>
      <c r="B446" s="6">
        <v>46184</v>
      </c>
      <c r="C446" t="s">
        <v>52</v>
      </c>
      <c r="D446" t="s">
        <v>23</v>
      </c>
      <c r="E446">
        <f>IF(D446="A", INDEX(Matches!$E:$E, MATCH(A446, Matches!$A:$A, 0)), INDEX(Matches!$F:$F, MATCH(A446, Matches!$A:$A, 0)))</f>
        <v>4</v>
      </c>
      <c r="F446">
        <f>IF(D446="A", INDEX(Matches!$F:$F, MATCH(A446, Matches!$A:$A, 0)), INDEX(Matches!$E:$E, MATCH(A446, Matches!$A:$A, 0)))</f>
        <v>12</v>
      </c>
      <c r="G446" t="str">
        <f t="shared" si="34"/>
        <v>Loss</v>
      </c>
      <c r="H446">
        <v>1</v>
      </c>
      <c r="I446">
        <v>2</v>
      </c>
      <c r="K446" t="str">
        <f t="shared" si="31"/>
        <v>38_B</v>
      </c>
    </row>
    <row r="447" spans="1:11" x14ac:dyDescent="0.35">
      <c r="A447">
        <v>38</v>
      </c>
      <c r="B447" s="6">
        <v>46184</v>
      </c>
      <c r="C447" t="s">
        <v>53</v>
      </c>
      <c r="D447" t="s">
        <v>23</v>
      </c>
      <c r="E447">
        <f>IF(D447="A", INDEX(Matches!$E:$E, MATCH(A447, Matches!$A:$A, 0)), INDEX(Matches!$F:$F, MATCH(A447, Matches!$A:$A, 0)))</f>
        <v>4</v>
      </c>
      <c r="F447">
        <f>IF(D447="A", INDEX(Matches!$F:$F, MATCH(A447, Matches!$A:$A, 0)), INDEX(Matches!$E:$E, MATCH(A447, Matches!$A:$A, 0)))</f>
        <v>12</v>
      </c>
      <c r="G447" t="str">
        <f t="shared" si="34"/>
        <v>Loss</v>
      </c>
      <c r="K447" t="str">
        <f t="shared" si="31"/>
        <v>38_B</v>
      </c>
    </row>
    <row r="448" spans="1:11" x14ac:dyDescent="0.35">
      <c r="A448">
        <v>38</v>
      </c>
      <c r="B448" s="6">
        <v>46184</v>
      </c>
      <c r="C448" t="s">
        <v>88</v>
      </c>
      <c r="D448" t="s">
        <v>23</v>
      </c>
      <c r="E448">
        <f>IF(D448="A", INDEX(Matches!$E:$E, MATCH(A448, Matches!$A:$A, 0)), INDEX(Matches!$F:$F, MATCH(A448, Matches!$A:$A, 0)))</f>
        <v>4</v>
      </c>
      <c r="F448">
        <f>IF(D448="A", INDEX(Matches!$F:$F, MATCH(A448, Matches!$A:$A, 0)), INDEX(Matches!$E:$E, MATCH(A448, Matches!$A:$A, 0)))</f>
        <v>12</v>
      </c>
      <c r="G448" t="str">
        <f t="shared" si="34"/>
        <v>Loss</v>
      </c>
      <c r="I448">
        <v>1</v>
      </c>
      <c r="K448" t="str">
        <f t="shared" si="31"/>
        <v>38_B</v>
      </c>
    </row>
    <row r="449" spans="1:11" x14ac:dyDescent="0.35">
      <c r="A449">
        <v>39</v>
      </c>
      <c r="B449" s="6">
        <v>46191</v>
      </c>
      <c r="C449" t="s">
        <v>16</v>
      </c>
      <c r="D449" t="s">
        <v>17</v>
      </c>
      <c r="E449">
        <f>IF(D449="A", INDEX(Matches!$E:$E, MATCH(A449, Matches!$A:$A, 0)), INDEX(Matches!$F:$F, MATCH(A449, Matches!$A:$A, 0)))</f>
        <v>7</v>
      </c>
      <c r="F449">
        <f>IF(D449="A", INDEX(Matches!$F:$F, MATCH(A449, Matches!$A:$A, 0)), INDEX(Matches!$E:$E, MATCH(A449, Matches!$A:$A, 0)))</f>
        <v>5</v>
      </c>
      <c r="G449" t="str">
        <f t="shared" ref="G449:G462" si="35">IF(E449&gt;F449,"Win",IF(E449&lt;F449,"Loss","Draw"))</f>
        <v>Win</v>
      </c>
      <c r="K449" t="str">
        <f t="shared" si="31"/>
        <v>39_A</v>
      </c>
    </row>
    <row r="450" spans="1:11" x14ac:dyDescent="0.35">
      <c r="A450">
        <v>39</v>
      </c>
      <c r="B450" s="6">
        <v>46191</v>
      </c>
      <c r="C450" t="s">
        <v>42</v>
      </c>
      <c r="D450" t="s">
        <v>17</v>
      </c>
      <c r="E450">
        <f>IF(D450="A", INDEX(Matches!$E:$E, MATCH(A450, Matches!$A:$A, 0)), INDEX(Matches!$F:$F, MATCH(A450, Matches!$A:$A, 0)))</f>
        <v>7</v>
      </c>
      <c r="F450">
        <f>IF(D450="A", INDEX(Matches!$F:$F, MATCH(A450, Matches!$A:$A, 0)), INDEX(Matches!$E:$E, MATCH(A450, Matches!$A:$A, 0)))</f>
        <v>5</v>
      </c>
      <c r="G450" t="str">
        <f t="shared" si="35"/>
        <v>Win</v>
      </c>
      <c r="H450">
        <v>1</v>
      </c>
      <c r="I450">
        <v>1</v>
      </c>
      <c r="K450" t="str">
        <f t="shared" si="31"/>
        <v>39_A</v>
      </c>
    </row>
    <row r="451" spans="1:11" x14ac:dyDescent="0.35">
      <c r="A451">
        <v>39</v>
      </c>
      <c r="B451" s="6">
        <v>46191</v>
      </c>
      <c r="C451" t="s">
        <v>19</v>
      </c>
      <c r="D451" t="s">
        <v>17</v>
      </c>
      <c r="E451">
        <f>IF(D451="A", INDEX(Matches!$E:$E, MATCH(A451, Matches!$A:$A, 0)), INDEX(Matches!$F:$F, MATCH(A451, Matches!$A:$A, 0)))</f>
        <v>7</v>
      </c>
      <c r="F451">
        <f>IF(D451="A", INDEX(Matches!$F:$F, MATCH(A451, Matches!$A:$A, 0)), INDEX(Matches!$E:$E, MATCH(A451, Matches!$A:$A, 0)))</f>
        <v>5</v>
      </c>
      <c r="G451" t="str">
        <f t="shared" si="35"/>
        <v>Win</v>
      </c>
      <c r="H451">
        <v>2</v>
      </c>
      <c r="I451">
        <v>2</v>
      </c>
      <c r="K451" t="str">
        <f t="shared" si="31"/>
        <v>39_A</v>
      </c>
    </row>
    <row r="452" spans="1:11" x14ac:dyDescent="0.35">
      <c r="A452">
        <v>39</v>
      </c>
      <c r="B452" s="6">
        <v>46191</v>
      </c>
      <c r="C452" t="s">
        <v>24</v>
      </c>
      <c r="D452" t="s">
        <v>17</v>
      </c>
      <c r="E452">
        <f>IF(D452="A", INDEX(Matches!$E:$E, MATCH(A452, Matches!$A:$A, 0)), INDEX(Matches!$F:$F, MATCH(A452, Matches!$A:$A, 0)))</f>
        <v>7</v>
      </c>
      <c r="F452">
        <f>IF(D452="A", INDEX(Matches!$F:$F, MATCH(A452, Matches!$A:$A, 0)), INDEX(Matches!$E:$E, MATCH(A452, Matches!$A:$A, 0)))</f>
        <v>5</v>
      </c>
      <c r="G452" t="str">
        <f t="shared" si="35"/>
        <v>Win</v>
      </c>
      <c r="H452">
        <v>1</v>
      </c>
      <c r="K452" t="str">
        <f t="shared" si="31"/>
        <v>39_A</v>
      </c>
    </row>
    <row r="453" spans="1:11" x14ac:dyDescent="0.35">
      <c r="A453">
        <v>39</v>
      </c>
      <c r="B453" s="6">
        <v>46191</v>
      </c>
      <c r="C453" t="s">
        <v>25</v>
      </c>
      <c r="D453" t="s">
        <v>17</v>
      </c>
      <c r="E453">
        <f>IF(D453="A", INDEX(Matches!$E:$E, MATCH(A453, Matches!$A:$A, 0)), INDEX(Matches!$F:$F, MATCH(A453, Matches!$A:$A, 0)))</f>
        <v>7</v>
      </c>
      <c r="F453">
        <f>IF(D453="A", INDEX(Matches!$F:$F, MATCH(A453, Matches!$A:$A, 0)), INDEX(Matches!$E:$E, MATCH(A453, Matches!$A:$A, 0)))</f>
        <v>5</v>
      </c>
      <c r="G453" t="str">
        <f t="shared" si="35"/>
        <v>Win</v>
      </c>
      <c r="H453">
        <v>1</v>
      </c>
      <c r="I453">
        <v>1</v>
      </c>
      <c r="K453" t="str">
        <f t="shared" si="31"/>
        <v>39_A</v>
      </c>
    </row>
    <row r="454" spans="1:11" x14ac:dyDescent="0.35">
      <c r="A454">
        <v>39</v>
      </c>
      <c r="B454" s="6">
        <v>46191</v>
      </c>
      <c r="C454" t="s">
        <v>21</v>
      </c>
      <c r="D454" t="s">
        <v>17</v>
      </c>
      <c r="E454">
        <f>IF(D454="A", INDEX(Matches!$E:$E, MATCH(A454, Matches!$A:$A, 0)), INDEX(Matches!$F:$F, MATCH(A454, Matches!$A:$A, 0)))</f>
        <v>7</v>
      </c>
      <c r="F454">
        <f>IF(D454="A", INDEX(Matches!$F:$F, MATCH(A454, Matches!$A:$A, 0)), INDEX(Matches!$E:$E, MATCH(A454, Matches!$A:$A, 0)))</f>
        <v>5</v>
      </c>
      <c r="G454" t="str">
        <f t="shared" si="35"/>
        <v>Win</v>
      </c>
      <c r="H454">
        <v>1</v>
      </c>
      <c r="K454" t="str">
        <f t="shared" si="31"/>
        <v>39_A</v>
      </c>
    </row>
    <row r="455" spans="1:11" x14ac:dyDescent="0.35">
      <c r="A455">
        <v>39</v>
      </c>
      <c r="B455" s="6">
        <v>46191</v>
      </c>
      <c r="C455" t="s">
        <v>40</v>
      </c>
      <c r="D455" t="s">
        <v>17</v>
      </c>
      <c r="E455">
        <f>IF(D455="A", INDEX(Matches!$E:$E, MATCH(A455, Matches!$A:$A, 0)), INDEX(Matches!$F:$F, MATCH(A455, Matches!$A:$A, 0)))</f>
        <v>7</v>
      </c>
      <c r="F455">
        <f>IF(D455="A", INDEX(Matches!$F:$F, MATCH(A455, Matches!$A:$A, 0)), INDEX(Matches!$E:$E, MATCH(A455, Matches!$A:$A, 0)))</f>
        <v>5</v>
      </c>
      <c r="G455" t="str">
        <f t="shared" si="35"/>
        <v>Win</v>
      </c>
      <c r="H455">
        <v>1</v>
      </c>
      <c r="K455" t="str">
        <f t="shared" si="31"/>
        <v>39_A</v>
      </c>
    </row>
    <row r="456" spans="1:11" x14ac:dyDescent="0.35">
      <c r="A456">
        <v>39</v>
      </c>
      <c r="B456" s="6">
        <v>46191</v>
      </c>
      <c r="C456" t="s">
        <v>98</v>
      </c>
      <c r="D456" t="s">
        <v>23</v>
      </c>
      <c r="E456">
        <f>IF(D456="A", INDEX(Matches!$E:$E, MATCH(A456, Matches!$A:$A, 0)), INDEX(Matches!$F:$F, MATCH(A456, Matches!$A:$A, 0)))</f>
        <v>5</v>
      </c>
      <c r="F456">
        <f>IF(D456="A", INDEX(Matches!$F:$F, MATCH(A456, Matches!$A:$A, 0)), INDEX(Matches!$E:$E, MATCH(A456, Matches!$A:$A, 0)))</f>
        <v>7</v>
      </c>
      <c r="G456" t="str">
        <f t="shared" si="35"/>
        <v>Loss</v>
      </c>
      <c r="H456">
        <v>1</v>
      </c>
      <c r="I456">
        <v>3</v>
      </c>
      <c r="K456" t="str">
        <f t="shared" si="31"/>
        <v>39_B</v>
      </c>
    </row>
    <row r="457" spans="1:11" x14ac:dyDescent="0.35">
      <c r="A457">
        <v>39</v>
      </c>
      <c r="B457" s="6">
        <v>46191</v>
      </c>
      <c r="C457" t="s">
        <v>88</v>
      </c>
      <c r="D457" t="s">
        <v>23</v>
      </c>
      <c r="E457">
        <f>IF(D457="A", INDEX(Matches!$E:$E, MATCH(A457, Matches!$A:$A, 0)), INDEX(Matches!$F:$F, MATCH(A457, Matches!$A:$A, 0)))</f>
        <v>5</v>
      </c>
      <c r="F457">
        <f>IF(D457="A", INDEX(Matches!$F:$F, MATCH(A457, Matches!$A:$A, 0)), INDEX(Matches!$E:$E, MATCH(A457, Matches!$A:$A, 0)))</f>
        <v>7</v>
      </c>
      <c r="G457" t="str">
        <f t="shared" si="35"/>
        <v>Loss</v>
      </c>
      <c r="K457" t="str">
        <f t="shared" si="31"/>
        <v>39_B</v>
      </c>
    </row>
    <row r="458" spans="1:11" x14ac:dyDescent="0.35">
      <c r="A458">
        <v>39</v>
      </c>
      <c r="B458" s="6">
        <v>46191</v>
      </c>
      <c r="C458" t="s">
        <v>99</v>
      </c>
      <c r="D458" t="s">
        <v>23</v>
      </c>
      <c r="E458">
        <f>IF(D458="A", INDEX(Matches!$E:$E, MATCH(A458, Matches!$A:$A, 0)), INDEX(Matches!$F:$F, MATCH(A458, Matches!$A:$A, 0)))</f>
        <v>5</v>
      </c>
      <c r="F458">
        <f>IF(D458="A", INDEX(Matches!$F:$F, MATCH(A458, Matches!$A:$A, 0)), INDEX(Matches!$E:$E, MATCH(A458, Matches!$A:$A, 0)))</f>
        <v>7</v>
      </c>
      <c r="G458" t="str">
        <f t="shared" si="35"/>
        <v>Loss</v>
      </c>
      <c r="K458" t="str">
        <f t="shared" ref="K458:K521" si="36">A458&amp;"_"&amp;D458</f>
        <v>39_B</v>
      </c>
    </row>
    <row r="459" spans="1:11" x14ac:dyDescent="0.35">
      <c r="A459">
        <v>39</v>
      </c>
      <c r="B459" s="6">
        <v>46191</v>
      </c>
      <c r="C459" t="s">
        <v>84</v>
      </c>
      <c r="D459" t="s">
        <v>23</v>
      </c>
      <c r="E459">
        <f>IF(D459="A", INDEX(Matches!$E:$E, MATCH(A459, Matches!$A:$A, 0)), INDEX(Matches!$F:$F, MATCH(A459, Matches!$A:$A, 0)))</f>
        <v>5</v>
      </c>
      <c r="F459">
        <f>IF(D459="A", INDEX(Matches!$F:$F, MATCH(A459, Matches!$A:$A, 0)), INDEX(Matches!$E:$E, MATCH(A459, Matches!$A:$A, 0)))</f>
        <v>7</v>
      </c>
      <c r="G459" t="str">
        <f t="shared" si="35"/>
        <v>Loss</v>
      </c>
      <c r="H459">
        <v>3</v>
      </c>
      <c r="K459" t="str">
        <f t="shared" si="36"/>
        <v>39_B</v>
      </c>
    </row>
    <row r="460" spans="1:11" x14ac:dyDescent="0.35">
      <c r="A460">
        <v>39</v>
      </c>
      <c r="B460" s="6">
        <v>46191</v>
      </c>
      <c r="C460" t="s">
        <v>66</v>
      </c>
      <c r="D460" t="s">
        <v>23</v>
      </c>
      <c r="E460">
        <f>IF(D460="A", INDEX(Matches!$E:$E, MATCH(A460, Matches!$A:$A, 0)), INDEX(Matches!$F:$F, MATCH(A460, Matches!$A:$A, 0)))</f>
        <v>5</v>
      </c>
      <c r="F460">
        <f>IF(D460="A", INDEX(Matches!$F:$F, MATCH(A460, Matches!$A:$A, 0)), INDEX(Matches!$E:$E, MATCH(A460, Matches!$A:$A, 0)))</f>
        <v>7</v>
      </c>
      <c r="G460" t="str">
        <f t="shared" si="35"/>
        <v>Loss</v>
      </c>
      <c r="K460" t="str">
        <f t="shared" si="36"/>
        <v>39_B</v>
      </c>
    </row>
    <row r="461" spans="1:11" x14ac:dyDescent="0.35">
      <c r="A461">
        <v>39</v>
      </c>
      <c r="B461" s="6">
        <v>46191</v>
      </c>
      <c r="C461" t="s">
        <v>43</v>
      </c>
      <c r="D461" t="s">
        <v>23</v>
      </c>
      <c r="E461">
        <f>IF(D461="A", INDEX(Matches!$E:$E, MATCH(A461, Matches!$A:$A, 0)), INDEX(Matches!$F:$F, MATCH(A461, Matches!$A:$A, 0)))</f>
        <v>5</v>
      </c>
      <c r="F461">
        <f>IF(D461="A", INDEX(Matches!$F:$F, MATCH(A461, Matches!$A:$A, 0)), INDEX(Matches!$E:$E, MATCH(A461, Matches!$A:$A, 0)))</f>
        <v>7</v>
      </c>
      <c r="G461" t="str">
        <f t="shared" si="35"/>
        <v>Loss</v>
      </c>
      <c r="H461">
        <v>1</v>
      </c>
      <c r="K461" t="str">
        <f t="shared" si="36"/>
        <v>39_B</v>
      </c>
    </row>
    <row r="462" spans="1:11" x14ac:dyDescent="0.35">
      <c r="A462">
        <v>39</v>
      </c>
      <c r="B462" s="6">
        <v>46191</v>
      </c>
      <c r="C462" t="s">
        <v>22</v>
      </c>
      <c r="D462" t="s">
        <v>23</v>
      </c>
      <c r="E462">
        <f>IF(D462="A", INDEX(Matches!$E:$E, MATCH(A462, Matches!$A:$A, 0)), INDEX(Matches!$F:$F, MATCH(A462, Matches!$A:$A, 0)))</f>
        <v>5</v>
      </c>
      <c r="F462">
        <f>IF(D462="A", INDEX(Matches!$F:$F, MATCH(A462, Matches!$A:$A, 0)), INDEX(Matches!$E:$E, MATCH(A462, Matches!$A:$A, 0)))</f>
        <v>7</v>
      </c>
      <c r="G462" t="str">
        <f t="shared" si="35"/>
        <v>Loss</v>
      </c>
      <c r="K462" t="str">
        <f t="shared" si="36"/>
        <v>39_B</v>
      </c>
    </row>
    <row r="463" spans="1:11" x14ac:dyDescent="0.35">
      <c r="A463">
        <v>40</v>
      </c>
      <c r="B463" s="6">
        <v>46198</v>
      </c>
      <c r="C463" t="s">
        <v>40</v>
      </c>
      <c r="D463" t="s">
        <v>17</v>
      </c>
      <c r="E463">
        <f>IF(D463="A", INDEX(Matches!$E:$E, MATCH(A463, Matches!$A:$A, 0)), INDEX(Matches!$F:$F, MATCH(A463, Matches!$A:$A, 0)))</f>
        <v>4</v>
      </c>
      <c r="F463">
        <f>IF(D463="A", INDEX(Matches!$F:$F, MATCH(A463, Matches!$A:$A, 0)), INDEX(Matches!$E:$E, MATCH(A463, Matches!$A:$A, 0)))</f>
        <v>4</v>
      </c>
      <c r="G463" t="str">
        <f t="shared" ref="G463:G474" si="37">IF(E463&gt;F463,"Win",IF(E463&lt;F463,"Loss","Draw"))</f>
        <v>Draw</v>
      </c>
      <c r="H463">
        <v>1</v>
      </c>
      <c r="K463" t="str">
        <f t="shared" si="36"/>
        <v>40_A</v>
      </c>
    </row>
    <row r="464" spans="1:11" x14ac:dyDescent="0.35">
      <c r="A464">
        <v>40</v>
      </c>
      <c r="B464" s="6">
        <v>46198</v>
      </c>
      <c r="C464" t="s">
        <v>41</v>
      </c>
      <c r="D464" t="s">
        <v>17</v>
      </c>
      <c r="E464">
        <f>IF(D464="A", INDEX(Matches!$E:$E, MATCH(A464, Matches!$A:$A, 0)), INDEX(Matches!$F:$F, MATCH(A464, Matches!$A:$A, 0)))</f>
        <v>4</v>
      </c>
      <c r="F464">
        <f>IF(D464="A", INDEX(Matches!$F:$F, MATCH(A464, Matches!$A:$A, 0)), INDEX(Matches!$E:$E, MATCH(A464, Matches!$A:$A, 0)))</f>
        <v>4</v>
      </c>
      <c r="G464" t="str">
        <f t="shared" si="37"/>
        <v>Draw</v>
      </c>
      <c r="H464">
        <v>1</v>
      </c>
      <c r="K464" t="str">
        <f t="shared" si="36"/>
        <v>40_A</v>
      </c>
    </row>
    <row r="465" spans="1:11" x14ac:dyDescent="0.35">
      <c r="A465">
        <v>40</v>
      </c>
      <c r="B465" s="6">
        <v>46198</v>
      </c>
      <c r="C465" t="s">
        <v>22</v>
      </c>
      <c r="D465" t="s">
        <v>17</v>
      </c>
      <c r="E465">
        <f>IF(D465="A", INDEX(Matches!$E:$E, MATCH(A465, Matches!$A:$A, 0)), INDEX(Matches!$F:$F, MATCH(A465, Matches!$A:$A, 0)))</f>
        <v>4</v>
      </c>
      <c r="F465">
        <f>IF(D465="A", INDEX(Matches!$F:$F, MATCH(A465, Matches!$A:$A, 0)), INDEX(Matches!$E:$E, MATCH(A465, Matches!$A:$A, 0)))</f>
        <v>4</v>
      </c>
      <c r="G465" t="str">
        <f t="shared" si="37"/>
        <v>Draw</v>
      </c>
      <c r="H465">
        <v>1</v>
      </c>
      <c r="K465" t="str">
        <f t="shared" si="36"/>
        <v>40_A</v>
      </c>
    </row>
    <row r="466" spans="1:11" x14ac:dyDescent="0.35">
      <c r="A466">
        <v>40</v>
      </c>
      <c r="B466" s="6">
        <v>46198</v>
      </c>
      <c r="C466" t="s">
        <v>89</v>
      </c>
      <c r="D466" t="s">
        <v>17</v>
      </c>
      <c r="E466">
        <f>IF(D466="A", INDEX(Matches!$E:$E, MATCH(A466, Matches!$A:$A, 0)), INDEX(Matches!$F:$F, MATCH(A466, Matches!$A:$A, 0)))</f>
        <v>4</v>
      </c>
      <c r="F466">
        <f>IF(D466="A", INDEX(Matches!$F:$F, MATCH(A466, Matches!$A:$A, 0)), INDEX(Matches!$E:$E, MATCH(A466, Matches!$A:$A, 0)))</f>
        <v>4</v>
      </c>
      <c r="G466" t="str">
        <f t="shared" si="37"/>
        <v>Draw</v>
      </c>
      <c r="H466">
        <v>1</v>
      </c>
      <c r="K466" t="str">
        <f t="shared" si="36"/>
        <v>40_A</v>
      </c>
    </row>
    <row r="467" spans="1:11" x14ac:dyDescent="0.35">
      <c r="A467">
        <v>40</v>
      </c>
      <c r="B467" s="6">
        <v>46198</v>
      </c>
      <c r="C467" t="s">
        <v>54</v>
      </c>
      <c r="D467" t="s">
        <v>17</v>
      </c>
      <c r="E467">
        <f>IF(D467="A", INDEX(Matches!$E:$E, MATCH(A467, Matches!$A:$A, 0)), INDEX(Matches!$F:$F, MATCH(A467, Matches!$A:$A, 0)))</f>
        <v>4</v>
      </c>
      <c r="F467">
        <f>IF(D467="A", INDEX(Matches!$F:$F, MATCH(A467, Matches!$A:$A, 0)), INDEX(Matches!$E:$E, MATCH(A467, Matches!$A:$A, 0)))</f>
        <v>4</v>
      </c>
      <c r="G467" t="str">
        <f t="shared" si="37"/>
        <v>Draw</v>
      </c>
      <c r="I467">
        <v>1</v>
      </c>
      <c r="K467" t="str">
        <f t="shared" si="36"/>
        <v>40_A</v>
      </c>
    </row>
    <row r="468" spans="1:11" x14ac:dyDescent="0.35">
      <c r="A468">
        <v>40</v>
      </c>
      <c r="B468" s="6">
        <v>46198</v>
      </c>
      <c r="C468" t="s">
        <v>21</v>
      </c>
      <c r="D468" t="s">
        <v>17</v>
      </c>
      <c r="E468">
        <f>IF(D468="A", INDEX(Matches!$E:$E, MATCH(A468, Matches!$A:$A, 0)), INDEX(Matches!$F:$F, MATCH(A468, Matches!$A:$A, 0)))</f>
        <v>4</v>
      </c>
      <c r="F468">
        <f>IF(D468="A", INDEX(Matches!$F:$F, MATCH(A468, Matches!$A:$A, 0)), INDEX(Matches!$E:$E, MATCH(A468, Matches!$A:$A, 0)))</f>
        <v>4</v>
      </c>
      <c r="G468" t="str">
        <f t="shared" si="37"/>
        <v>Draw</v>
      </c>
      <c r="I468">
        <v>1</v>
      </c>
      <c r="K468" t="str">
        <f t="shared" si="36"/>
        <v>40_A</v>
      </c>
    </row>
    <row r="469" spans="1:11" x14ac:dyDescent="0.35">
      <c r="A469">
        <v>40</v>
      </c>
      <c r="B469" s="6">
        <v>46198</v>
      </c>
      <c r="C469" t="s">
        <v>24</v>
      </c>
      <c r="D469" t="s">
        <v>23</v>
      </c>
      <c r="E469">
        <f>IF(D469="A", INDEX(Matches!$E:$E, MATCH(A469, Matches!$A:$A, 0)), INDEX(Matches!$F:$F, MATCH(A469, Matches!$A:$A, 0)))</f>
        <v>4</v>
      </c>
      <c r="F469">
        <f>IF(D469="A", INDEX(Matches!$F:$F, MATCH(A469, Matches!$A:$A, 0)), INDEX(Matches!$E:$E, MATCH(A469, Matches!$A:$A, 0)))</f>
        <v>4</v>
      </c>
      <c r="G469" t="str">
        <f t="shared" si="37"/>
        <v>Draw</v>
      </c>
      <c r="H469">
        <v>1</v>
      </c>
      <c r="I469">
        <v>1</v>
      </c>
      <c r="K469" t="str">
        <f t="shared" si="36"/>
        <v>40_B</v>
      </c>
    </row>
    <row r="470" spans="1:11" x14ac:dyDescent="0.35">
      <c r="A470">
        <v>40</v>
      </c>
      <c r="B470" s="6">
        <v>46198</v>
      </c>
      <c r="C470" t="s">
        <v>84</v>
      </c>
      <c r="D470" t="s">
        <v>23</v>
      </c>
      <c r="E470">
        <f>IF(D470="A", INDEX(Matches!$E:$E, MATCH(A470, Matches!$A:$A, 0)), INDEX(Matches!$F:$F, MATCH(A470, Matches!$A:$A, 0)))</f>
        <v>4</v>
      </c>
      <c r="F470">
        <f>IF(D470="A", INDEX(Matches!$F:$F, MATCH(A470, Matches!$A:$A, 0)), INDEX(Matches!$E:$E, MATCH(A470, Matches!$A:$A, 0)))</f>
        <v>4</v>
      </c>
      <c r="G470" t="str">
        <f t="shared" si="37"/>
        <v>Draw</v>
      </c>
      <c r="H470">
        <v>1</v>
      </c>
      <c r="I470">
        <v>1</v>
      </c>
      <c r="K470" t="str">
        <f t="shared" si="36"/>
        <v>40_B</v>
      </c>
    </row>
    <row r="471" spans="1:11" x14ac:dyDescent="0.35">
      <c r="A471">
        <v>40</v>
      </c>
      <c r="B471" s="6">
        <v>46198</v>
      </c>
      <c r="C471" t="s">
        <v>46</v>
      </c>
      <c r="D471" t="s">
        <v>23</v>
      </c>
      <c r="E471">
        <f>IF(D471="A", INDEX(Matches!$E:$E, MATCH(A471, Matches!$A:$A, 0)), INDEX(Matches!$F:$F, MATCH(A471, Matches!$A:$A, 0)))</f>
        <v>4</v>
      </c>
      <c r="F471">
        <f>IF(D471="A", INDEX(Matches!$F:$F, MATCH(A471, Matches!$A:$A, 0)), INDEX(Matches!$E:$E, MATCH(A471, Matches!$A:$A, 0)))</f>
        <v>4</v>
      </c>
      <c r="G471" t="str">
        <f t="shared" si="37"/>
        <v>Draw</v>
      </c>
      <c r="H471">
        <v>2</v>
      </c>
      <c r="K471" t="str">
        <f t="shared" si="36"/>
        <v>40_B</v>
      </c>
    </row>
    <row r="472" spans="1:11" x14ac:dyDescent="0.35">
      <c r="A472">
        <v>40</v>
      </c>
      <c r="B472" s="6">
        <v>46198</v>
      </c>
      <c r="C472" t="s">
        <v>88</v>
      </c>
      <c r="D472" t="s">
        <v>23</v>
      </c>
      <c r="E472">
        <f>IF(D472="A", INDEX(Matches!$E:$E, MATCH(A472, Matches!$A:$A, 0)), INDEX(Matches!$F:$F, MATCH(A472, Matches!$A:$A, 0)))</f>
        <v>4</v>
      </c>
      <c r="F472">
        <f>IF(D472="A", INDEX(Matches!$F:$F, MATCH(A472, Matches!$A:$A, 0)), INDEX(Matches!$E:$E, MATCH(A472, Matches!$A:$A, 0)))</f>
        <v>4</v>
      </c>
      <c r="G472" t="str">
        <f t="shared" si="37"/>
        <v>Draw</v>
      </c>
      <c r="K472" t="str">
        <f t="shared" si="36"/>
        <v>40_B</v>
      </c>
    </row>
    <row r="473" spans="1:11" x14ac:dyDescent="0.35">
      <c r="A473">
        <v>40</v>
      </c>
      <c r="B473" s="6">
        <v>46198</v>
      </c>
      <c r="C473" t="s">
        <v>43</v>
      </c>
      <c r="D473" t="s">
        <v>23</v>
      </c>
      <c r="E473">
        <f>IF(D473="A", INDEX(Matches!$E:$E, MATCH(A473, Matches!$A:$A, 0)), INDEX(Matches!$F:$F, MATCH(A473, Matches!$A:$A, 0)))</f>
        <v>4</v>
      </c>
      <c r="F473">
        <f>IF(D473="A", INDEX(Matches!$F:$F, MATCH(A473, Matches!$A:$A, 0)), INDEX(Matches!$E:$E, MATCH(A473, Matches!$A:$A, 0)))</f>
        <v>4</v>
      </c>
      <c r="G473" t="str">
        <f t="shared" si="37"/>
        <v>Draw</v>
      </c>
      <c r="K473" t="str">
        <f t="shared" si="36"/>
        <v>40_B</v>
      </c>
    </row>
    <row r="474" spans="1:11" x14ac:dyDescent="0.35">
      <c r="A474">
        <v>40</v>
      </c>
      <c r="B474" s="6">
        <v>46198</v>
      </c>
      <c r="C474" t="s">
        <v>99</v>
      </c>
      <c r="D474" t="s">
        <v>23</v>
      </c>
      <c r="E474">
        <f>IF(D474="A", INDEX(Matches!$E:$E, MATCH(A474, Matches!$A:$A, 0)), INDEX(Matches!$F:$F, MATCH(A474, Matches!$A:$A, 0)))</f>
        <v>4</v>
      </c>
      <c r="F474">
        <f>IF(D474="A", INDEX(Matches!$F:$F, MATCH(A474, Matches!$A:$A, 0)), INDEX(Matches!$E:$E, MATCH(A474, Matches!$A:$A, 0)))</f>
        <v>4</v>
      </c>
      <c r="G474" t="str">
        <f t="shared" si="37"/>
        <v>Draw</v>
      </c>
      <c r="K474" t="str">
        <f t="shared" si="36"/>
        <v>40_B</v>
      </c>
    </row>
    <row r="475" spans="1:11" x14ac:dyDescent="0.35">
      <c r="A475">
        <v>41</v>
      </c>
      <c r="B475" s="6">
        <v>46205</v>
      </c>
      <c r="C475" t="s">
        <v>16</v>
      </c>
      <c r="D475" t="s">
        <v>17</v>
      </c>
      <c r="E475">
        <f>IF(D475="A", INDEX(Matches!$E:$E, MATCH(A475, Matches!$A:$A, 0)), INDEX(Matches!$F:$F, MATCH(A475, Matches!$A:$A, 0)))</f>
        <v>13</v>
      </c>
      <c r="F475">
        <f>IF(D475="A", INDEX(Matches!$F:$F, MATCH(A475, Matches!$A:$A, 0)), INDEX(Matches!$E:$E, MATCH(A475, Matches!$A:$A, 0)))</f>
        <v>15</v>
      </c>
      <c r="G475" t="str">
        <f t="shared" ref="G475:G494" si="38">IF(E475&gt;F475,"Win",IF(E475&lt;F475,"Loss","Draw"))</f>
        <v>Loss</v>
      </c>
      <c r="H475">
        <v>5</v>
      </c>
      <c r="I475">
        <v>2</v>
      </c>
      <c r="K475" t="str">
        <f t="shared" si="36"/>
        <v>41_A</v>
      </c>
    </row>
    <row r="476" spans="1:11" x14ac:dyDescent="0.35">
      <c r="A476">
        <v>41</v>
      </c>
      <c r="B476" s="6">
        <v>46205</v>
      </c>
      <c r="C476" t="s">
        <v>19</v>
      </c>
      <c r="D476" t="s">
        <v>17</v>
      </c>
      <c r="E476">
        <f>IF(D476="A", INDEX(Matches!$E:$E, MATCH(A476, Matches!$A:$A, 0)), INDEX(Matches!$F:$F, MATCH(A476, Matches!$A:$A, 0)))</f>
        <v>13</v>
      </c>
      <c r="F476">
        <f>IF(D476="A", INDEX(Matches!$F:$F, MATCH(A476, Matches!$A:$A, 0)), INDEX(Matches!$E:$E, MATCH(A476, Matches!$A:$A, 0)))</f>
        <v>15</v>
      </c>
      <c r="G476" t="str">
        <f t="shared" si="38"/>
        <v>Loss</v>
      </c>
      <c r="H476">
        <v>2</v>
      </c>
      <c r="I476">
        <v>2</v>
      </c>
      <c r="K476" t="str">
        <f t="shared" si="36"/>
        <v>41_A</v>
      </c>
    </row>
    <row r="477" spans="1:11" x14ac:dyDescent="0.35">
      <c r="A477">
        <v>41</v>
      </c>
      <c r="B477" s="6">
        <v>46205</v>
      </c>
      <c r="C477" t="s">
        <v>40</v>
      </c>
      <c r="D477" t="s">
        <v>17</v>
      </c>
      <c r="E477">
        <f>IF(D477="A", INDEX(Matches!$E:$E, MATCH(A477, Matches!$A:$A, 0)), INDEX(Matches!$F:$F, MATCH(A477, Matches!$A:$A, 0)))</f>
        <v>13</v>
      </c>
      <c r="F477">
        <f>IF(D477="A", INDEX(Matches!$F:$F, MATCH(A477, Matches!$A:$A, 0)), INDEX(Matches!$E:$E, MATCH(A477, Matches!$A:$A, 0)))</f>
        <v>15</v>
      </c>
      <c r="G477" t="str">
        <f t="shared" si="38"/>
        <v>Loss</v>
      </c>
      <c r="H477">
        <v>2</v>
      </c>
      <c r="K477" t="str">
        <f t="shared" si="36"/>
        <v>41_A</v>
      </c>
    </row>
    <row r="478" spans="1:11" x14ac:dyDescent="0.35">
      <c r="A478">
        <v>41</v>
      </c>
      <c r="B478" s="6">
        <v>46205</v>
      </c>
      <c r="C478" t="s">
        <v>88</v>
      </c>
      <c r="D478" t="s">
        <v>17</v>
      </c>
      <c r="E478">
        <f>IF(D478="A", INDEX(Matches!$E:$E, MATCH(A478, Matches!$A:$A, 0)), INDEX(Matches!$F:$F, MATCH(A478, Matches!$A:$A, 0)))</f>
        <v>13</v>
      </c>
      <c r="F478">
        <f>IF(D478="A", INDEX(Matches!$F:$F, MATCH(A478, Matches!$A:$A, 0)), INDEX(Matches!$E:$E, MATCH(A478, Matches!$A:$A, 0)))</f>
        <v>15</v>
      </c>
      <c r="G478" t="str">
        <f t="shared" si="38"/>
        <v>Loss</v>
      </c>
      <c r="K478" t="str">
        <f t="shared" si="36"/>
        <v>41_A</v>
      </c>
    </row>
    <row r="479" spans="1:11" x14ac:dyDescent="0.35">
      <c r="A479">
        <v>41</v>
      </c>
      <c r="B479" s="6">
        <v>46205</v>
      </c>
      <c r="C479" t="s">
        <v>41</v>
      </c>
      <c r="D479" t="s">
        <v>17</v>
      </c>
      <c r="E479">
        <f>IF(D479="A", INDEX(Matches!$E:$E, MATCH(A479, Matches!$A:$A, 0)), INDEX(Matches!$F:$F, MATCH(A479, Matches!$A:$A, 0)))</f>
        <v>13</v>
      </c>
      <c r="F479">
        <f>IF(D479="A", INDEX(Matches!$F:$F, MATCH(A479, Matches!$A:$A, 0)), INDEX(Matches!$E:$E, MATCH(A479, Matches!$A:$A, 0)))</f>
        <v>15</v>
      </c>
      <c r="G479" t="str">
        <f t="shared" si="38"/>
        <v>Loss</v>
      </c>
      <c r="H479">
        <v>4</v>
      </c>
      <c r="K479" t="str">
        <f t="shared" si="36"/>
        <v>41_A</v>
      </c>
    </row>
    <row r="480" spans="1:11" x14ac:dyDescent="0.35">
      <c r="A480">
        <v>41</v>
      </c>
      <c r="B480" s="6">
        <v>46205</v>
      </c>
      <c r="C480" t="s">
        <v>99</v>
      </c>
      <c r="D480" t="s">
        <v>23</v>
      </c>
      <c r="E480">
        <f>IF(D480="A", INDEX(Matches!$E:$E, MATCH(A480, Matches!$A:$A, 0)), INDEX(Matches!$F:$F, MATCH(A480, Matches!$A:$A, 0)))</f>
        <v>15</v>
      </c>
      <c r="F480">
        <f>IF(D480="A", INDEX(Matches!$F:$F, MATCH(A480, Matches!$A:$A, 0)), INDEX(Matches!$E:$E, MATCH(A480, Matches!$A:$A, 0)))</f>
        <v>13</v>
      </c>
      <c r="G480" t="str">
        <f t="shared" si="38"/>
        <v>Win</v>
      </c>
      <c r="H480">
        <v>2</v>
      </c>
      <c r="K480" t="str">
        <f t="shared" si="36"/>
        <v>41_B</v>
      </c>
    </row>
    <row r="481" spans="1:11" x14ac:dyDescent="0.35">
      <c r="A481">
        <v>41</v>
      </c>
      <c r="B481" s="6">
        <v>46205</v>
      </c>
      <c r="C481" t="s">
        <v>75</v>
      </c>
      <c r="D481" t="s">
        <v>23</v>
      </c>
      <c r="E481">
        <f>IF(D481="A", INDEX(Matches!$E:$E, MATCH(A481, Matches!$A:$A, 0)), INDEX(Matches!$F:$F, MATCH(A481, Matches!$A:$A, 0)))</f>
        <v>15</v>
      </c>
      <c r="F481">
        <f>IF(D481="A", INDEX(Matches!$F:$F, MATCH(A481, Matches!$A:$A, 0)), INDEX(Matches!$E:$E, MATCH(A481, Matches!$A:$A, 0)))</f>
        <v>13</v>
      </c>
      <c r="G481" t="str">
        <f t="shared" si="38"/>
        <v>Win</v>
      </c>
      <c r="H481">
        <v>4</v>
      </c>
      <c r="I481">
        <v>4</v>
      </c>
      <c r="K481" t="str">
        <f t="shared" si="36"/>
        <v>41_B</v>
      </c>
    </row>
    <row r="482" spans="1:11" x14ac:dyDescent="0.35">
      <c r="A482">
        <v>41</v>
      </c>
      <c r="B482" s="6">
        <v>46205</v>
      </c>
      <c r="C482" t="s">
        <v>98</v>
      </c>
      <c r="D482" t="s">
        <v>23</v>
      </c>
      <c r="E482">
        <f>IF(D482="A", INDEX(Matches!$E:$E, MATCH(A482, Matches!$A:$A, 0)), INDEX(Matches!$F:$F, MATCH(A482, Matches!$A:$A, 0)))</f>
        <v>15</v>
      </c>
      <c r="F482">
        <f>IF(D482="A", INDEX(Matches!$F:$F, MATCH(A482, Matches!$A:$A, 0)), INDEX(Matches!$E:$E, MATCH(A482, Matches!$A:$A, 0)))</f>
        <v>13</v>
      </c>
      <c r="G482" t="str">
        <f t="shared" si="38"/>
        <v>Win</v>
      </c>
      <c r="H482">
        <v>3</v>
      </c>
      <c r="I482">
        <v>2</v>
      </c>
      <c r="K482" t="str">
        <f t="shared" si="36"/>
        <v>41_B</v>
      </c>
    </row>
    <row r="483" spans="1:11" x14ac:dyDescent="0.35">
      <c r="A483">
        <v>41</v>
      </c>
      <c r="B483" s="6">
        <v>46205</v>
      </c>
      <c r="C483" t="s">
        <v>61</v>
      </c>
      <c r="D483" t="s">
        <v>23</v>
      </c>
      <c r="E483">
        <f>IF(D483="A", INDEX(Matches!$E:$E, MATCH(A483, Matches!$A:$A, 0)), INDEX(Matches!$F:$F, MATCH(A483, Matches!$A:$A, 0)))</f>
        <v>15</v>
      </c>
      <c r="F483">
        <f>IF(D483="A", INDEX(Matches!$F:$F, MATCH(A483, Matches!$A:$A, 0)), INDEX(Matches!$E:$E, MATCH(A483, Matches!$A:$A, 0)))</f>
        <v>13</v>
      </c>
      <c r="G483" t="str">
        <f t="shared" si="38"/>
        <v>Win</v>
      </c>
      <c r="K483" t="str">
        <f t="shared" si="36"/>
        <v>41_B</v>
      </c>
    </row>
    <row r="484" spans="1:11" x14ac:dyDescent="0.35">
      <c r="A484">
        <v>41</v>
      </c>
      <c r="B484" s="6">
        <v>46205</v>
      </c>
      <c r="C484" t="s">
        <v>89</v>
      </c>
      <c r="D484" t="s">
        <v>23</v>
      </c>
      <c r="E484">
        <f>IF(D484="A", INDEX(Matches!$E:$E, MATCH(A484, Matches!$A:$A, 0)), INDEX(Matches!$F:$F, MATCH(A484, Matches!$A:$A, 0)))</f>
        <v>15</v>
      </c>
      <c r="F484">
        <f>IF(D484="A", INDEX(Matches!$F:$F, MATCH(A484, Matches!$A:$A, 0)), INDEX(Matches!$E:$E, MATCH(A484, Matches!$A:$A, 0)))</f>
        <v>13</v>
      </c>
      <c r="G484" t="str">
        <f t="shared" si="38"/>
        <v>Win</v>
      </c>
      <c r="H484">
        <v>6</v>
      </c>
      <c r="I484">
        <v>3</v>
      </c>
      <c r="K484" t="str">
        <f t="shared" si="36"/>
        <v>41_B</v>
      </c>
    </row>
    <row r="485" spans="1:11" x14ac:dyDescent="0.35">
      <c r="A485">
        <v>42</v>
      </c>
      <c r="B485" s="6">
        <v>46205</v>
      </c>
      <c r="C485" t="s">
        <v>53</v>
      </c>
      <c r="D485" t="s">
        <v>17</v>
      </c>
      <c r="E485">
        <f>IF(D485="A", INDEX(Matches!$E:$E, MATCH(A485, Matches!$A:$A, 0)), INDEX(Matches!$F:$F, MATCH(A485, Matches!$A:$A, 0)))</f>
        <v>9</v>
      </c>
      <c r="F485">
        <f>IF(D485="A", INDEX(Matches!$F:$F, MATCH(A485, Matches!$A:$A, 0)), INDEX(Matches!$E:$E, MATCH(A485, Matches!$A:$A, 0)))</f>
        <v>6</v>
      </c>
      <c r="G485" t="str">
        <f t="shared" si="38"/>
        <v>Win</v>
      </c>
      <c r="H485">
        <v>1</v>
      </c>
      <c r="I485">
        <v>3</v>
      </c>
      <c r="K485" t="str">
        <f t="shared" si="36"/>
        <v>42_A</v>
      </c>
    </row>
    <row r="486" spans="1:11" x14ac:dyDescent="0.35">
      <c r="A486">
        <v>42</v>
      </c>
      <c r="B486" s="6">
        <v>46205</v>
      </c>
      <c r="C486" t="s">
        <v>24</v>
      </c>
      <c r="D486" t="s">
        <v>17</v>
      </c>
      <c r="E486">
        <f>IF(D486="A", INDEX(Matches!$E:$E, MATCH(A486, Matches!$A:$A, 0)), INDEX(Matches!$F:$F, MATCH(A486, Matches!$A:$A, 0)))</f>
        <v>9</v>
      </c>
      <c r="F486">
        <f>IF(D486="A", INDEX(Matches!$F:$F, MATCH(A486, Matches!$A:$A, 0)), INDEX(Matches!$E:$E, MATCH(A486, Matches!$A:$A, 0)))</f>
        <v>6</v>
      </c>
      <c r="G486" t="str">
        <f t="shared" si="38"/>
        <v>Win</v>
      </c>
      <c r="K486" t="str">
        <f t="shared" si="36"/>
        <v>42_A</v>
      </c>
    </row>
    <row r="487" spans="1:11" x14ac:dyDescent="0.35">
      <c r="A487">
        <v>42</v>
      </c>
      <c r="B487" s="6">
        <v>46205</v>
      </c>
      <c r="C487" t="s">
        <v>21</v>
      </c>
      <c r="D487" t="s">
        <v>17</v>
      </c>
      <c r="E487">
        <f>IF(D487="A", INDEX(Matches!$E:$E, MATCH(A487, Matches!$A:$A, 0)), INDEX(Matches!$F:$F, MATCH(A487, Matches!$A:$A, 0)))</f>
        <v>9</v>
      </c>
      <c r="F487">
        <f>IF(D487="A", INDEX(Matches!$F:$F, MATCH(A487, Matches!$A:$A, 0)), INDEX(Matches!$E:$E, MATCH(A487, Matches!$A:$A, 0)))</f>
        <v>6</v>
      </c>
      <c r="G487" t="str">
        <f t="shared" si="38"/>
        <v>Win</v>
      </c>
      <c r="H487">
        <v>3</v>
      </c>
      <c r="K487" t="str">
        <f t="shared" si="36"/>
        <v>42_A</v>
      </c>
    </row>
    <row r="488" spans="1:11" x14ac:dyDescent="0.35">
      <c r="A488">
        <v>42</v>
      </c>
      <c r="B488" s="6">
        <v>46205</v>
      </c>
      <c r="C488" t="s">
        <v>22</v>
      </c>
      <c r="D488" t="s">
        <v>17</v>
      </c>
      <c r="E488">
        <f>IF(D488="A", INDEX(Matches!$E:$E, MATCH(A488, Matches!$A:$A, 0)), INDEX(Matches!$F:$F, MATCH(A488, Matches!$A:$A, 0)))</f>
        <v>9</v>
      </c>
      <c r="F488">
        <f>IF(D488="A", INDEX(Matches!$F:$F, MATCH(A488, Matches!$A:$A, 0)), INDEX(Matches!$E:$E, MATCH(A488, Matches!$A:$A, 0)))</f>
        <v>6</v>
      </c>
      <c r="G488" t="str">
        <f t="shared" si="38"/>
        <v>Win</v>
      </c>
      <c r="H488">
        <v>3</v>
      </c>
      <c r="K488" t="str">
        <f t="shared" si="36"/>
        <v>42_A</v>
      </c>
    </row>
    <row r="489" spans="1:11" x14ac:dyDescent="0.35">
      <c r="A489">
        <v>42</v>
      </c>
      <c r="B489" s="6">
        <v>46205</v>
      </c>
      <c r="C489" t="s">
        <v>66</v>
      </c>
      <c r="D489" t="s">
        <v>17</v>
      </c>
      <c r="E489">
        <f>IF(D489="A", INDEX(Matches!$E:$E, MATCH(A489, Matches!$A:$A, 0)), INDEX(Matches!$F:$F, MATCH(A489, Matches!$A:$A, 0)))</f>
        <v>9</v>
      </c>
      <c r="F489">
        <f>IF(D489="A", INDEX(Matches!$F:$F, MATCH(A489, Matches!$A:$A, 0)), INDEX(Matches!$E:$E, MATCH(A489, Matches!$A:$A, 0)))</f>
        <v>6</v>
      </c>
      <c r="G489" t="str">
        <f t="shared" si="38"/>
        <v>Win</v>
      </c>
      <c r="H489">
        <v>2</v>
      </c>
      <c r="I489">
        <v>1</v>
      </c>
      <c r="K489" t="str">
        <f t="shared" si="36"/>
        <v>42_A</v>
      </c>
    </row>
    <row r="490" spans="1:11" x14ac:dyDescent="0.35">
      <c r="A490">
        <v>42</v>
      </c>
      <c r="B490" s="6">
        <v>46205</v>
      </c>
      <c r="C490" t="s">
        <v>20</v>
      </c>
      <c r="D490" t="s">
        <v>23</v>
      </c>
      <c r="E490">
        <f>IF(D490="A", INDEX(Matches!$E:$E, MATCH(A490, Matches!$A:$A, 0)), INDEX(Matches!$F:$F, MATCH(A490, Matches!$A:$A, 0)))</f>
        <v>6</v>
      </c>
      <c r="F490">
        <f>IF(D490="A", INDEX(Matches!$F:$F, MATCH(A490, Matches!$A:$A, 0)), INDEX(Matches!$E:$E, MATCH(A490, Matches!$A:$A, 0)))</f>
        <v>9</v>
      </c>
      <c r="G490" t="str">
        <f t="shared" si="38"/>
        <v>Loss</v>
      </c>
      <c r="H490">
        <v>1</v>
      </c>
      <c r="I490">
        <v>1</v>
      </c>
      <c r="K490" t="str">
        <f t="shared" si="36"/>
        <v>42_B</v>
      </c>
    </row>
    <row r="491" spans="1:11" x14ac:dyDescent="0.35">
      <c r="A491">
        <v>42</v>
      </c>
      <c r="B491" s="6">
        <v>46205</v>
      </c>
      <c r="C491" t="s">
        <v>54</v>
      </c>
      <c r="D491" t="s">
        <v>23</v>
      </c>
      <c r="E491">
        <f>IF(D491="A", INDEX(Matches!$E:$E, MATCH(A491, Matches!$A:$A, 0)), INDEX(Matches!$F:$F, MATCH(A491, Matches!$A:$A, 0)))</f>
        <v>6</v>
      </c>
      <c r="F491">
        <f>IF(D491="A", INDEX(Matches!$F:$F, MATCH(A491, Matches!$A:$A, 0)), INDEX(Matches!$E:$E, MATCH(A491, Matches!$A:$A, 0)))</f>
        <v>9</v>
      </c>
      <c r="G491" t="str">
        <f t="shared" si="38"/>
        <v>Loss</v>
      </c>
      <c r="H491">
        <v>2</v>
      </c>
      <c r="K491" t="str">
        <f t="shared" si="36"/>
        <v>42_B</v>
      </c>
    </row>
    <row r="492" spans="1:11" x14ac:dyDescent="0.35">
      <c r="A492">
        <v>42</v>
      </c>
      <c r="B492" s="6">
        <v>46205</v>
      </c>
      <c r="C492" t="s">
        <v>46</v>
      </c>
      <c r="D492" t="s">
        <v>23</v>
      </c>
      <c r="E492">
        <f>IF(D492="A", INDEX(Matches!$E:$E, MATCH(A492, Matches!$A:$A, 0)), INDEX(Matches!$F:$F, MATCH(A492, Matches!$A:$A, 0)))</f>
        <v>6</v>
      </c>
      <c r="F492">
        <f>IF(D492="A", INDEX(Matches!$F:$F, MATCH(A492, Matches!$A:$A, 0)), INDEX(Matches!$E:$E, MATCH(A492, Matches!$A:$A, 0)))</f>
        <v>9</v>
      </c>
      <c r="G492" t="str">
        <f t="shared" si="38"/>
        <v>Loss</v>
      </c>
      <c r="K492" t="str">
        <f t="shared" si="36"/>
        <v>42_B</v>
      </c>
    </row>
    <row r="493" spans="1:11" x14ac:dyDescent="0.35">
      <c r="A493">
        <v>42</v>
      </c>
      <c r="B493" s="6">
        <v>46205</v>
      </c>
      <c r="C493" t="s">
        <v>51</v>
      </c>
      <c r="D493" t="s">
        <v>23</v>
      </c>
      <c r="E493">
        <f>IF(D493="A", INDEX(Matches!$E:$E, MATCH(A493, Matches!$A:$A, 0)), INDEX(Matches!$F:$F, MATCH(A493, Matches!$A:$A, 0)))</f>
        <v>6</v>
      </c>
      <c r="F493">
        <f>IF(D493="A", INDEX(Matches!$F:$F, MATCH(A493, Matches!$A:$A, 0)), INDEX(Matches!$E:$E, MATCH(A493, Matches!$A:$A, 0)))</f>
        <v>9</v>
      </c>
      <c r="G493" t="str">
        <f t="shared" si="38"/>
        <v>Loss</v>
      </c>
      <c r="H493">
        <v>2</v>
      </c>
      <c r="I493">
        <v>2</v>
      </c>
      <c r="K493" t="str">
        <f t="shared" si="36"/>
        <v>42_B</v>
      </c>
    </row>
    <row r="494" spans="1:11" x14ac:dyDescent="0.35">
      <c r="A494">
        <v>42</v>
      </c>
      <c r="B494" s="6">
        <v>46205</v>
      </c>
      <c r="C494" t="s">
        <v>84</v>
      </c>
      <c r="D494" t="s">
        <v>23</v>
      </c>
      <c r="E494">
        <f>IF(D494="A", INDEX(Matches!$E:$E, MATCH(A494, Matches!$A:$A, 0)), INDEX(Matches!$F:$F, MATCH(A494, Matches!$A:$A, 0)))</f>
        <v>6</v>
      </c>
      <c r="F494">
        <f>IF(D494="A", INDEX(Matches!$F:$F, MATCH(A494, Matches!$A:$A, 0)), INDEX(Matches!$E:$E, MATCH(A494, Matches!$A:$A, 0)))</f>
        <v>9</v>
      </c>
      <c r="G494" t="str">
        <f t="shared" si="38"/>
        <v>Loss</v>
      </c>
      <c r="H494">
        <v>1</v>
      </c>
      <c r="I494">
        <v>1</v>
      </c>
      <c r="K494" t="str">
        <f t="shared" si="36"/>
        <v>42_B</v>
      </c>
    </row>
    <row r="495" spans="1:11" x14ac:dyDescent="0.35">
      <c r="A495">
        <v>43</v>
      </c>
      <c r="B495" s="6">
        <v>46212</v>
      </c>
      <c r="C495" t="s">
        <v>40</v>
      </c>
      <c r="D495" t="s">
        <v>17</v>
      </c>
      <c r="E495">
        <f>IF(D495="A", INDEX(Matches!$E:$E, MATCH(A495, Matches!$A:$A, 0)), INDEX(Matches!$F:$F, MATCH(A495, Matches!$A:$A, 0)))</f>
        <v>12</v>
      </c>
      <c r="F495">
        <f>IF(D495="A", INDEX(Matches!$F:$F, MATCH(A495, Matches!$A:$A, 0)), INDEX(Matches!$E:$E, MATCH(A495, Matches!$A:$A, 0)))</f>
        <v>6</v>
      </c>
      <c r="G495" t="str">
        <f t="shared" ref="G495:G506" si="39">IF(E495&gt;F495,"Win",IF(E495&lt;F495,"Loss","Draw"))</f>
        <v>Win</v>
      </c>
      <c r="H495">
        <v>1</v>
      </c>
      <c r="I495">
        <v>1</v>
      </c>
      <c r="K495" t="str">
        <f t="shared" si="36"/>
        <v>43_A</v>
      </c>
    </row>
    <row r="496" spans="1:11" x14ac:dyDescent="0.35">
      <c r="A496">
        <v>43</v>
      </c>
      <c r="B496" s="6">
        <v>46212</v>
      </c>
      <c r="C496" t="s">
        <v>53</v>
      </c>
      <c r="D496" t="s">
        <v>17</v>
      </c>
      <c r="E496">
        <f>IF(D496="A", INDEX(Matches!$E:$E, MATCH(A496, Matches!$A:$A, 0)), INDEX(Matches!$F:$F, MATCH(A496, Matches!$A:$A, 0)))</f>
        <v>12</v>
      </c>
      <c r="F496">
        <f>IF(D496="A", INDEX(Matches!$F:$F, MATCH(A496, Matches!$A:$A, 0)), INDEX(Matches!$E:$E, MATCH(A496, Matches!$A:$A, 0)))</f>
        <v>6</v>
      </c>
      <c r="G496" t="str">
        <f t="shared" si="39"/>
        <v>Win</v>
      </c>
      <c r="H496">
        <v>3</v>
      </c>
      <c r="K496" t="str">
        <f t="shared" si="36"/>
        <v>43_A</v>
      </c>
    </row>
    <row r="497" spans="1:11" x14ac:dyDescent="0.35">
      <c r="A497">
        <v>43</v>
      </c>
      <c r="B497" s="6">
        <v>46212</v>
      </c>
      <c r="C497" t="s">
        <v>16</v>
      </c>
      <c r="D497" t="s">
        <v>17</v>
      </c>
      <c r="E497">
        <f>IF(D497="A", INDEX(Matches!$E:$E, MATCH(A497, Matches!$A:$A, 0)), INDEX(Matches!$F:$F, MATCH(A497, Matches!$A:$A, 0)))</f>
        <v>12</v>
      </c>
      <c r="F497">
        <f>IF(D497="A", INDEX(Matches!$F:$F, MATCH(A497, Matches!$A:$A, 0)), INDEX(Matches!$E:$E, MATCH(A497, Matches!$A:$A, 0)))</f>
        <v>6</v>
      </c>
      <c r="G497" t="str">
        <f t="shared" si="39"/>
        <v>Win</v>
      </c>
      <c r="H497">
        <v>5</v>
      </c>
      <c r="I497">
        <v>1</v>
      </c>
      <c r="K497" t="str">
        <f t="shared" si="36"/>
        <v>43_A</v>
      </c>
    </row>
    <row r="498" spans="1:11" x14ac:dyDescent="0.35">
      <c r="A498">
        <v>43</v>
      </c>
      <c r="B498" s="6">
        <v>46212</v>
      </c>
      <c r="C498" t="s">
        <v>46</v>
      </c>
      <c r="D498" t="s">
        <v>17</v>
      </c>
      <c r="E498">
        <f>IF(D498="A", INDEX(Matches!$E:$E, MATCH(A498, Matches!$A:$A, 0)), INDEX(Matches!$F:$F, MATCH(A498, Matches!$A:$A, 0)))</f>
        <v>12</v>
      </c>
      <c r="F498">
        <f>IF(D498="A", INDEX(Matches!$F:$F, MATCH(A498, Matches!$A:$A, 0)), INDEX(Matches!$E:$E, MATCH(A498, Matches!$A:$A, 0)))</f>
        <v>6</v>
      </c>
      <c r="G498" t="str">
        <f t="shared" si="39"/>
        <v>Win</v>
      </c>
      <c r="H498">
        <v>1</v>
      </c>
      <c r="I498">
        <v>7</v>
      </c>
      <c r="K498" t="str">
        <f t="shared" si="36"/>
        <v>43_A</v>
      </c>
    </row>
    <row r="499" spans="1:11" x14ac:dyDescent="0.35">
      <c r="A499">
        <v>43</v>
      </c>
      <c r="B499" s="6">
        <v>46212</v>
      </c>
      <c r="C499" t="s">
        <v>88</v>
      </c>
      <c r="D499" t="s">
        <v>17</v>
      </c>
      <c r="E499">
        <f>IF(D499="A", INDEX(Matches!$E:$E, MATCH(A499, Matches!$A:$A, 0)), INDEX(Matches!$F:$F, MATCH(A499, Matches!$A:$A, 0)))</f>
        <v>12</v>
      </c>
      <c r="F499">
        <f>IF(D499="A", INDEX(Matches!$F:$F, MATCH(A499, Matches!$A:$A, 0)), INDEX(Matches!$E:$E, MATCH(A499, Matches!$A:$A, 0)))</f>
        <v>6</v>
      </c>
      <c r="G499" t="str">
        <f t="shared" si="39"/>
        <v>Win</v>
      </c>
      <c r="H499">
        <v>1</v>
      </c>
      <c r="K499" t="str">
        <f t="shared" si="36"/>
        <v>43_A</v>
      </c>
    </row>
    <row r="500" spans="1:11" x14ac:dyDescent="0.35">
      <c r="A500">
        <v>43</v>
      </c>
      <c r="B500" s="6">
        <v>46212</v>
      </c>
      <c r="C500" t="s">
        <v>116</v>
      </c>
      <c r="D500" t="s">
        <v>17</v>
      </c>
      <c r="E500">
        <f>IF(D500="A", INDEX(Matches!$E:$E, MATCH(A500, Matches!$A:$A, 0)), INDEX(Matches!$F:$F, MATCH(A500, Matches!$A:$A, 0)))</f>
        <v>12</v>
      </c>
      <c r="F500">
        <f>IF(D500="A", INDEX(Matches!$F:$F, MATCH(A500, Matches!$A:$A, 0)), INDEX(Matches!$E:$E, MATCH(A500, Matches!$A:$A, 0)))</f>
        <v>6</v>
      </c>
      <c r="G500" t="str">
        <f t="shared" si="39"/>
        <v>Win</v>
      </c>
      <c r="H500">
        <v>1</v>
      </c>
      <c r="K500" t="str">
        <f t="shared" si="36"/>
        <v>43_A</v>
      </c>
    </row>
    <row r="501" spans="1:11" x14ac:dyDescent="0.35">
      <c r="A501">
        <v>43</v>
      </c>
      <c r="B501" s="6">
        <v>46212</v>
      </c>
      <c r="C501" t="s">
        <v>66</v>
      </c>
      <c r="D501" t="s">
        <v>23</v>
      </c>
      <c r="E501">
        <f>IF(D501="A", INDEX(Matches!$E:$E, MATCH(A501, Matches!$A:$A, 0)), INDEX(Matches!$F:$F, MATCH(A501, Matches!$A:$A, 0)))</f>
        <v>6</v>
      </c>
      <c r="F501">
        <f>IF(D501="A", INDEX(Matches!$F:$F, MATCH(A501, Matches!$A:$A, 0)), INDEX(Matches!$E:$E, MATCH(A501, Matches!$A:$A, 0)))</f>
        <v>12</v>
      </c>
      <c r="G501" t="str">
        <f t="shared" si="39"/>
        <v>Loss</v>
      </c>
      <c r="H501">
        <v>3</v>
      </c>
      <c r="K501" t="str">
        <f t="shared" si="36"/>
        <v>43_B</v>
      </c>
    </row>
    <row r="502" spans="1:11" x14ac:dyDescent="0.35">
      <c r="A502">
        <v>43</v>
      </c>
      <c r="B502" s="6">
        <v>46212</v>
      </c>
      <c r="C502" t="s">
        <v>41</v>
      </c>
      <c r="D502" t="s">
        <v>23</v>
      </c>
      <c r="E502">
        <f>IF(D502="A", INDEX(Matches!$E:$E, MATCH(A502, Matches!$A:$A, 0)), INDEX(Matches!$F:$F, MATCH(A502, Matches!$A:$A, 0)))</f>
        <v>6</v>
      </c>
      <c r="F502">
        <f>IF(D502="A", INDEX(Matches!$F:$F, MATCH(A502, Matches!$A:$A, 0)), INDEX(Matches!$E:$E, MATCH(A502, Matches!$A:$A, 0)))</f>
        <v>12</v>
      </c>
      <c r="G502" t="str">
        <f t="shared" si="39"/>
        <v>Loss</v>
      </c>
      <c r="K502" t="str">
        <f t="shared" si="36"/>
        <v>43_B</v>
      </c>
    </row>
    <row r="503" spans="1:11" x14ac:dyDescent="0.35">
      <c r="A503">
        <v>43</v>
      </c>
      <c r="B503" s="6">
        <v>46212</v>
      </c>
      <c r="C503" t="s">
        <v>52</v>
      </c>
      <c r="D503" t="s">
        <v>23</v>
      </c>
      <c r="E503">
        <f>IF(D503="A", INDEX(Matches!$E:$E, MATCH(A503, Matches!$A:$A, 0)), INDEX(Matches!$F:$F, MATCH(A503, Matches!$A:$A, 0)))</f>
        <v>6</v>
      </c>
      <c r="F503">
        <f>IF(D503="A", INDEX(Matches!$F:$F, MATCH(A503, Matches!$A:$A, 0)), INDEX(Matches!$E:$E, MATCH(A503, Matches!$A:$A, 0)))</f>
        <v>12</v>
      </c>
      <c r="G503" t="str">
        <f t="shared" si="39"/>
        <v>Loss</v>
      </c>
      <c r="H503">
        <v>2</v>
      </c>
      <c r="I503">
        <v>1</v>
      </c>
      <c r="K503" t="str">
        <f t="shared" si="36"/>
        <v>43_B</v>
      </c>
    </row>
    <row r="504" spans="1:11" x14ac:dyDescent="0.35">
      <c r="A504">
        <v>43</v>
      </c>
      <c r="B504" s="6">
        <v>46212</v>
      </c>
      <c r="C504" t="s">
        <v>21</v>
      </c>
      <c r="D504" t="s">
        <v>23</v>
      </c>
      <c r="E504">
        <f>IF(D504="A", INDEX(Matches!$E:$E, MATCH(A504, Matches!$A:$A, 0)), INDEX(Matches!$F:$F, MATCH(A504, Matches!$A:$A, 0)))</f>
        <v>6</v>
      </c>
      <c r="F504">
        <f>IF(D504="A", INDEX(Matches!$F:$F, MATCH(A504, Matches!$A:$A, 0)), INDEX(Matches!$E:$E, MATCH(A504, Matches!$A:$A, 0)))</f>
        <v>12</v>
      </c>
      <c r="G504" t="str">
        <f t="shared" si="39"/>
        <v>Loss</v>
      </c>
      <c r="K504" t="str">
        <f t="shared" si="36"/>
        <v>43_B</v>
      </c>
    </row>
    <row r="505" spans="1:11" x14ac:dyDescent="0.35">
      <c r="A505">
        <v>43</v>
      </c>
      <c r="B505" s="6">
        <v>46212</v>
      </c>
      <c r="C505" t="s">
        <v>25</v>
      </c>
      <c r="D505" t="s">
        <v>23</v>
      </c>
      <c r="E505">
        <f>IF(D505="A", INDEX(Matches!$E:$E, MATCH(A505, Matches!$A:$A, 0)), INDEX(Matches!$F:$F, MATCH(A505, Matches!$A:$A, 0)))</f>
        <v>6</v>
      </c>
      <c r="F505">
        <f>IF(D505="A", INDEX(Matches!$F:$F, MATCH(A505, Matches!$A:$A, 0)), INDEX(Matches!$E:$E, MATCH(A505, Matches!$A:$A, 0)))</f>
        <v>12</v>
      </c>
      <c r="G505" t="str">
        <f t="shared" si="39"/>
        <v>Loss</v>
      </c>
      <c r="I505">
        <v>1</v>
      </c>
      <c r="K505" t="str">
        <f t="shared" si="36"/>
        <v>43_B</v>
      </c>
    </row>
    <row r="506" spans="1:11" x14ac:dyDescent="0.35">
      <c r="A506">
        <v>43</v>
      </c>
      <c r="B506" s="6">
        <v>46212</v>
      </c>
      <c r="C506" t="s">
        <v>89</v>
      </c>
      <c r="D506" t="s">
        <v>23</v>
      </c>
      <c r="E506">
        <f>IF(D506="A", INDEX(Matches!$E:$E, MATCH(A506, Matches!$A:$A, 0)), INDEX(Matches!$F:$F, MATCH(A506, Matches!$A:$A, 0)))</f>
        <v>6</v>
      </c>
      <c r="F506">
        <f>IF(D506="A", INDEX(Matches!$F:$F, MATCH(A506, Matches!$A:$A, 0)), INDEX(Matches!$E:$E, MATCH(A506, Matches!$A:$A, 0)))</f>
        <v>12</v>
      </c>
      <c r="G506" t="str">
        <f t="shared" si="39"/>
        <v>Loss</v>
      </c>
      <c r="H506">
        <v>1</v>
      </c>
      <c r="I506">
        <v>2</v>
      </c>
      <c r="K506" t="str">
        <f t="shared" si="36"/>
        <v>43_B</v>
      </c>
    </row>
    <row r="507" spans="1:11" x14ac:dyDescent="0.35">
      <c r="A507">
        <v>44</v>
      </c>
      <c r="B507" s="6">
        <v>46219</v>
      </c>
      <c r="C507" t="s">
        <v>66</v>
      </c>
      <c r="D507" t="s">
        <v>17</v>
      </c>
      <c r="E507">
        <f>IF(D507="A", INDEX(Matches!$E:$E, MATCH(A507, Matches!$A:$A, 0)), INDEX(Matches!$F:$F, MATCH(A507, Matches!$A:$A, 0)))</f>
        <v>8</v>
      </c>
      <c r="F507">
        <f>IF(D507="A", INDEX(Matches!$F:$F, MATCH(A507, Matches!$A:$A, 0)), INDEX(Matches!$E:$E, MATCH(A507, Matches!$A:$A, 0)))</f>
        <v>14</v>
      </c>
      <c r="G507" t="str">
        <f t="shared" ref="G507:G526" si="40">IF(E507&gt;F507,"Win",IF(E507&lt;F507,"Loss","Draw"))</f>
        <v>Loss</v>
      </c>
      <c r="H507">
        <v>1</v>
      </c>
      <c r="I507">
        <v>5</v>
      </c>
      <c r="K507" t="str">
        <f t="shared" si="36"/>
        <v>44_A</v>
      </c>
    </row>
    <row r="508" spans="1:11" x14ac:dyDescent="0.35">
      <c r="A508">
        <v>44</v>
      </c>
      <c r="B508" s="6">
        <v>46219</v>
      </c>
      <c r="C508" t="s">
        <v>16</v>
      </c>
      <c r="D508" t="s">
        <v>17</v>
      </c>
      <c r="E508">
        <f>IF(D508="A", INDEX(Matches!$E:$E, MATCH(A508, Matches!$A:$A, 0)), INDEX(Matches!$F:$F, MATCH(A508, Matches!$A:$A, 0)))</f>
        <v>8</v>
      </c>
      <c r="F508">
        <f>IF(D508="A", INDEX(Matches!$F:$F, MATCH(A508, Matches!$A:$A, 0)), INDEX(Matches!$E:$E, MATCH(A508, Matches!$A:$A, 0)))</f>
        <v>14</v>
      </c>
      <c r="G508" t="str">
        <f t="shared" si="40"/>
        <v>Loss</v>
      </c>
      <c r="H508">
        <v>2</v>
      </c>
      <c r="I508">
        <v>1</v>
      </c>
      <c r="K508" t="str">
        <f t="shared" si="36"/>
        <v>44_A</v>
      </c>
    </row>
    <row r="509" spans="1:11" x14ac:dyDescent="0.35">
      <c r="A509">
        <v>44</v>
      </c>
      <c r="B509" s="6">
        <v>46219</v>
      </c>
      <c r="C509" t="s">
        <v>88</v>
      </c>
      <c r="D509" t="s">
        <v>17</v>
      </c>
      <c r="E509">
        <f>IF(D509="A", INDEX(Matches!$E:$E, MATCH(A509, Matches!$A:$A, 0)), INDEX(Matches!$F:$F, MATCH(A509, Matches!$A:$A, 0)))</f>
        <v>8</v>
      </c>
      <c r="F509">
        <f>IF(D509="A", INDEX(Matches!$F:$F, MATCH(A509, Matches!$A:$A, 0)), INDEX(Matches!$E:$E, MATCH(A509, Matches!$A:$A, 0)))</f>
        <v>14</v>
      </c>
      <c r="G509" t="str">
        <f t="shared" si="40"/>
        <v>Loss</v>
      </c>
      <c r="H509">
        <v>1</v>
      </c>
      <c r="K509" t="str">
        <f t="shared" si="36"/>
        <v>44_A</v>
      </c>
    </row>
    <row r="510" spans="1:11" x14ac:dyDescent="0.35">
      <c r="A510">
        <v>44</v>
      </c>
      <c r="B510" s="6">
        <v>46219</v>
      </c>
      <c r="C510" t="s">
        <v>25</v>
      </c>
      <c r="D510" t="s">
        <v>17</v>
      </c>
      <c r="E510">
        <f>IF(D510="A", INDEX(Matches!$E:$E, MATCH(A510, Matches!$A:$A, 0)), INDEX(Matches!$F:$F, MATCH(A510, Matches!$A:$A, 0)))</f>
        <v>8</v>
      </c>
      <c r="F510">
        <f>IF(D510="A", INDEX(Matches!$F:$F, MATCH(A510, Matches!$A:$A, 0)), INDEX(Matches!$E:$E, MATCH(A510, Matches!$A:$A, 0)))</f>
        <v>14</v>
      </c>
      <c r="G510" t="str">
        <f t="shared" si="40"/>
        <v>Loss</v>
      </c>
      <c r="H510">
        <v>3</v>
      </c>
      <c r="K510" t="str">
        <f t="shared" si="36"/>
        <v>44_A</v>
      </c>
    </row>
    <row r="511" spans="1:11" x14ac:dyDescent="0.35">
      <c r="A511">
        <v>44</v>
      </c>
      <c r="B511" s="6">
        <v>46219</v>
      </c>
      <c r="C511" t="s">
        <v>40</v>
      </c>
      <c r="D511" t="s">
        <v>17</v>
      </c>
      <c r="E511">
        <f>IF(D511="A", INDEX(Matches!$E:$E, MATCH(A511, Matches!$A:$A, 0)), INDEX(Matches!$F:$F, MATCH(A511, Matches!$A:$A, 0)))</f>
        <v>8</v>
      </c>
      <c r="F511">
        <f>IF(D511="A", INDEX(Matches!$F:$F, MATCH(A511, Matches!$A:$A, 0)), INDEX(Matches!$E:$E, MATCH(A511, Matches!$A:$A, 0)))</f>
        <v>14</v>
      </c>
      <c r="G511" t="str">
        <f t="shared" si="40"/>
        <v>Loss</v>
      </c>
      <c r="H511">
        <v>1</v>
      </c>
      <c r="K511" t="str">
        <f t="shared" si="36"/>
        <v>44_A</v>
      </c>
    </row>
    <row r="512" spans="1:11" x14ac:dyDescent="0.35">
      <c r="A512">
        <v>44</v>
      </c>
      <c r="B512" s="6">
        <v>46219</v>
      </c>
      <c r="C512" t="s">
        <v>41</v>
      </c>
      <c r="D512" t="s">
        <v>23</v>
      </c>
      <c r="E512">
        <f>IF(D512="A", INDEX(Matches!$E:$E, MATCH(A512, Matches!$A:$A, 0)), INDEX(Matches!$F:$F, MATCH(A512, Matches!$A:$A, 0)))</f>
        <v>14</v>
      </c>
      <c r="F512">
        <f>IF(D512="A", INDEX(Matches!$F:$F, MATCH(A512, Matches!$A:$A, 0)), INDEX(Matches!$E:$E, MATCH(A512, Matches!$A:$A, 0)))</f>
        <v>8</v>
      </c>
      <c r="G512" t="str">
        <f t="shared" si="40"/>
        <v>Win</v>
      </c>
      <c r="H512">
        <v>5</v>
      </c>
      <c r="K512" t="str">
        <f t="shared" si="36"/>
        <v>44_B</v>
      </c>
    </row>
    <row r="513" spans="1:11" x14ac:dyDescent="0.35">
      <c r="A513">
        <v>44</v>
      </c>
      <c r="B513" s="6">
        <v>46219</v>
      </c>
      <c r="C513" t="s">
        <v>98</v>
      </c>
      <c r="D513" t="s">
        <v>23</v>
      </c>
      <c r="E513">
        <f>IF(D513="A", INDEX(Matches!$E:$E, MATCH(A513, Matches!$A:$A, 0)), INDEX(Matches!$F:$F, MATCH(A513, Matches!$A:$A, 0)))</f>
        <v>14</v>
      </c>
      <c r="F513">
        <f>IF(D513="A", INDEX(Matches!$F:$F, MATCH(A513, Matches!$A:$A, 0)), INDEX(Matches!$E:$E, MATCH(A513, Matches!$A:$A, 0)))</f>
        <v>8</v>
      </c>
      <c r="G513" t="str">
        <f t="shared" si="40"/>
        <v>Win</v>
      </c>
      <c r="H513">
        <v>3</v>
      </c>
      <c r="I513">
        <v>1</v>
      </c>
      <c r="K513" t="str">
        <f t="shared" si="36"/>
        <v>44_B</v>
      </c>
    </row>
    <row r="514" spans="1:11" x14ac:dyDescent="0.35">
      <c r="A514">
        <v>44</v>
      </c>
      <c r="B514" s="6">
        <v>46219</v>
      </c>
      <c r="C514" t="s">
        <v>24</v>
      </c>
      <c r="D514" t="s">
        <v>23</v>
      </c>
      <c r="E514">
        <f>IF(D514="A", INDEX(Matches!$E:$E, MATCH(A514, Matches!$A:$A, 0)), INDEX(Matches!$F:$F, MATCH(A514, Matches!$A:$A, 0)))</f>
        <v>14</v>
      </c>
      <c r="F514">
        <f>IF(D514="A", INDEX(Matches!$F:$F, MATCH(A514, Matches!$A:$A, 0)), INDEX(Matches!$E:$E, MATCH(A514, Matches!$A:$A, 0)))</f>
        <v>8</v>
      </c>
      <c r="G514" t="str">
        <f t="shared" si="40"/>
        <v>Win</v>
      </c>
      <c r="H514">
        <v>2</v>
      </c>
      <c r="I514">
        <v>2</v>
      </c>
      <c r="K514" t="str">
        <f t="shared" si="36"/>
        <v>44_B</v>
      </c>
    </row>
    <row r="515" spans="1:11" x14ac:dyDescent="0.35">
      <c r="A515">
        <v>44</v>
      </c>
      <c r="B515" s="6">
        <v>46219</v>
      </c>
      <c r="C515" t="s">
        <v>120</v>
      </c>
      <c r="D515" t="s">
        <v>23</v>
      </c>
      <c r="E515">
        <f>IF(D515="A", INDEX(Matches!$E:$E, MATCH(A515, Matches!$A:$A, 0)), INDEX(Matches!$F:$F, MATCH(A515, Matches!$A:$A, 0)))</f>
        <v>14</v>
      </c>
      <c r="F515">
        <f>IF(D515="A", INDEX(Matches!$F:$F, MATCH(A515, Matches!$A:$A, 0)), INDEX(Matches!$E:$E, MATCH(A515, Matches!$A:$A, 0)))</f>
        <v>8</v>
      </c>
      <c r="G515" t="str">
        <f t="shared" si="40"/>
        <v>Win</v>
      </c>
      <c r="H515">
        <v>2</v>
      </c>
      <c r="I515">
        <v>4</v>
      </c>
      <c r="K515" t="str">
        <f t="shared" si="36"/>
        <v>44_B</v>
      </c>
    </row>
    <row r="516" spans="1:11" x14ac:dyDescent="0.35">
      <c r="A516">
        <v>44</v>
      </c>
      <c r="B516" s="6">
        <v>46219</v>
      </c>
      <c r="C516" t="s">
        <v>45</v>
      </c>
      <c r="D516" t="s">
        <v>23</v>
      </c>
      <c r="E516">
        <f>IF(D516="A", INDEX(Matches!$E:$E, MATCH(A516, Matches!$A:$A, 0)), INDEX(Matches!$F:$F, MATCH(A516, Matches!$A:$A, 0)))</f>
        <v>14</v>
      </c>
      <c r="F516">
        <f>IF(D516="A", INDEX(Matches!$F:$F, MATCH(A516, Matches!$A:$A, 0)), INDEX(Matches!$E:$E, MATCH(A516, Matches!$A:$A, 0)))</f>
        <v>8</v>
      </c>
      <c r="G516" t="str">
        <f t="shared" si="40"/>
        <v>Win</v>
      </c>
      <c r="H516">
        <v>2</v>
      </c>
      <c r="I516">
        <v>1</v>
      </c>
      <c r="K516" t="str">
        <f t="shared" si="36"/>
        <v>44_B</v>
      </c>
    </row>
    <row r="517" spans="1:11" x14ac:dyDescent="0.35">
      <c r="A517">
        <v>45</v>
      </c>
      <c r="B517" s="6">
        <v>46219</v>
      </c>
      <c r="C517" t="s">
        <v>19</v>
      </c>
      <c r="D517" t="s">
        <v>17</v>
      </c>
      <c r="E517">
        <f>IF(D517="A", INDEX(Matches!$E:$E, MATCH(A517, Matches!$A:$A, 0)), INDEX(Matches!$F:$F, MATCH(A517, Matches!$A:$A, 0)))</f>
        <v>14</v>
      </c>
      <c r="F517">
        <f>IF(D517="A", INDEX(Matches!$F:$F, MATCH(A517, Matches!$A:$A, 0)), INDEX(Matches!$E:$E, MATCH(A517, Matches!$A:$A, 0)))</f>
        <v>15</v>
      </c>
      <c r="G517" t="str">
        <f t="shared" si="40"/>
        <v>Loss</v>
      </c>
      <c r="H517">
        <v>2</v>
      </c>
      <c r="I517">
        <v>4</v>
      </c>
      <c r="K517" t="str">
        <f t="shared" si="36"/>
        <v>45_A</v>
      </c>
    </row>
    <row r="518" spans="1:11" x14ac:dyDescent="0.35">
      <c r="A518">
        <v>45</v>
      </c>
      <c r="B518" s="6">
        <v>46219</v>
      </c>
      <c r="C518" t="s">
        <v>20</v>
      </c>
      <c r="D518" t="s">
        <v>17</v>
      </c>
      <c r="E518">
        <f>IF(D518="A", INDEX(Matches!$E:$E, MATCH(A518, Matches!$A:$A, 0)), INDEX(Matches!$F:$F, MATCH(A518, Matches!$A:$A, 0)))</f>
        <v>14</v>
      </c>
      <c r="F518">
        <f>IF(D518="A", INDEX(Matches!$F:$F, MATCH(A518, Matches!$A:$A, 0)), INDEX(Matches!$E:$E, MATCH(A518, Matches!$A:$A, 0)))</f>
        <v>15</v>
      </c>
      <c r="G518" t="str">
        <f t="shared" si="40"/>
        <v>Loss</v>
      </c>
      <c r="H518">
        <v>1</v>
      </c>
      <c r="I518">
        <v>1</v>
      </c>
      <c r="K518" t="str">
        <f t="shared" si="36"/>
        <v>45_A</v>
      </c>
    </row>
    <row r="519" spans="1:11" x14ac:dyDescent="0.35">
      <c r="A519">
        <v>45</v>
      </c>
      <c r="B519" s="6">
        <v>46219</v>
      </c>
      <c r="C519" t="s">
        <v>52</v>
      </c>
      <c r="D519" t="s">
        <v>17</v>
      </c>
      <c r="E519">
        <f>IF(D519="A", INDEX(Matches!$E:$E, MATCH(A519, Matches!$A:$A, 0)), INDEX(Matches!$F:$F, MATCH(A519, Matches!$A:$A, 0)))</f>
        <v>14</v>
      </c>
      <c r="F519">
        <f>IF(D519="A", INDEX(Matches!$F:$F, MATCH(A519, Matches!$A:$A, 0)), INDEX(Matches!$E:$E, MATCH(A519, Matches!$A:$A, 0)))</f>
        <v>15</v>
      </c>
      <c r="G519" t="str">
        <f t="shared" si="40"/>
        <v>Loss</v>
      </c>
      <c r="H519">
        <v>5</v>
      </c>
      <c r="I519">
        <v>1</v>
      </c>
      <c r="K519" t="str">
        <f t="shared" si="36"/>
        <v>45_A</v>
      </c>
    </row>
    <row r="520" spans="1:11" x14ac:dyDescent="0.35">
      <c r="A520">
        <v>45</v>
      </c>
      <c r="B520" s="6">
        <v>46219</v>
      </c>
      <c r="C520" t="s">
        <v>89</v>
      </c>
      <c r="D520" t="s">
        <v>17</v>
      </c>
      <c r="E520">
        <f>IF(D520="A", INDEX(Matches!$E:$E, MATCH(A520, Matches!$A:$A, 0)), INDEX(Matches!$F:$F, MATCH(A520, Matches!$A:$A, 0)))</f>
        <v>14</v>
      </c>
      <c r="F520">
        <f>IF(D520="A", INDEX(Matches!$F:$F, MATCH(A520, Matches!$A:$A, 0)), INDEX(Matches!$E:$E, MATCH(A520, Matches!$A:$A, 0)))</f>
        <v>15</v>
      </c>
      <c r="G520" t="str">
        <f t="shared" si="40"/>
        <v>Loss</v>
      </c>
      <c r="H520">
        <v>4</v>
      </c>
      <c r="K520" t="str">
        <f t="shared" si="36"/>
        <v>45_A</v>
      </c>
    </row>
    <row r="521" spans="1:11" x14ac:dyDescent="0.35">
      <c r="A521">
        <v>45</v>
      </c>
      <c r="B521" s="6">
        <v>46219</v>
      </c>
      <c r="C521" t="s">
        <v>46</v>
      </c>
      <c r="D521" t="s">
        <v>17</v>
      </c>
      <c r="E521">
        <f>IF(D521="A", INDEX(Matches!$E:$E, MATCH(A521, Matches!$A:$A, 0)), INDEX(Matches!$F:$F, MATCH(A521, Matches!$A:$A, 0)))</f>
        <v>14</v>
      </c>
      <c r="F521">
        <f>IF(D521="A", INDEX(Matches!$F:$F, MATCH(A521, Matches!$A:$A, 0)), INDEX(Matches!$E:$E, MATCH(A521, Matches!$A:$A, 0)))</f>
        <v>15</v>
      </c>
      <c r="G521" t="str">
        <f t="shared" si="40"/>
        <v>Loss</v>
      </c>
      <c r="H521">
        <v>2</v>
      </c>
      <c r="I521">
        <v>1</v>
      </c>
      <c r="K521" t="str">
        <f t="shared" si="36"/>
        <v>45_A</v>
      </c>
    </row>
    <row r="522" spans="1:11" x14ac:dyDescent="0.35">
      <c r="A522">
        <v>45</v>
      </c>
      <c r="B522" s="6">
        <v>46219</v>
      </c>
      <c r="C522" t="s">
        <v>53</v>
      </c>
      <c r="D522" t="s">
        <v>23</v>
      </c>
      <c r="E522">
        <f>IF(D522="A", INDEX(Matches!$E:$E, MATCH(A522, Matches!$A:$A, 0)), INDEX(Matches!$F:$F, MATCH(A522, Matches!$A:$A, 0)))</f>
        <v>15</v>
      </c>
      <c r="F522">
        <f>IF(D522="A", INDEX(Matches!$F:$F, MATCH(A522, Matches!$A:$A, 0)), INDEX(Matches!$E:$E, MATCH(A522, Matches!$A:$A, 0)))</f>
        <v>14</v>
      </c>
      <c r="G522" t="str">
        <f t="shared" si="40"/>
        <v>Win</v>
      </c>
      <c r="H522">
        <v>1</v>
      </c>
      <c r="I522">
        <v>1</v>
      </c>
      <c r="K522" t="str">
        <f t="shared" ref="K522:K540" si="41">A522&amp;"_"&amp;D522</f>
        <v>45_B</v>
      </c>
    </row>
    <row r="523" spans="1:11" x14ac:dyDescent="0.35">
      <c r="A523">
        <v>45</v>
      </c>
      <c r="B523" s="6">
        <v>46219</v>
      </c>
      <c r="C523" t="s">
        <v>42</v>
      </c>
      <c r="D523" t="s">
        <v>23</v>
      </c>
      <c r="E523">
        <f>IF(D523="A", INDEX(Matches!$E:$E, MATCH(A523, Matches!$A:$A, 0)), INDEX(Matches!$F:$F, MATCH(A523, Matches!$A:$A, 0)))</f>
        <v>15</v>
      </c>
      <c r="F523">
        <f>IF(D523="A", INDEX(Matches!$F:$F, MATCH(A523, Matches!$A:$A, 0)), INDEX(Matches!$E:$E, MATCH(A523, Matches!$A:$A, 0)))</f>
        <v>14</v>
      </c>
      <c r="G523" t="str">
        <f t="shared" si="40"/>
        <v>Win</v>
      </c>
      <c r="H523">
        <v>3</v>
      </c>
      <c r="I523">
        <v>4</v>
      </c>
      <c r="K523" t="str">
        <f t="shared" si="41"/>
        <v>45_B</v>
      </c>
    </row>
    <row r="524" spans="1:11" x14ac:dyDescent="0.35">
      <c r="A524">
        <v>45</v>
      </c>
      <c r="B524" s="6">
        <v>46219</v>
      </c>
      <c r="C524" t="s">
        <v>75</v>
      </c>
      <c r="D524" t="s">
        <v>23</v>
      </c>
      <c r="E524">
        <f>IF(D524="A", INDEX(Matches!$E:$E, MATCH(A524, Matches!$A:$A, 0)), INDEX(Matches!$F:$F, MATCH(A524, Matches!$A:$A, 0)))</f>
        <v>15</v>
      </c>
      <c r="F524">
        <f>IF(D524="A", INDEX(Matches!$F:$F, MATCH(A524, Matches!$A:$A, 0)), INDEX(Matches!$E:$E, MATCH(A524, Matches!$A:$A, 0)))</f>
        <v>14</v>
      </c>
      <c r="G524" t="str">
        <f t="shared" si="40"/>
        <v>Win</v>
      </c>
      <c r="H524">
        <v>2</v>
      </c>
      <c r="I524">
        <v>2</v>
      </c>
      <c r="K524" t="str">
        <f t="shared" si="41"/>
        <v>45_B</v>
      </c>
    </row>
    <row r="525" spans="1:11" x14ac:dyDescent="0.35">
      <c r="A525">
        <v>45</v>
      </c>
      <c r="B525" s="6">
        <v>46219</v>
      </c>
      <c r="C525" t="s">
        <v>22</v>
      </c>
      <c r="D525" t="s">
        <v>23</v>
      </c>
      <c r="E525">
        <f>IF(D525="A", INDEX(Matches!$E:$E, MATCH(A525, Matches!$A:$A, 0)), INDEX(Matches!$F:$F, MATCH(A525, Matches!$A:$A, 0)))</f>
        <v>15</v>
      </c>
      <c r="F525">
        <f>IF(D525="A", INDEX(Matches!$F:$F, MATCH(A525, Matches!$A:$A, 0)), INDEX(Matches!$E:$E, MATCH(A525, Matches!$A:$A, 0)))</f>
        <v>14</v>
      </c>
      <c r="G525" t="str">
        <f t="shared" si="40"/>
        <v>Win</v>
      </c>
      <c r="H525">
        <v>7</v>
      </c>
      <c r="I525">
        <v>2</v>
      </c>
      <c r="K525" t="str">
        <f t="shared" si="41"/>
        <v>45_B</v>
      </c>
    </row>
    <row r="526" spans="1:11" x14ac:dyDescent="0.35">
      <c r="A526">
        <v>45</v>
      </c>
      <c r="B526" s="6">
        <v>46219</v>
      </c>
      <c r="C526" t="s">
        <v>21</v>
      </c>
      <c r="D526" t="s">
        <v>23</v>
      </c>
      <c r="E526">
        <f>IF(D526="A", INDEX(Matches!$E:$E, MATCH(A526, Matches!$A:$A, 0)), INDEX(Matches!$F:$F, MATCH(A526, Matches!$A:$A, 0)))</f>
        <v>15</v>
      </c>
      <c r="F526">
        <f>IF(D526="A", INDEX(Matches!$F:$F, MATCH(A526, Matches!$A:$A, 0)), INDEX(Matches!$E:$E, MATCH(A526, Matches!$A:$A, 0)))</f>
        <v>14</v>
      </c>
      <c r="G526" t="str">
        <f t="shared" si="40"/>
        <v>Win</v>
      </c>
      <c r="H526">
        <v>2</v>
      </c>
      <c r="K526" t="str">
        <f t="shared" si="41"/>
        <v>45_B</v>
      </c>
    </row>
    <row r="527" spans="1:11" x14ac:dyDescent="0.35">
      <c r="A527">
        <v>46</v>
      </c>
      <c r="B527" s="6">
        <v>46226</v>
      </c>
      <c r="C527" t="s">
        <v>75</v>
      </c>
      <c r="D527" t="s">
        <v>17</v>
      </c>
      <c r="E527">
        <f>IF(D527="A", INDEX(Matches!$E:$E, MATCH(A527, Matches!$A:$A, 0)), INDEX(Matches!$F:$F, MATCH(A527, Matches!$A:$A, 0)))</f>
        <v>4</v>
      </c>
      <c r="F527">
        <f>IF(D527="A", INDEX(Matches!$F:$F, MATCH(A527, Matches!$A:$A, 0)), INDEX(Matches!$E:$E, MATCH(A527, Matches!$A:$A, 0)))</f>
        <v>5</v>
      </c>
      <c r="G527" t="str">
        <f t="shared" ref="G527:G540" si="42">IF(E527&gt;F527,"Win",IF(E527&lt;F527,"Loss","Draw"))</f>
        <v>Loss</v>
      </c>
      <c r="H527">
        <v>1</v>
      </c>
      <c r="K527" t="str">
        <f t="shared" si="41"/>
        <v>46_A</v>
      </c>
    </row>
    <row r="528" spans="1:11" x14ac:dyDescent="0.35">
      <c r="A528">
        <v>46</v>
      </c>
      <c r="B528" s="6">
        <v>46226</v>
      </c>
      <c r="C528" t="s">
        <v>42</v>
      </c>
      <c r="D528" t="s">
        <v>17</v>
      </c>
      <c r="E528">
        <f>IF(D528="A", INDEX(Matches!$E:$E, MATCH(A528, Matches!$A:$A, 0)), INDEX(Matches!$F:$F, MATCH(A528, Matches!$A:$A, 0)))</f>
        <v>4</v>
      </c>
      <c r="F528">
        <f>IF(D528="A", INDEX(Matches!$F:$F, MATCH(A528, Matches!$A:$A, 0)), INDEX(Matches!$E:$E, MATCH(A528, Matches!$A:$A, 0)))</f>
        <v>5</v>
      </c>
      <c r="G528" t="str">
        <f t="shared" si="42"/>
        <v>Loss</v>
      </c>
      <c r="K528" t="str">
        <f t="shared" si="41"/>
        <v>46_A</v>
      </c>
    </row>
    <row r="529" spans="1:11" x14ac:dyDescent="0.35">
      <c r="A529">
        <v>46</v>
      </c>
      <c r="B529" s="6">
        <v>46226</v>
      </c>
      <c r="C529" t="s">
        <v>24</v>
      </c>
      <c r="D529" t="s">
        <v>17</v>
      </c>
      <c r="E529">
        <f>IF(D529="A", INDEX(Matches!$E:$E, MATCH(A529, Matches!$A:$A, 0)), INDEX(Matches!$F:$F, MATCH(A529, Matches!$A:$A, 0)))</f>
        <v>4</v>
      </c>
      <c r="F529">
        <f>IF(D529="A", INDEX(Matches!$F:$F, MATCH(A529, Matches!$A:$A, 0)), INDEX(Matches!$E:$E, MATCH(A529, Matches!$A:$A, 0)))</f>
        <v>5</v>
      </c>
      <c r="G529" t="str">
        <f t="shared" si="42"/>
        <v>Loss</v>
      </c>
      <c r="K529" t="str">
        <f t="shared" si="41"/>
        <v>46_A</v>
      </c>
    </row>
    <row r="530" spans="1:11" x14ac:dyDescent="0.35">
      <c r="A530">
        <v>46</v>
      </c>
      <c r="B530" s="6">
        <v>46226</v>
      </c>
      <c r="C530" t="s">
        <v>99</v>
      </c>
      <c r="D530" t="s">
        <v>17</v>
      </c>
      <c r="E530">
        <f>IF(D530="A", INDEX(Matches!$E:$E, MATCH(A530, Matches!$A:$A, 0)), INDEX(Matches!$F:$F, MATCH(A530, Matches!$A:$A, 0)))</f>
        <v>4</v>
      </c>
      <c r="F530">
        <f>IF(D530="A", INDEX(Matches!$F:$F, MATCH(A530, Matches!$A:$A, 0)), INDEX(Matches!$E:$E, MATCH(A530, Matches!$A:$A, 0)))</f>
        <v>5</v>
      </c>
      <c r="G530" t="str">
        <f t="shared" si="42"/>
        <v>Loss</v>
      </c>
      <c r="H530">
        <v>1</v>
      </c>
      <c r="K530" t="str">
        <f t="shared" si="41"/>
        <v>46_A</v>
      </c>
    </row>
    <row r="531" spans="1:11" x14ac:dyDescent="0.35">
      <c r="A531">
        <v>46</v>
      </c>
      <c r="B531" s="6">
        <v>46226</v>
      </c>
      <c r="C531" t="s">
        <v>52</v>
      </c>
      <c r="D531" t="s">
        <v>17</v>
      </c>
      <c r="E531">
        <f>IF(D531="A", INDEX(Matches!$E:$E, MATCH(A531, Matches!$A:$A, 0)), INDEX(Matches!$F:$F, MATCH(A531, Matches!$A:$A, 0)))</f>
        <v>4</v>
      </c>
      <c r="F531">
        <f>IF(D531="A", INDEX(Matches!$F:$F, MATCH(A531, Matches!$A:$A, 0)), INDEX(Matches!$E:$E, MATCH(A531, Matches!$A:$A, 0)))</f>
        <v>5</v>
      </c>
      <c r="G531" t="str">
        <f t="shared" si="42"/>
        <v>Loss</v>
      </c>
      <c r="H531">
        <v>1</v>
      </c>
      <c r="I531">
        <v>1</v>
      </c>
      <c r="K531" t="str">
        <f t="shared" si="41"/>
        <v>46_A</v>
      </c>
    </row>
    <row r="532" spans="1:11" x14ac:dyDescent="0.35">
      <c r="A532">
        <v>46</v>
      </c>
      <c r="B532" s="6">
        <v>46226</v>
      </c>
      <c r="C532" t="s">
        <v>121</v>
      </c>
      <c r="D532" t="s">
        <v>17</v>
      </c>
      <c r="E532">
        <f>IF(D532="A", INDEX(Matches!$E:$E, MATCH(A532, Matches!$A:$A, 0)), INDEX(Matches!$F:$F, MATCH(A532, Matches!$A:$A, 0)))</f>
        <v>4</v>
      </c>
      <c r="F532">
        <f>IF(D532="A", INDEX(Matches!$F:$F, MATCH(A532, Matches!$A:$A, 0)), INDEX(Matches!$E:$E, MATCH(A532, Matches!$A:$A, 0)))</f>
        <v>5</v>
      </c>
      <c r="G532" t="str">
        <f t="shared" si="42"/>
        <v>Loss</v>
      </c>
      <c r="K532" t="str">
        <f t="shared" si="41"/>
        <v>46_A</v>
      </c>
    </row>
    <row r="533" spans="1:11" x14ac:dyDescent="0.35">
      <c r="A533">
        <v>46</v>
      </c>
      <c r="B533" s="6">
        <v>46226</v>
      </c>
      <c r="C533" t="s">
        <v>89</v>
      </c>
      <c r="D533" t="s">
        <v>17</v>
      </c>
      <c r="E533">
        <f>IF(D533="A", INDEX(Matches!$E:$E, MATCH(A533, Matches!$A:$A, 0)), INDEX(Matches!$F:$F, MATCH(A533, Matches!$A:$A, 0)))</f>
        <v>4</v>
      </c>
      <c r="F533">
        <f>IF(D533="A", INDEX(Matches!$F:$F, MATCH(A533, Matches!$A:$A, 0)), INDEX(Matches!$E:$E, MATCH(A533, Matches!$A:$A, 0)))</f>
        <v>5</v>
      </c>
      <c r="G533" t="str">
        <f t="shared" si="42"/>
        <v>Loss</v>
      </c>
      <c r="H533">
        <v>1</v>
      </c>
      <c r="K533" t="str">
        <f t="shared" si="41"/>
        <v>46_A</v>
      </c>
    </row>
    <row r="534" spans="1:11" x14ac:dyDescent="0.35">
      <c r="A534">
        <v>46</v>
      </c>
      <c r="B534" s="6">
        <v>46226</v>
      </c>
      <c r="C534" t="s">
        <v>88</v>
      </c>
      <c r="D534" t="s">
        <v>23</v>
      </c>
      <c r="E534">
        <f>IF(D534="A", INDEX(Matches!$E:$E, MATCH(A534, Matches!$A:$A, 0)), INDEX(Matches!$F:$F, MATCH(A534, Matches!$A:$A, 0)))</f>
        <v>5</v>
      </c>
      <c r="F534">
        <f>IF(D534="A", INDEX(Matches!$F:$F, MATCH(A534, Matches!$A:$A, 0)), INDEX(Matches!$E:$E, MATCH(A534, Matches!$A:$A, 0)))</f>
        <v>4</v>
      </c>
      <c r="G534" t="str">
        <f t="shared" si="42"/>
        <v>Win</v>
      </c>
      <c r="I534">
        <v>1</v>
      </c>
      <c r="K534" t="str">
        <f t="shared" si="41"/>
        <v>46_B</v>
      </c>
    </row>
    <row r="535" spans="1:11" x14ac:dyDescent="0.35">
      <c r="A535">
        <v>46</v>
      </c>
      <c r="B535" s="6">
        <v>46226</v>
      </c>
      <c r="C535" t="s">
        <v>19</v>
      </c>
      <c r="D535" t="s">
        <v>23</v>
      </c>
      <c r="E535">
        <f>IF(D535="A", INDEX(Matches!$E:$E, MATCH(A535, Matches!$A:$A, 0)), INDEX(Matches!$F:$F, MATCH(A535, Matches!$A:$A, 0)))</f>
        <v>5</v>
      </c>
      <c r="F535">
        <f>IF(D535="A", INDEX(Matches!$F:$F, MATCH(A535, Matches!$A:$A, 0)), INDEX(Matches!$E:$E, MATCH(A535, Matches!$A:$A, 0)))</f>
        <v>4</v>
      </c>
      <c r="G535" t="str">
        <f t="shared" si="42"/>
        <v>Win</v>
      </c>
      <c r="H535">
        <v>2</v>
      </c>
      <c r="K535" t="str">
        <f t="shared" si="41"/>
        <v>46_B</v>
      </c>
    </row>
    <row r="536" spans="1:11" x14ac:dyDescent="0.35">
      <c r="A536">
        <v>46</v>
      </c>
      <c r="B536" s="6">
        <v>46226</v>
      </c>
      <c r="C536" t="s">
        <v>16</v>
      </c>
      <c r="D536" t="s">
        <v>23</v>
      </c>
      <c r="E536">
        <f>IF(D536="A", INDEX(Matches!$E:$E, MATCH(A536, Matches!$A:$A, 0)), INDEX(Matches!$F:$F, MATCH(A536, Matches!$A:$A, 0)))</f>
        <v>5</v>
      </c>
      <c r="F536">
        <f>IF(D536="A", INDEX(Matches!$F:$F, MATCH(A536, Matches!$A:$A, 0)), INDEX(Matches!$E:$E, MATCH(A536, Matches!$A:$A, 0)))</f>
        <v>4</v>
      </c>
      <c r="G536" t="str">
        <f t="shared" si="42"/>
        <v>Win</v>
      </c>
      <c r="K536" t="str">
        <f t="shared" si="41"/>
        <v>46_B</v>
      </c>
    </row>
    <row r="537" spans="1:11" x14ac:dyDescent="0.35">
      <c r="A537">
        <v>46</v>
      </c>
      <c r="B537" s="6">
        <v>46226</v>
      </c>
      <c r="C537" t="s">
        <v>54</v>
      </c>
      <c r="D537" t="s">
        <v>23</v>
      </c>
      <c r="E537">
        <f>IF(D537="A", INDEX(Matches!$E:$E, MATCH(A537, Matches!$A:$A, 0)), INDEX(Matches!$F:$F, MATCH(A537, Matches!$A:$A, 0)))</f>
        <v>5</v>
      </c>
      <c r="F537">
        <f>IF(D537="A", INDEX(Matches!$F:$F, MATCH(A537, Matches!$A:$A, 0)), INDEX(Matches!$E:$E, MATCH(A537, Matches!$A:$A, 0)))</f>
        <v>4</v>
      </c>
      <c r="G537" t="str">
        <f t="shared" si="42"/>
        <v>Win</v>
      </c>
      <c r="H537">
        <v>1</v>
      </c>
      <c r="K537" t="str">
        <f t="shared" si="41"/>
        <v>46_B</v>
      </c>
    </row>
    <row r="538" spans="1:11" x14ac:dyDescent="0.35">
      <c r="A538">
        <v>46</v>
      </c>
      <c r="B538" s="6">
        <v>46226</v>
      </c>
      <c r="C538" t="s">
        <v>66</v>
      </c>
      <c r="D538" t="s">
        <v>23</v>
      </c>
      <c r="E538">
        <f>IF(D538="A", INDEX(Matches!$E:$E, MATCH(A538, Matches!$A:$A, 0)), INDEX(Matches!$F:$F, MATCH(A538, Matches!$A:$A, 0)))</f>
        <v>5</v>
      </c>
      <c r="F538">
        <f>IF(D538="A", INDEX(Matches!$F:$F, MATCH(A538, Matches!$A:$A, 0)), INDEX(Matches!$E:$E, MATCH(A538, Matches!$A:$A, 0)))</f>
        <v>4</v>
      </c>
      <c r="G538" t="str">
        <f t="shared" si="42"/>
        <v>Win</v>
      </c>
      <c r="I538">
        <v>1</v>
      </c>
      <c r="K538" t="str">
        <f t="shared" si="41"/>
        <v>46_B</v>
      </c>
    </row>
    <row r="539" spans="1:11" x14ac:dyDescent="0.35">
      <c r="A539">
        <v>46</v>
      </c>
      <c r="B539" s="6">
        <v>46226</v>
      </c>
      <c r="C539" t="s">
        <v>22</v>
      </c>
      <c r="D539" t="s">
        <v>23</v>
      </c>
      <c r="E539">
        <f>IF(D539="A", INDEX(Matches!$E:$E, MATCH(A539, Matches!$A:$A, 0)), INDEX(Matches!$F:$F, MATCH(A539, Matches!$A:$A, 0)))</f>
        <v>5</v>
      </c>
      <c r="F539">
        <f>IF(D539="A", INDEX(Matches!$F:$F, MATCH(A539, Matches!$A:$A, 0)), INDEX(Matches!$E:$E, MATCH(A539, Matches!$A:$A, 0)))</f>
        <v>4</v>
      </c>
      <c r="G539" t="str">
        <f t="shared" si="42"/>
        <v>Win</v>
      </c>
      <c r="H539">
        <v>2</v>
      </c>
      <c r="I539">
        <v>2</v>
      </c>
      <c r="K539" t="str">
        <f t="shared" si="41"/>
        <v>46_B</v>
      </c>
    </row>
    <row r="540" spans="1:11" x14ac:dyDescent="0.35">
      <c r="A540">
        <v>46</v>
      </c>
      <c r="B540" s="6">
        <v>46226</v>
      </c>
      <c r="C540" t="s">
        <v>45</v>
      </c>
      <c r="D540" t="s">
        <v>23</v>
      </c>
      <c r="E540">
        <f>IF(D540="A", INDEX(Matches!$E:$E, MATCH(A540, Matches!$A:$A, 0)), INDEX(Matches!$F:$F, MATCH(A540, Matches!$A:$A, 0)))</f>
        <v>5</v>
      </c>
      <c r="F540">
        <f>IF(D540="A", INDEX(Matches!$F:$F, MATCH(A540, Matches!$A:$A, 0)), INDEX(Matches!$E:$E, MATCH(A540, Matches!$A:$A, 0)))</f>
        <v>4</v>
      </c>
      <c r="G540" t="str">
        <f t="shared" si="42"/>
        <v>Win</v>
      </c>
      <c r="K540" t="str">
        <f t="shared" si="41"/>
        <v>46_B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1E1A0C4-701E-4259-996D-298E05111AF5}">
          <x14:formula1>
            <xm:f>Players!$A:$A</xm:f>
          </x14:formula1>
          <xm:sqref>C1:C1048576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87039-1183-4ACE-B512-2955D12361F3}">
  <dimension ref="A1:CV49"/>
  <sheetViews>
    <sheetView topLeftCell="AF37" workbookViewId="0">
      <selection activeCell="AW50" sqref="AW50"/>
    </sheetView>
  </sheetViews>
  <sheetFormatPr defaultRowHeight="14.5" x14ac:dyDescent="0.35"/>
  <sheetData>
    <row r="1" spans="1:100" x14ac:dyDescent="0.35">
      <c r="B1" t="str" cm="1">
        <f t="array" ref="B1:CV1">TRANSPOSE(A2:A100)</f>
        <v>Gioele</v>
      </c>
      <c r="C1" t="str">
        <v>Gianmarco</v>
      </c>
      <c r="D1" t="str">
        <v>Musta</v>
      </c>
      <c r="E1" t="str">
        <v>Alessandro D</v>
      </c>
      <c r="F1" t="str">
        <v>Andreadb</v>
      </c>
      <c r="G1" t="str">
        <v>Jose</v>
      </c>
      <c r="H1" t="str">
        <v>Alessandro C</v>
      </c>
      <c r="I1" t="str">
        <v>Lorenzo</v>
      </c>
      <c r="J1" t="str">
        <v>Pranav</v>
      </c>
      <c r="K1" t="str">
        <v>Damian</v>
      </c>
      <c r="L1" t="str">
        <v>Sergio</v>
      </c>
      <c r="M1" t="str">
        <v>Barroso</v>
      </c>
      <c r="N1" t="str">
        <v>Dario</v>
      </c>
      <c r="O1" t="str">
        <v>Tano</v>
      </c>
      <c r="P1" t="str">
        <v>Julio</v>
      </c>
      <c r="Q1" t="str">
        <v>Enrico</v>
      </c>
      <c r="R1" t="str">
        <v>Alirio</v>
      </c>
      <c r="S1" t="str">
        <v>Diego</v>
      </c>
      <c r="T1" t="str">
        <v>Giacomo</v>
      </c>
      <c r="U1" t="str">
        <v>Christian</v>
      </c>
      <c r="V1" t="str">
        <v>Karl</v>
      </c>
      <c r="W1" t="str">
        <v>Alberto</v>
      </c>
      <c r="X1" t="str">
        <v>Noah</v>
      </c>
      <c r="Y1" t="str">
        <v>TK</v>
      </c>
      <c r="Z1" t="str">
        <v>Manfredi</v>
      </c>
      <c r="AA1" t="str">
        <v>Stefano</v>
      </c>
      <c r="AB1" t="str">
        <v>Angelo</v>
      </c>
      <c r="AC1" t="str">
        <v>Tiago</v>
      </c>
      <c r="AD1" t="str">
        <v>Andrea M</v>
      </c>
      <c r="AE1" t="str">
        <v>Giosué</v>
      </c>
      <c r="AF1" t="str">
        <v>Neil</v>
      </c>
      <c r="AG1" t="str">
        <v>Ray</v>
      </c>
      <c r="AH1" t="str">
        <v>Ray's son</v>
      </c>
      <c r="AI1" t="str">
        <v>Aspuri</v>
      </c>
      <c r="AJ1" t="str">
        <v>Chad</v>
      </c>
      <c r="AK1" t="str">
        <v>Math</v>
      </c>
      <c r="AL1" t="str">
        <v>Elliot</v>
      </c>
      <c r="AM1" t="str">
        <v>Aaron</v>
      </c>
      <c r="AN1" t="str">
        <v>Gabriele</v>
      </c>
      <c r="AO1" t="str">
        <v>Sam</v>
      </c>
      <c r="AP1" t="str">
        <v>Lorenzo Colini</v>
      </c>
      <c r="AQ1" t="str">
        <v>Martyson</v>
      </c>
      <c r="AR1" t="str">
        <v>David</v>
      </c>
      <c r="AS1" t="str">
        <v>Turi</v>
      </c>
      <c r="AT1" t="str">
        <v>Nadim</v>
      </c>
      <c r="AU1" t="str">
        <v>Edison</v>
      </c>
      <c r="AV1" t="str">
        <v>Pedro (Not Barroso)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</row>
    <row r="2" spans="1:100" x14ac:dyDescent="0.35">
      <c r="A2" t="str" cm="1">
        <f t="array" ref="A2:A49">_xlfn.UNIQUE('Team Lineups'!C2:C1000)</f>
        <v>Gioele</v>
      </c>
      <c r="B2" cm="1">
        <f t="array" ref="B2">SUMPRODUCT(('Team Lineups'!$K$2:$K$2000&lt;&gt;"")*('Team Lineups'!$C$2:$C$2000=$A2)*COUNTIFS('Team Lineups'!$K$2:$K$2000,'Team Lineups'!$K$2:$K$2000,'Team Lineups'!$C$2:$C$2000,B$1))</f>
        <v>22</v>
      </c>
      <c r="C2" cm="1">
        <f t="array" ref="C2">SUMPRODUCT(('Team Lineups'!$K$2:$K$2000&lt;&gt;"")*('Team Lineups'!$C$2:$C$2000=$A2)*COUNTIFS('Team Lineups'!$K$2:$K$2000,'Team Lineups'!$K$2:$K$2000,'Team Lineups'!$C$2:$C$2000,C$1))</f>
        <v>6</v>
      </c>
      <c r="D2" cm="1">
        <f t="array" ref="D2">SUMPRODUCT(('Team Lineups'!$K$2:$K$2000&lt;&gt;"")*('Team Lineups'!$C$2:$C$2000=$A2)*COUNTIFS('Team Lineups'!$K$2:$K$2000,'Team Lineups'!$K$2:$K$2000,'Team Lineups'!$C$2:$C$2000,D$1))</f>
        <v>8</v>
      </c>
      <c r="E2" cm="1">
        <f t="array" ref="E2">SUMPRODUCT(('Team Lineups'!$K$2:$K$2000&lt;&gt;"")*('Team Lineups'!$C$2:$C$2000=$A2)*COUNTIFS('Team Lineups'!$K$2:$K$2000,'Team Lineups'!$K$2:$K$2000,'Team Lineups'!$C$2:$C$2000,E$1))</f>
        <v>6</v>
      </c>
      <c r="F2" cm="1">
        <f t="array" ref="F2">SUMPRODUCT(('Team Lineups'!$K$2:$K$2000&lt;&gt;"")*('Team Lineups'!$C$2:$C$2000=$A2)*COUNTIFS('Team Lineups'!$K$2:$K$2000,'Team Lineups'!$K$2:$K$2000,'Team Lineups'!$C$2:$C$2000,F$1))</f>
        <v>3</v>
      </c>
      <c r="G2" cm="1">
        <f t="array" ref="G2">SUMPRODUCT(('Team Lineups'!$K$2:$K$2000&lt;&gt;"")*('Team Lineups'!$C$2:$C$2000=$A2)*COUNTIFS('Team Lineups'!$K$2:$K$2000,'Team Lineups'!$K$2:$K$2000,'Team Lineups'!$C$2:$C$2000,G$1))</f>
        <v>7</v>
      </c>
      <c r="H2" cm="1">
        <f t="array" ref="H2">SUMPRODUCT(('Team Lineups'!$K$2:$K$2000&lt;&gt;"")*('Team Lineups'!$C$2:$C$2000=$A2)*COUNTIFS('Team Lineups'!$K$2:$K$2000,'Team Lineups'!$K$2:$K$2000,'Team Lineups'!$C$2:$C$2000,H$1))</f>
        <v>5</v>
      </c>
      <c r="I2" cm="1">
        <f t="array" ref="I2">SUMPRODUCT(('Team Lineups'!$K$2:$K$2000&lt;&gt;"")*('Team Lineups'!$C$2:$C$2000=$A2)*COUNTIFS('Team Lineups'!$K$2:$K$2000,'Team Lineups'!$K$2:$K$2000,'Team Lineups'!$C$2:$C$2000,I$1))</f>
        <v>10</v>
      </c>
      <c r="J2" cm="1">
        <f t="array" ref="J2">SUMPRODUCT(('Team Lineups'!$K$2:$K$2000&lt;&gt;"")*('Team Lineups'!$C$2:$C$2000=$A2)*COUNTIFS('Team Lineups'!$K$2:$K$2000,'Team Lineups'!$K$2:$K$2000,'Team Lineups'!$C$2:$C$2000,J$1))</f>
        <v>0</v>
      </c>
      <c r="K2" cm="1">
        <f t="array" ref="K2">SUMPRODUCT(('Team Lineups'!$K$2:$K$2000&lt;&gt;"")*('Team Lineups'!$C$2:$C$2000=$A2)*COUNTIFS('Team Lineups'!$K$2:$K$2000,'Team Lineups'!$K$2:$K$2000,'Team Lineups'!$C$2:$C$2000,K$1))</f>
        <v>0</v>
      </c>
      <c r="L2" cm="1">
        <f t="array" ref="L2">SUMPRODUCT(('Team Lineups'!$K$2:$K$2000&lt;&gt;"")*('Team Lineups'!$C$2:$C$2000=$A2)*COUNTIFS('Team Lineups'!$K$2:$K$2000,'Team Lineups'!$K$2:$K$2000,'Team Lineups'!$C$2:$C$2000,L$1))</f>
        <v>4</v>
      </c>
      <c r="M2" cm="1">
        <f t="array" ref="M2">SUMPRODUCT(('Team Lineups'!$K$2:$K$2000&lt;&gt;"")*('Team Lineups'!$C$2:$C$2000=$A2)*COUNTIFS('Team Lineups'!$K$2:$K$2000,'Team Lineups'!$K$2:$K$2000,'Team Lineups'!$C$2:$C$2000,M$1))</f>
        <v>6</v>
      </c>
      <c r="N2" cm="1">
        <f t="array" ref="N2">SUMPRODUCT(('Team Lineups'!$K$2:$K$2000&lt;&gt;"")*('Team Lineups'!$C$2:$C$2000=$A2)*COUNTIFS('Team Lineups'!$K$2:$K$2000,'Team Lineups'!$K$2:$K$2000,'Team Lineups'!$C$2:$C$2000,N$1))</f>
        <v>9</v>
      </c>
      <c r="O2" cm="1">
        <f t="array" ref="O2">SUMPRODUCT(('Team Lineups'!$K$2:$K$2000&lt;&gt;"")*('Team Lineups'!$C$2:$C$2000=$A2)*COUNTIFS('Team Lineups'!$K$2:$K$2000,'Team Lineups'!$K$2:$K$2000,'Team Lineups'!$C$2:$C$2000,O$1))</f>
        <v>2</v>
      </c>
      <c r="P2" cm="1">
        <f t="array" ref="P2">SUMPRODUCT(('Team Lineups'!$K$2:$K$2000&lt;&gt;"")*('Team Lineups'!$C$2:$C$2000=$A2)*COUNTIFS('Team Lineups'!$K$2:$K$2000,'Team Lineups'!$K$2:$K$2000,'Team Lineups'!$C$2:$C$2000,P$1))</f>
        <v>0</v>
      </c>
      <c r="Q2" cm="1">
        <f t="array" ref="Q2">SUMPRODUCT(('Team Lineups'!$K$2:$K$2000&lt;&gt;"")*('Team Lineups'!$C$2:$C$2000=$A2)*COUNTIFS('Team Lineups'!$K$2:$K$2000,'Team Lineups'!$K$2:$K$2000,'Team Lineups'!$C$2:$C$2000,Q$1))</f>
        <v>5</v>
      </c>
      <c r="R2" cm="1">
        <f t="array" ref="R2">SUMPRODUCT(('Team Lineups'!$K$2:$K$2000&lt;&gt;"")*('Team Lineups'!$C$2:$C$2000=$A2)*COUNTIFS('Team Lineups'!$K$2:$K$2000,'Team Lineups'!$K$2:$K$2000,'Team Lineups'!$C$2:$C$2000,R$1))</f>
        <v>5</v>
      </c>
      <c r="S2" cm="1">
        <f t="array" ref="S2">SUMPRODUCT(('Team Lineups'!$K$2:$K$2000&lt;&gt;"")*('Team Lineups'!$C$2:$C$2000=$A2)*COUNTIFS('Team Lineups'!$K$2:$K$2000,'Team Lineups'!$K$2:$K$2000,'Team Lineups'!$C$2:$C$2000,S$1))</f>
        <v>3</v>
      </c>
      <c r="T2" cm="1">
        <f t="array" ref="T2">SUMPRODUCT(('Team Lineups'!$K$2:$K$2000&lt;&gt;"")*('Team Lineups'!$C$2:$C$2000=$A2)*COUNTIFS('Team Lineups'!$K$2:$K$2000,'Team Lineups'!$K$2:$K$2000,'Team Lineups'!$C$2:$C$2000,T$1))</f>
        <v>0</v>
      </c>
      <c r="U2" cm="1">
        <f t="array" ref="U2">SUMPRODUCT(('Team Lineups'!$K$2:$K$2000&lt;&gt;"")*('Team Lineups'!$C$2:$C$2000=$A2)*COUNTIFS('Team Lineups'!$K$2:$K$2000,'Team Lineups'!$K$2:$K$2000,'Team Lineups'!$C$2:$C$2000,U$1))</f>
        <v>0</v>
      </c>
      <c r="V2" cm="1">
        <f t="array" ref="V2">SUMPRODUCT(('Team Lineups'!$K$2:$K$2000&lt;&gt;"")*('Team Lineups'!$C$2:$C$2000=$A2)*COUNTIFS('Team Lineups'!$K$2:$K$2000,'Team Lineups'!$K$2:$K$2000,'Team Lineups'!$C$2:$C$2000,V$1))</f>
        <v>1</v>
      </c>
      <c r="W2" cm="1">
        <f t="array" ref="W2">SUMPRODUCT(('Team Lineups'!$K$2:$K$2000&lt;&gt;"")*('Team Lineups'!$C$2:$C$2000=$A2)*COUNTIFS('Team Lineups'!$K$2:$K$2000,'Team Lineups'!$K$2:$K$2000,'Team Lineups'!$C$2:$C$2000,W$1))</f>
        <v>1</v>
      </c>
      <c r="X2" cm="1">
        <f t="array" ref="X2">SUMPRODUCT(('Team Lineups'!$K$2:$K$2000&lt;&gt;"")*('Team Lineups'!$C$2:$C$2000=$A2)*COUNTIFS('Team Lineups'!$K$2:$K$2000,'Team Lineups'!$K$2:$K$2000,'Team Lineups'!$C$2:$C$2000,X$1))</f>
        <v>1</v>
      </c>
      <c r="Y2" cm="1">
        <f t="array" ref="Y2">SUMPRODUCT(('Team Lineups'!$K$2:$K$2000&lt;&gt;"")*('Team Lineups'!$C$2:$C$2000=$A2)*COUNTIFS('Team Lineups'!$K$2:$K$2000,'Team Lineups'!$K$2:$K$2000,'Team Lineups'!$C$2:$C$2000,Y$1))</f>
        <v>0</v>
      </c>
      <c r="Z2" cm="1">
        <f t="array" ref="Z2">SUMPRODUCT(('Team Lineups'!$K$2:$K$2000&lt;&gt;"")*('Team Lineups'!$C$2:$C$2000=$A2)*COUNTIFS('Team Lineups'!$K$2:$K$2000,'Team Lineups'!$K$2:$K$2000,'Team Lineups'!$C$2:$C$2000,Z$1))</f>
        <v>2</v>
      </c>
      <c r="AA2" cm="1">
        <f t="array" ref="AA2">SUMPRODUCT(('Team Lineups'!$K$2:$K$2000&lt;&gt;"")*('Team Lineups'!$C$2:$C$2000=$A2)*COUNTIFS('Team Lineups'!$K$2:$K$2000,'Team Lineups'!$K$2:$K$2000,'Team Lineups'!$C$2:$C$2000,AA$1))</f>
        <v>6</v>
      </c>
      <c r="AB2" cm="1">
        <f t="array" ref="AB2">SUMPRODUCT(('Team Lineups'!$K$2:$K$2000&lt;&gt;"")*('Team Lineups'!$C$2:$C$2000=$A2)*COUNTIFS('Team Lineups'!$K$2:$K$2000,'Team Lineups'!$K$2:$K$2000,'Team Lineups'!$C$2:$C$2000,AB$1))</f>
        <v>2</v>
      </c>
      <c r="AC2" cm="1">
        <f t="array" ref="AC2">SUMPRODUCT(('Team Lineups'!$K$2:$K$2000&lt;&gt;"")*('Team Lineups'!$C$2:$C$2000=$A2)*COUNTIFS('Team Lineups'!$K$2:$K$2000,'Team Lineups'!$K$2:$K$2000,'Team Lineups'!$C$2:$C$2000,AC$1))</f>
        <v>1</v>
      </c>
      <c r="AD2" cm="1">
        <f t="array" ref="AD2">SUMPRODUCT(('Team Lineups'!$K$2:$K$2000&lt;&gt;"")*('Team Lineups'!$C$2:$C$2000=$A2)*COUNTIFS('Team Lineups'!$K$2:$K$2000,'Team Lineups'!$K$2:$K$2000,'Team Lineups'!$C$2:$C$2000,AD$1))</f>
        <v>3</v>
      </c>
      <c r="AE2" cm="1">
        <f t="array" ref="AE2">SUMPRODUCT(('Team Lineups'!$K$2:$K$2000&lt;&gt;"")*('Team Lineups'!$C$2:$C$2000=$A2)*COUNTIFS('Team Lineups'!$K$2:$K$2000,'Team Lineups'!$K$2:$K$2000,'Team Lineups'!$C$2:$C$2000,AE$1))</f>
        <v>2</v>
      </c>
      <c r="AF2" cm="1">
        <f t="array" ref="AF2">SUMPRODUCT(('Team Lineups'!$K$2:$K$2000&lt;&gt;"")*('Team Lineups'!$C$2:$C$2000=$A2)*COUNTIFS('Team Lineups'!$K$2:$K$2000,'Team Lineups'!$K$2:$K$2000,'Team Lineups'!$C$2:$C$2000,AF$1))</f>
        <v>0</v>
      </c>
      <c r="AG2" cm="1">
        <f t="array" ref="AG2">SUMPRODUCT(('Team Lineups'!$K$2:$K$2000&lt;&gt;"")*('Team Lineups'!$C$2:$C$2000=$A2)*COUNTIFS('Team Lineups'!$K$2:$K$2000,'Team Lineups'!$K$2:$K$2000,'Team Lineups'!$C$2:$C$2000,AG$1))</f>
        <v>0</v>
      </c>
      <c r="AH2" cm="1">
        <f t="array" ref="AH2">SUMPRODUCT(('Team Lineups'!$K$2:$K$2000&lt;&gt;"")*('Team Lineups'!$C$2:$C$2000=$A2)*COUNTIFS('Team Lineups'!$K$2:$K$2000,'Team Lineups'!$K$2:$K$2000,'Team Lineups'!$C$2:$C$2000,AH$1))</f>
        <v>0</v>
      </c>
      <c r="AI2" cm="1">
        <f t="array" ref="AI2">SUMPRODUCT(('Team Lineups'!$K$2:$K$2000&lt;&gt;"")*('Team Lineups'!$C$2:$C$2000=$A2)*COUNTIFS('Team Lineups'!$K$2:$K$2000,'Team Lineups'!$K$2:$K$2000,'Team Lineups'!$C$2:$C$2000,AI$1))</f>
        <v>0</v>
      </c>
      <c r="AJ2" cm="1">
        <f t="array" ref="AJ2">SUMPRODUCT(('Team Lineups'!$K$2:$K$2000&lt;&gt;"")*('Team Lineups'!$C$2:$C$2000=$A2)*COUNTIFS('Team Lineups'!$K$2:$K$2000,'Team Lineups'!$K$2:$K$2000,'Team Lineups'!$C$2:$C$2000,AJ$1))</f>
        <v>7</v>
      </c>
      <c r="AK2" cm="1">
        <f t="array" ref="AK2">SUMPRODUCT(('Team Lineups'!$K$2:$K$2000&lt;&gt;"")*('Team Lineups'!$C$2:$C$2000=$A2)*COUNTIFS('Team Lineups'!$K$2:$K$2000,'Team Lineups'!$K$2:$K$2000,'Team Lineups'!$C$2:$C$2000,AK$1))</f>
        <v>0</v>
      </c>
      <c r="AL2" cm="1">
        <f t="array" ref="AL2">SUMPRODUCT(('Team Lineups'!$K$2:$K$2000&lt;&gt;"")*('Team Lineups'!$C$2:$C$2000=$A2)*COUNTIFS('Team Lineups'!$K$2:$K$2000,'Team Lineups'!$K$2:$K$2000,'Team Lineups'!$C$2:$C$2000,AL$1))</f>
        <v>2</v>
      </c>
      <c r="AM2" cm="1">
        <f t="array" ref="AM2">SUMPRODUCT(('Team Lineups'!$K$2:$K$2000&lt;&gt;"")*('Team Lineups'!$C$2:$C$2000=$A2)*COUNTIFS('Team Lineups'!$K$2:$K$2000,'Team Lineups'!$K$2:$K$2000,'Team Lineups'!$C$2:$C$2000,AM$1))</f>
        <v>0</v>
      </c>
      <c r="AN2" cm="1">
        <f t="array" ref="AN2">SUMPRODUCT(('Team Lineups'!$K$2:$K$2000&lt;&gt;"")*('Team Lineups'!$C$2:$C$2000=$A2)*COUNTIFS('Team Lineups'!$K$2:$K$2000,'Team Lineups'!$K$2:$K$2000,'Team Lineups'!$C$2:$C$2000,AN$1))</f>
        <v>2</v>
      </c>
      <c r="AO2" cm="1">
        <f t="array" ref="AO2">SUMPRODUCT(('Team Lineups'!$K$2:$K$2000&lt;&gt;"")*('Team Lineups'!$C$2:$C$2000=$A2)*COUNTIFS('Team Lineups'!$K$2:$K$2000,'Team Lineups'!$K$2:$K$2000,'Team Lineups'!$C$2:$C$2000,AO$1))</f>
        <v>0</v>
      </c>
      <c r="AP2" cm="1">
        <f t="array" ref="AP2">SUMPRODUCT(('Team Lineups'!$K$2:$K$2000&lt;&gt;"")*('Team Lineups'!$C$2:$C$2000=$A2)*COUNTIFS('Team Lineups'!$K$2:$K$2000,'Team Lineups'!$K$2:$K$2000,'Team Lineups'!$C$2:$C$2000,AP$1))</f>
        <v>1</v>
      </c>
      <c r="AQ2" cm="1">
        <f t="array" ref="AQ2">SUMPRODUCT(('Team Lineups'!$K$2:$K$2000&lt;&gt;"")*('Team Lineups'!$C$2:$C$2000=$A2)*COUNTIFS('Team Lineups'!$K$2:$K$2000,'Team Lineups'!$K$2:$K$2000,'Team Lineups'!$C$2:$C$2000,AQ$1))</f>
        <v>0</v>
      </c>
      <c r="AR2" cm="1">
        <f t="array" ref="AR2">SUMPRODUCT(('Team Lineups'!$K$2:$K$2000&lt;&gt;"")*('Team Lineups'!$C$2:$C$2000=$A2)*COUNTIFS('Team Lineups'!$K$2:$K$2000,'Team Lineups'!$K$2:$K$2000,'Team Lineups'!$C$2:$C$2000,AR$1))</f>
        <v>0</v>
      </c>
      <c r="AS2" cm="1">
        <f t="array" ref="AS2">SUMPRODUCT(('Team Lineups'!$K$2:$K$2000&lt;&gt;"")*('Team Lineups'!$C$2:$C$2000=$A2)*COUNTIFS('Team Lineups'!$K$2:$K$2000,'Team Lineups'!$K$2:$K$2000,'Team Lineups'!$C$2:$C$2000,AS$1))</f>
        <v>1</v>
      </c>
      <c r="AT2" cm="1">
        <f t="array" ref="AT2">SUMPRODUCT(('Team Lineups'!$K$2:$K$2000&lt;&gt;"")*('Team Lineups'!$C$2:$C$2000=$A2)*COUNTIFS('Team Lineups'!$K$2:$K$2000,'Team Lineups'!$K$2:$K$2000,'Team Lineups'!$C$2:$C$2000,AT$1))</f>
        <v>0</v>
      </c>
      <c r="AU2" cm="1">
        <f t="array" ref="AU2">SUMPRODUCT(('Team Lineups'!$K$2:$K$2000&lt;&gt;"")*('Team Lineups'!$C$2:$C$2000=$A2)*COUNTIFS('Team Lineups'!$K$2:$K$2000,'Team Lineups'!$K$2:$K$2000,'Team Lineups'!$C$2:$C$2000,AU$1))</f>
        <v>1</v>
      </c>
      <c r="AV2" cm="1">
        <f t="array" ref="AV2">SUMPRODUCT(('Team Lineups'!$K$2:$K$2000&lt;&gt;"")*('Team Lineups'!$C$2:$C$2000=$A2)*COUNTIFS('Team Lineups'!$K$2:$K$2000,'Team Lineups'!$K$2:$K$2000,'Team Lineups'!$C$2:$C$2000,AV$1))</f>
        <v>0</v>
      </c>
    </row>
    <row r="3" spans="1:100" x14ac:dyDescent="0.35">
      <c r="A3" t="str">
        <v>Gianmarco</v>
      </c>
      <c r="B3" cm="1">
        <f t="array" ref="B3">SUMPRODUCT(('Team Lineups'!$K$2:$K$2000&lt;&gt;"")*('Team Lineups'!$C$2:$C$2000=$A3)*COUNTIFS('Team Lineups'!$K$2:$K$2000,'Team Lineups'!$K$2:$K$2000,'Team Lineups'!$C$2:$C$2000,B$1))</f>
        <v>6</v>
      </c>
      <c r="C3" cm="1">
        <f t="array" ref="C3">SUMPRODUCT(('Team Lineups'!$K$2:$K$2000&lt;&gt;"")*('Team Lineups'!$C$2:$C$2000=$A3)*COUNTIFS('Team Lineups'!$K$2:$K$2000,'Team Lineups'!$K$2:$K$2000,'Team Lineups'!$C$2:$C$2000,C$1))</f>
        <v>12</v>
      </c>
      <c r="D3" cm="1">
        <f t="array" ref="D3">SUMPRODUCT(('Team Lineups'!$K$2:$K$2000&lt;&gt;"")*('Team Lineups'!$C$2:$C$2000=$A3)*COUNTIFS('Team Lineups'!$K$2:$K$2000,'Team Lineups'!$K$2:$K$2000,'Team Lineups'!$C$2:$C$2000,D$1))</f>
        <v>5</v>
      </c>
      <c r="E3" cm="1">
        <f t="array" ref="E3">SUMPRODUCT(('Team Lineups'!$K$2:$K$2000&lt;&gt;"")*('Team Lineups'!$C$2:$C$2000=$A3)*COUNTIFS('Team Lineups'!$K$2:$K$2000,'Team Lineups'!$K$2:$K$2000,'Team Lineups'!$C$2:$C$2000,E$1))</f>
        <v>7</v>
      </c>
      <c r="F3" cm="1">
        <f t="array" ref="F3">SUMPRODUCT(('Team Lineups'!$K$2:$K$2000&lt;&gt;"")*('Team Lineups'!$C$2:$C$2000=$A3)*COUNTIFS('Team Lineups'!$K$2:$K$2000,'Team Lineups'!$K$2:$K$2000,'Team Lineups'!$C$2:$C$2000,F$1))</f>
        <v>4</v>
      </c>
      <c r="G3" cm="1">
        <f t="array" ref="G3">SUMPRODUCT(('Team Lineups'!$K$2:$K$2000&lt;&gt;"")*('Team Lineups'!$C$2:$C$2000=$A3)*COUNTIFS('Team Lineups'!$K$2:$K$2000,'Team Lineups'!$K$2:$K$2000,'Team Lineups'!$C$2:$C$2000,G$1))</f>
        <v>4</v>
      </c>
      <c r="H3" cm="1">
        <f t="array" ref="H3">SUMPRODUCT(('Team Lineups'!$K$2:$K$2000&lt;&gt;"")*('Team Lineups'!$C$2:$C$2000=$A3)*COUNTIFS('Team Lineups'!$K$2:$K$2000,'Team Lineups'!$K$2:$K$2000,'Team Lineups'!$C$2:$C$2000,H$1))</f>
        <v>3</v>
      </c>
      <c r="I3" cm="1">
        <f t="array" ref="I3">SUMPRODUCT(('Team Lineups'!$K$2:$K$2000&lt;&gt;"")*('Team Lineups'!$C$2:$C$2000=$A3)*COUNTIFS('Team Lineups'!$K$2:$K$2000,'Team Lineups'!$K$2:$K$2000,'Team Lineups'!$C$2:$C$2000,I$1))</f>
        <v>3</v>
      </c>
      <c r="J3" cm="1">
        <f t="array" ref="J3">SUMPRODUCT(('Team Lineups'!$K$2:$K$2000&lt;&gt;"")*('Team Lineups'!$C$2:$C$2000=$A3)*COUNTIFS('Team Lineups'!$K$2:$K$2000,'Team Lineups'!$K$2:$K$2000,'Team Lineups'!$C$2:$C$2000,J$1))</f>
        <v>0</v>
      </c>
      <c r="K3" cm="1">
        <f t="array" ref="K3">SUMPRODUCT(('Team Lineups'!$K$2:$K$2000&lt;&gt;"")*('Team Lineups'!$C$2:$C$2000=$A3)*COUNTIFS('Team Lineups'!$K$2:$K$2000,'Team Lineups'!$K$2:$K$2000,'Team Lineups'!$C$2:$C$2000,K$1))</f>
        <v>0</v>
      </c>
      <c r="L3" cm="1">
        <f t="array" ref="L3">SUMPRODUCT(('Team Lineups'!$K$2:$K$2000&lt;&gt;"")*('Team Lineups'!$C$2:$C$2000=$A3)*COUNTIFS('Team Lineups'!$K$2:$K$2000,'Team Lineups'!$K$2:$K$2000,'Team Lineups'!$C$2:$C$2000,L$1))</f>
        <v>4</v>
      </c>
      <c r="M3" cm="1">
        <f t="array" ref="M3">SUMPRODUCT(('Team Lineups'!$K$2:$K$2000&lt;&gt;"")*('Team Lineups'!$C$2:$C$2000=$A3)*COUNTIFS('Team Lineups'!$K$2:$K$2000,'Team Lineups'!$K$2:$K$2000,'Team Lineups'!$C$2:$C$2000,M$1))</f>
        <v>2</v>
      </c>
      <c r="N3" cm="1">
        <f t="array" ref="N3">SUMPRODUCT(('Team Lineups'!$K$2:$K$2000&lt;&gt;"")*('Team Lineups'!$C$2:$C$2000=$A3)*COUNTIFS('Team Lineups'!$K$2:$K$2000,'Team Lineups'!$K$2:$K$2000,'Team Lineups'!$C$2:$C$2000,N$1))</f>
        <v>3</v>
      </c>
      <c r="O3" cm="1">
        <f t="array" ref="O3">SUMPRODUCT(('Team Lineups'!$K$2:$K$2000&lt;&gt;"")*('Team Lineups'!$C$2:$C$2000=$A3)*COUNTIFS('Team Lineups'!$K$2:$K$2000,'Team Lineups'!$K$2:$K$2000,'Team Lineups'!$C$2:$C$2000,O$1))</f>
        <v>3</v>
      </c>
      <c r="P3" cm="1">
        <f t="array" ref="P3">SUMPRODUCT(('Team Lineups'!$K$2:$K$2000&lt;&gt;"")*('Team Lineups'!$C$2:$C$2000=$A3)*COUNTIFS('Team Lineups'!$K$2:$K$2000,'Team Lineups'!$K$2:$K$2000,'Team Lineups'!$C$2:$C$2000,P$1))</f>
        <v>1</v>
      </c>
      <c r="Q3" cm="1">
        <f t="array" ref="Q3">SUMPRODUCT(('Team Lineups'!$K$2:$K$2000&lt;&gt;"")*('Team Lineups'!$C$2:$C$2000=$A3)*COUNTIFS('Team Lineups'!$K$2:$K$2000,'Team Lineups'!$K$2:$K$2000,'Team Lineups'!$C$2:$C$2000,Q$1))</f>
        <v>4</v>
      </c>
      <c r="R3" cm="1">
        <f t="array" ref="R3">SUMPRODUCT(('Team Lineups'!$K$2:$K$2000&lt;&gt;"")*('Team Lineups'!$C$2:$C$2000=$A3)*COUNTIFS('Team Lineups'!$K$2:$K$2000,'Team Lineups'!$K$2:$K$2000,'Team Lineups'!$C$2:$C$2000,R$1))</f>
        <v>1</v>
      </c>
      <c r="S3" cm="1">
        <f t="array" ref="S3">SUMPRODUCT(('Team Lineups'!$K$2:$K$2000&lt;&gt;"")*('Team Lineups'!$C$2:$C$2000=$A3)*COUNTIFS('Team Lineups'!$K$2:$K$2000,'Team Lineups'!$K$2:$K$2000,'Team Lineups'!$C$2:$C$2000,S$1))</f>
        <v>2</v>
      </c>
      <c r="T3" cm="1">
        <f t="array" ref="T3">SUMPRODUCT(('Team Lineups'!$K$2:$K$2000&lt;&gt;"")*('Team Lineups'!$C$2:$C$2000=$A3)*COUNTIFS('Team Lineups'!$K$2:$K$2000,'Team Lineups'!$K$2:$K$2000,'Team Lineups'!$C$2:$C$2000,T$1))</f>
        <v>0</v>
      </c>
      <c r="U3" cm="1">
        <f t="array" ref="U3">SUMPRODUCT(('Team Lineups'!$K$2:$K$2000&lt;&gt;"")*('Team Lineups'!$C$2:$C$2000=$A3)*COUNTIFS('Team Lineups'!$K$2:$K$2000,'Team Lineups'!$K$2:$K$2000,'Team Lineups'!$C$2:$C$2000,U$1))</f>
        <v>0</v>
      </c>
      <c r="V3" cm="1">
        <f t="array" ref="V3">SUMPRODUCT(('Team Lineups'!$K$2:$K$2000&lt;&gt;"")*('Team Lineups'!$C$2:$C$2000=$A3)*COUNTIFS('Team Lineups'!$K$2:$K$2000,'Team Lineups'!$K$2:$K$2000,'Team Lineups'!$C$2:$C$2000,V$1))</f>
        <v>2</v>
      </c>
      <c r="W3" cm="1">
        <f t="array" ref="W3">SUMPRODUCT(('Team Lineups'!$K$2:$K$2000&lt;&gt;"")*('Team Lineups'!$C$2:$C$2000=$A3)*COUNTIFS('Team Lineups'!$K$2:$K$2000,'Team Lineups'!$K$2:$K$2000,'Team Lineups'!$C$2:$C$2000,W$1))</f>
        <v>0</v>
      </c>
      <c r="X3" cm="1">
        <f t="array" ref="X3">SUMPRODUCT(('Team Lineups'!$K$2:$K$2000&lt;&gt;"")*('Team Lineups'!$C$2:$C$2000=$A3)*COUNTIFS('Team Lineups'!$K$2:$K$2000,'Team Lineups'!$K$2:$K$2000,'Team Lineups'!$C$2:$C$2000,X$1))</f>
        <v>0</v>
      </c>
      <c r="Y3" cm="1">
        <f t="array" ref="Y3">SUMPRODUCT(('Team Lineups'!$K$2:$K$2000&lt;&gt;"")*('Team Lineups'!$C$2:$C$2000=$A3)*COUNTIFS('Team Lineups'!$K$2:$K$2000,'Team Lineups'!$K$2:$K$2000,'Team Lineups'!$C$2:$C$2000,Y$1))</f>
        <v>0</v>
      </c>
      <c r="Z3" cm="1">
        <f t="array" ref="Z3">SUMPRODUCT(('Team Lineups'!$K$2:$K$2000&lt;&gt;"")*('Team Lineups'!$C$2:$C$2000=$A3)*COUNTIFS('Team Lineups'!$K$2:$K$2000,'Team Lineups'!$K$2:$K$2000,'Team Lineups'!$C$2:$C$2000,Z$1))</f>
        <v>0</v>
      </c>
      <c r="AA3" cm="1">
        <f t="array" ref="AA3">SUMPRODUCT(('Team Lineups'!$K$2:$K$2000&lt;&gt;"")*('Team Lineups'!$C$2:$C$2000=$A3)*COUNTIFS('Team Lineups'!$K$2:$K$2000,'Team Lineups'!$K$2:$K$2000,'Team Lineups'!$C$2:$C$2000,AA$1))</f>
        <v>4</v>
      </c>
      <c r="AB3" cm="1">
        <f t="array" ref="AB3">SUMPRODUCT(('Team Lineups'!$K$2:$K$2000&lt;&gt;"")*('Team Lineups'!$C$2:$C$2000=$A3)*COUNTIFS('Team Lineups'!$K$2:$K$2000,'Team Lineups'!$K$2:$K$2000,'Team Lineups'!$C$2:$C$2000,AB$1))</f>
        <v>3</v>
      </c>
      <c r="AC3" cm="1">
        <f t="array" ref="AC3">SUMPRODUCT(('Team Lineups'!$K$2:$K$2000&lt;&gt;"")*('Team Lineups'!$C$2:$C$2000=$A3)*COUNTIFS('Team Lineups'!$K$2:$K$2000,'Team Lineups'!$K$2:$K$2000,'Team Lineups'!$C$2:$C$2000,AC$1))</f>
        <v>1</v>
      </c>
      <c r="AD3" cm="1">
        <f t="array" ref="AD3">SUMPRODUCT(('Team Lineups'!$K$2:$K$2000&lt;&gt;"")*('Team Lineups'!$C$2:$C$2000=$A3)*COUNTIFS('Team Lineups'!$K$2:$K$2000,'Team Lineups'!$K$2:$K$2000,'Team Lineups'!$C$2:$C$2000,AD$1))</f>
        <v>2</v>
      </c>
      <c r="AE3" cm="1">
        <f t="array" ref="AE3">SUMPRODUCT(('Team Lineups'!$K$2:$K$2000&lt;&gt;"")*('Team Lineups'!$C$2:$C$2000=$A3)*COUNTIFS('Team Lineups'!$K$2:$K$2000,'Team Lineups'!$K$2:$K$2000,'Team Lineups'!$C$2:$C$2000,AE$1))</f>
        <v>0</v>
      </c>
      <c r="AF3" cm="1">
        <f t="array" ref="AF3">SUMPRODUCT(('Team Lineups'!$K$2:$K$2000&lt;&gt;"")*('Team Lineups'!$C$2:$C$2000=$A3)*COUNTIFS('Team Lineups'!$K$2:$K$2000,'Team Lineups'!$K$2:$K$2000,'Team Lineups'!$C$2:$C$2000,AF$1))</f>
        <v>0</v>
      </c>
      <c r="AG3" cm="1">
        <f t="array" ref="AG3">SUMPRODUCT(('Team Lineups'!$K$2:$K$2000&lt;&gt;"")*('Team Lineups'!$C$2:$C$2000=$A3)*COUNTIFS('Team Lineups'!$K$2:$K$2000,'Team Lineups'!$K$2:$K$2000,'Team Lineups'!$C$2:$C$2000,AG$1))</f>
        <v>2</v>
      </c>
      <c r="AH3" cm="1">
        <f t="array" ref="AH3">SUMPRODUCT(('Team Lineups'!$K$2:$K$2000&lt;&gt;"")*('Team Lineups'!$C$2:$C$2000=$A3)*COUNTIFS('Team Lineups'!$K$2:$K$2000,'Team Lineups'!$K$2:$K$2000,'Team Lineups'!$C$2:$C$2000,AH$1))</f>
        <v>0</v>
      </c>
      <c r="AI3" cm="1">
        <f t="array" ref="AI3">SUMPRODUCT(('Team Lineups'!$K$2:$K$2000&lt;&gt;"")*('Team Lineups'!$C$2:$C$2000=$A3)*COUNTIFS('Team Lineups'!$K$2:$K$2000,'Team Lineups'!$K$2:$K$2000,'Team Lineups'!$C$2:$C$2000,AI$1))</f>
        <v>0</v>
      </c>
      <c r="AJ3" cm="1">
        <f t="array" ref="AJ3">SUMPRODUCT(('Team Lineups'!$K$2:$K$2000&lt;&gt;"")*('Team Lineups'!$C$2:$C$2000=$A3)*COUNTIFS('Team Lineups'!$K$2:$K$2000,'Team Lineups'!$K$2:$K$2000,'Team Lineups'!$C$2:$C$2000,AJ$1))</f>
        <v>0</v>
      </c>
      <c r="AK3" cm="1">
        <f t="array" ref="AK3">SUMPRODUCT(('Team Lineups'!$K$2:$K$2000&lt;&gt;"")*('Team Lineups'!$C$2:$C$2000=$A3)*COUNTIFS('Team Lineups'!$K$2:$K$2000,'Team Lineups'!$K$2:$K$2000,'Team Lineups'!$C$2:$C$2000,AK$1))</f>
        <v>0</v>
      </c>
      <c r="AL3" cm="1">
        <f t="array" ref="AL3">SUMPRODUCT(('Team Lineups'!$K$2:$K$2000&lt;&gt;"")*('Team Lineups'!$C$2:$C$2000=$A3)*COUNTIFS('Team Lineups'!$K$2:$K$2000,'Team Lineups'!$K$2:$K$2000,'Team Lineups'!$C$2:$C$2000,AL$1))</f>
        <v>1</v>
      </c>
      <c r="AM3" cm="1">
        <f t="array" ref="AM3">SUMPRODUCT(('Team Lineups'!$K$2:$K$2000&lt;&gt;"")*('Team Lineups'!$C$2:$C$2000=$A3)*COUNTIFS('Team Lineups'!$K$2:$K$2000,'Team Lineups'!$K$2:$K$2000,'Team Lineups'!$C$2:$C$2000,AM$1))</f>
        <v>0</v>
      </c>
      <c r="AN3" cm="1">
        <f t="array" ref="AN3">SUMPRODUCT(('Team Lineups'!$K$2:$K$2000&lt;&gt;"")*('Team Lineups'!$C$2:$C$2000=$A3)*COUNTIFS('Team Lineups'!$K$2:$K$2000,'Team Lineups'!$K$2:$K$2000,'Team Lineups'!$C$2:$C$2000,AN$1))</f>
        <v>0</v>
      </c>
      <c r="AO3" cm="1">
        <f t="array" ref="AO3">SUMPRODUCT(('Team Lineups'!$K$2:$K$2000&lt;&gt;"")*('Team Lineups'!$C$2:$C$2000=$A3)*COUNTIFS('Team Lineups'!$K$2:$K$2000,'Team Lineups'!$K$2:$K$2000,'Team Lineups'!$C$2:$C$2000,AO$1))</f>
        <v>0</v>
      </c>
      <c r="AP3" cm="1">
        <f t="array" ref="AP3">SUMPRODUCT(('Team Lineups'!$K$2:$K$2000&lt;&gt;"")*('Team Lineups'!$C$2:$C$2000=$A3)*COUNTIFS('Team Lineups'!$K$2:$K$2000,'Team Lineups'!$K$2:$K$2000,'Team Lineups'!$C$2:$C$2000,AP$1))</f>
        <v>0</v>
      </c>
      <c r="AQ3" cm="1">
        <f t="array" ref="AQ3">SUMPRODUCT(('Team Lineups'!$K$2:$K$2000&lt;&gt;"")*('Team Lineups'!$C$2:$C$2000=$A3)*COUNTIFS('Team Lineups'!$K$2:$K$2000,'Team Lineups'!$K$2:$K$2000,'Team Lineups'!$C$2:$C$2000,AQ$1))</f>
        <v>0</v>
      </c>
      <c r="AR3" cm="1">
        <f t="array" ref="AR3">SUMPRODUCT(('Team Lineups'!$K$2:$K$2000&lt;&gt;"")*('Team Lineups'!$C$2:$C$2000=$A3)*COUNTIFS('Team Lineups'!$K$2:$K$2000,'Team Lineups'!$K$2:$K$2000,'Team Lineups'!$C$2:$C$2000,AR$1))</f>
        <v>0</v>
      </c>
      <c r="AS3" cm="1">
        <f t="array" ref="AS3">SUMPRODUCT(('Team Lineups'!$K$2:$K$2000&lt;&gt;"")*('Team Lineups'!$C$2:$C$2000=$A3)*COUNTIFS('Team Lineups'!$K$2:$K$2000,'Team Lineups'!$K$2:$K$2000,'Team Lineups'!$C$2:$C$2000,AS$1))</f>
        <v>0</v>
      </c>
      <c r="AT3" cm="1">
        <f t="array" ref="AT3">SUMPRODUCT(('Team Lineups'!$K$2:$K$2000&lt;&gt;"")*('Team Lineups'!$C$2:$C$2000=$A3)*COUNTIFS('Team Lineups'!$K$2:$K$2000,'Team Lineups'!$K$2:$K$2000,'Team Lineups'!$C$2:$C$2000,AT$1))</f>
        <v>0</v>
      </c>
      <c r="AU3" cm="1">
        <f t="array" ref="AU3">SUMPRODUCT(('Team Lineups'!$K$2:$K$2000&lt;&gt;"")*('Team Lineups'!$C$2:$C$2000=$A3)*COUNTIFS('Team Lineups'!$K$2:$K$2000,'Team Lineups'!$K$2:$K$2000,'Team Lineups'!$C$2:$C$2000,AU$1))</f>
        <v>0</v>
      </c>
      <c r="AV3" cm="1">
        <f t="array" ref="AV3">SUMPRODUCT(('Team Lineups'!$K$2:$K$2000&lt;&gt;"")*('Team Lineups'!$C$2:$C$2000=$A3)*COUNTIFS('Team Lineups'!$K$2:$K$2000,'Team Lineups'!$K$2:$K$2000,'Team Lineups'!$C$2:$C$2000,AV$1))</f>
        <v>0</v>
      </c>
    </row>
    <row r="4" spans="1:100" x14ac:dyDescent="0.35">
      <c r="A4" t="str">
        <v>Musta</v>
      </c>
      <c r="B4" cm="1">
        <f t="array" ref="B4">SUMPRODUCT(('Team Lineups'!$K$2:$K$2000&lt;&gt;"")*('Team Lineups'!$C$2:$C$2000=$A4)*COUNTIFS('Team Lineups'!$K$2:$K$2000,'Team Lineups'!$K$2:$K$2000,'Team Lineups'!$C$2:$C$2000,B$1))</f>
        <v>8</v>
      </c>
      <c r="C4" cm="1">
        <f t="array" ref="C4">SUMPRODUCT(('Team Lineups'!$K$2:$K$2000&lt;&gt;"")*('Team Lineups'!$C$2:$C$2000=$A4)*COUNTIFS('Team Lineups'!$K$2:$K$2000,'Team Lineups'!$K$2:$K$2000,'Team Lineups'!$C$2:$C$2000,C$1))</f>
        <v>5</v>
      </c>
      <c r="D4" cm="1">
        <f t="array" ref="D4">SUMPRODUCT(('Team Lineups'!$K$2:$K$2000&lt;&gt;"")*('Team Lineups'!$C$2:$C$2000=$A4)*COUNTIFS('Team Lineups'!$K$2:$K$2000,'Team Lineups'!$K$2:$K$2000,'Team Lineups'!$C$2:$C$2000,D$1))</f>
        <v>24</v>
      </c>
      <c r="E4" cm="1">
        <f t="array" ref="E4">SUMPRODUCT(('Team Lineups'!$K$2:$K$2000&lt;&gt;"")*('Team Lineups'!$C$2:$C$2000=$A4)*COUNTIFS('Team Lineups'!$K$2:$K$2000,'Team Lineups'!$K$2:$K$2000,'Team Lineups'!$C$2:$C$2000,E$1))</f>
        <v>7</v>
      </c>
      <c r="F4" cm="1">
        <f t="array" ref="F4">SUMPRODUCT(('Team Lineups'!$K$2:$K$2000&lt;&gt;"")*('Team Lineups'!$C$2:$C$2000=$A4)*COUNTIFS('Team Lineups'!$K$2:$K$2000,'Team Lineups'!$K$2:$K$2000,'Team Lineups'!$C$2:$C$2000,F$1))</f>
        <v>10</v>
      </c>
      <c r="G4" cm="1">
        <f t="array" ref="G4">SUMPRODUCT(('Team Lineups'!$K$2:$K$2000&lt;&gt;"")*('Team Lineups'!$C$2:$C$2000=$A4)*COUNTIFS('Team Lineups'!$K$2:$K$2000,'Team Lineups'!$K$2:$K$2000,'Team Lineups'!$C$2:$C$2000,G$1))</f>
        <v>3</v>
      </c>
      <c r="H4" cm="1">
        <f t="array" ref="H4">SUMPRODUCT(('Team Lineups'!$K$2:$K$2000&lt;&gt;"")*('Team Lineups'!$C$2:$C$2000=$A4)*COUNTIFS('Team Lineups'!$K$2:$K$2000,'Team Lineups'!$K$2:$K$2000,'Team Lineups'!$C$2:$C$2000,H$1))</f>
        <v>6</v>
      </c>
      <c r="I4" cm="1">
        <f t="array" ref="I4">SUMPRODUCT(('Team Lineups'!$K$2:$K$2000&lt;&gt;"")*('Team Lineups'!$C$2:$C$2000=$A4)*COUNTIFS('Team Lineups'!$K$2:$K$2000,'Team Lineups'!$K$2:$K$2000,'Team Lineups'!$C$2:$C$2000,I$1))</f>
        <v>7</v>
      </c>
      <c r="J4" cm="1">
        <f t="array" ref="J4">SUMPRODUCT(('Team Lineups'!$K$2:$K$2000&lt;&gt;"")*('Team Lineups'!$C$2:$C$2000=$A4)*COUNTIFS('Team Lineups'!$K$2:$K$2000,'Team Lineups'!$K$2:$K$2000,'Team Lineups'!$C$2:$C$2000,J$1))</f>
        <v>0</v>
      </c>
      <c r="K4" cm="1">
        <f t="array" ref="K4">SUMPRODUCT(('Team Lineups'!$K$2:$K$2000&lt;&gt;"")*('Team Lineups'!$C$2:$C$2000=$A4)*COUNTIFS('Team Lineups'!$K$2:$K$2000,'Team Lineups'!$K$2:$K$2000,'Team Lineups'!$C$2:$C$2000,K$1))</f>
        <v>0</v>
      </c>
      <c r="L4" cm="1">
        <f t="array" ref="L4">SUMPRODUCT(('Team Lineups'!$K$2:$K$2000&lt;&gt;"")*('Team Lineups'!$C$2:$C$2000=$A4)*COUNTIFS('Team Lineups'!$K$2:$K$2000,'Team Lineups'!$K$2:$K$2000,'Team Lineups'!$C$2:$C$2000,L$1))</f>
        <v>7</v>
      </c>
      <c r="M4" cm="1">
        <f t="array" ref="M4">SUMPRODUCT(('Team Lineups'!$K$2:$K$2000&lt;&gt;"")*('Team Lineups'!$C$2:$C$2000=$A4)*COUNTIFS('Team Lineups'!$K$2:$K$2000,'Team Lineups'!$K$2:$K$2000,'Team Lineups'!$C$2:$C$2000,M$1))</f>
        <v>5</v>
      </c>
      <c r="N4" cm="1">
        <f t="array" ref="N4">SUMPRODUCT(('Team Lineups'!$K$2:$K$2000&lt;&gt;"")*('Team Lineups'!$C$2:$C$2000=$A4)*COUNTIFS('Team Lineups'!$K$2:$K$2000,'Team Lineups'!$K$2:$K$2000,'Team Lineups'!$C$2:$C$2000,N$1))</f>
        <v>8</v>
      </c>
      <c r="O4" cm="1">
        <f t="array" ref="O4">SUMPRODUCT(('Team Lineups'!$K$2:$K$2000&lt;&gt;"")*('Team Lineups'!$C$2:$C$2000=$A4)*COUNTIFS('Team Lineups'!$K$2:$K$2000,'Team Lineups'!$K$2:$K$2000,'Team Lineups'!$C$2:$C$2000,O$1))</f>
        <v>5</v>
      </c>
      <c r="P4" cm="1">
        <f t="array" ref="P4">SUMPRODUCT(('Team Lineups'!$K$2:$K$2000&lt;&gt;"")*('Team Lineups'!$C$2:$C$2000=$A4)*COUNTIFS('Team Lineups'!$K$2:$K$2000,'Team Lineups'!$K$2:$K$2000,'Team Lineups'!$C$2:$C$2000,P$1))</f>
        <v>2</v>
      </c>
      <c r="Q4" cm="1">
        <f t="array" ref="Q4">SUMPRODUCT(('Team Lineups'!$K$2:$K$2000&lt;&gt;"")*('Team Lineups'!$C$2:$C$2000=$A4)*COUNTIFS('Team Lineups'!$K$2:$K$2000,'Team Lineups'!$K$2:$K$2000,'Team Lineups'!$C$2:$C$2000,Q$1))</f>
        <v>5</v>
      </c>
      <c r="R4" cm="1">
        <f t="array" ref="R4">SUMPRODUCT(('Team Lineups'!$K$2:$K$2000&lt;&gt;"")*('Team Lineups'!$C$2:$C$2000=$A4)*COUNTIFS('Team Lineups'!$K$2:$K$2000,'Team Lineups'!$K$2:$K$2000,'Team Lineups'!$C$2:$C$2000,R$1))</f>
        <v>8</v>
      </c>
      <c r="S4" cm="1">
        <f t="array" ref="S4">SUMPRODUCT(('Team Lineups'!$K$2:$K$2000&lt;&gt;"")*('Team Lineups'!$C$2:$C$2000=$A4)*COUNTIFS('Team Lineups'!$K$2:$K$2000,'Team Lineups'!$K$2:$K$2000,'Team Lineups'!$C$2:$C$2000,S$1))</f>
        <v>2</v>
      </c>
      <c r="T4" cm="1">
        <f t="array" ref="T4">SUMPRODUCT(('Team Lineups'!$K$2:$K$2000&lt;&gt;"")*('Team Lineups'!$C$2:$C$2000=$A4)*COUNTIFS('Team Lineups'!$K$2:$K$2000,'Team Lineups'!$K$2:$K$2000,'Team Lineups'!$C$2:$C$2000,T$1))</f>
        <v>4</v>
      </c>
      <c r="U4" cm="1">
        <f t="array" ref="U4">SUMPRODUCT(('Team Lineups'!$K$2:$K$2000&lt;&gt;"")*('Team Lineups'!$C$2:$C$2000=$A4)*COUNTIFS('Team Lineups'!$K$2:$K$2000,'Team Lineups'!$K$2:$K$2000,'Team Lineups'!$C$2:$C$2000,U$1))</f>
        <v>1</v>
      </c>
      <c r="V4" cm="1">
        <f t="array" ref="V4">SUMPRODUCT(('Team Lineups'!$K$2:$K$2000&lt;&gt;"")*('Team Lineups'!$C$2:$C$2000=$A4)*COUNTIFS('Team Lineups'!$K$2:$K$2000,'Team Lineups'!$K$2:$K$2000,'Team Lineups'!$C$2:$C$2000,V$1))</f>
        <v>2</v>
      </c>
      <c r="W4" cm="1">
        <f t="array" ref="W4">SUMPRODUCT(('Team Lineups'!$K$2:$K$2000&lt;&gt;"")*('Team Lineups'!$C$2:$C$2000=$A4)*COUNTIFS('Team Lineups'!$K$2:$K$2000,'Team Lineups'!$K$2:$K$2000,'Team Lineups'!$C$2:$C$2000,W$1))</f>
        <v>0</v>
      </c>
      <c r="X4" cm="1">
        <f t="array" ref="X4">SUMPRODUCT(('Team Lineups'!$K$2:$K$2000&lt;&gt;"")*('Team Lineups'!$C$2:$C$2000=$A4)*COUNTIFS('Team Lineups'!$K$2:$K$2000,'Team Lineups'!$K$2:$K$2000,'Team Lineups'!$C$2:$C$2000,X$1))</f>
        <v>0</v>
      </c>
      <c r="Y4" cm="1">
        <f t="array" ref="Y4">SUMPRODUCT(('Team Lineups'!$K$2:$K$2000&lt;&gt;"")*('Team Lineups'!$C$2:$C$2000=$A4)*COUNTIFS('Team Lineups'!$K$2:$K$2000,'Team Lineups'!$K$2:$K$2000,'Team Lineups'!$C$2:$C$2000,Y$1))</f>
        <v>0</v>
      </c>
      <c r="Z4" cm="1">
        <f t="array" ref="Z4">SUMPRODUCT(('Team Lineups'!$K$2:$K$2000&lt;&gt;"")*('Team Lineups'!$C$2:$C$2000=$A4)*COUNTIFS('Team Lineups'!$K$2:$K$2000,'Team Lineups'!$K$2:$K$2000,'Team Lineups'!$C$2:$C$2000,Z$1))</f>
        <v>1</v>
      </c>
      <c r="AA4" cm="1">
        <f t="array" ref="AA4">SUMPRODUCT(('Team Lineups'!$K$2:$K$2000&lt;&gt;"")*('Team Lineups'!$C$2:$C$2000=$A4)*COUNTIFS('Team Lineups'!$K$2:$K$2000,'Team Lineups'!$K$2:$K$2000,'Team Lineups'!$C$2:$C$2000,AA$1))</f>
        <v>4</v>
      </c>
      <c r="AB4" cm="1">
        <f t="array" ref="AB4">SUMPRODUCT(('Team Lineups'!$K$2:$K$2000&lt;&gt;"")*('Team Lineups'!$C$2:$C$2000=$A4)*COUNTIFS('Team Lineups'!$K$2:$K$2000,'Team Lineups'!$K$2:$K$2000,'Team Lineups'!$C$2:$C$2000,AB$1))</f>
        <v>3</v>
      </c>
      <c r="AC4" cm="1">
        <f t="array" ref="AC4">SUMPRODUCT(('Team Lineups'!$K$2:$K$2000&lt;&gt;"")*('Team Lineups'!$C$2:$C$2000=$A4)*COUNTIFS('Team Lineups'!$K$2:$K$2000,'Team Lineups'!$K$2:$K$2000,'Team Lineups'!$C$2:$C$2000,AC$1))</f>
        <v>0</v>
      </c>
      <c r="AD4" cm="1">
        <f t="array" ref="AD4">SUMPRODUCT(('Team Lineups'!$K$2:$K$2000&lt;&gt;"")*('Team Lineups'!$C$2:$C$2000=$A4)*COUNTIFS('Team Lineups'!$K$2:$K$2000,'Team Lineups'!$K$2:$K$2000,'Team Lineups'!$C$2:$C$2000,AD$1))</f>
        <v>0</v>
      </c>
      <c r="AE4" cm="1">
        <f t="array" ref="AE4">SUMPRODUCT(('Team Lineups'!$K$2:$K$2000&lt;&gt;"")*('Team Lineups'!$C$2:$C$2000=$A4)*COUNTIFS('Team Lineups'!$K$2:$K$2000,'Team Lineups'!$K$2:$K$2000,'Team Lineups'!$C$2:$C$2000,AE$1))</f>
        <v>1</v>
      </c>
      <c r="AF4" cm="1">
        <f t="array" ref="AF4">SUMPRODUCT(('Team Lineups'!$K$2:$K$2000&lt;&gt;"")*('Team Lineups'!$C$2:$C$2000=$A4)*COUNTIFS('Team Lineups'!$K$2:$K$2000,'Team Lineups'!$K$2:$K$2000,'Team Lineups'!$C$2:$C$2000,AF$1))</f>
        <v>0</v>
      </c>
      <c r="AG4" cm="1">
        <f t="array" ref="AG4">SUMPRODUCT(('Team Lineups'!$K$2:$K$2000&lt;&gt;"")*('Team Lineups'!$C$2:$C$2000=$A4)*COUNTIFS('Team Lineups'!$K$2:$K$2000,'Team Lineups'!$K$2:$K$2000,'Team Lineups'!$C$2:$C$2000,AG$1))</f>
        <v>2</v>
      </c>
      <c r="AH4" cm="1">
        <f t="array" ref="AH4">SUMPRODUCT(('Team Lineups'!$K$2:$K$2000&lt;&gt;"")*('Team Lineups'!$C$2:$C$2000=$A4)*COUNTIFS('Team Lineups'!$K$2:$K$2000,'Team Lineups'!$K$2:$K$2000,'Team Lineups'!$C$2:$C$2000,AH$1))</f>
        <v>0</v>
      </c>
      <c r="AI4" cm="1">
        <f t="array" ref="AI4">SUMPRODUCT(('Team Lineups'!$K$2:$K$2000&lt;&gt;"")*('Team Lineups'!$C$2:$C$2000=$A4)*COUNTIFS('Team Lineups'!$K$2:$K$2000,'Team Lineups'!$K$2:$K$2000,'Team Lineups'!$C$2:$C$2000,AI$1))</f>
        <v>0</v>
      </c>
      <c r="AJ4" cm="1">
        <f t="array" ref="AJ4">SUMPRODUCT(('Team Lineups'!$K$2:$K$2000&lt;&gt;"")*('Team Lineups'!$C$2:$C$2000=$A4)*COUNTIFS('Team Lineups'!$K$2:$K$2000,'Team Lineups'!$K$2:$K$2000,'Team Lineups'!$C$2:$C$2000,AJ$1))</f>
        <v>4</v>
      </c>
      <c r="AK4" cm="1">
        <f t="array" ref="AK4">SUMPRODUCT(('Team Lineups'!$K$2:$K$2000&lt;&gt;"")*('Team Lineups'!$C$2:$C$2000=$A4)*COUNTIFS('Team Lineups'!$K$2:$K$2000,'Team Lineups'!$K$2:$K$2000,'Team Lineups'!$C$2:$C$2000,AK$1))</f>
        <v>0</v>
      </c>
      <c r="AL4" cm="1">
        <f t="array" ref="AL4">SUMPRODUCT(('Team Lineups'!$K$2:$K$2000&lt;&gt;"")*('Team Lineups'!$C$2:$C$2000=$A4)*COUNTIFS('Team Lineups'!$K$2:$K$2000,'Team Lineups'!$K$2:$K$2000,'Team Lineups'!$C$2:$C$2000,AL$1))</f>
        <v>4</v>
      </c>
      <c r="AM4" cm="1">
        <f t="array" ref="AM4">SUMPRODUCT(('Team Lineups'!$K$2:$K$2000&lt;&gt;"")*('Team Lineups'!$C$2:$C$2000=$A4)*COUNTIFS('Team Lineups'!$K$2:$K$2000,'Team Lineups'!$K$2:$K$2000,'Team Lineups'!$C$2:$C$2000,AM$1))</f>
        <v>0</v>
      </c>
      <c r="AN4" cm="1">
        <f t="array" ref="AN4">SUMPRODUCT(('Team Lineups'!$K$2:$K$2000&lt;&gt;"")*('Team Lineups'!$C$2:$C$2000=$A4)*COUNTIFS('Team Lineups'!$K$2:$K$2000,'Team Lineups'!$K$2:$K$2000,'Team Lineups'!$C$2:$C$2000,AN$1))</f>
        <v>2</v>
      </c>
      <c r="AO4" cm="1">
        <f t="array" ref="AO4">SUMPRODUCT(('Team Lineups'!$K$2:$K$2000&lt;&gt;"")*('Team Lineups'!$C$2:$C$2000=$A4)*COUNTIFS('Team Lineups'!$K$2:$K$2000,'Team Lineups'!$K$2:$K$2000,'Team Lineups'!$C$2:$C$2000,AO$1))</f>
        <v>0</v>
      </c>
      <c r="AP4" cm="1">
        <f t="array" ref="AP4">SUMPRODUCT(('Team Lineups'!$K$2:$K$2000&lt;&gt;"")*('Team Lineups'!$C$2:$C$2000=$A4)*COUNTIFS('Team Lineups'!$K$2:$K$2000,'Team Lineups'!$K$2:$K$2000,'Team Lineups'!$C$2:$C$2000,AP$1))</f>
        <v>2</v>
      </c>
      <c r="AQ4" cm="1">
        <f t="array" ref="AQ4">SUMPRODUCT(('Team Lineups'!$K$2:$K$2000&lt;&gt;"")*('Team Lineups'!$C$2:$C$2000=$A4)*COUNTIFS('Team Lineups'!$K$2:$K$2000,'Team Lineups'!$K$2:$K$2000,'Team Lineups'!$C$2:$C$2000,AQ$1))</f>
        <v>1</v>
      </c>
      <c r="AR4" cm="1">
        <f t="array" ref="AR4">SUMPRODUCT(('Team Lineups'!$K$2:$K$2000&lt;&gt;"")*('Team Lineups'!$C$2:$C$2000=$A4)*COUNTIFS('Team Lineups'!$K$2:$K$2000,'Team Lineups'!$K$2:$K$2000,'Team Lineups'!$C$2:$C$2000,AR$1))</f>
        <v>0</v>
      </c>
      <c r="AS4" cm="1">
        <f t="array" ref="AS4">SUMPRODUCT(('Team Lineups'!$K$2:$K$2000&lt;&gt;"")*('Team Lineups'!$C$2:$C$2000=$A4)*COUNTIFS('Team Lineups'!$K$2:$K$2000,'Team Lineups'!$K$2:$K$2000,'Team Lineups'!$C$2:$C$2000,AS$1))</f>
        <v>0</v>
      </c>
      <c r="AT4" cm="1">
        <f t="array" ref="AT4">SUMPRODUCT(('Team Lineups'!$K$2:$K$2000&lt;&gt;"")*('Team Lineups'!$C$2:$C$2000=$A4)*COUNTIFS('Team Lineups'!$K$2:$K$2000,'Team Lineups'!$K$2:$K$2000,'Team Lineups'!$C$2:$C$2000,AT$1))</f>
        <v>0</v>
      </c>
      <c r="AU4" cm="1">
        <f t="array" ref="AU4">SUMPRODUCT(('Team Lineups'!$K$2:$K$2000&lt;&gt;"")*('Team Lineups'!$C$2:$C$2000=$A4)*COUNTIFS('Team Lineups'!$K$2:$K$2000,'Team Lineups'!$K$2:$K$2000,'Team Lineups'!$C$2:$C$2000,AU$1))</f>
        <v>1</v>
      </c>
      <c r="AV4" cm="1">
        <f t="array" ref="AV4">SUMPRODUCT(('Team Lineups'!$K$2:$K$2000&lt;&gt;"")*('Team Lineups'!$C$2:$C$2000=$A4)*COUNTIFS('Team Lineups'!$K$2:$K$2000,'Team Lineups'!$K$2:$K$2000,'Team Lineups'!$C$2:$C$2000,AV$1))</f>
        <v>0</v>
      </c>
    </row>
    <row r="5" spans="1:100" x14ac:dyDescent="0.35">
      <c r="A5" t="str">
        <v>Alessandro D</v>
      </c>
      <c r="B5" cm="1">
        <f t="array" ref="B5">SUMPRODUCT(('Team Lineups'!$K$2:$K$2000&lt;&gt;"")*('Team Lineups'!$C$2:$C$2000=$A5)*COUNTIFS('Team Lineups'!$K$2:$K$2000,'Team Lineups'!$K$2:$K$2000,'Team Lineups'!$C$2:$C$2000,B$1))</f>
        <v>6</v>
      </c>
      <c r="C5" cm="1">
        <f t="array" ref="C5">SUMPRODUCT(('Team Lineups'!$K$2:$K$2000&lt;&gt;"")*('Team Lineups'!$C$2:$C$2000=$A5)*COUNTIFS('Team Lineups'!$K$2:$K$2000,'Team Lineups'!$K$2:$K$2000,'Team Lineups'!$C$2:$C$2000,C$1))</f>
        <v>7</v>
      </c>
      <c r="D5" cm="1">
        <f t="array" ref="D5">SUMPRODUCT(('Team Lineups'!$K$2:$K$2000&lt;&gt;"")*('Team Lineups'!$C$2:$C$2000=$A5)*COUNTIFS('Team Lineups'!$K$2:$K$2000,'Team Lineups'!$K$2:$K$2000,'Team Lineups'!$C$2:$C$2000,D$1))</f>
        <v>7</v>
      </c>
      <c r="E5" cm="1">
        <f t="array" ref="E5">SUMPRODUCT(('Team Lineups'!$K$2:$K$2000&lt;&gt;"")*('Team Lineups'!$C$2:$C$2000=$A5)*COUNTIFS('Team Lineups'!$K$2:$K$2000,'Team Lineups'!$K$2:$K$2000,'Team Lineups'!$C$2:$C$2000,E$1))</f>
        <v>24</v>
      </c>
      <c r="F5" cm="1">
        <f t="array" ref="F5">SUMPRODUCT(('Team Lineups'!$K$2:$K$2000&lt;&gt;"")*('Team Lineups'!$C$2:$C$2000=$A5)*COUNTIFS('Team Lineups'!$K$2:$K$2000,'Team Lineups'!$K$2:$K$2000,'Team Lineups'!$C$2:$C$2000,F$1))</f>
        <v>9</v>
      </c>
      <c r="G5" cm="1">
        <f t="array" ref="G5">SUMPRODUCT(('Team Lineups'!$K$2:$K$2000&lt;&gt;"")*('Team Lineups'!$C$2:$C$2000=$A5)*COUNTIFS('Team Lineups'!$K$2:$K$2000,'Team Lineups'!$K$2:$K$2000,'Team Lineups'!$C$2:$C$2000,G$1))</f>
        <v>8</v>
      </c>
      <c r="H5" cm="1">
        <f t="array" ref="H5">SUMPRODUCT(('Team Lineups'!$K$2:$K$2000&lt;&gt;"")*('Team Lineups'!$C$2:$C$2000=$A5)*COUNTIFS('Team Lineups'!$K$2:$K$2000,'Team Lineups'!$K$2:$K$2000,'Team Lineups'!$C$2:$C$2000,H$1))</f>
        <v>0</v>
      </c>
      <c r="I5" cm="1">
        <f t="array" ref="I5">SUMPRODUCT(('Team Lineups'!$K$2:$K$2000&lt;&gt;"")*('Team Lineups'!$C$2:$C$2000=$A5)*COUNTIFS('Team Lineups'!$K$2:$K$2000,'Team Lineups'!$K$2:$K$2000,'Team Lineups'!$C$2:$C$2000,I$1))</f>
        <v>4</v>
      </c>
      <c r="J5" cm="1">
        <f t="array" ref="J5">SUMPRODUCT(('Team Lineups'!$K$2:$K$2000&lt;&gt;"")*('Team Lineups'!$C$2:$C$2000=$A5)*COUNTIFS('Team Lineups'!$K$2:$K$2000,'Team Lineups'!$K$2:$K$2000,'Team Lineups'!$C$2:$C$2000,J$1))</f>
        <v>0</v>
      </c>
      <c r="K5" cm="1">
        <f t="array" ref="K5">SUMPRODUCT(('Team Lineups'!$K$2:$K$2000&lt;&gt;"")*('Team Lineups'!$C$2:$C$2000=$A5)*COUNTIFS('Team Lineups'!$K$2:$K$2000,'Team Lineups'!$K$2:$K$2000,'Team Lineups'!$C$2:$C$2000,K$1))</f>
        <v>0</v>
      </c>
      <c r="L5" cm="1">
        <f t="array" ref="L5">SUMPRODUCT(('Team Lineups'!$K$2:$K$2000&lt;&gt;"")*('Team Lineups'!$C$2:$C$2000=$A5)*COUNTIFS('Team Lineups'!$K$2:$K$2000,'Team Lineups'!$K$2:$K$2000,'Team Lineups'!$C$2:$C$2000,L$1))</f>
        <v>6</v>
      </c>
      <c r="M5" cm="1">
        <f t="array" ref="M5">SUMPRODUCT(('Team Lineups'!$K$2:$K$2000&lt;&gt;"")*('Team Lineups'!$C$2:$C$2000=$A5)*COUNTIFS('Team Lineups'!$K$2:$K$2000,'Team Lineups'!$K$2:$K$2000,'Team Lineups'!$C$2:$C$2000,M$1))</f>
        <v>5</v>
      </c>
      <c r="N5" cm="1">
        <f t="array" ref="N5">SUMPRODUCT(('Team Lineups'!$K$2:$K$2000&lt;&gt;"")*('Team Lineups'!$C$2:$C$2000=$A5)*COUNTIFS('Team Lineups'!$K$2:$K$2000,'Team Lineups'!$K$2:$K$2000,'Team Lineups'!$C$2:$C$2000,N$1))</f>
        <v>5</v>
      </c>
      <c r="O5" cm="1">
        <f t="array" ref="O5">SUMPRODUCT(('Team Lineups'!$K$2:$K$2000&lt;&gt;"")*('Team Lineups'!$C$2:$C$2000=$A5)*COUNTIFS('Team Lineups'!$K$2:$K$2000,'Team Lineups'!$K$2:$K$2000,'Team Lineups'!$C$2:$C$2000,O$1))</f>
        <v>3</v>
      </c>
      <c r="P5" cm="1">
        <f t="array" ref="P5">SUMPRODUCT(('Team Lineups'!$K$2:$K$2000&lt;&gt;"")*('Team Lineups'!$C$2:$C$2000=$A5)*COUNTIFS('Team Lineups'!$K$2:$K$2000,'Team Lineups'!$K$2:$K$2000,'Team Lineups'!$C$2:$C$2000,P$1))</f>
        <v>1</v>
      </c>
      <c r="Q5" cm="1">
        <f t="array" ref="Q5">SUMPRODUCT(('Team Lineups'!$K$2:$K$2000&lt;&gt;"")*('Team Lineups'!$C$2:$C$2000=$A5)*COUNTIFS('Team Lineups'!$K$2:$K$2000,'Team Lineups'!$K$2:$K$2000,'Team Lineups'!$C$2:$C$2000,Q$1))</f>
        <v>7</v>
      </c>
      <c r="R5" cm="1">
        <f t="array" ref="R5">SUMPRODUCT(('Team Lineups'!$K$2:$K$2000&lt;&gt;"")*('Team Lineups'!$C$2:$C$2000=$A5)*COUNTIFS('Team Lineups'!$K$2:$K$2000,'Team Lineups'!$K$2:$K$2000,'Team Lineups'!$C$2:$C$2000,R$1))</f>
        <v>4</v>
      </c>
      <c r="S5" cm="1">
        <f t="array" ref="S5">SUMPRODUCT(('Team Lineups'!$K$2:$K$2000&lt;&gt;"")*('Team Lineups'!$C$2:$C$2000=$A5)*COUNTIFS('Team Lineups'!$K$2:$K$2000,'Team Lineups'!$K$2:$K$2000,'Team Lineups'!$C$2:$C$2000,S$1))</f>
        <v>5</v>
      </c>
      <c r="T5" cm="1">
        <f t="array" ref="T5">SUMPRODUCT(('Team Lineups'!$K$2:$K$2000&lt;&gt;"")*('Team Lineups'!$C$2:$C$2000=$A5)*COUNTIFS('Team Lineups'!$K$2:$K$2000,'Team Lineups'!$K$2:$K$2000,'Team Lineups'!$C$2:$C$2000,T$1))</f>
        <v>1</v>
      </c>
      <c r="U5" cm="1">
        <f t="array" ref="U5">SUMPRODUCT(('Team Lineups'!$K$2:$K$2000&lt;&gt;"")*('Team Lineups'!$C$2:$C$2000=$A5)*COUNTIFS('Team Lineups'!$K$2:$K$2000,'Team Lineups'!$K$2:$K$2000,'Team Lineups'!$C$2:$C$2000,U$1))</f>
        <v>0</v>
      </c>
      <c r="V5" cm="1">
        <f t="array" ref="V5">SUMPRODUCT(('Team Lineups'!$K$2:$K$2000&lt;&gt;"")*('Team Lineups'!$C$2:$C$2000=$A5)*COUNTIFS('Team Lineups'!$K$2:$K$2000,'Team Lineups'!$K$2:$K$2000,'Team Lineups'!$C$2:$C$2000,V$1))</f>
        <v>2</v>
      </c>
      <c r="W5" cm="1">
        <f t="array" ref="W5">SUMPRODUCT(('Team Lineups'!$K$2:$K$2000&lt;&gt;"")*('Team Lineups'!$C$2:$C$2000=$A5)*COUNTIFS('Team Lineups'!$K$2:$K$2000,'Team Lineups'!$K$2:$K$2000,'Team Lineups'!$C$2:$C$2000,W$1))</f>
        <v>0</v>
      </c>
      <c r="X5" cm="1">
        <f t="array" ref="X5">SUMPRODUCT(('Team Lineups'!$K$2:$K$2000&lt;&gt;"")*('Team Lineups'!$C$2:$C$2000=$A5)*COUNTIFS('Team Lineups'!$K$2:$K$2000,'Team Lineups'!$K$2:$K$2000,'Team Lineups'!$C$2:$C$2000,X$1))</f>
        <v>0</v>
      </c>
      <c r="Y5" cm="1">
        <f t="array" ref="Y5">SUMPRODUCT(('Team Lineups'!$K$2:$K$2000&lt;&gt;"")*('Team Lineups'!$C$2:$C$2000=$A5)*COUNTIFS('Team Lineups'!$K$2:$K$2000,'Team Lineups'!$K$2:$K$2000,'Team Lineups'!$C$2:$C$2000,Y$1))</f>
        <v>0</v>
      </c>
      <c r="Z5" cm="1">
        <f t="array" ref="Z5">SUMPRODUCT(('Team Lineups'!$K$2:$K$2000&lt;&gt;"")*('Team Lineups'!$C$2:$C$2000=$A5)*COUNTIFS('Team Lineups'!$K$2:$K$2000,'Team Lineups'!$K$2:$K$2000,'Team Lineups'!$C$2:$C$2000,Z$1))</f>
        <v>3</v>
      </c>
      <c r="AA5" cm="1">
        <f t="array" ref="AA5">SUMPRODUCT(('Team Lineups'!$K$2:$K$2000&lt;&gt;"")*('Team Lineups'!$C$2:$C$2000=$A5)*COUNTIFS('Team Lineups'!$K$2:$K$2000,'Team Lineups'!$K$2:$K$2000,'Team Lineups'!$C$2:$C$2000,AA$1))</f>
        <v>8</v>
      </c>
      <c r="AB5" cm="1">
        <f t="array" ref="AB5">SUMPRODUCT(('Team Lineups'!$K$2:$K$2000&lt;&gt;"")*('Team Lineups'!$C$2:$C$2000=$A5)*COUNTIFS('Team Lineups'!$K$2:$K$2000,'Team Lineups'!$K$2:$K$2000,'Team Lineups'!$C$2:$C$2000,AB$1))</f>
        <v>4</v>
      </c>
      <c r="AC5" cm="1">
        <f t="array" ref="AC5">SUMPRODUCT(('Team Lineups'!$K$2:$K$2000&lt;&gt;"")*('Team Lineups'!$C$2:$C$2000=$A5)*COUNTIFS('Team Lineups'!$K$2:$K$2000,'Team Lineups'!$K$2:$K$2000,'Team Lineups'!$C$2:$C$2000,AC$1))</f>
        <v>1</v>
      </c>
      <c r="AD5" cm="1">
        <f t="array" ref="AD5">SUMPRODUCT(('Team Lineups'!$K$2:$K$2000&lt;&gt;"")*('Team Lineups'!$C$2:$C$2000=$A5)*COUNTIFS('Team Lineups'!$K$2:$K$2000,'Team Lineups'!$K$2:$K$2000,'Team Lineups'!$C$2:$C$2000,AD$1))</f>
        <v>2</v>
      </c>
      <c r="AE5" cm="1">
        <f t="array" ref="AE5">SUMPRODUCT(('Team Lineups'!$K$2:$K$2000&lt;&gt;"")*('Team Lineups'!$C$2:$C$2000=$A5)*COUNTIFS('Team Lineups'!$K$2:$K$2000,'Team Lineups'!$K$2:$K$2000,'Team Lineups'!$C$2:$C$2000,AE$1))</f>
        <v>2</v>
      </c>
      <c r="AF5" cm="1">
        <f t="array" ref="AF5">SUMPRODUCT(('Team Lineups'!$K$2:$K$2000&lt;&gt;"")*('Team Lineups'!$C$2:$C$2000=$A5)*COUNTIFS('Team Lineups'!$K$2:$K$2000,'Team Lineups'!$K$2:$K$2000,'Team Lineups'!$C$2:$C$2000,AF$1))</f>
        <v>0</v>
      </c>
      <c r="AG5" cm="1">
        <f t="array" ref="AG5">SUMPRODUCT(('Team Lineups'!$K$2:$K$2000&lt;&gt;"")*('Team Lineups'!$C$2:$C$2000=$A5)*COUNTIFS('Team Lineups'!$K$2:$K$2000,'Team Lineups'!$K$2:$K$2000,'Team Lineups'!$C$2:$C$2000,AG$1))</f>
        <v>3</v>
      </c>
      <c r="AH5" cm="1">
        <f t="array" ref="AH5">SUMPRODUCT(('Team Lineups'!$K$2:$K$2000&lt;&gt;"")*('Team Lineups'!$C$2:$C$2000=$A5)*COUNTIFS('Team Lineups'!$K$2:$K$2000,'Team Lineups'!$K$2:$K$2000,'Team Lineups'!$C$2:$C$2000,AH$1))</f>
        <v>0</v>
      </c>
      <c r="AI5" cm="1">
        <f t="array" ref="AI5">SUMPRODUCT(('Team Lineups'!$K$2:$K$2000&lt;&gt;"")*('Team Lineups'!$C$2:$C$2000=$A5)*COUNTIFS('Team Lineups'!$K$2:$K$2000,'Team Lineups'!$K$2:$K$2000,'Team Lineups'!$C$2:$C$2000,AI$1))</f>
        <v>0</v>
      </c>
      <c r="AJ5" cm="1">
        <f t="array" ref="AJ5">SUMPRODUCT(('Team Lineups'!$K$2:$K$2000&lt;&gt;"")*('Team Lineups'!$C$2:$C$2000=$A5)*COUNTIFS('Team Lineups'!$K$2:$K$2000,'Team Lineups'!$K$2:$K$2000,'Team Lineups'!$C$2:$C$2000,AJ$1))</f>
        <v>2</v>
      </c>
      <c r="AK5" cm="1">
        <f t="array" ref="AK5">SUMPRODUCT(('Team Lineups'!$K$2:$K$2000&lt;&gt;"")*('Team Lineups'!$C$2:$C$2000=$A5)*COUNTIFS('Team Lineups'!$K$2:$K$2000,'Team Lineups'!$K$2:$K$2000,'Team Lineups'!$C$2:$C$2000,AK$1))</f>
        <v>3</v>
      </c>
      <c r="AL5" cm="1">
        <f t="array" ref="AL5">SUMPRODUCT(('Team Lineups'!$K$2:$K$2000&lt;&gt;"")*('Team Lineups'!$C$2:$C$2000=$A5)*COUNTIFS('Team Lineups'!$K$2:$K$2000,'Team Lineups'!$K$2:$K$2000,'Team Lineups'!$C$2:$C$2000,AL$1))</f>
        <v>7</v>
      </c>
      <c r="AM5" cm="1">
        <f t="array" ref="AM5">SUMPRODUCT(('Team Lineups'!$K$2:$K$2000&lt;&gt;"")*('Team Lineups'!$C$2:$C$2000=$A5)*COUNTIFS('Team Lineups'!$K$2:$K$2000,'Team Lineups'!$K$2:$K$2000,'Team Lineups'!$C$2:$C$2000,AM$1))</f>
        <v>1</v>
      </c>
      <c r="AN5" cm="1">
        <f t="array" ref="AN5">SUMPRODUCT(('Team Lineups'!$K$2:$K$2000&lt;&gt;"")*('Team Lineups'!$C$2:$C$2000=$A5)*COUNTIFS('Team Lineups'!$K$2:$K$2000,'Team Lineups'!$K$2:$K$2000,'Team Lineups'!$C$2:$C$2000,AN$1))</f>
        <v>2</v>
      </c>
      <c r="AO5" cm="1">
        <f t="array" ref="AO5">SUMPRODUCT(('Team Lineups'!$K$2:$K$2000&lt;&gt;"")*('Team Lineups'!$C$2:$C$2000=$A5)*COUNTIFS('Team Lineups'!$K$2:$K$2000,'Team Lineups'!$K$2:$K$2000,'Team Lineups'!$C$2:$C$2000,AO$1))</f>
        <v>0</v>
      </c>
      <c r="AP5" cm="1">
        <f t="array" ref="AP5">SUMPRODUCT(('Team Lineups'!$K$2:$K$2000&lt;&gt;"")*('Team Lineups'!$C$2:$C$2000=$A5)*COUNTIFS('Team Lineups'!$K$2:$K$2000,'Team Lineups'!$K$2:$K$2000,'Team Lineups'!$C$2:$C$2000,AP$1))</f>
        <v>3</v>
      </c>
      <c r="AQ5" cm="1">
        <f t="array" ref="AQ5">SUMPRODUCT(('Team Lineups'!$K$2:$K$2000&lt;&gt;"")*('Team Lineups'!$C$2:$C$2000=$A5)*COUNTIFS('Team Lineups'!$K$2:$K$2000,'Team Lineups'!$K$2:$K$2000,'Team Lineups'!$C$2:$C$2000,AQ$1))</f>
        <v>2</v>
      </c>
      <c r="AR5" cm="1">
        <f t="array" ref="AR5">SUMPRODUCT(('Team Lineups'!$K$2:$K$2000&lt;&gt;"")*('Team Lineups'!$C$2:$C$2000=$A5)*COUNTIFS('Team Lineups'!$K$2:$K$2000,'Team Lineups'!$K$2:$K$2000,'Team Lineups'!$C$2:$C$2000,AR$1))</f>
        <v>0</v>
      </c>
      <c r="AS5" cm="1">
        <f t="array" ref="AS5">SUMPRODUCT(('Team Lineups'!$K$2:$K$2000&lt;&gt;"")*('Team Lineups'!$C$2:$C$2000=$A5)*COUNTIFS('Team Lineups'!$K$2:$K$2000,'Team Lineups'!$K$2:$K$2000,'Team Lineups'!$C$2:$C$2000,AS$1))</f>
        <v>0</v>
      </c>
      <c r="AT5" cm="1">
        <f t="array" ref="AT5">SUMPRODUCT(('Team Lineups'!$K$2:$K$2000&lt;&gt;"")*('Team Lineups'!$C$2:$C$2000=$A5)*COUNTIFS('Team Lineups'!$K$2:$K$2000,'Team Lineups'!$K$2:$K$2000,'Team Lineups'!$C$2:$C$2000,AT$1))</f>
        <v>0</v>
      </c>
      <c r="AU5" cm="1">
        <f t="array" ref="AU5">SUMPRODUCT(('Team Lineups'!$K$2:$K$2000&lt;&gt;"")*('Team Lineups'!$C$2:$C$2000=$A5)*COUNTIFS('Team Lineups'!$K$2:$K$2000,'Team Lineups'!$K$2:$K$2000,'Team Lineups'!$C$2:$C$2000,AU$1))</f>
        <v>0</v>
      </c>
      <c r="AV5" cm="1">
        <f t="array" ref="AV5">SUMPRODUCT(('Team Lineups'!$K$2:$K$2000&lt;&gt;"")*('Team Lineups'!$C$2:$C$2000=$A5)*COUNTIFS('Team Lineups'!$K$2:$K$2000,'Team Lineups'!$K$2:$K$2000,'Team Lineups'!$C$2:$C$2000,AV$1))</f>
        <v>0</v>
      </c>
    </row>
    <row r="6" spans="1:100" x14ac:dyDescent="0.35">
      <c r="A6" t="str">
        <v>Andreadb</v>
      </c>
      <c r="B6" cm="1">
        <f t="array" ref="B6">SUMPRODUCT(('Team Lineups'!$K$2:$K$2000&lt;&gt;"")*('Team Lineups'!$C$2:$C$2000=$A6)*COUNTIFS('Team Lineups'!$K$2:$K$2000,'Team Lineups'!$K$2:$K$2000,'Team Lineups'!$C$2:$C$2000,B$1))</f>
        <v>3</v>
      </c>
      <c r="C6" cm="1">
        <f t="array" ref="C6">SUMPRODUCT(('Team Lineups'!$K$2:$K$2000&lt;&gt;"")*('Team Lineups'!$C$2:$C$2000=$A6)*COUNTIFS('Team Lineups'!$K$2:$K$2000,'Team Lineups'!$K$2:$K$2000,'Team Lineups'!$C$2:$C$2000,C$1))</f>
        <v>4</v>
      </c>
      <c r="D6" cm="1">
        <f t="array" ref="D6">SUMPRODUCT(('Team Lineups'!$K$2:$K$2000&lt;&gt;"")*('Team Lineups'!$C$2:$C$2000=$A6)*COUNTIFS('Team Lineups'!$K$2:$K$2000,'Team Lineups'!$K$2:$K$2000,'Team Lineups'!$C$2:$C$2000,D$1))</f>
        <v>10</v>
      </c>
      <c r="E6" cm="1">
        <f t="array" ref="E6">SUMPRODUCT(('Team Lineups'!$K$2:$K$2000&lt;&gt;"")*('Team Lineups'!$C$2:$C$2000=$A6)*COUNTIFS('Team Lineups'!$K$2:$K$2000,'Team Lineups'!$K$2:$K$2000,'Team Lineups'!$C$2:$C$2000,E$1))</f>
        <v>9</v>
      </c>
      <c r="F6" cm="1">
        <f t="array" ref="F6">SUMPRODUCT(('Team Lineups'!$K$2:$K$2000&lt;&gt;"")*('Team Lineups'!$C$2:$C$2000=$A6)*COUNTIFS('Team Lineups'!$K$2:$K$2000,'Team Lineups'!$K$2:$K$2000,'Team Lineups'!$C$2:$C$2000,F$1))</f>
        <v>25</v>
      </c>
      <c r="G6" cm="1">
        <f t="array" ref="G6">SUMPRODUCT(('Team Lineups'!$K$2:$K$2000&lt;&gt;"")*('Team Lineups'!$C$2:$C$2000=$A6)*COUNTIFS('Team Lineups'!$K$2:$K$2000,'Team Lineups'!$K$2:$K$2000,'Team Lineups'!$C$2:$C$2000,G$1))</f>
        <v>5</v>
      </c>
      <c r="H6" cm="1">
        <f t="array" ref="H6">SUMPRODUCT(('Team Lineups'!$K$2:$K$2000&lt;&gt;"")*('Team Lineups'!$C$2:$C$2000=$A6)*COUNTIFS('Team Lineups'!$K$2:$K$2000,'Team Lineups'!$K$2:$K$2000,'Team Lineups'!$C$2:$C$2000,H$1))</f>
        <v>5</v>
      </c>
      <c r="I6" cm="1">
        <f t="array" ref="I6">SUMPRODUCT(('Team Lineups'!$K$2:$K$2000&lt;&gt;"")*('Team Lineups'!$C$2:$C$2000=$A6)*COUNTIFS('Team Lineups'!$K$2:$K$2000,'Team Lineups'!$K$2:$K$2000,'Team Lineups'!$C$2:$C$2000,I$1))</f>
        <v>7</v>
      </c>
      <c r="J6" cm="1">
        <f t="array" ref="J6">SUMPRODUCT(('Team Lineups'!$K$2:$K$2000&lt;&gt;"")*('Team Lineups'!$C$2:$C$2000=$A6)*COUNTIFS('Team Lineups'!$K$2:$K$2000,'Team Lineups'!$K$2:$K$2000,'Team Lineups'!$C$2:$C$2000,J$1))</f>
        <v>0</v>
      </c>
      <c r="K6" cm="1">
        <f t="array" ref="K6">SUMPRODUCT(('Team Lineups'!$K$2:$K$2000&lt;&gt;"")*('Team Lineups'!$C$2:$C$2000=$A6)*COUNTIFS('Team Lineups'!$K$2:$K$2000,'Team Lineups'!$K$2:$K$2000,'Team Lineups'!$C$2:$C$2000,K$1))</f>
        <v>0</v>
      </c>
      <c r="L6" cm="1">
        <f t="array" ref="L6">SUMPRODUCT(('Team Lineups'!$K$2:$K$2000&lt;&gt;"")*('Team Lineups'!$C$2:$C$2000=$A6)*COUNTIFS('Team Lineups'!$K$2:$K$2000,'Team Lineups'!$K$2:$K$2000,'Team Lineups'!$C$2:$C$2000,L$1))</f>
        <v>10</v>
      </c>
      <c r="M6" cm="1">
        <f t="array" ref="M6">SUMPRODUCT(('Team Lineups'!$K$2:$K$2000&lt;&gt;"")*('Team Lineups'!$C$2:$C$2000=$A6)*COUNTIFS('Team Lineups'!$K$2:$K$2000,'Team Lineups'!$K$2:$K$2000,'Team Lineups'!$C$2:$C$2000,M$1))</f>
        <v>10</v>
      </c>
      <c r="N6" cm="1">
        <f t="array" ref="N6">SUMPRODUCT(('Team Lineups'!$K$2:$K$2000&lt;&gt;"")*('Team Lineups'!$C$2:$C$2000=$A6)*COUNTIFS('Team Lineups'!$K$2:$K$2000,'Team Lineups'!$K$2:$K$2000,'Team Lineups'!$C$2:$C$2000,N$1))</f>
        <v>1</v>
      </c>
      <c r="O6" cm="1">
        <f t="array" ref="O6">SUMPRODUCT(('Team Lineups'!$K$2:$K$2000&lt;&gt;"")*('Team Lineups'!$C$2:$C$2000=$A6)*COUNTIFS('Team Lineups'!$K$2:$K$2000,'Team Lineups'!$K$2:$K$2000,'Team Lineups'!$C$2:$C$2000,O$1))</f>
        <v>5</v>
      </c>
      <c r="P6" cm="1">
        <f t="array" ref="P6">SUMPRODUCT(('Team Lineups'!$K$2:$K$2000&lt;&gt;"")*('Team Lineups'!$C$2:$C$2000=$A6)*COUNTIFS('Team Lineups'!$K$2:$K$2000,'Team Lineups'!$K$2:$K$2000,'Team Lineups'!$C$2:$C$2000,P$1))</f>
        <v>2</v>
      </c>
      <c r="Q6" cm="1">
        <f t="array" ref="Q6">SUMPRODUCT(('Team Lineups'!$K$2:$K$2000&lt;&gt;"")*('Team Lineups'!$C$2:$C$2000=$A6)*COUNTIFS('Team Lineups'!$K$2:$K$2000,'Team Lineups'!$K$2:$K$2000,'Team Lineups'!$C$2:$C$2000,Q$1))</f>
        <v>6</v>
      </c>
      <c r="R6" cm="1">
        <f t="array" ref="R6">SUMPRODUCT(('Team Lineups'!$K$2:$K$2000&lt;&gt;"")*('Team Lineups'!$C$2:$C$2000=$A6)*COUNTIFS('Team Lineups'!$K$2:$K$2000,'Team Lineups'!$K$2:$K$2000,'Team Lineups'!$C$2:$C$2000,R$1))</f>
        <v>8</v>
      </c>
      <c r="S6" cm="1">
        <f t="array" ref="S6">SUMPRODUCT(('Team Lineups'!$K$2:$K$2000&lt;&gt;"")*('Team Lineups'!$C$2:$C$2000=$A6)*COUNTIFS('Team Lineups'!$K$2:$K$2000,'Team Lineups'!$K$2:$K$2000,'Team Lineups'!$C$2:$C$2000,S$1))</f>
        <v>4</v>
      </c>
      <c r="T6" cm="1">
        <f t="array" ref="T6">SUMPRODUCT(('Team Lineups'!$K$2:$K$2000&lt;&gt;"")*('Team Lineups'!$C$2:$C$2000=$A6)*COUNTIFS('Team Lineups'!$K$2:$K$2000,'Team Lineups'!$K$2:$K$2000,'Team Lineups'!$C$2:$C$2000,T$1))</f>
        <v>1</v>
      </c>
      <c r="U6" cm="1">
        <f t="array" ref="U6">SUMPRODUCT(('Team Lineups'!$K$2:$K$2000&lt;&gt;"")*('Team Lineups'!$C$2:$C$2000=$A6)*COUNTIFS('Team Lineups'!$K$2:$K$2000,'Team Lineups'!$K$2:$K$2000,'Team Lineups'!$C$2:$C$2000,U$1))</f>
        <v>0</v>
      </c>
      <c r="V6" cm="1">
        <f t="array" ref="V6">SUMPRODUCT(('Team Lineups'!$K$2:$K$2000&lt;&gt;"")*('Team Lineups'!$C$2:$C$2000=$A6)*COUNTIFS('Team Lineups'!$K$2:$K$2000,'Team Lineups'!$K$2:$K$2000,'Team Lineups'!$C$2:$C$2000,V$1))</f>
        <v>0</v>
      </c>
      <c r="W6" cm="1">
        <f t="array" ref="W6">SUMPRODUCT(('Team Lineups'!$K$2:$K$2000&lt;&gt;"")*('Team Lineups'!$C$2:$C$2000=$A6)*COUNTIFS('Team Lineups'!$K$2:$K$2000,'Team Lineups'!$K$2:$K$2000,'Team Lineups'!$C$2:$C$2000,W$1))</f>
        <v>1</v>
      </c>
      <c r="X6" cm="1">
        <f t="array" ref="X6">SUMPRODUCT(('Team Lineups'!$K$2:$K$2000&lt;&gt;"")*('Team Lineups'!$C$2:$C$2000=$A6)*COUNTIFS('Team Lineups'!$K$2:$K$2000,'Team Lineups'!$K$2:$K$2000,'Team Lineups'!$C$2:$C$2000,X$1))</f>
        <v>1</v>
      </c>
      <c r="Y6" cm="1">
        <f t="array" ref="Y6">SUMPRODUCT(('Team Lineups'!$K$2:$K$2000&lt;&gt;"")*('Team Lineups'!$C$2:$C$2000=$A6)*COUNTIFS('Team Lineups'!$K$2:$K$2000,'Team Lineups'!$K$2:$K$2000,'Team Lineups'!$C$2:$C$2000,Y$1))</f>
        <v>0</v>
      </c>
      <c r="Z6" cm="1">
        <f t="array" ref="Z6">SUMPRODUCT(('Team Lineups'!$K$2:$K$2000&lt;&gt;"")*('Team Lineups'!$C$2:$C$2000=$A6)*COUNTIFS('Team Lineups'!$K$2:$K$2000,'Team Lineups'!$K$2:$K$2000,'Team Lineups'!$C$2:$C$2000,Z$1))</f>
        <v>2</v>
      </c>
      <c r="AA6" cm="1">
        <f t="array" ref="AA6">SUMPRODUCT(('Team Lineups'!$K$2:$K$2000&lt;&gt;"")*('Team Lineups'!$C$2:$C$2000=$A6)*COUNTIFS('Team Lineups'!$K$2:$K$2000,'Team Lineups'!$K$2:$K$2000,'Team Lineups'!$C$2:$C$2000,AA$1))</f>
        <v>8</v>
      </c>
      <c r="AB6" cm="1">
        <f t="array" ref="AB6">SUMPRODUCT(('Team Lineups'!$K$2:$K$2000&lt;&gt;"")*('Team Lineups'!$C$2:$C$2000=$A6)*COUNTIFS('Team Lineups'!$K$2:$K$2000,'Team Lineups'!$K$2:$K$2000,'Team Lineups'!$C$2:$C$2000,AB$1))</f>
        <v>4</v>
      </c>
      <c r="AC6" cm="1">
        <f t="array" ref="AC6">SUMPRODUCT(('Team Lineups'!$K$2:$K$2000&lt;&gt;"")*('Team Lineups'!$C$2:$C$2000=$A6)*COUNTIFS('Team Lineups'!$K$2:$K$2000,'Team Lineups'!$K$2:$K$2000,'Team Lineups'!$C$2:$C$2000,AC$1))</f>
        <v>0</v>
      </c>
      <c r="AD6" cm="1">
        <f t="array" ref="AD6">SUMPRODUCT(('Team Lineups'!$K$2:$K$2000&lt;&gt;"")*('Team Lineups'!$C$2:$C$2000=$A6)*COUNTIFS('Team Lineups'!$K$2:$K$2000,'Team Lineups'!$K$2:$K$2000,'Team Lineups'!$C$2:$C$2000,AD$1))</f>
        <v>1</v>
      </c>
      <c r="AE6" cm="1">
        <f t="array" ref="AE6">SUMPRODUCT(('Team Lineups'!$K$2:$K$2000&lt;&gt;"")*('Team Lineups'!$C$2:$C$2000=$A6)*COUNTIFS('Team Lineups'!$K$2:$K$2000,'Team Lineups'!$K$2:$K$2000,'Team Lineups'!$C$2:$C$2000,AE$1))</f>
        <v>0</v>
      </c>
      <c r="AF6" cm="1">
        <f t="array" ref="AF6">SUMPRODUCT(('Team Lineups'!$K$2:$K$2000&lt;&gt;"")*('Team Lineups'!$C$2:$C$2000=$A6)*COUNTIFS('Team Lineups'!$K$2:$K$2000,'Team Lineups'!$K$2:$K$2000,'Team Lineups'!$C$2:$C$2000,AF$1))</f>
        <v>0</v>
      </c>
      <c r="AG6" cm="1">
        <f t="array" ref="AG6">SUMPRODUCT(('Team Lineups'!$K$2:$K$2000&lt;&gt;"")*('Team Lineups'!$C$2:$C$2000=$A6)*COUNTIFS('Team Lineups'!$K$2:$K$2000,'Team Lineups'!$K$2:$K$2000,'Team Lineups'!$C$2:$C$2000,AG$1))</f>
        <v>3</v>
      </c>
      <c r="AH6" cm="1">
        <f t="array" ref="AH6">SUMPRODUCT(('Team Lineups'!$K$2:$K$2000&lt;&gt;"")*('Team Lineups'!$C$2:$C$2000=$A6)*COUNTIFS('Team Lineups'!$K$2:$K$2000,'Team Lineups'!$K$2:$K$2000,'Team Lineups'!$C$2:$C$2000,AH$1))</f>
        <v>0</v>
      </c>
      <c r="AI6" cm="1">
        <f t="array" ref="AI6">SUMPRODUCT(('Team Lineups'!$K$2:$K$2000&lt;&gt;"")*('Team Lineups'!$C$2:$C$2000=$A6)*COUNTIFS('Team Lineups'!$K$2:$K$2000,'Team Lineups'!$K$2:$K$2000,'Team Lineups'!$C$2:$C$2000,AI$1))</f>
        <v>0</v>
      </c>
      <c r="AJ6" cm="1">
        <f t="array" ref="AJ6">SUMPRODUCT(('Team Lineups'!$K$2:$K$2000&lt;&gt;"")*('Team Lineups'!$C$2:$C$2000=$A6)*COUNTIFS('Team Lineups'!$K$2:$K$2000,'Team Lineups'!$K$2:$K$2000,'Team Lineups'!$C$2:$C$2000,AJ$1))</f>
        <v>5</v>
      </c>
      <c r="AK6" cm="1">
        <f t="array" ref="AK6">SUMPRODUCT(('Team Lineups'!$K$2:$K$2000&lt;&gt;"")*('Team Lineups'!$C$2:$C$2000=$A6)*COUNTIFS('Team Lineups'!$K$2:$K$2000,'Team Lineups'!$K$2:$K$2000,'Team Lineups'!$C$2:$C$2000,AK$1))</f>
        <v>0</v>
      </c>
      <c r="AL6" cm="1">
        <f t="array" ref="AL6">SUMPRODUCT(('Team Lineups'!$K$2:$K$2000&lt;&gt;"")*('Team Lineups'!$C$2:$C$2000=$A6)*COUNTIFS('Team Lineups'!$K$2:$K$2000,'Team Lineups'!$K$2:$K$2000,'Team Lineups'!$C$2:$C$2000,AL$1))</f>
        <v>3</v>
      </c>
      <c r="AM6" cm="1">
        <f t="array" ref="AM6">SUMPRODUCT(('Team Lineups'!$K$2:$K$2000&lt;&gt;"")*('Team Lineups'!$C$2:$C$2000=$A6)*COUNTIFS('Team Lineups'!$K$2:$K$2000,'Team Lineups'!$K$2:$K$2000,'Team Lineups'!$C$2:$C$2000,AM$1))</f>
        <v>0</v>
      </c>
      <c r="AN6" cm="1">
        <f t="array" ref="AN6">SUMPRODUCT(('Team Lineups'!$K$2:$K$2000&lt;&gt;"")*('Team Lineups'!$C$2:$C$2000=$A6)*COUNTIFS('Team Lineups'!$K$2:$K$2000,'Team Lineups'!$K$2:$K$2000,'Team Lineups'!$C$2:$C$2000,AN$1))</f>
        <v>4</v>
      </c>
      <c r="AO6" cm="1">
        <f t="array" ref="AO6">SUMPRODUCT(('Team Lineups'!$K$2:$K$2000&lt;&gt;"")*('Team Lineups'!$C$2:$C$2000=$A6)*COUNTIFS('Team Lineups'!$K$2:$K$2000,'Team Lineups'!$K$2:$K$2000,'Team Lineups'!$C$2:$C$2000,AO$1))</f>
        <v>1</v>
      </c>
      <c r="AP6" cm="1">
        <f t="array" ref="AP6">SUMPRODUCT(('Team Lineups'!$K$2:$K$2000&lt;&gt;"")*('Team Lineups'!$C$2:$C$2000=$A6)*COUNTIFS('Team Lineups'!$K$2:$K$2000,'Team Lineups'!$K$2:$K$2000,'Team Lineups'!$C$2:$C$2000,AP$1))</f>
        <v>3</v>
      </c>
      <c r="AQ6" cm="1">
        <f t="array" ref="AQ6">SUMPRODUCT(('Team Lineups'!$K$2:$K$2000&lt;&gt;"")*('Team Lineups'!$C$2:$C$2000=$A6)*COUNTIFS('Team Lineups'!$K$2:$K$2000,'Team Lineups'!$K$2:$K$2000,'Team Lineups'!$C$2:$C$2000,AQ$1))</f>
        <v>2</v>
      </c>
      <c r="AR6" cm="1">
        <f t="array" ref="AR6">SUMPRODUCT(('Team Lineups'!$K$2:$K$2000&lt;&gt;"")*('Team Lineups'!$C$2:$C$2000=$A6)*COUNTIFS('Team Lineups'!$K$2:$K$2000,'Team Lineups'!$K$2:$K$2000,'Team Lineups'!$C$2:$C$2000,AR$1))</f>
        <v>0</v>
      </c>
      <c r="AS6" cm="1">
        <f t="array" ref="AS6">SUMPRODUCT(('Team Lineups'!$K$2:$K$2000&lt;&gt;"")*('Team Lineups'!$C$2:$C$2000=$A6)*COUNTIFS('Team Lineups'!$K$2:$K$2000,'Team Lineups'!$K$2:$K$2000,'Team Lineups'!$C$2:$C$2000,AS$1))</f>
        <v>0</v>
      </c>
      <c r="AT6" cm="1">
        <f t="array" ref="AT6">SUMPRODUCT(('Team Lineups'!$K$2:$K$2000&lt;&gt;"")*('Team Lineups'!$C$2:$C$2000=$A6)*COUNTIFS('Team Lineups'!$K$2:$K$2000,'Team Lineups'!$K$2:$K$2000,'Team Lineups'!$C$2:$C$2000,AT$1))</f>
        <v>0</v>
      </c>
      <c r="AU6" cm="1">
        <f t="array" ref="AU6">SUMPRODUCT(('Team Lineups'!$K$2:$K$2000&lt;&gt;"")*('Team Lineups'!$C$2:$C$2000=$A6)*COUNTIFS('Team Lineups'!$K$2:$K$2000,'Team Lineups'!$K$2:$K$2000,'Team Lineups'!$C$2:$C$2000,AU$1))</f>
        <v>0</v>
      </c>
      <c r="AV6" cm="1">
        <f t="array" ref="AV6">SUMPRODUCT(('Team Lineups'!$K$2:$K$2000&lt;&gt;"")*('Team Lineups'!$C$2:$C$2000=$A6)*COUNTIFS('Team Lineups'!$K$2:$K$2000,'Team Lineups'!$K$2:$K$2000,'Team Lineups'!$C$2:$C$2000,AV$1))</f>
        <v>0</v>
      </c>
    </row>
    <row r="7" spans="1:100" x14ac:dyDescent="0.35">
      <c r="A7" t="str">
        <v>Jose</v>
      </c>
      <c r="B7" cm="1">
        <f t="array" ref="B7">SUMPRODUCT(('Team Lineups'!$K$2:$K$2000&lt;&gt;"")*('Team Lineups'!$C$2:$C$2000=$A7)*COUNTIFS('Team Lineups'!$K$2:$K$2000,'Team Lineups'!$K$2:$K$2000,'Team Lineups'!$C$2:$C$2000,B$1))</f>
        <v>7</v>
      </c>
      <c r="C7" cm="1">
        <f t="array" ref="C7">SUMPRODUCT(('Team Lineups'!$K$2:$K$2000&lt;&gt;"")*('Team Lineups'!$C$2:$C$2000=$A7)*COUNTIFS('Team Lineups'!$K$2:$K$2000,'Team Lineups'!$K$2:$K$2000,'Team Lineups'!$C$2:$C$2000,C$1))</f>
        <v>4</v>
      </c>
      <c r="D7" cm="1">
        <f t="array" ref="D7">SUMPRODUCT(('Team Lineups'!$K$2:$K$2000&lt;&gt;"")*('Team Lineups'!$C$2:$C$2000=$A7)*COUNTIFS('Team Lineups'!$K$2:$K$2000,'Team Lineups'!$K$2:$K$2000,'Team Lineups'!$C$2:$C$2000,D$1))</f>
        <v>3</v>
      </c>
      <c r="E7" cm="1">
        <f t="array" ref="E7">SUMPRODUCT(('Team Lineups'!$K$2:$K$2000&lt;&gt;"")*('Team Lineups'!$C$2:$C$2000=$A7)*COUNTIFS('Team Lineups'!$K$2:$K$2000,'Team Lineups'!$K$2:$K$2000,'Team Lineups'!$C$2:$C$2000,E$1))</f>
        <v>8</v>
      </c>
      <c r="F7" cm="1">
        <f t="array" ref="F7">SUMPRODUCT(('Team Lineups'!$K$2:$K$2000&lt;&gt;"")*('Team Lineups'!$C$2:$C$2000=$A7)*COUNTIFS('Team Lineups'!$K$2:$K$2000,'Team Lineups'!$K$2:$K$2000,'Team Lineups'!$C$2:$C$2000,F$1))</f>
        <v>5</v>
      </c>
      <c r="G7" cm="1">
        <f t="array" ref="G7">SUMPRODUCT(('Team Lineups'!$K$2:$K$2000&lt;&gt;"")*('Team Lineups'!$C$2:$C$2000=$A7)*COUNTIFS('Team Lineups'!$K$2:$K$2000,'Team Lineups'!$K$2:$K$2000,'Team Lineups'!$C$2:$C$2000,G$1))</f>
        <v>30</v>
      </c>
      <c r="H7" cm="1">
        <f t="array" ref="H7">SUMPRODUCT(('Team Lineups'!$K$2:$K$2000&lt;&gt;"")*('Team Lineups'!$C$2:$C$2000=$A7)*COUNTIFS('Team Lineups'!$K$2:$K$2000,'Team Lineups'!$K$2:$K$2000,'Team Lineups'!$C$2:$C$2000,H$1))</f>
        <v>6</v>
      </c>
      <c r="I7" cm="1">
        <f t="array" ref="I7">SUMPRODUCT(('Team Lineups'!$K$2:$K$2000&lt;&gt;"")*('Team Lineups'!$C$2:$C$2000=$A7)*COUNTIFS('Team Lineups'!$K$2:$K$2000,'Team Lineups'!$K$2:$K$2000,'Team Lineups'!$C$2:$C$2000,I$1))</f>
        <v>8</v>
      </c>
      <c r="J7" cm="1">
        <f t="array" ref="J7">SUMPRODUCT(('Team Lineups'!$K$2:$K$2000&lt;&gt;"")*('Team Lineups'!$C$2:$C$2000=$A7)*COUNTIFS('Team Lineups'!$K$2:$K$2000,'Team Lineups'!$K$2:$K$2000,'Team Lineups'!$C$2:$C$2000,J$1))</f>
        <v>2</v>
      </c>
      <c r="K7" cm="1">
        <f t="array" ref="K7">SUMPRODUCT(('Team Lineups'!$K$2:$K$2000&lt;&gt;"")*('Team Lineups'!$C$2:$C$2000=$A7)*COUNTIFS('Team Lineups'!$K$2:$K$2000,'Team Lineups'!$K$2:$K$2000,'Team Lineups'!$C$2:$C$2000,K$1))</f>
        <v>1</v>
      </c>
      <c r="L7" cm="1">
        <f t="array" ref="L7">SUMPRODUCT(('Team Lineups'!$K$2:$K$2000&lt;&gt;"")*('Team Lineups'!$C$2:$C$2000=$A7)*COUNTIFS('Team Lineups'!$K$2:$K$2000,'Team Lineups'!$K$2:$K$2000,'Team Lineups'!$C$2:$C$2000,L$1))</f>
        <v>7</v>
      </c>
      <c r="M7" cm="1">
        <f t="array" ref="M7">SUMPRODUCT(('Team Lineups'!$K$2:$K$2000&lt;&gt;"")*('Team Lineups'!$C$2:$C$2000=$A7)*COUNTIFS('Team Lineups'!$K$2:$K$2000,'Team Lineups'!$K$2:$K$2000,'Team Lineups'!$C$2:$C$2000,M$1))</f>
        <v>12</v>
      </c>
      <c r="N7" cm="1">
        <f t="array" ref="N7">SUMPRODUCT(('Team Lineups'!$K$2:$K$2000&lt;&gt;"")*('Team Lineups'!$C$2:$C$2000=$A7)*COUNTIFS('Team Lineups'!$K$2:$K$2000,'Team Lineups'!$K$2:$K$2000,'Team Lineups'!$C$2:$C$2000,N$1))</f>
        <v>6</v>
      </c>
      <c r="O7" cm="1">
        <f t="array" ref="O7">SUMPRODUCT(('Team Lineups'!$K$2:$K$2000&lt;&gt;"")*('Team Lineups'!$C$2:$C$2000=$A7)*COUNTIFS('Team Lineups'!$K$2:$K$2000,'Team Lineups'!$K$2:$K$2000,'Team Lineups'!$C$2:$C$2000,O$1))</f>
        <v>3</v>
      </c>
      <c r="P7" cm="1">
        <f t="array" ref="P7">SUMPRODUCT(('Team Lineups'!$K$2:$K$2000&lt;&gt;"")*('Team Lineups'!$C$2:$C$2000=$A7)*COUNTIFS('Team Lineups'!$K$2:$K$2000,'Team Lineups'!$K$2:$K$2000,'Team Lineups'!$C$2:$C$2000,P$1))</f>
        <v>2</v>
      </c>
      <c r="Q7" cm="1">
        <f t="array" ref="Q7">SUMPRODUCT(('Team Lineups'!$K$2:$K$2000&lt;&gt;"")*('Team Lineups'!$C$2:$C$2000=$A7)*COUNTIFS('Team Lineups'!$K$2:$K$2000,'Team Lineups'!$K$2:$K$2000,'Team Lineups'!$C$2:$C$2000,Q$1))</f>
        <v>8</v>
      </c>
      <c r="R7" cm="1">
        <f t="array" ref="R7">SUMPRODUCT(('Team Lineups'!$K$2:$K$2000&lt;&gt;"")*('Team Lineups'!$C$2:$C$2000=$A7)*COUNTIFS('Team Lineups'!$K$2:$K$2000,'Team Lineups'!$K$2:$K$2000,'Team Lineups'!$C$2:$C$2000,R$1))</f>
        <v>7</v>
      </c>
      <c r="S7" cm="1">
        <f t="array" ref="S7">SUMPRODUCT(('Team Lineups'!$K$2:$K$2000&lt;&gt;"")*('Team Lineups'!$C$2:$C$2000=$A7)*COUNTIFS('Team Lineups'!$K$2:$K$2000,'Team Lineups'!$K$2:$K$2000,'Team Lineups'!$C$2:$C$2000,S$1))</f>
        <v>4</v>
      </c>
      <c r="T7" cm="1">
        <f t="array" ref="T7">SUMPRODUCT(('Team Lineups'!$K$2:$K$2000&lt;&gt;"")*('Team Lineups'!$C$2:$C$2000=$A7)*COUNTIFS('Team Lineups'!$K$2:$K$2000,'Team Lineups'!$K$2:$K$2000,'Team Lineups'!$C$2:$C$2000,T$1))</f>
        <v>2</v>
      </c>
      <c r="U7" cm="1">
        <f t="array" ref="U7">SUMPRODUCT(('Team Lineups'!$K$2:$K$2000&lt;&gt;"")*('Team Lineups'!$C$2:$C$2000=$A7)*COUNTIFS('Team Lineups'!$K$2:$K$2000,'Team Lineups'!$K$2:$K$2000,'Team Lineups'!$C$2:$C$2000,U$1))</f>
        <v>0</v>
      </c>
      <c r="V7" cm="1">
        <f t="array" ref="V7">SUMPRODUCT(('Team Lineups'!$K$2:$K$2000&lt;&gt;"")*('Team Lineups'!$C$2:$C$2000=$A7)*COUNTIFS('Team Lineups'!$K$2:$K$2000,'Team Lineups'!$K$2:$K$2000,'Team Lineups'!$C$2:$C$2000,V$1))</f>
        <v>2</v>
      </c>
      <c r="W7" cm="1">
        <f t="array" ref="W7">SUMPRODUCT(('Team Lineups'!$K$2:$K$2000&lt;&gt;"")*('Team Lineups'!$C$2:$C$2000=$A7)*COUNTIFS('Team Lineups'!$K$2:$K$2000,'Team Lineups'!$K$2:$K$2000,'Team Lineups'!$C$2:$C$2000,W$1))</f>
        <v>0</v>
      </c>
      <c r="X7" cm="1">
        <f t="array" ref="X7">SUMPRODUCT(('Team Lineups'!$K$2:$K$2000&lt;&gt;"")*('Team Lineups'!$C$2:$C$2000=$A7)*COUNTIFS('Team Lineups'!$K$2:$K$2000,'Team Lineups'!$K$2:$K$2000,'Team Lineups'!$C$2:$C$2000,X$1))</f>
        <v>0</v>
      </c>
      <c r="Y7" cm="1">
        <f t="array" ref="Y7">SUMPRODUCT(('Team Lineups'!$K$2:$K$2000&lt;&gt;"")*('Team Lineups'!$C$2:$C$2000=$A7)*COUNTIFS('Team Lineups'!$K$2:$K$2000,'Team Lineups'!$K$2:$K$2000,'Team Lineups'!$C$2:$C$2000,Y$1))</f>
        <v>0</v>
      </c>
      <c r="Z7" cm="1">
        <f t="array" ref="Z7">SUMPRODUCT(('Team Lineups'!$K$2:$K$2000&lt;&gt;"")*('Team Lineups'!$C$2:$C$2000=$A7)*COUNTIFS('Team Lineups'!$K$2:$K$2000,'Team Lineups'!$K$2:$K$2000,'Team Lineups'!$C$2:$C$2000,Z$1))</f>
        <v>4</v>
      </c>
      <c r="AA7" cm="1">
        <f t="array" ref="AA7">SUMPRODUCT(('Team Lineups'!$K$2:$K$2000&lt;&gt;"")*('Team Lineups'!$C$2:$C$2000=$A7)*COUNTIFS('Team Lineups'!$K$2:$K$2000,'Team Lineups'!$K$2:$K$2000,'Team Lineups'!$C$2:$C$2000,AA$1))</f>
        <v>10</v>
      </c>
      <c r="AB7" cm="1">
        <f t="array" ref="AB7">SUMPRODUCT(('Team Lineups'!$K$2:$K$2000&lt;&gt;"")*('Team Lineups'!$C$2:$C$2000=$A7)*COUNTIFS('Team Lineups'!$K$2:$K$2000,'Team Lineups'!$K$2:$K$2000,'Team Lineups'!$C$2:$C$2000,AB$1))</f>
        <v>4</v>
      </c>
      <c r="AC7" cm="1">
        <f t="array" ref="AC7">SUMPRODUCT(('Team Lineups'!$K$2:$K$2000&lt;&gt;"")*('Team Lineups'!$C$2:$C$2000=$A7)*COUNTIFS('Team Lineups'!$K$2:$K$2000,'Team Lineups'!$K$2:$K$2000,'Team Lineups'!$C$2:$C$2000,AC$1))</f>
        <v>1</v>
      </c>
      <c r="AD7" cm="1">
        <f t="array" ref="AD7">SUMPRODUCT(('Team Lineups'!$K$2:$K$2000&lt;&gt;"")*('Team Lineups'!$C$2:$C$2000=$A7)*COUNTIFS('Team Lineups'!$K$2:$K$2000,'Team Lineups'!$K$2:$K$2000,'Team Lineups'!$C$2:$C$2000,AD$1))</f>
        <v>6</v>
      </c>
      <c r="AE7" cm="1">
        <f t="array" ref="AE7">SUMPRODUCT(('Team Lineups'!$K$2:$K$2000&lt;&gt;"")*('Team Lineups'!$C$2:$C$2000=$A7)*COUNTIFS('Team Lineups'!$K$2:$K$2000,'Team Lineups'!$K$2:$K$2000,'Team Lineups'!$C$2:$C$2000,AE$1))</f>
        <v>2</v>
      </c>
      <c r="AF7" cm="1">
        <f t="array" ref="AF7">SUMPRODUCT(('Team Lineups'!$K$2:$K$2000&lt;&gt;"")*('Team Lineups'!$C$2:$C$2000=$A7)*COUNTIFS('Team Lineups'!$K$2:$K$2000,'Team Lineups'!$K$2:$K$2000,'Team Lineups'!$C$2:$C$2000,AF$1))</f>
        <v>1</v>
      </c>
      <c r="AG7" cm="1">
        <f t="array" ref="AG7">SUMPRODUCT(('Team Lineups'!$K$2:$K$2000&lt;&gt;"")*('Team Lineups'!$C$2:$C$2000=$A7)*COUNTIFS('Team Lineups'!$K$2:$K$2000,'Team Lineups'!$K$2:$K$2000,'Team Lineups'!$C$2:$C$2000,AG$1))</f>
        <v>2</v>
      </c>
      <c r="AH7" cm="1">
        <f t="array" ref="AH7">SUMPRODUCT(('Team Lineups'!$K$2:$K$2000&lt;&gt;"")*('Team Lineups'!$C$2:$C$2000=$A7)*COUNTIFS('Team Lineups'!$K$2:$K$2000,'Team Lineups'!$K$2:$K$2000,'Team Lineups'!$C$2:$C$2000,AH$1))</f>
        <v>1</v>
      </c>
      <c r="AI7" cm="1">
        <f t="array" ref="AI7">SUMPRODUCT(('Team Lineups'!$K$2:$K$2000&lt;&gt;"")*('Team Lineups'!$C$2:$C$2000=$A7)*COUNTIFS('Team Lineups'!$K$2:$K$2000,'Team Lineups'!$K$2:$K$2000,'Team Lineups'!$C$2:$C$2000,AI$1))</f>
        <v>0</v>
      </c>
      <c r="AJ7" cm="1">
        <f t="array" ref="AJ7">SUMPRODUCT(('Team Lineups'!$K$2:$K$2000&lt;&gt;"")*('Team Lineups'!$C$2:$C$2000=$A7)*COUNTIFS('Team Lineups'!$K$2:$K$2000,'Team Lineups'!$K$2:$K$2000,'Team Lineups'!$C$2:$C$2000,AJ$1))</f>
        <v>3</v>
      </c>
      <c r="AK7" cm="1">
        <f t="array" ref="AK7">SUMPRODUCT(('Team Lineups'!$K$2:$K$2000&lt;&gt;"")*('Team Lineups'!$C$2:$C$2000=$A7)*COUNTIFS('Team Lineups'!$K$2:$K$2000,'Team Lineups'!$K$2:$K$2000,'Team Lineups'!$C$2:$C$2000,AK$1))</f>
        <v>4</v>
      </c>
      <c r="AL7" cm="1">
        <f t="array" ref="AL7">SUMPRODUCT(('Team Lineups'!$K$2:$K$2000&lt;&gt;"")*('Team Lineups'!$C$2:$C$2000=$A7)*COUNTIFS('Team Lineups'!$K$2:$K$2000,'Team Lineups'!$K$2:$K$2000,'Team Lineups'!$C$2:$C$2000,AL$1))</f>
        <v>6</v>
      </c>
      <c r="AM7" cm="1">
        <f t="array" ref="AM7">SUMPRODUCT(('Team Lineups'!$K$2:$K$2000&lt;&gt;"")*('Team Lineups'!$C$2:$C$2000=$A7)*COUNTIFS('Team Lineups'!$K$2:$K$2000,'Team Lineups'!$K$2:$K$2000,'Team Lineups'!$C$2:$C$2000,AM$1))</f>
        <v>2</v>
      </c>
      <c r="AN7" cm="1">
        <f t="array" ref="AN7">SUMPRODUCT(('Team Lineups'!$K$2:$K$2000&lt;&gt;"")*('Team Lineups'!$C$2:$C$2000=$A7)*COUNTIFS('Team Lineups'!$K$2:$K$2000,'Team Lineups'!$K$2:$K$2000,'Team Lineups'!$C$2:$C$2000,AN$1))</f>
        <v>2</v>
      </c>
      <c r="AO7" cm="1">
        <f t="array" ref="AO7">SUMPRODUCT(('Team Lineups'!$K$2:$K$2000&lt;&gt;"")*('Team Lineups'!$C$2:$C$2000=$A7)*COUNTIFS('Team Lineups'!$K$2:$K$2000,'Team Lineups'!$K$2:$K$2000,'Team Lineups'!$C$2:$C$2000,AO$1))</f>
        <v>4</v>
      </c>
      <c r="AP7" cm="1">
        <f t="array" ref="AP7">SUMPRODUCT(('Team Lineups'!$K$2:$K$2000&lt;&gt;"")*('Team Lineups'!$C$2:$C$2000=$A7)*COUNTIFS('Team Lineups'!$K$2:$K$2000,'Team Lineups'!$K$2:$K$2000,'Team Lineups'!$C$2:$C$2000,AP$1))</f>
        <v>3</v>
      </c>
      <c r="AQ7" cm="1">
        <f t="array" ref="AQ7">SUMPRODUCT(('Team Lineups'!$K$2:$K$2000&lt;&gt;"")*('Team Lineups'!$C$2:$C$2000=$A7)*COUNTIFS('Team Lineups'!$K$2:$K$2000,'Team Lineups'!$K$2:$K$2000,'Team Lineups'!$C$2:$C$2000,AQ$1))</f>
        <v>1</v>
      </c>
      <c r="AR7" cm="1">
        <f t="array" ref="AR7">SUMPRODUCT(('Team Lineups'!$K$2:$K$2000&lt;&gt;"")*('Team Lineups'!$C$2:$C$2000=$A7)*COUNTIFS('Team Lineups'!$K$2:$K$2000,'Team Lineups'!$K$2:$K$2000,'Team Lineups'!$C$2:$C$2000,AR$1))</f>
        <v>1</v>
      </c>
      <c r="AS7" cm="1">
        <f t="array" ref="AS7">SUMPRODUCT(('Team Lineups'!$K$2:$K$2000&lt;&gt;"")*('Team Lineups'!$C$2:$C$2000=$A7)*COUNTIFS('Team Lineups'!$K$2:$K$2000,'Team Lineups'!$K$2:$K$2000,'Team Lineups'!$C$2:$C$2000,AS$1))</f>
        <v>0</v>
      </c>
      <c r="AT7" cm="1">
        <f t="array" ref="AT7">SUMPRODUCT(('Team Lineups'!$K$2:$K$2000&lt;&gt;"")*('Team Lineups'!$C$2:$C$2000=$A7)*COUNTIFS('Team Lineups'!$K$2:$K$2000,'Team Lineups'!$K$2:$K$2000,'Team Lineups'!$C$2:$C$2000,AT$1))</f>
        <v>0</v>
      </c>
      <c r="AU7" cm="1">
        <f t="array" ref="AU7">SUMPRODUCT(('Team Lineups'!$K$2:$K$2000&lt;&gt;"")*('Team Lineups'!$C$2:$C$2000=$A7)*COUNTIFS('Team Lineups'!$K$2:$K$2000,'Team Lineups'!$K$2:$K$2000,'Team Lineups'!$C$2:$C$2000,AU$1))</f>
        <v>1</v>
      </c>
      <c r="AV7" cm="1">
        <f t="array" ref="AV7">SUMPRODUCT(('Team Lineups'!$K$2:$K$2000&lt;&gt;"")*('Team Lineups'!$C$2:$C$2000=$A7)*COUNTIFS('Team Lineups'!$K$2:$K$2000,'Team Lineups'!$K$2:$K$2000,'Team Lineups'!$C$2:$C$2000,AV$1))</f>
        <v>0</v>
      </c>
    </row>
    <row r="8" spans="1:100" x14ac:dyDescent="0.35">
      <c r="A8" t="str">
        <v>Alessandro C</v>
      </c>
      <c r="B8" cm="1">
        <f t="array" ref="B8">SUMPRODUCT(('Team Lineups'!$K$2:$K$2000&lt;&gt;"")*('Team Lineups'!$C$2:$C$2000=$A8)*COUNTIFS('Team Lineups'!$K$2:$K$2000,'Team Lineups'!$K$2:$K$2000,'Team Lineups'!$C$2:$C$2000,B$1))</f>
        <v>5</v>
      </c>
      <c r="C8" cm="1">
        <f t="array" ref="C8">SUMPRODUCT(('Team Lineups'!$K$2:$K$2000&lt;&gt;"")*('Team Lineups'!$C$2:$C$2000=$A8)*COUNTIFS('Team Lineups'!$K$2:$K$2000,'Team Lineups'!$K$2:$K$2000,'Team Lineups'!$C$2:$C$2000,C$1))</f>
        <v>3</v>
      </c>
      <c r="D8" cm="1">
        <f t="array" ref="D8">SUMPRODUCT(('Team Lineups'!$K$2:$K$2000&lt;&gt;"")*('Team Lineups'!$C$2:$C$2000=$A8)*COUNTIFS('Team Lineups'!$K$2:$K$2000,'Team Lineups'!$K$2:$K$2000,'Team Lineups'!$C$2:$C$2000,D$1))</f>
        <v>6</v>
      </c>
      <c r="E8" cm="1">
        <f t="array" ref="E8">SUMPRODUCT(('Team Lineups'!$K$2:$K$2000&lt;&gt;"")*('Team Lineups'!$C$2:$C$2000=$A8)*COUNTIFS('Team Lineups'!$K$2:$K$2000,'Team Lineups'!$K$2:$K$2000,'Team Lineups'!$C$2:$C$2000,E$1))</f>
        <v>0</v>
      </c>
      <c r="F8" cm="1">
        <f t="array" ref="F8">SUMPRODUCT(('Team Lineups'!$K$2:$K$2000&lt;&gt;"")*('Team Lineups'!$C$2:$C$2000=$A8)*COUNTIFS('Team Lineups'!$K$2:$K$2000,'Team Lineups'!$K$2:$K$2000,'Team Lineups'!$C$2:$C$2000,F$1))</f>
        <v>5</v>
      </c>
      <c r="G8" cm="1">
        <f t="array" ref="G8">SUMPRODUCT(('Team Lineups'!$K$2:$K$2000&lt;&gt;"")*('Team Lineups'!$C$2:$C$2000=$A8)*COUNTIFS('Team Lineups'!$K$2:$K$2000,'Team Lineups'!$K$2:$K$2000,'Team Lineups'!$C$2:$C$2000,G$1))</f>
        <v>6</v>
      </c>
      <c r="H8" cm="1">
        <f t="array" ref="H8">SUMPRODUCT(('Team Lineups'!$K$2:$K$2000&lt;&gt;"")*('Team Lineups'!$C$2:$C$2000=$A8)*COUNTIFS('Team Lineups'!$K$2:$K$2000,'Team Lineups'!$K$2:$K$2000,'Team Lineups'!$C$2:$C$2000,H$1))</f>
        <v>23</v>
      </c>
      <c r="I8" cm="1">
        <f t="array" ref="I8">SUMPRODUCT(('Team Lineups'!$K$2:$K$2000&lt;&gt;"")*('Team Lineups'!$C$2:$C$2000=$A8)*COUNTIFS('Team Lineups'!$K$2:$K$2000,'Team Lineups'!$K$2:$K$2000,'Team Lineups'!$C$2:$C$2000,I$1))</f>
        <v>8</v>
      </c>
      <c r="J8" cm="1">
        <f t="array" ref="J8">SUMPRODUCT(('Team Lineups'!$K$2:$K$2000&lt;&gt;"")*('Team Lineups'!$C$2:$C$2000=$A8)*COUNTIFS('Team Lineups'!$K$2:$K$2000,'Team Lineups'!$K$2:$K$2000,'Team Lineups'!$C$2:$C$2000,J$1))</f>
        <v>2</v>
      </c>
      <c r="K8" cm="1">
        <f t="array" ref="K8">SUMPRODUCT(('Team Lineups'!$K$2:$K$2000&lt;&gt;"")*('Team Lineups'!$C$2:$C$2000=$A8)*COUNTIFS('Team Lineups'!$K$2:$K$2000,'Team Lineups'!$K$2:$K$2000,'Team Lineups'!$C$2:$C$2000,K$1))</f>
        <v>1</v>
      </c>
      <c r="L8" cm="1">
        <f t="array" ref="L8">SUMPRODUCT(('Team Lineups'!$K$2:$K$2000&lt;&gt;"")*('Team Lineups'!$C$2:$C$2000=$A8)*COUNTIFS('Team Lineups'!$K$2:$K$2000,'Team Lineups'!$K$2:$K$2000,'Team Lineups'!$C$2:$C$2000,L$1))</f>
        <v>3</v>
      </c>
      <c r="M8" cm="1">
        <f t="array" ref="M8">SUMPRODUCT(('Team Lineups'!$K$2:$K$2000&lt;&gt;"")*('Team Lineups'!$C$2:$C$2000=$A8)*COUNTIFS('Team Lineups'!$K$2:$K$2000,'Team Lineups'!$K$2:$K$2000,'Team Lineups'!$C$2:$C$2000,M$1))</f>
        <v>9</v>
      </c>
      <c r="N8" cm="1">
        <f t="array" ref="N8">SUMPRODUCT(('Team Lineups'!$K$2:$K$2000&lt;&gt;"")*('Team Lineups'!$C$2:$C$2000=$A8)*COUNTIFS('Team Lineups'!$K$2:$K$2000,'Team Lineups'!$K$2:$K$2000,'Team Lineups'!$C$2:$C$2000,N$1))</f>
        <v>5</v>
      </c>
      <c r="O8" cm="1">
        <f t="array" ref="O8">SUMPRODUCT(('Team Lineups'!$K$2:$K$2000&lt;&gt;"")*('Team Lineups'!$C$2:$C$2000=$A8)*COUNTIFS('Team Lineups'!$K$2:$K$2000,'Team Lineups'!$K$2:$K$2000,'Team Lineups'!$C$2:$C$2000,O$1))</f>
        <v>5</v>
      </c>
      <c r="P8" cm="1">
        <f t="array" ref="P8">SUMPRODUCT(('Team Lineups'!$K$2:$K$2000&lt;&gt;"")*('Team Lineups'!$C$2:$C$2000=$A8)*COUNTIFS('Team Lineups'!$K$2:$K$2000,'Team Lineups'!$K$2:$K$2000,'Team Lineups'!$C$2:$C$2000,P$1))</f>
        <v>1</v>
      </c>
      <c r="Q8" cm="1">
        <f t="array" ref="Q8">SUMPRODUCT(('Team Lineups'!$K$2:$K$2000&lt;&gt;"")*('Team Lineups'!$C$2:$C$2000=$A8)*COUNTIFS('Team Lineups'!$K$2:$K$2000,'Team Lineups'!$K$2:$K$2000,'Team Lineups'!$C$2:$C$2000,Q$1))</f>
        <v>11</v>
      </c>
      <c r="R8" cm="1">
        <f t="array" ref="R8">SUMPRODUCT(('Team Lineups'!$K$2:$K$2000&lt;&gt;"")*('Team Lineups'!$C$2:$C$2000=$A8)*COUNTIFS('Team Lineups'!$K$2:$K$2000,'Team Lineups'!$K$2:$K$2000,'Team Lineups'!$C$2:$C$2000,R$1))</f>
        <v>6</v>
      </c>
      <c r="S8" cm="1">
        <f t="array" ref="S8">SUMPRODUCT(('Team Lineups'!$K$2:$K$2000&lt;&gt;"")*('Team Lineups'!$C$2:$C$2000=$A8)*COUNTIFS('Team Lineups'!$K$2:$K$2000,'Team Lineups'!$K$2:$K$2000,'Team Lineups'!$C$2:$C$2000,S$1))</f>
        <v>4</v>
      </c>
      <c r="T8" cm="1">
        <f t="array" ref="T8">SUMPRODUCT(('Team Lineups'!$K$2:$K$2000&lt;&gt;"")*('Team Lineups'!$C$2:$C$2000=$A8)*COUNTIFS('Team Lineups'!$K$2:$K$2000,'Team Lineups'!$K$2:$K$2000,'Team Lineups'!$C$2:$C$2000,T$1))</f>
        <v>1</v>
      </c>
      <c r="U8" cm="1">
        <f t="array" ref="U8">SUMPRODUCT(('Team Lineups'!$K$2:$K$2000&lt;&gt;"")*('Team Lineups'!$C$2:$C$2000=$A8)*COUNTIFS('Team Lineups'!$K$2:$K$2000,'Team Lineups'!$K$2:$K$2000,'Team Lineups'!$C$2:$C$2000,U$1))</f>
        <v>0</v>
      </c>
      <c r="V8" cm="1">
        <f t="array" ref="V8">SUMPRODUCT(('Team Lineups'!$K$2:$K$2000&lt;&gt;"")*('Team Lineups'!$C$2:$C$2000=$A8)*COUNTIFS('Team Lineups'!$K$2:$K$2000,'Team Lineups'!$K$2:$K$2000,'Team Lineups'!$C$2:$C$2000,V$1))</f>
        <v>0</v>
      </c>
      <c r="W8" cm="1">
        <f t="array" ref="W8">SUMPRODUCT(('Team Lineups'!$K$2:$K$2000&lt;&gt;"")*('Team Lineups'!$C$2:$C$2000=$A8)*COUNTIFS('Team Lineups'!$K$2:$K$2000,'Team Lineups'!$K$2:$K$2000,'Team Lineups'!$C$2:$C$2000,W$1))</f>
        <v>0</v>
      </c>
      <c r="X8" cm="1">
        <f t="array" ref="X8">SUMPRODUCT(('Team Lineups'!$K$2:$K$2000&lt;&gt;"")*('Team Lineups'!$C$2:$C$2000=$A8)*COUNTIFS('Team Lineups'!$K$2:$K$2000,'Team Lineups'!$K$2:$K$2000,'Team Lineups'!$C$2:$C$2000,X$1))</f>
        <v>0</v>
      </c>
      <c r="Y8" cm="1">
        <f t="array" ref="Y8">SUMPRODUCT(('Team Lineups'!$K$2:$K$2000&lt;&gt;"")*('Team Lineups'!$C$2:$C$2000=$A8)*COUNTIFS('Team Lineups'!$K$2:$K$2000,'Team Lineups'!$K$2:$K$2000,'Team Lineups'!$C$2:$C$2000,Y$1))</f>
        <v>0</v>
      </c>
      <c r="Z8" cm="1">
        <f t="array" ref="Z8">SUMPRODUCT(('Team Lineups'!$K$2:$K$2000&lt;&gt;"")*('Team Lineups'!$C$2:$C$2000=$A8)*COUNTIFS('Team Lineups'!$K$2:$K$2000,'Team Lineups'!$K$2:$K$2000,'Team Lineups'!$C$2:$C$2000,Z$1))</f>
        <v>3</v>
      </c>
      <c r="AA8" cm="1">
        <f t="array" ref="AA8">SUMPRODUCT(('Team Lineups'!$K$2:$K$2000&lt;&gt;"")*('Team Lineups'!$C$2:$C$2000=$A8)*COUNTIFS('Team Lineups'!$K$2:$K$2000,'Team Lineups'!$K$2:$K$2000,'Team Lineups'!$C$2:$C$2000,AA$1))</f>
        <v>4</v>
      </c>
      <c r="AB8" cm="1">
        <f t="array" ref="AB8">SUMPRODUCT(('Team Lineups'!$K$2:$K$2000&lt;&gt;"")*('Team Lineups'!$C$2:$C$2000=$A8)*COUNTIFS('Team Lineups'!$K$2:$K$2000,'Team Lineups'!$K$2:$K$2000,'Team Lineups'!$C$2:$C$2000,AB$1))</f>
        <v>7</v>
      </c>
      <c r="AC8" cm="1">
        <f t="array" ref="AC8">SUMPRODUCT(('Team Lineups'!$K$2:$K$2000&lt;&gt;"")*('Team Lineups'!$C$2:$C$2000=$A8)*COUNTIFS('Team Lineups'!$K$2:$K$2000,'Team Lineups'!$K$2:$K$2000,'Team Lineups'!$C$2:$C$2000,AC$1))</f>
        <v>0</v>
      </c>
      <c r="AD8" cm="1">
        <f t="array" ref="AD8">SUMPRODUCT(('Team Lineups'!$K$2:$K$2000&lt;&gt;"")*('Team Lineups'!$C$2:$C$2000=$A8)*COUNTIFS('Team Lineups'!$K$2:$K$2000,'Team Lineups'!$K$2:$K$2000,'Team Lineups'!$C$2:$C$2000,AD$1))</f>
        <v>4</v>
      </c>
      <c r="AE8" cm="1">
        <f t="array" ref="AE8">SUMPRODUCT(('Team Lineups'!$K$2:$K$2000&lt;&gt;"")*('Team Lineups'!$C$2:$C$2000=$A8)*COUNTIFS('Team Lineups'!$K$2:$K$2000,'Team Lineups'!$K$2:$K$2000,'Team Lineups'!$C$2:$C$2000,AE$1))</f>
        <v>3</v>
      </c>
      <c r="AF8" cm="1">
        <f t="array" ref="AF8">SUMPRODUCT(('Team Lineups'!$K$2:$K$2000&lt;&gt;"")*('Team Lineups'!$C$2:$C$2000=$A8)*COUNTIFS('Team Lineups'!$K$2:$K$2000,'Team Lineups'!$K$2:$K$2000,'Team Lineups'!$C$2:$C$2000,AF$1))</f>
        <v>0</v>
      </c>
      <c r="AG8" cm="1">
        <f t="array" ref="AG8">SUMPRODUCT(('Team Lineups'!$K$2:$K$2000&lt;&gt;"")*('Team Lineups'!$C$2:$C$2000=$A8)*COUNTIFS('Team Lineups'!$K$2:$K$2000,'Team Lineups'!$K$2:$K$2000,'Team Lineups'!$C$2:$C$2000,AG$1))</f>
        <v>2</v>
      </c>
      <c r="AH8" cm="1">
        <f t="array" ref="AH8">SUMPRODUCT(('Team Lineups'!$K$2:$K$2000&lt;&gt;"")*('Team Lineups'!$C$2:$C$2000=$A8)*COUNTIFS('Team Lineups'!$K$2:$K$2000,'Team Lineups'!$K$2:$K$2000,'Team Lineups'!$C$2:$C$2000,AH$1))</f>
        <v>0</v>
      </c>
      <c r="AI8" cm="1">
        <f t="array" ref="AI8">SUMPRODUCT(('Team Lineups'!$K$2:$K$2000&lt;&gt;"")*('Team Lineups'!$C$2:$C$2000=$A8)*COUNTIFS('Team Lineups'!$K$2:$K$2000,'Team Lineups'!$K$2:$K$2000,'Team Lineups'!$C$2:$C$2000,AI$1))</f>
        <v>2</v>
      </c>
      <c r="AJ8" cm="1">
        <f t="array" ref="AJ8">SUMPRODUCT(('Team Lineups'!$K$2:$K$2000&lt;&gt;"")*('Team Lineups'!$C$2:$C$2000=$A8)*COUNTIFS('Team Lineups'!$K$2:$K$2000,'Team Lineups'!$K$2:$K$2000,'Team Lineups'!$C$2:$C$2000,AJ$1))</f>
        <v>3</v>
      </c>
      <c r="AK8" cm="1">
        <f t="array" ref="AK8">SUMPRODUCT(('Team Lineups'!$K$2:$K$2000&lt;&gt;"")*('Team Lineups'!$C$2:$C$2000=$A8)*COUNTIFS('Team Lineups'!$K$2:$K$2000,'Team Lineups'!$K$2:$K$2000,'Team Lineups'!$C$2:$C$2000,AK$1))</f>
        <v>0</v>
      </c>
      <c r="AL8" cm="1">
        <f t="array" ref="AL8">SUMPRODUCT(('Team Lineups'!$K$2:$K$2000&lt;&gt;"")*('Team Lineups'!$C$2:$C$2000=$A8)*COUNTIFS('Team Lineups'!$K$2:$K$2000,'Team Lineups'!$K$2:$K$2000,'Team Lineups'!$C$2:$C$2000,AL$1))</f>
        <v>2</v>
      </c>
      <c r="AM8" cm="1">
        <f t="array" ref="AM8">SUMPRODUCT(('Team Lineups'!$K$2:$K$2000&lt;&gt;"")*('Team Lineups'!$C$2:$C$2000=$A8)*COUNTIFS('Team Lineups'!$K$2:$K$2000,'Team Lineups'!$K$2:$K$2000,'Team Lineups'!$C$2:$C$2000,AM$1))</f>
        <v>0</v>
      </c>
      <c r="AN8" cm="1">
        <f t="array" ref="AN8">SUMPRODUCT(('Team Lineups'!$K$2:$K$2000&lt;&gt;"")*('Team Lineups'!$C$2:$C$2000=$A8)*COUNTIFS('Team Lineups'!$K$2:$K$2000,'Team Lineups'!$K$2:$K$2000,'Team Lineups'!$C$2:$C$2000,AN$1))</f>
        <v>0</v>
      </c>
      <c r="AO8" cm="1">
        <f t="array" ref="AO8">SUMPRODUCT(('Team Lineups'!$K$2:$K$2000&lt;&gt;"")*('Team Lineups'!$C$2:$C$2000=$A8)*COUNTIFS('Team Lineups'!$K$2:$K$2000,'Team Lineups'!$K$2:$K$2000,'Team Lineups'!$C$2:$C$2000,AO$1))</f>
        <v>1</v>
      </c>
      <c r="AP8" cm="1">
        <f t="array" ref="AP8">SUMPRODUCT(('Team Lineups'!$K$2:$K$2000&lt;&gt;"")*('Team Lineups'!$C$2:$C$2000=$A8)*COUNTIFS('Team Lineups'!$K$2:$K$2000,'Team Lineups'!$K$2:$K$2000,'Team Lineups'!$C$2:$C$2000,AP$1))</f>
        <v>2</v>
      </c>
      <c r="AQ8" cm="1">
        <f t="array" ref="AQ8">SUMPRODUCT(('Team Lineups'!$K$2:$K$2000&lt;&gt;"")*('Team Lineups'!$C$2:$C$2000=$A8)*COUNTIFS('Team Lineups'!$K$2:$K$2000,'Team Lineups'!$K$2:$K$2000,'Team Lineups'!$C$2:$C$2000,AQ$1))</f>
        <v>1</v>
      </c>
      <c r="AR8" cm="1">
        <f t="array" ref="AR8">SUMPRODUCT(('Team Lineups'!$K$2:$K$2000&lt;&gt;"")*('Team Lineups'!$C$2:$C$2000=$A8)*COUNTIFS('Team Lineups'!$K$2:$K$2000,'Team Lineups'!$K$2:$K$2000,'Team Lineups'!$C$2:$C$2000,AR$1))</f>
        <v>0</v>
      </c>
      <c r="AS8" cm="1">
        <f t="array" ref="AS8">SUMPRODUCT(('Team Lineups'!$K$2:$K$2000&lt;&gt;"")*('Team Lineups'!$C$2:$C$2000=$A8)*COUNTIFS('Team Lineups'!$K$2:$K$2000,'Team Lineups'!$K$2:$K$2000,'Team Lineups'!$C$2:$C$2000,AS$1))</f>
        <v>0</v>
      </c>
      <c r="AT8" cm="1">
        <f t="array" ref="AT8">SUMPRODUCT(('Team Lineups'!$K$2:$K$2000&lt;&gt;"")*('Team Lineups'!$C$2:$C$2000=$A8)*COUNTIFS('Team Lineups'!$K$2:$K$2000,'Team Lineups'!$K$2:$K$2000,'Team Lineups'!$C$2:$C$2000,AT$1))</f>
        <v>1</v>
      </c>
      <c r="AU8" cm="1">
        <f t="array" ref="AU8">SUMPRODUCT(('Team Lineups'!$K$2:$K$2000&lt;&gt;"")*('Team Lineups'!$C$2:$C$2000=$A8)*COUNTIFS('Team Lineups'!$K$2:$K$2000,'Team Lineups'!$K$2:$K$2000,'Team Lineups'!$C$2:$C$2000,AU$1))</f>
        <v>1</v>
      </c>
      <c r="AV8" cm="1">
        <f t="array" ref="AV8">SUMPRODUCT(('Team Lineups'!$K$2:$K$2000&lt;&gt;"")*('Team Lineups'!$C$2:$C$2000=$A8)*COUNTIFS('Team Lineups'!$K$2:$K$2000,'Team Lineups'!$K$2:$K$2000,'Team Lineups'!$C$2:$C$2000,AV$1))</f>
        <v>1</v>
      </c>
    </row>
    <row r="9" spans="1:100" x14ac:dyDescent="0.35">
      <c r="A9" t="str">
        <v>Lorenzo</v>
      </c>
      <c r="B9" cm="1">
        <f t="array" ref="B9">SUMPRODUCT(('Team Lineups'!$K$2:$K$2000&lt;&gt;"")*('Team Lineups'!$C$2:$C$2000=$A9)*COUNTIFS('Team Lineups'!$K$2:$K$2000,'Team Lineups'!$K$2:$K$2000,'Team Lineups'!$C$2:$C$2000,B$1))</f>
        <v>10</v>
      </c>
      <c r="C9" cm="1">
        <f t="array" ref="C9">SUMPRODUCT(('Team Lineups'!$K$2:$K$2000&lt;&gt;"")*('Team Lineups'!$C$2:$C$2000=$A9)*COUNTIFS('Team Lineups'!$K$2:$K$2000,'Team Lineups'!$K$2:$K$2000,'Team Lineups'!$C$2:$C$2000,C$1))</f>
        <v>3</v>
      </c>
      <c r="D9" cm="1">
        <f t="array" ref="D9">SUMPRODUCT(('Team Lineups'!$K$2:$K$2000&lt;&gt;"")*('Team Lineups'!$C$2:$C$2000=$A9)*COUNTIFS('Team Lineups'!$K$2:$K$2000,'Team Lineups'!$K$2:$K$2000,'Team Lineups'!$C$2:$C$2000,D$1))</f>
        <v>7</v>
      </c>
      <c r="E9" cm="1">
        <f t="array" ref="E9">SUMPRODUCT(('Team Lineups'!$K$2:$K$2000&lt;&gt;"")*('Team Lineups'!$C$2:$C$2000=$A9)*COUNTIFS('Team Lineups'!$K$2:$K$2000,'Team Lineups'!$K$2:$K$2000,'Team Lineups'!$C$2:$C$2000,E$1))</f>
        <v>4</v>
      </c>
      <c r="F9" cm="1">
        <f t="array" ref="F9">SUMPRODUCT(('Team Lineups'!$K$2:$K$2000&lt;&gt;"")*('Team Lineups'!$C$2:$C$2000=$A9)*COUNTIFS('Team Lineups'!$K$2:$K$2000,'Team Lineups'!$K$2:$K$2000,'Team Lineups'!$C$2:$C$2000,F$1))</f>
        <v>7</v>
      </c>
      <c r="G9" cm="1">
        <f t="array" ref="G9">SUMPRODUCT(('Team Lineups'!$K$2:$K$2000&lt;&gt;"")*('Team Lineups'!$C$2:$C$2000=$A9)*COUNTIFS('Team Lineups'!$K$2:$K$2000,'Team Lineups'!$K$2:$K$2000,'Team Lineups'!$C$2:$C$2000,G$1))</f>
        <v>8</v>
      </c>
      <c r="H9" cm="1">
        <f t="array" ref="H9">SUMPRODUCT(('Team Lineups'!$K$2:$K$2000&lt;&gt;"")*('Team Lineups'!$C$2:$C$2000=$A9)*COUNTIFS('Team Lineups'!$K$2:$K$2000,'Team Lineups'!$K$2:$K$2000,'Team Lineups'!$C$2:$C$2000,H$1))</f>
        <v>8</v>
      </c>
      <c r="I9" cm="1">
        <f t="array" ref="I9">SUMPRODUCT(('Team Lineups'!$K$2:$K$2000&lt;&gt;"")*('Team Lineups'!$C$2:$C$2000=$A9)*COUNTIFS('Team Lineups'!$K$2:$K$2000,'Team Lineups'!$K$2:$K$2000,'Team Lineups'!$C$2:$C$2000,I$1))</f>
        <v>28</v>
      </c>
      <c r="J9" cm="1">
        <f t="array" ref="J9">SUMPRODUCT(('Team Lineups'!$K$2:$K$2000&lt;&gt;"")*('Team Lineups'!$C$2:$C$2000=$A9)*COUNTIFS('Team Lineups'!$K$2:$K$2000,'Team Lineups'!$K$2:$K$2000,'Team Lineups'!$C$2:$C$2000,J$1))</f>
        <v>2</v>
      </c>
      <c r="K9" cm="1">
        <f t="array" ref="K9">SUMPRODUCT(('Team Lineups'!$K$2:$K$2000&lt;&gt;"")*('Team Lineups'!$C$2:$C$2000=$A9)*COUNTIFS('Team Lineups'!$K$2:$K$2000,'Team Lineups'!$K$2:$K$2000,'Team Lineups'!$C$2:$C$2000,K$1))</f>
        <v>1</v>
      </c>
      <c r="L9" cm="1">
        <f t="array" ref="L9">SUMPRODUCT(('Team Lineups'!$K$2:$K$2000&lt;&gt;"")*('Team Lineups'!$C$2:$C$2000=$A9)*COUNTIFS('Team Lineups'!$K$2:$K$2000,'Team Lineups'!$K$2:$K$2000,'Team Lineups'!$C$2:$C$2000,L$1))</f>
        <v>8</v>
      </c>
      <c r="M9" cm="1">
        <f t="array" ref="M9">SUMPRODUCT(('Team Lineups'!$K$2:$K$2000&lt;&gt;"")*('Team Lineups'!$C$2:$C$2000=$A9)*COUNTIFS('Team Lineups'!$K$2:$K$2000,'Team Lineups'!$K$2:$K$2000,'Team Lineups'!$C$2:$C$2000,M$1))</f>
        <v>8</v>
      </c>
      <c r="N9" cm="1">
        <f t="array" ref="N9">SUMPRODUCT(('Team Lineups'!$K$2:$K$2000&lt;&gt;"")*('Team Lineups'!$C$2:$C$2000=$A9)*COUNTIFS('Team Lineups'!$K$2:$K$2000,'Team Lineups'!$K$2:$K$2000,'Team Lineups'!$C$2:$C$2000,N$1))</f>
        <v>6</v>
      </c>
      <c r="O9" cm="1">
        <f t="array" ref="O9">SUMPRODUCT(('Team Lineups'!$K$2:$K$2000&lt;&gt;"")*('Team Lineups'!$C$2:$C$2000=$A9)*COUNTIFS('Team Lineups'!$K$2:$K$2000,'Team Lineups'!$K$2:$K$2000,'Team Lineups'!$C$2:$C$2000,O$1))</f>
        <v>4</v>
      </c>
      <c r="P9" cm="1">
        <f t="array" ref="P9">SUMPRODUCT(('Team Lineups'!$K$2:$K$2000&lt;&gt;"")*('Team Lineups'!$C$2:$C$2000=$A9)*COUNTIFS('Team Lineups'!$K$2:$K$2000,'Team Lineups'!$K$2:$K$2000,'Team Lineups'!$C$2:$C$2000,P$1))</f>
        <v>1</v>
      </c>
      <c r="Q9" cm="1">
        <f t="array" ref="Q9">SUMPRODUCT(('Team Lineups'!$K$2:$K$2000&lt;&gt;"")*('Team Lineups'!$C$2:$C$2000=$A9)*COUNTIFS('Team Lineups'!$K$2:$K$2000,'Team Lineups'!$K$2:$K$2000,'Team Lineups'!$C$2:$C$2000,Q$1))</f>
        <v>6</v>
      </c>
      <c r="R9" cm="1">
        <f t="array" ref="R9">SUMPRODUCT(('Team Lineups'!$K$2:$K$2000&lt;&gt;"")*('Team Lineups'!$C$2:$C$2000=$A9)*COUNTIFS('Team Lineups'!$K$2:$K$2000,'Team Lineups'!$K$2:$K$2000,'Team Lineups'!$C$2:$C$2000,R$1))</f>
        <v>6</v>
      </c>
      <c r="S9" cm="1">
        <f t="array" ref="S9">SUMPRODUCT(('Team Lineups'!$K$2:$K$2000&lt;&gt;"")*('Team Lineups'!$C$2:$C$2000=$A9)*COUNTIFS('Team Lineups'!$K$2:$K$2000,'Team Lineups'!$K$2:$K$2000,'Team Lineups'!$C$2:$C$2000,S$1))</f>
        <v>3</v>
      </c>
      <c r="T9" cm="1">
        <f t="array" ref="T9">SUMPRODUCT(('Team Lineups'!$K$2:$K$2000&lt;&gt;"")*('Team Lineups'!$C$2:$C$2000=$A9)*COUNTIFS('Team Lineups'!$K$2:$K$2000,'Team Lineups'!$K$2:$K$2000,'Team Lineups'!$C$2:$C$2000,T$1))</f>
        <v>4</v>
      </c>
      <c r="U9" cm="1">
        <f t="array" ref="U9">SUMPRODUCT(('Team Lineups'!$K$2:$K$2000&lt;&gt;"")*('Team Lineups'!$C$2:$C$2000=$A9)*COUNTIFS('Team Lineups'!$K$2:$K$2000,'Team Lineups'!$K$2:$K$2000,'Team Lineups'!$C$2:$C$2000,U$1))</f>
        <v>1</v>
      </c>
      <c r="V9" cm="1">
        <f t="array" ref="V9">SUMPRODUCT(('Team Lineups'!$K$2:$K$2000&lt;&gt;"")*('Team Lineups'!$C$2:$C$2000=$A9)*COUNTIFS('Team Lineups'!$K$2:$K$2000,'Team Lineups'!$K$2:$K$2000,'Team Lineups'!$C$2:$C$2000,V$1))</f>
        <v>1</v>
      </c>
      <c r="W9" cm="1">
        <f t="array" ref="W9">SUMPRODUCT(('Team Lineups'!$K$2:$K$2000&lt;&gt;"")*('Team Lineups'!$C$2:$C$2000=$A9)*COUNTIFS('Team Lineups'!$K$2:$K$2000,'Team Lineups'!$K$2:$K$2000,'Team Lineups'!$C$2:$C$2000,W$1))</f>
        <v>0</v>
      </c>
      <c r="X9" cm="1">
        <f t="array" ref="X9">SUMPRODUCT(('Team Lineups'!$K$2:$K$2000&lt;&gt;"")*('Team Lineups'!$C$2:$C$2000=$A9)*COUNTIFS('Team Lineups'!$K$2:$K$2000,'Team Lineups'!$K$2:$K$2000,'Team Lineups'!$C$2:$C$2000,X$1))</f>
        <v>0</v>
      </c>
      <c r="Y9" cm="1">
        <f t="array" ref="Y9">SUMPRODUCT(('Team Lineups'!$K$2:$K$2000&lt;&gt;"")*('Team Lineups'!$C$2:$C$2000=$A9)*COUNTIFS('Team Lineups'!$K$2:$K$2000,'Team Lineups'!$K$2:$K$2000,'Team Lineups'!$C$2:$C$2000,Y$1))</f>
        <v>0</v>
      </c>
      <c r="Z9" cm="1">
        <f t="array" ref="Z9">SUMPRODUCT(('Team Lineups'!$K$2:$K$2000&lt;&gt;"")*('Team Lineups'!$C$2:$C$2000=$A9)*COUNTIFS('Team Lineups'!$K$2:$K$2000,'Team Lineups'!$K$2:$K$2000,'Team Lineups'!$C$2:$C$2000,Z$1))</f>
        <v>4</v>
      </c>
      <c r="AA9" cm="1">
        <f t="array" ref="AA9">SUMPRODUCT(('Team Lineups'!$K$2:$K$2000&lt;&gt;"")*('Team Lineups'!$C$2:$C$2000=$A9)*COUNTIFS('Team Lineups'!$K$2:$K$2000,'Team Lineups'!$K$2:$K$2000,'Team Lineups'!$C$2:$C$2000,AA$1))</f>
        <v>10</v>
      </c>
      <c r="AB9" cm="1">
        <f t="array" ref="AB9">SUMPRODUCT(('Team Lineups'!$K$2:$K$2000&lt;&gt;"")*('Team Lineups'!$C$2:$C$2000=$A9)*COUNTIFS('Team Lineups'!$K$2:$K$2000,'Team Lineups'!$K$2:$K$2000,'Team Lineups'!$C$2:$C$2000,AB$1))</f>
        <v>4</v>
      </c>
      <c r="AC9" cm="1">
        <f t="array" ref="AC9">SUMPRODUCT(('Team Lineups'!$K$2:$K$2000&lt;&gt;"")*('Team Lineups'!$C$2:$C$2000=$A9)*COUNTIFS('Team Lineups'!$K$2:$K$2000,'Team Lineups'!$K$2:$K$2000,'Team Lineups'!$C$2:$C$2000,AC$1))</f>
        <v>1</v>
      </c>
      <c r="AD9" cm="1">
        <f t="array" ref="AD9">SUMPRODUCT(('Team Lineups'!$K$2:$K$2000&lt;&gt;"")*('Team Lineups'!$C$2:$C$2000=$A9)*COUNTIFS('Team Lineups'!$K$2:$K$2000,'Team Lineups'!$K$2:$K$2000,'Team Lineups'!$C$2:$C$2000,AD$1))</f>
        <v>6</v>
      </c>
      <c r="AE9" cm="1">
        <f t="array" ref="AE9">SUMPRODUCT(('Team Lineups'!$K$2:$K$2000&lt;&gt;"")*('Team Lineups'!$C$2:$C$2000=$A9)*COUNTIFS('Team Lineups'!$K$2:$K$2000,'Team Lineups'!$K$2:$K$2000,'Team Lineups'!$C$2:$C$2000,AE$1))</f>
        <v>2</v>
      </c>
      <c r="AF9" cm="1">
        <f t="array" ref="AF9">SUMPRODUCT(('Team Lineups'!$K$2:$K$2000&lt;&gt;"")*('Team Lineups'!$C$2:$C$2000=$A9)*COUNTIFS('Team Lineups'!$K$2:$K$2000,'Team Lineups'!$K$2:$K$2000,'Team Lineups'!$C$2:$C$2000,AF$1))</f>
        <v>0</v>
      </c>
      <c r="AG9" cm="1">
        <f t="array" ref="AG9">SUMPRODUCT(('Team Lineups'!$K$2:$K$2000&lt;&gt;"")*('Team Lineups'!$C$2:$C$2000=$A9)*COUNTIFS('Team Lineups'!$K$2:$K$2000,'Team Lineups'!$K$2:$K$2000,'Team Lineups'!$C$2:$C$2000,AG$1))</f>
        <v>0</v>
      </c>
      <c r="AH9" cm="1">
        <f t="array" ref="AH9">SUMPRODUCT(('Team Lineups'!$K$2:$K$2000&lt;&gt;"")*('Team Lineups'!$C$2:$C$2000=$A9)*COUNTIFS('Team Lineups'!$K$2:$K$2000,'Team Lineups'!$K$2:$K$2000,'Team Lineups'!$C$2:$C$2000,AH$1))</f>
        <v>0</v>
      </c>
      <c r="AI9" cm="1">
        <f t="array" ref="AI9">SUMPRODUCT(('Team Lineups'!$K$2:$K$2000&lt;&gt;"")*('Team Lineups'!$C$2:$C$2000=$A9)*COUNTIFS('Team Lineups'!$K$2:$K$2000,'Team Lineups'!$K$2:$K$2000,'Team Lineups'!$C$2:$C$2000,AI$1))</f>
        <v>0</v>
      </c>
      <c r="AJ9" cm="1">
        <f t="array" ref="AJ9">SUMPRODUCT(('Team Lineups'!$K$2:$K$2000&lt;&gt;"")*('Team Lineups'!$C$2:$C$2000=$A9)*COUNTIFS('Team Lineups'!$K$2:$K$2000,'Team Lineups'!$K$2:$K$2000,'Team Lineups'!$C$2:$C$2000,AJ$1))</f>
        <v>7</v>
      </c>
      <c r="AK9" cm="1">
        <f t="array" ref="AK9">SUMPRODUCT(('Team Lineups'!$K$2:$K$2000&lt;&gt;"")*('Team Lineups'!$C$2:$C$2000=$A9)*COUNTIFS('Team Lineups'!$K$2:$K$2000,'Team Lineups'!$K$2:$K$2000,'Team Lineups'!$C$2:$C$2000,AK$1))</f>
        <v>1</v>
      </c>
      <c r="AL9" cm="1">
        <f t="array" ref="AL9">SUMPRODUCT(('Team Lineups'!$K$2:$K$2000&lt;&gt;"")*('Team Lineups'!$C$2:$C$2000=$A9)*COUNTIFS('Team Lineups'!$K$2:$K$2000,'Team Lineups'!$K$2:$K$2000,'Team Lineups'!$C$2:$C$2000,AL$1))</f>
        <v>3</v>
      </c>
      <c r="AM9" cm="1">
        <f t="array" ref="AM9">SUMPRODUCT(('Team Lineups'!$K$2:$K$2000&lt;&gt;"")*('Team Lineups'!$C$2:$C$2000=$A9)*COUNTIFS('Team Lineups'!$K$2:$K$2000,'Team Lineups'!$K$2:$K$2000,'Team Lineups'!$C$2:$C$2000,AM$1))</f>
        <v>0</v>
      </c>
      <c r="AN9" cm="1">
        <f t="array" ref="AN9">SUMPRODUCT(('Team Lineups'!$K$2:$K$2000&lt;&gt;"")*('Team Lineups'!$C$2:$C$2000=$A9)*COUNTIFS('Team Lineups'!$K$2:$K$2000,'Team Lineups'!$K$2:$K$2000,'Team Lineups'!$C$2:$C$2000,AN$1))</f>
        <v>3</v>
      </c>
      <c r="AO9" cm="1">
        <f t="array" ref="AO9">SUMPRODUCT(('Team Lineups'!$K$2:$K$2000&lt;&gt;"")*('Team Lineups'!$C$2:$C$2000=$A9)*COUNTIFS('Team Lineups'!$K$2:$K$2000,'Team Lineups'!$K$2:$K$2000,'Team Lineups'!$C$2:$C$2000,AO$1))</f>
        <v>2</v>
      </c>
      <c r="AP9" cm="1">
        <f t="array" ref="AP9">SUMPRODUCT(('Team Lineups'!$K$2:$K$2000&lt;&gt;"")*('Team Lineups'!$C$2:$C$2000=$A9)*COUNTIFS('Team Lineups'!$K$2:$K$2000,'Team Lineups'!$K$2:$K$2000,'Team Lineups'!$C$2:$C$2000,AP$1))</f>
        <v>0</v>
      </c>
      <c r="AQ9" cm="1">
        <f t="array" ref="AQ9">SUMPRODUCT(('Team Lineups'!$K$2:$K$2000&lt;&gt;"")*('Team Lineups'!$C$2:$C$2000=$A9)*COUNTIFS('Team Lineups'!$K$2:$K$2000,'Team Lineups'!$K$2:$K$2000,'Team Lineups'!$C$2:$C$2000,AQ$1))</f>
        <v>2</v>
      </c>
      <c r="AR9" cm="1">
        <f t="array" ref="AR9">SUMPRODUCT(('Team Lineups'!$K$2:$K$2000&lt;&gt;"")*('Team Lineups'!$C$2:$C$2000=$A9)*COUNTIFS('Team Lineups'!$K$2:$K$2000,'Team Lineups'!$K$2:$K$2000,'Team Lineups'!$C$2:$C$2000,AR$1))</f>
        <v>0</v>
      </c>
      <c r="AS9" cm="1">
        <f t="array" ref="AS9">SUMPRODUCT(('Team Lineups'!$K$2:$K$2000&lt;&gt;"")*('Team Lineups'!$C$2:$C$2000=$A9)*COUNTIFS('Team Lineups'!$K$2:$K$2000,'Team Lineups'!$K$2:$K$2000,'Team Lineups'!$C$2:$C$2000,AS$1))</f>
        <v>0</v>
      </c>
      <c r="AT9" cm="1">
        <f t="array" ref="AT9">SUMPRODUCT(('Team Lineups'!$K$2:$K$2000&lt;&gt;"")*('Team Lineups'!$C$2:$C$2000=$A9)*COUNTIFS('Team Lineups'!$K$2:$K$2000,'Team Lineups'!$K$2:$K$2000,'Team Lineups'!$C$2:$C$2000,AT$1))</f>
        <v>0</v>
      </c>
      <c r="AU9" cm="1">
        <f t="array" ref="AU9">SUMPRODUCT(('Team Lineups'!$K$2:$K$2000&lt;&gt;"")*('Team Lineups'!$C$2:$C$2000=$A9)*COUNTIFS('Team Lineups'!$K$2:$K$2000,'Team Lineups'!$K$2:$K$2000,'Team Lineups'!$C$2:$C$2000,AU$1))</f>
        <v>0</v>
      </c>
      <c r="AV9" cm="1">
        <f t="array" ref="AV9">SUMPRODUCT(('Team Lineups'!$K$2:$K$2000&lt;&gt;"")*('Team Lineups'!$C$2:$C$2000=$A9)*COUNTIFS('Team Lineups'!$K$2:$K$2000,'Team Lineups'!$K$2:$K$2000,'Team Lineups'!$C$2:$C$2000,AV$1))</f>
        <v>0</v>
      </c>
    </row>
    <row r="10" spans="1:100" x14ac:dyDescent="0.35">
      <c r="A10" t="str">
        <v>Pranav</v>
      </c>
      <c r="B10" cm="1">
        <f t="array" ref="B10">SUMPRODUCT(('Team Lineups'!$K$2:$K$2000&lt;&gt;"")*('Team Lineups'!$C$2:$C$2000=$A10)*COUNTIFS('Team Lineups'!$K$2:$K$2000,'Team Lineups'!$K$2:$K$2000,'Team Lineups'!$C$2:$C$2000,B$1))</f>
        <v>0</v>
      </c>
      <c r="C10" cm="1">
        <f t="array" ref="C10">SUMPRODUCT(('Team Lineups'!$K$2:$K$2000&lt;&gt;"")*('Team Lineups'!$C$2:$C$2000=$A10)*COUNTIFS('Team Lineups'!$K$2:$K$2000,'Team Lineups'!$K$2:$K$2000,'Team Lineups'!$C$2:$C$2000,C$1))</f>
        <v>0</v>
      </c>
      <c r="D10" cm="1">
        <f t="array" ref="D10">SUMPRODUCT(('Team Lineups'!$K$2:$K$2000&lt;&gt;"")*('Team Lineups'!$C$2:$C$2000=$A10)*COUNTIFS('Team Lineups'!$K$2:$K$2000,'Team Lineups'!$K$2:$K$2000,'Team Lineups'!$C$2:$C$2000,D$1))</f>
        <v>0</v>
      </c>
      <c r="E10" cm="1">
        <f t="array" ref="E10">SUMPRODUCT(('Team Lineups'!$K$2:$K$2000&lt;&gt;"")*('Team Lineups'!$C$2:$C$2000=$A10)*COUNTIFS('Team Lineups'!$K$2:$K$2000,'Team Lineups'!$K$2:$K$2000,'Team Lineups'!$C$2:$C$2000,E$1))</f>
        <v>0</v>
      </c>
      <c r="F10" cm="1">
        <f t="array" ref="F10">SUMPRODUCT(('Team Lineups'!$K$2:$K$2000&lt;&gt;"")*('Team Lineups'!$C$2:$C$2000=$A10)*COUNTIFS('Team Lineups'!$K$2:$K$2000,'Team Lineups'!$K$2:$K$2000,'Team Lineups'!$C$2:$C$2000,F$1))</f>
        <v>0</v>
      </c>
      <c r="G10" cm="1">
        <f t="array" ref="G10">SUMPRODUCT(('Team Lineups'!$K$2:$K$2000&lt;&gt;"")*('Team Lineups'!$C$2:$C$2000=$A10)*COUNTIFS('Team Lineups'!$K$2:$K$2000,'Team Lineups'!$K$2:$K$2000,'Team Lineups'!$C$2:$C$2000,G$1))</f>
        <v>2</v>
      </c>
      <c r="H10" cm="1">
        <f t="array" ref="H10">SUMPRODUCT(('Team Lineups'!$K$2:$K$2000&lt;&gt;"")*('Team Lineups'!$C$2:$C$2000=$A10)*COUNTIFS('Team Lineups'!$K$2:$K$2000,'Team Lineups'!$K$2:$K$2000,'Team Lineups'!$C$2:$C$2000,H$1))</f>
        <v>2</v>
      </c>
      <c r="I10" cm="1">
        <f t="array" ref="I10">SUMPRODUCT(('Team Lineups'!$K$2:$K$2000&lt;&gt;"")*('Team Lineups'!$C$2:$C$2000=$A10)*COUNTIFS('Team Lineups'!$K$2:$K$2000,'Team Lineups'!$K$2:$K$2000,'Team Lineups'!$C$2:$C$2000,I$1))</f>
        <v>2</v>
      </c>
      <c r="J10" cm="1">
        <f t="array" ref="J10">SUMPRODUCT(('Team Lineups'!$K$2:$K$2000&lt;&gt;"")*('Team Lineups'!$C$2:$C$2000=$A10)*COUNTIFS('Team Lineups'!$K$2:$K$2000,'Team Lineups'!$K$2:$K$2000,'Team Lineups'!$C$2:$C$2000,J$1))</f>
        <v>2</v>
      </c>
      <c r="K10" cm="1">
        <f t="array" ref="K10">SUMPRODUCT(('Team Lineups'!$K$2:$K$2000&lt;&gt;"")*('Team Lineups'!$C$2:$C$2000=$A10)*COUNTIFS('Team Lineups'!$K$2:$K$2000,'Team Lineups'!$K$2:$K$2000,'Team Lineups'!$C$2:$C$2000,K$1))</f>
        <v>1</v>
      </c>
      <c r="L10" cm="1">
        <f t="array" ref="L10">SUMPRODUCT(('Team Lineups'!$K$2:$K$2000&lt;&gt;"")*('Team Lineups'!$C$2:$C$2000=$A10)*COUNTIFS('Team Lineups'!$K$2:$K$2000,'Team Lineups'!$K$2:$K$2000,'Team Lineups'!$C$2:$C$2000,L$1))</f>
        <v>0</v>
      </c>
      <c r="M10" cm="1">
        <f t="array" ref="M10">SUMPRODUCT(('Team Lineups'!$K$2:$K$2000&lt;&gt;"")*('Team Lineups'!$C$2:$C$2000=$A10)*COUNTIFS('Team Lineups'!$K$2:$K$2000,'Team Lineups'!$K$2:$K$2000,'Team Lineups'!$C$2:$C$2000,M$1))</f>
        <v>0</v>
      </c>
      <c r="N10" cm="1">
        <f t="array" ref="N10">SUMPRODUCT(('Team Lineups'!$K$2:$K$2000&lt;&gt;"")*('Team Lineups'!$C$2:$C$2000=$A10)*COUNTIFS('Team Lineups'!$K$2:$K$2000,'Team Lineups'!$K$2:$K$2000,'Team Lineups'!$C$2:$C$2000,N$1))</f>
        <v>0</v>
      </c>
      <c r="O10" cm="1">
        <f t="array" ref="O10">SUMPRODUCT(('Team Lineups'!$K$2:$K$2000&lt;&gt;"")*('Team Lineups'!$C$2:$C$2000=$A10)*COUNTIFS('Team Lineups'!$K$2:$K$2000,'Team Lineups'!$K$2:$K$2000,'Team Lineups'!$C$2:$C$2000,O$1))</f>
        <v>0</v>
      </c>
      <c r="P10" cm="1">
        <f t="array" ref="P10">SUMPRODUCT(('Team Lineups'!$K$2:$K$2000&lt;&gt;"")*('Team Lineups'!$C$2:$C$2000=$A10)*COUNTIFS('Team Lineups'!$K$2:$K$2000,'Team Lineups'!$K$2:$K$2000,'Team Lineups'!$C$2:$C$2000,P$1))</f>
        <v>1</v>
      </c>
      <c r="Q10" cm="1">
        <f t="array" ref="Q10">SUMPRODUCT(('Team Lineups'!$K$2:$K$2000&lt;&gt;"")*('Team Lineups'!$C$2:$C$2000=$A10)*COUNTIFS('Team Lineups'!$K$2:$K$2000,'Team Lineups'!$K$2:$K$2000,'Team Lineups'!$C$2:$C$2000,Q$1))</f>
        <v>1</v>
      </c>
      <c r="R10" cm="1">
        <f t="array" ref="R10">SUMPRODUCT(('Team Lineups'!$K$2:$K$2000&lt;&gt;"")*('Team Lineups'!$C$2:$C$2000=$A10)*COUNTIFS('Team Lineups'!$K$2:$K$2000,'Team Lineups'!$K$2:$K$2000,'Team Lineups'!$C$2:$C$2000,R$1))</f>
        <v>1</v>
      </c>
      <c r="S10" cm="1">
        <f t="array" ref="S10">SUMPRODUCT(('Team Lineups'!$K$2:$K$2000&lt;&gt;"")*('Team Lineups'!$C$2:$C$2000=$A10)*COUNTIFS('Team Lineups'!$K$2:$K$2000,'Team Lineups'!$K$2:$K$2000,'Team Lineups'!$C$2:$C$2000,S$1))</f>
        <v>0</v>
      </c>
      <c r="T10" cm="1">
        <f t="array" ref="T10">SUMPRODUCT(('Team Lineups'!$K$2:$K$2000&lt;&gt;"")*('Team Lineups'!$C$2:$C$2000=$A10)*COUNTIFS('Team Lineups'!$K$2:$K$2000,'Team Lineups'!$K$2:$K$2000,'Team Lineups'!$C$2:$C$2000,T$1))</f>
        <v>0</v>
      </c>
      <c r="U10" cm="1">
        <f t="array" ref="U10">SUMPRODUCT(('Team Lineups'!$K$2:$K$2000&lt;&gt;"")*('Team Lineups'!$C$2:$C$2000=$A10)*COUNTIFS('Team Lineups'!$K$2:$K$2000,'Team Lineups'!$K$2:$K$2000,'Team Lineups'!$C$2:$C$2000,U$1))</f>
        <v>0</v>
      </c>
      <c r="V10" cm="1">
        <f t="array" ref="V10">SUMPRODUCT(('Team Lineups'!$K$2:$K$2000&lt;&gt;"")*('Team Lineups'!$C$2:$C$2000=$A10)*COUNTIFS('Team Lineups'!$K$2:$K$2000,'Team Lineups'!$K$2:$K$2000,'Team Lineups'!$C$2:$C$2000,V$1))</f>
        <v>0</v>
      </c>
      <c r="W10" cm="1">
        <f t="array" ref="W10">SUMPRODUCT(('Team Lineups'!$K$2:$K$2000&lt;&gt;"")*('Team Lineups'!$C$2:$C$2000=$A10)*COUNTIFS('Team Lineups'!$K$2:$K$2000,'Team Lineups'!$K$2:$K$2000,'Team Lineups'!$C$2:$C$2000,W$1))</f>
        <v>0</v>
      </c>
      <c r="X10" cm="1">
        <f t="array" ref="X10">SUMPRODUCT(('Team Lineups'!$K$2:$K$2000&lt;&gt;"")*('Team Lineups'!$C$2:$C$2000=$A10)*COUNTIFS('Team Lineups'!$K$2:$K$2000,'Team Lineups'!$K$2:$K$2000,'Team Lineups'!$C$2:$C$2000,X$1))</f>
        <v>0</v>
      </c>
      <c r="Y10" cm="1">
        <f t="array" ref="Y10">SUMPRODUCT(('Team Lineups'!$K$2:$K$2000&lt;&gt;"")*('Team Lineups'!$C$2:$C$2000=$A10)*COUNTIFS('Team Lineups'!$K$2:$K$2000,'Team Lineups'!$K$2:$K$2000,'Team Lineups'!$C$2:$C$2000,Y$1))</f>
        <v>0</v>
      </c>
      <c r="Z10" cm="1">
        <f t="array" ref="Z10">SUMPRODUCT(('Team Lineups'!$K$2:$K$2000&lt;&gt;"")*('Team Lineups'!$C$2:$C$2000=$A10)*COUNTIFS('Team Lineups'!$K$2:$K$2000,'Team Lineups'!$K$2:$K$2000,'Team Lineups'!$C$2:$C$2000,Z$1))</f>
        <v>0</v>
      </c>
      <c r="AA10" cm="1">
        <f t="array" ref="AA10">SUMPRODUCT(('Team Lineups'!$K$2:$K$2000&lt;&gt;"")*('Team Lineups'!$C$2:$C$2000=$A10)*COUNTIFS('Team Lineups'!$K$2:$K$2000,'Team Lineups'!$K$2:$K$2000,'Team Lineups'!$C$2:$C$2000,AA$1))</f>
        <v>0</v>
      </c>
      <c r="AB10" cm="1">
        <f t="array" ref="AB10">SUMPRODUCT(('Team Lineups'!$K$2:$K$2000&lt;&gt;"")*('Team Lineups'!$C$2:$C$2000=$A10)*COUNTIFS('Team Lineups'!$K$2:$K$2000,'Team Lineups'!$K$2:$K$2000,'Team Lineups'!$C$2:$C$2000,AB$1))</f>
        <v>0</v>
      </c>
      <c r="AC10" cm="1">
        <f t="array" ref="AC10">SUMPRODUCT(('Team Lineups'!$K$2:$K$2000&lt;&gt;"")*('Team Lineups'!$C$2:$C$2000=$A10)*COUNTIFS('Team Lineups'!$K$2:$K$2000,'Team Lineups'!$K$2:$K$2000,'Team Lineups'!$C$2:$C$2000,AC$1))</f>
        <v>0</v>
      </c>
      <c r="AD10" cm="1">
        <f t="array" ref="AD10">SUMPRODUCT(('Team Lineups'!$K$2:$K$2000&lt;&gt;"")*('Team Lineups'!$C$2:$C$2000=$A10)*COUNTIFS('Team Lineups'!$K$2:$K$2000,'Team Lineups'!$K$2:$K$2000,'Team Lineups'!$C$2:$C$2000,AD$1))</f>
        <v>0</v>
      </c>
      <c r="AE10" cm="1">
        <f t="array" ref="AE10">SUMPRODUCT(('Team Lineups'!$K$2:$K$2000&lt;&gt;"")*('Team Lineups'!$C$2:$C$2000=$A10)*COUNTIFS('Team Lineups'!$K$2:$K$2000,'Team Lineups'!$K$2:$K$2000,'Team Lineups'!$C$2:$C$2000,AE$1))</f>
        <v>0</v>
      </c>
      <c r="AF10" cm="1">
        <f t="array" ref="AF10">SUMPRODUCT(('Team Lineups'!$K$2:$K$2000&lt;&gt;"")*('Team Lineups'!$C$2:$C$2000=$A10)*COUNTIFS('Team Lineups'!$K$2:$K$2000,'Team Lineups'!$K$2:$K$2000,'Team Lineups'!$C$2:$C$2000,AF$1))</f>
        <v>0</v>
      </c>
      <c r="AG10" cm="1">
        <f t="array" ref="AG10">SUMPRODUCT(('Team Lineups'!$K$2:$K$2000&lt;&gt;"")*('Team Lineups'!$C$2:$C$2000=$A10)*COUNTIFS('Team Lineups'!$K$2:$K$2000,'Team Lineups'!$K$2:$K$2000,'Team Lineups'!$C$2:$C$2000,AG$1))</f>
        <v>0</v>
      </c>
      <c r="AH10" cm="1">
        <f t="array" ref="AH10">SUMPRODUCT(('Team Lineups'!$K$2:$K$2000&lt;&gt;"")*('Team Lineups'!$C$2:$C$2000=$A10)*COUNTIFS('Team Lineups'!$K$2:$K$2000,'Team Lineups'!$K$2:$K$2000,'Team Lineups'!$C$2:$C$2000,AH$1))</f>
        <v>0</v>
      </c>
      <c r="AI10" cm="1">
        <f t="array" ref="AI10">SUMPRODUCT(('Team Lineups'!$K$2:$K$2000&lt;&gt;"")*('Team Lineups'!$C$2:$C$2000=$A10)*COUNTIFS('Team Lineups'!$K$2:$K$2000,'Team Lineups'!$K$2:$K$2000,'Team Lineups'!$C$2:$C$2000,AI$1))</f>
        <v>0</v>
      </c>
      <c r="AJ10" cm="1">
        <f t="array" ref="AJ10">SUMPRODUCT(('Team Lineups'!$K$2:$K$2000&lt;&gt;"")*('Team Lineups'!$C$2:$C$2000=$A10)*COUNTIFS('Team Lineups'!$K$2:$K$2000,'Team Lineups'!$K$2:$K$2000,'Team Lineups'!$C$2:$C$2000,AJ$1))</f>
        <v>0</v>
      </c>
      <c r="AK10" cm="1">
        <f t="array" ref="AK10">SUMPRODUCT(('Team Lineups'!$K$2:$K$2000&lt;&gt;"")*('Team Lineups'!$C$2:$C$2000=$A10)*COUNTIFS('Team Lineups'!$K$2:$K$2000,'Team Lineups'!$K$2:$K$2000,'Team Lineups'!$C$2:$C$2000,AK$1))</f>
        <v>0</v>
      </c>
      <c r="AL10" cm="1">
        <f t="array" ref="AL10">SUMPRODUCT(('Team Lineups'!$K$2:$K$2000&lt;&gt;"")*('Team Lineups'!$C$2:$C$2000=$A10)*COUNTIFS('Team Lineups'!$K$2:$K$2000,'Team Lineups'!$K$2:$K$2000,'Team Lineups'!$C$2:$C$2000,AL$1))</f>
        <v>0</v>
      </c>
      <c r="AM10" cm="1">
        <f t="array" ref="AM10">SUMPRODUCT(('Team Lineups'!$K$2:$K$2000&lt;&gt;"")*('Team Lineups'!$C$2:$C$2000=$A10)*COUNTIFS('Team Lineups'!$K$2:$K$2000,'Team Lineups'!$K$2:$K$2000,'Team Lineups'!$C$2:$C$2000,AM$1))</f>
        <v>0</v>
      </c>
      <c r="AN10" cm="1">
        <f t="array" ref="AN10">SUMPRODUCT(('Team Lineups'!$K$2:$K$2000&lt;&gt;"")*('Team Lineups'!$C$2:$C$2000=$A10)*COUNTIFS('Team Lineups'!$K$2:$K$2000,'Team Lineups'!$K$2:$K$2000,'Team Lineups'!$C$2:$C$2000,AN$1))</f>
        <v>0</v>
      </c>
      <c r="AO10" cm="1">
        <f t="array" ref="AO10">SUMPRODUCT(('Team Lineups'!$K$2:$K$2000&lt;&gt;"")*('Team Lineups'!$C$2:$C$2000=$A10)*COUNTIFS('Team Lineups'!$K$2:$K$2000,'Team Lineups'!$K$2:$K$2000,'Team Lineups'!$C$2:$C$2000,AO$1))</f>
        <v>0</v>
      </c>
      <c r="AP10" cm="1">
        <f t="array" ref="AP10">SUMPRODUCT(('Team Lineups'!$K$2:$K$2000&lt;&gt;"")*('Team Lineups'!$C$2:$C$2000=$A10)*COUNTIFS('Team Lineups'!$K$2:$K$2000,'Team Lineups'!$K$2:$K$2000,'Team Lineups'!$C$2:$C$2000,AP$1))</f>
        <v>0</v>
      </c>
      <c r="AQ10" cm="1">
        <f t="array" ref="AQ10">SUMPRODUCT(('Team Lineups'!$K$2:$K$2000&lt;&gt;"")*('Team Lineups'!$C$2:$C$2000=$A10)*COUNTIFS('Team Lineups'!$K$2:$K$2000,'Team Lineups'!$K$2:$K$2000,'Team Lineups'!$C$2:$C$2000,AQ$1))</f>
        <v>0</v>
      </c>
      <c r="AR10" cm="1">
        <f t="array" ref="AR10">SUMPRODUCT(('Team Lineups'!$K$2:$K$2000&lt;&gt;"")*('Team Lineups'!$C$2:$C$2000=$A10)*COUNTIFS('Team Lineups'!$K$2:$K$2000,'Team Lineups'!$K$2:$K$2000,'Team Lineups'!$C$2:$C$2000,AR$1))</f>
        <v>0</v>
      </c>
      <c r="AS10" cm="1">
        <f t="array" ref="AS10">SUMPRODUCT(('Team Lineups'!$K$2:$K$2000&lt;&gt;"")*('Team Lineups'!$C$2:$C$2000=$A10)*COUNTIFS('Team Lineups'!$K$2:$K$2000,'Team Lineups'!$K$2:$K$2000,'Team Lineups'!$C$2:$C$2000,AS$1))</f>
        <v>0</v>
      </c>
      <c r="AT10" cm="1">
        <f t="array" ref="AT10">SUMPRODUCT(('Team Lineups'!$K$2:$K$2000&lt;&gt;"")*('Team Lineups'!$C$2:$C$2000=$A10)*COUNTIFS('Team Lineups'!$K$2:$K$2000,'Team Lineups'!$K$2:$K$2000,'Team Lineups'!$C$2:$C$2000,AT$1))</f>
        <v>0</v>
      </c>
      <c r="AU10" cm="1">
        <f t="array" ref="AU10">SUMPRODUCT(('Team Lineups'!$K$2:$K$2000&lt;&gt;"")*('Team Lineups'!$C$2:$C$2000=$A10)*COUNTIFS('Team Lineups'!$K$2:$K$2000,'Team Lineups'!$K$2:$K$2000,'Team Lineups'!$C$2:$C$2000,AU$1))</f>
        <v>0</v>
      </c>
      <c r="AV10" cm="1">
        <f t="array" ref="AV10">SUMPRODUCT(('Team Lineups'!$K$2:$K$2000&lt;&gt;"")*('Team Lineups'!$C$2:$C$2000=$A10)*COUNTIFS('Team Lineups'!$K$2:$K$2000,'Team Lineups'!$K$2:$K$2000,'Team Lineups'!$C$2:$C$2000,AV$1))</f>
        <v>0</v>
      </c>
    </row>
    <row r="11" spans="1:100" x14ac:dyDescent="0.35">
      <c r="A11" t="str">
        <v>Damian</v>
      </c>
      <c r="B11" cm="1">
        <f t="array" ref="B11">SUMPRODUCT(('Team Lineups'!$K$2:$K$2000&lt;&gt;"")*('Team Lineups'!$C$2:$C$2000=$A11)*COUNTIFS('Team Lineups'!$K$2:$K$2000,'Team Lineups'!$K$2:$K$2000,'Team Lineups'!$C$2:$C$2000,B$1))</f>
        <v>0</v>
      </c>
      <c r="C11" cm="1">
        <f t="array" ref="C11">SUMPRODUCT(('Team Lineups'!$K$2:$K$2000&lt;&gt;"")*('Team Lineups'!$C$2:$C$2000=$A11)*COUNTIFS('Team Lineups'!$K$2:$K$2000,'Team Lineups'!$K$2:$K$2000,'Team Lineups'!$C$2:$C$2000,C$1))</f>
        <v>0</v>
      </c>
      <c r="D11" cm="1">
        <f t="array" ref="D11">SUMPRODUCT(('Team Lineups'!$K$2:$K$2000&lt;&gt;"")*('Team Lineups'!$C$2:$C$2000=$A11)*COUNTIFS('Team Lineups'!$K$2:$K$2000,'Team Lineups'!$K$2:$K$2000,'Team Lineups'!$C$2:$C$2000,D$1))</f>
        <v>0</v>
      </c>
      <c r="E11" cm="1">
        <f t="array" ref="E11">SUMPRODUCT(('Team Lineups'!$K$2:$K$2000&lt;&gt;"")*('Team Lineups'!$C$2:$C$2000=$A11)*COUNTIFS('Team Lineups'!$K$2:$K$2000,'Team Lineups'!$K$2:$K$2000,'Team Lineups'!$C$2:$C$2000,E$1))</f>
        <v>0</v>
      </c>
      <c r="F11" cm="1">
        <f t="array" ref="F11">SUMPRODUCT(('Team Lineups'!$K$2:$K$2000&lt;&gt;"")*('Team Lineups'!$C$2:$C$2000=$A11)*COUNTIFS('Team Lineups'!$K$2:$K$2000,'Team Lineups'!$K$2:$K$2000,'Team Lineups'!$C$2:$C$2000,F$1))</f>
        <v>0</v>
      </c>
      <c r="G11" cm="1">
        <f t="array" ref="G11">SUMPRODUCT(('Team Lineups'!$K$2:$K$2000&lt;&gt;"")*('Team Lineups'!$C$2:$C$2000=$A11)*COUNTIFS('Team Lineups'!$K$2:$K$2000,'Team Lineups'!$K$2:$K$2000,'Team Lineups'!$C$2:$C$2000,G$1))</f>
        <v>1</v>
      </c>
      <c r="H11" cm="1">
        <f t="array" ref="H11">SUMPRODUCT(('Team Lineups'!$K$2:$K$2000&lt;&gt;"")*('Team Lineups'!$C$2:$C$2000=$A11)*COUNTIFS('Team Lineups'!$K$2:$K$2000,'Team Lineups'!$K$2:$K$2000,'Team Lineups'!$C$2:$C$2000,H$1))</f>
        <v>1</v>
      </c>
      <c r="I11" cm="1">
        <f t="array" ref="I11">SUMPRODUCT(('Team Lineups'!$K$2:$K$2000&lt;&gt;"")*('Team Lineups'!$C$2:$C$2000=$A11)*COUNTIFS('Team Lineups'!$K$2:$K$2000,'Team Lineups'!$K$2:$K$2000,'Team Lineups'!$C$2:$C$2000,I$1))</f>
        <v>1</v>
      </c>
      <c r="J11" cm="1">
        <f t="array" ref="J11">SUMPRODUCT(('Team Lineups'!$K$2:$K$2000&lt;&gt;"")*('Team Lineups'!$C$2:$C$2000=$A11)*COUNTIFS('Team Lineups'!$K$2:$K$2000,'Team Lineups'!$K$2:$K$2000,'Team Lineups'!$C$2:$C$2000,J$1))</f>
        <v>1</v>
      </c>
      <c r="K11" cm="1">
        <f t="array" ref="K11">SUMPRODUCT(('Team Lineups'!$K$2:$K$2000&lt;&gt;"")*('Team Lineups'!$C$2:$C$2000=$A11)*COUNTIFS('Team Lineups'!$K$2:$K$2000,'Team Lineups'!$K$2:$K$2000,'Team Lineups'!$C$2:$C$2000,K$1))</f>
        <v>1</v>
      </c>
      <c r="L11" cm="1">
        <f t="array" ref="L11">SUMPRODUCT(('Team Lineups'!$K$2:$K$2000&lt;&gt;"")*('Team Lineups'!$C$2:$C$2000=$A11)*COUNTIFS('Team Lineups'!$K$2:$K$2000,'Team Lineups'!$K$2:$K$2000,'Team Lineups'!$C$2:$C$2000,L$1))</f>
        <v>0</v>
      </c>
      <c r="M11" cm="1">
        <f t="array" ref="M11">SUMPRODUCT(('Team Lineups'!$K$2:$K$2000&lt;&gt;"")*('Team Lineups'!$C$2:$C$2000=$A11)*COUNTIFS('Team Lineups'!$K$2:$K$2000,'Team Lineups'!$K$2:$K$2000,'Team Lineups'!$C$2:$C$2000,M$1))</f>
        <v>0</v>
      </c>
      <c r="N11" cm="1">
        <f t="array" ref="N11">SUMPRODUCT(('Team Lineups'!$K$2:$K$2000&lt;&gt;"")*('Team Lineups'!$C$2:$C$2000=$A11)*COUNTIFS('Team Lineups'!$K$2:$K$2000,'Team Lineups'!$K$2:$K$2000,'Team Lineups'!$C$2:$C$2000,N$1))</f>
        <v>0</v>
      </c>
      <c r="O11" cm="1">
        <f t="array" ref="O11">SUMPRODUCT(('Team Lineups'!$K$2:$K$2000&lt;&gt;"")*('Team Lineups'!$C$2:$C$2000=$A11)*COUNTIFS('Team Lineups'!$K$2:$K$2000,'Team Lineups'!$K$2:$K$2000,'Team Lineups'!$C$2:$C$2000,O$1))</f>
        <v>0</v>
      </c>
      <c r="P11" cm="1">
        <f t="array" ref="P11">SUMPRODUCT(('Team Lineups'!$K$2:$K$2000&lt;&gt;"")*('Team Lineups'!$C$2:$C$2000=$A11)*COUNTIFS('Team Lineups'!$K$2:$K$2000,'Team Lineups'!$K$2:$K$2000,'Team Lineups'!$C$2:$C$2000,P$1))</f>
        <v>0</v>
      </c>
      <c r="Q11" cm="1">
        <f t="array" ref="Q11">SUMPRODUCT(('Team Lineups'!$K$2:$K$2000&lt;&gt;"")*('Team Lineups'!$C$2:$C$2000=$A11)*COUNTIFS('Team Lineups'!$K$2:$K$2000,'Team Lineups'!$K$2:$K$2000,'Team Lineups'!$C$2:$C$2000,Q$1))</f>
        <v>0</v>
      </c>
      <c r="R11" cm="1">
        <f t="array" ref="R11">SUMPRODUCT(('Team Lineups'!$K$2:$K$2000&lt;&gt;"")*('Team Lineups'!$C$2:$C$2000=$A11)*COUNTIFS('Team Lineups'!$K$2:$K$2000,'Team Lineups'!$K$2:$K$2000,'Team Lineups'!$C$2:$C$2000,R$1))</f>
        <v>0</v>
      </c>
      <c r="S11" cm="1">
        <f t="array" ref="S11">SUMPRODUCT(('Team Lineups'!$K$2:$K$2000&lt;&gt;"")*('Team Lineups'!$C$2:$C$2000=$A11)*COUNTIFS('Team Lineups'!$K$2:$K$2000,'Team Lineups'!$K$2:$K$2000,'Team Lineups'!$C$2:$C$2000,S$1))</f>
        <v>0</v>
      </c>
      <c r="T11" cm="1">
        <f t="array" ref="T11">SUMPRODUCT(('Team Lineups'!$K$2:$K$2000&lt;&gt;"")*('Team Lineups'!$C$2:$C$2000=$A11)*COUNTIFS('Team Lineups'!$K$2:$K$2000,'Team Lineups'!$K$2:$K$2000,'Team Lineups'!$C$2:$C$2000,T$1))</f>
        <v>0</v>
      </c>
      <c r="U11" cm="1">
        <f t="array" ref="U11">SUMPRODUCT(('Team Lineups'!$K$2:$K$2000&lt;&gt;"")*('Team Lineups'!$C$2:$C$2000=$A11)*COUNTIFS('Team Lineups'!$K$2:$K$2000,'Team Lineups'!$K$2:$K$2000,'Team Lineups'!$C$2:$C$2000,U$1))</f>
        <v>0</v>
      </c>
      <c r="V11" cm="1">
        <f t="array" ref="V11">SUMPRODUCT(('Team Lineups'!$K$2:$K$2000&lt;&gt;"")*('Team Lineups'!$C$2:$C$2000=$A11)*COUNTIFS('Team Lineups'!$K$2:$K$2000,'Team Lineups'!$K$2:$K$2000,'Team Lineups'!$C$2:$C$2000,V$1))</f>
        <v>0</v>
      </c>
      <c r="W11" cm="1">
        <f t="array" ref="W11">SUMPRODUCT(('Team Lineups'!$K$2:$K$2000&lt;&gt;"")*('Team Lineups'!$C$2:$C$2000=$A11)*COUNTIFS('Team Lineups'!$K$2:$K$2000,'Team Lineups'!$K$2:$K$2000,'Team Lineups'!$C$2:$C$2000,W$1))</f>
        <v>0</v>
      </c>
      <c r="X11" cm="1">
        <f t="array" ref="X11">SUMPRODUCT(('Team Lineups'!$K$2:$K$2000&lt;&gt;"")*('Team Lineups'!$C$2:$C$2000=$A11)*COUNTIFS('Team Lineups'!$K$2:$K$2000,'Team Lineups'!$K$2:$K$2000,'Team Lineups'!$C$2:$C$2000,X$1))</f>
        <v>0</v>
      </c>
      <c r="Y11" cm="1">
        <f t="array" ref="Y11">SUMPRODUCT(('Team Lineups'!$K$2:$K$2000&lt;&gt;"")*('Team Lineups'!$C$2:$C$2000=$A11)*COUNTIFS('Team Lineups'!$K$2:$K$2000,'Team Lineups'!$K$2:$K$2000,'Team Lineups'!$C$2:$C$2000,Y$1))</f>
        <v>0</v>
      </c>
      <c r="Z11" cm="1">
        <f t="array" ref="Z11">SUMPRODUCT(('Team Lineups'!$K$2:$K$2000&lt;&gt;"")*('Team Lineups'!$C$2:$C$2000=$A11)*COUNTIFS('Team Lineups'!$K$2:$K$2000,'Team Lineups'!$K$2:$K$2000,'Team Lineups'!$C$2:$C$2000,Z$1))</f>
        <v>0</v>
      </c>
      <c r="AA11" cm="1">
        <f t="array" ref="AA11">SUMPRODUCT(('Team Lineups'!$K$2:$K$2000&lt;&gt;"")*('Team Lineups'!$C$2:$C$2000=$A11)*COUNTIFS('Team Lineups'!$K$2:$K$2000,'Team Lineups'!$K$2:$K$2000,'Team Lineups'!$C$2:$C$2000,AA$1))</f>
        <v>0</v>
      </c>
      <c r="AB11" cm="1">
        <f t="array" ref="AB11">SUMPRODUCT(('Team Lineups'!$K$2:$K$2000&lt;&gt;"")*('Team Lineups'!$C$2:$C$2000=$A11)*COUNTIFS('Team Lineups'!$K$2:$K$2000,'Team Lineups'!$K$2:$K$2000,'Team Lineups'!$C$2:$C$2000,AB$1))</f>
        <v>0</v>
      </c>
      <c r="AC11" cm="1">
        <f t="array" ref="AC11">SUMPRODUCT(('Team Lineups'!$K$2:$K$2000&lt;&gt;"")*('Team Lineups'!$C$2:$C$2000=$A11)*COUNTIFS('Team Lineups'!$K$2:$K$2000,'Team Lineups'!$K$2:$K$2000,'Team Lineups'!$C$2:$C$2000,AC$1))</f>
        <v>0</v>
      </c>
      <c r="AD11" cm="1">
        <f t="array" ref="AD11">SUMPRODUCT(('Team Lineups'!$K$2:$K$2000&lt;&gt;"")*('Team Lineups'!$C$2:$C$2000=$A11)*COUNTIFS('Team Lineups'!$K$2:$K$2000,'Team Lineups'!$K$2:$K$2000,'Team Lineups'!$C$2:$C$2000,AD$1))</f>
        <v>0</v>
      </c>
      <c r="AE11" cm="1">
        <f t="array" ref="AE11">SUMPRODUCT(('Team Lineups'!$K$2:$K$2000&lt;&gt;"")*('Team Lineups'!$C$2:$C$2000=$A11)*COUNTIFS('Team Lineups'!$K$2:$K$2000,'Team Lineups'!$K$2:$K$2000,'Team Lineups'!$C$2:$C$2000,AE$1))</f>
        <v>0</v>
      </c>
      <c r="AF11" cm="1">
        <f t="array" ref="AF11">SUMPRODUCT(('Team Lineups'!$K$2:$K$2000&lt;&gt;"")*('Team Lineups'!$C$2:$C$2000=$A11)*COUNTIFS('Team Lineups'!$K$2:$K$2000,'Team Lineups'!$K$2:$K$2000,'Team Lineups'!$C$2:$C$2000,AF$1))</f>
        <v>0</v>
      </c>
      <c r="AG11" cm="1">
        <f t="array" ref="AG11">SUMPRODUCT(('Team Lineups'!$K$2:$K$2000&lt;&gt;"")*('Team Lineups'!$C$2:$C$2000=$A11)*COUNTIFS('Team Lineups'!$K$2:$K$2000,'Team Lineups'!$K$2:$K$2000,'Team Lineups'!$C$2:$C$2000,AG$1))</f>
        <v>0</v>
      </c>
      <c r="AH11" cm="1">
        <f t="array" ref="AH11">SUMPRODUCT(('Team Lineups'!$K$2:$K$2000&lt;&gt;"")*('Team Lineups'!$C$2:$C$2000=$A11)*COUNTIFS('Team Lineups'!$K$2:$K$2000,'Team Lineups'!$K$2:$K$2000,'Team Lineups'!$C$2:$C$2000,AH$1))</f>
        <v>0</v>
      </c>
      <c r="AI11" cm="1">
        <f t="array" ref="AI11">SUMPRODUCT(('Team Lineups'!$K$2:$K$2000&lt;&gt;"")*('Team Lineups'!$C$2:$C$2000=$A11)*COUNTIFS('Team Lineups'!$K$2:$K$2000,'Team Lineups'!$K$2:$K$2000,'Team Lineups'!$C$2:$C$2000,AI$1))</f>
        <v>0</v>
      </c>
      <c r="AJ11" cm="1">
        <f t="array" ref="AJ11">SUMPRODUCT(('Team Lineups'!$K$2:$K$2000&lt;&gt;"")*('Team Lineups'!$C$2:$C$2000=$A11)*COUNTIFS('Team Lineups'!$K$2:$K$2000,'Team Lineups'!$K$2:$K$2000,'Team Lineups'!$C$2:$C$2000,AJ$1))</f>
        <v>0</v>
      </c>
      <c r="AK11" cm="1">
        <f t="array" ref="AK11">SUMPRODUCT(('Team Lineups'!$K$2:$K$2000&lt;&gt;"")*('Team Lineups'!$C$2:$C$2000=$A11)*COUNTIFS('Team Lineups'!$K$2:$K$2000,'Team Lineups'!$K$2:$K$2000,'Team Lineups'!$C$2:$C$2000,AK$1))</f>
        <v>0</v>
      </c>
      <c r="AL11" cm="1">
        <f t="array" ref="AL11">SUMPRODUCT(('Team Lineups'!$K$2:$K$2000&lt;&gt;"")*('Team Lineups'!$C$2:$C$2000=$A11)*COUNTIFS('Team Lineups'!$K$2:$K$2000,'Team Lineups'!$K$2:$K$2000,'Team Lineups'!$C$2:$C$2000,AL$1))</f>
        <v>0</v>
      </c>
      <c r="AM11" cm="1">
        <f t="array" ref="AM11">SUMPRODUCT(('Team Lineups'!$K$2:$K$2000&lt;&gt;"")*('Team Lineups'!$C$2:$C$2000=$A11)*COUNTIFS('Team Lineups'!$K$2:$K$2000,'Team Lineups'!$K$2:$K$2000,'Team Lineups'!$C$2:$C$2000,AM$1))</f>
        <v>0</v>
      </c>
      <c r="AN11" cm="1">
        <f t="array" ref="AN11">SUMPRODUCT(('Team Lineups'!$K$2:$K$2000&lt;&gt;"")*('Team Lineups'!$C$2:$C$2000=$A11)*COUNTIFS('Team Lineups'!$K$2:$K$2000,'Team Lineups'!$K$2:$K$2000,'Team Lineups'!$C$2:$C$2000,AN$1))</f>
        <v>0</v>
      </c>
      <c r="AO11" cm="1">
        <f t="array" ref="AO11">SUMPRODUCT(('Team Lineups'!$K$2:$K$2000&lt;&gt;"")*('Team Lineups'!$C$2:$C$2000=$A11)*COUNTIFS('Team Lineups'!$K$2:$K$2000,'Team Lineups'!$K$2:$K$2000,'Team Lineups'!$C$2:$C$2000,AO$1))</f>
        <v>0</v>
      </c>
      <c r="AP11" cm="1">
        <f t="array" ref="AP11">SUMPRODUCT(('Team Lineups'!$K$2:$K$2000&lt;&gt;"")*('Team Lineups'!$C$2:$C$2000=$A11)*COUNTIFS('Team Lineups'!$K$2:$K$2000,'Team Lineups'!$K$2:$K$2000,'Team Lineups'!$C$2:$C$2000,AP$1))</f>
        <v>0</v>
      </c>
      <c r="AQ11" cm="1">
        <f t="array" ref="AQ11">SUMPRODUCT(('Team Lineups'!$K$2:$K$2000&lt;&gt;"")*('Team Lineups'!$C$2:$C$2000=$A11)*COUNTIFS('Team Lineups'!$K$2:$K$2000,'Team Lineups'!$K$2:$K$2000,'Team Lineups'!$C$2:$C$2000,AQ$1))</f>
        <v>0</v>
      </c>
      <c r="AR11" cm="1">
        <f t="array" ref="AR11">SUMPRODUCT(('Team Lineups'!$K$2:$K$2000&lt;&gt;"")*('Team Lineups'!$C$2:$C$2000=$A11)*COUNTIFS('Team Lineups'!$K$2:$K$2000,'Team Lineups'!$K$2:$K$2000,'Team Lineups'!$C$2:$C$2000,AR$1))</f>
        <v>0</v>
      </c>
      <c r="AS11" cm="1">
        <f t="array" ref="AS11">SUMPRODUCT(('Team Lineups'!$K$2:$K$2000&lt;&gt;"")*('Team Lineups'!$C$2:$C$2000=$A11)*COUNTIFS('Team Lineups'!$K$2:$K$2000,'Team Lineups'!$K$2:$K$2000,'Team Lineups'!$C$2:$C$2000,AS$1))</f>
        <v>0</v>
      </c>
      <c r="AT11" cm="1">
        <f t="array" ref="AT11">SUMPRODUCT(('Team Lineups'!$K$2:$K$2000&lt;&gt;"")*('Team Lineups'!$C$2:$C$2000=$A11)*COUNTIFS('Team Lineups'!$K$2:$K$2000,'Team Lineups'!$K$2:$K$2000,'Team Lineups'!$C$2:$C$2000,AT$1))</f>
        <v>0</v>
      </c>
      <c r="AU11" cm="1">
        <f t="array" ref="AU11">SUMPRODUCT(('Team Lineups'!$K$2:$K$2000&lt;&gt;"")*('Team Lineups'!$C$2:$C$2000=$A11)*COUNTIFS('Team Lineups'!$K$2:$K$2000,'Team Lineups'!$K$2:$K$2000,'Team Lineups'!$C$2:$C$2000,AU$1))</f>
        <v>0</v>
      </c>
      <c r="AV11" cm="1">
        <f t="array" ref="AV11">SUMPRODUCT(('Team Lineups'!$K$2:$K$2000&lt;&gt;"")*('Team Lineups'!$C$2:$C$2000=$A11)*COUNTIFS('Team Lineups'!$K$2:$K$2000,'Team Lineups'!$K$2:$K$2000,'Team Lineups'!$C$2:$C$2000,AV$1))</f>
        <v>0</v>
      </c>
    </row>
    <row r="12" spans="1:100" x14ac:dyDescent="0.35">
      <c r="A12" t="str">
        <v>Sergio</v>
      </c>
      <c r="B12" cm="1">
        <f t="array" ref="B12">SUMPRODUCT(('Team Lineups'!$K$2:$K$2000&lt;&gt;"")*('Team Lineups'!$C$2:$C$2000=$A12)*COUNTIFS('Team Lineups'!$K$2:$K$2000,'Team Lineups'!$K$2:$K$2000,'Team Lineups'!$C$2:$C$2000,B$1))</f>
        <v>4</v>
      </c>
      <c r="C12" cm="1">
        <f t="array" ref="C12">SUMPRODUCT(('Team Lineups'!$K$2:$K$2000&lt;&gt;"")*('Team Lineups'!$C$2:$C$2000=$A12)*COUNTIFS('Team Lineups'!$K$2:$K$2000,'Team Lineups'!$K$2:$K$2000,'Team Lineups'!$C$2:$C$2000,C$1))</f>
        <v>4</v>
      </c>
      <c r="D12" cm="1">
        <f t="array" ref="D12">SUMPRODUCT(('Team Lineups'!$K$2:$K$2000&lt;&gt;"")*('Team Lineups'!$C$2:$C$2000=$A12)*COUNTIFS('Team Lineups'!$K$2:$K$2000,'Team Lineups'!$K$2:$K$2000,'Team Lineups'!$C$2:$C$2000,D$1))</f>
        <v>7</v>
      </c>
      <c r="E12" cm="1">
        <f t="array" ref="E12">SUMPRODUCT(('Team Lineups'!$K$2:$K$2000&lt;&gt;"")*('Team Lineups'!$C$2:$C$2000=$A12)*COUNTIFS('Team Lineups'!$K$2:$K$2000,'Team Lineups'!$K$2:$K$2000,'Team Lineups'!$C$2:$C$2000,E$1))</f>
        <v>6</v>
      </c>
      <c r="F12" cm="1">
        <f t="array" ref="F12">SUMPRODUCT(('Team Lineups'!$K$2:$K$2000&lt;&gt;"")*('Team Lineups'!$C$2:$C$2000=$A12)*COUNTIFS('Team Lineups'!$K$2:$K$2000,'Team Lineups'!$K$2:$K$2000,'Team Lineups'!$C$2:$C$2000,F$1))</f>
        <v>10</v>
      </c>
      <c r="G12" cm="1">
        <f t="array" ref="G12">SUMPRODUCT(('Team Lineups'!$K$2:$K$2000&lt;&gt;"")*('Team Lineups'!$C$2:$C$2000=$A12)*COUNTIFS('Team Lineups'!$K$2:$K$2000,'Team Lineups'!$K$2:$K$2000,'Team Lineups'!$C$2:$C$2000,G$1))</f>
        <v>7</v>
      </c>
      <c r="H12" cm="1">
        <f t="array" ref="H12">SUMPRODUCT(('Team Lineups'!$K$2:$K$2000&lt;&gt;"")*('Team Lineups'!$C$2:$C$2000=$A12)*COUNTIFS('Team Lineups'!$K$2:$K$2000,'Team Lineups'!$K$2:$K$2000,'Team Lineups'!$C$2:$C$2000,H$1))</f>
        <v>3</v>
      </c>
      <c r="I12" cm="1">
        <f t="array" ref="I12">SUMPRODUCT(('Team Lineups'!$K$2:$K$2000&lt;&gt;"")*('Team Lineups'!$C$2:$C$2000=$A12)*COUNTIFS('Team Lineups'!$K$2:$K$2000,'Team Lineups'!$K$2:$K$2000,'Team Lineups'!$C$2:$C$2000,I$1))</f>
        <v>8</v>
      </c>
      <c r="J12" cm="1">
        <f t="array" ref="J12">SUMPRODUCT(('Team Lineups'!$K$2:$K$2000&lt;&gt;"")*('Team Lineups'!$C$2:$C$2000=$A12)*COUNTIFS('Team Lineups'!$K$2:$K$2000,'Team Lineups'!$K$2:$K$2000,'Team Lineups'!$C$2:$C$2000,J$1))</f>
        <v>0</v>
      </c>
      <c r="K12" cm="1">
        <f t="array" ref="K12">SUMPRODUCT(('Team Lineups'!$K$2:$K$2000&lt;&gt;"")*('Team Lineups'!$C$2:$C$2000=$A12)*COUNTIFS('Team Lineups'!$K$2:$K$2000,'Team Lineups'!$K$2:$K$2000,'Team Lineups'!$C$2:$C$2000,K$1))</f>
        <v>0</v>
      </c>
      <c r="L12" cm="1">
        <f t="array" ref="L12">SUMPRODUCT(('Team Lineups'!$K$2:$K$2000&lt;&gt;"")*('Team Lineups'!$C$2:$C$2000=$A12)*COUNTIFS('Team Lineups'!$K$2:$K$2000,'Team Lineups'!$K$2:$K$2000,'Team Lineups'!$C$2:$C$2000,L$1))</f>
        <v>27</v>
      </c>
      <c r="M12" cm="1">
        <f t="array" ref="M12">SUMPRODUCT(('Team Lineups'!$K$2:$K$2000&lt;&gt;"")*('Team Lineups'!$C$2:$C$2000=$A12)*COUNTIFS('Team Lineups'!$K$2:$K$2000,'Team Lineups'!$K$2:$K$2000,'Team Lineups'!$C$2:$C$2000,M$1))</f>
        <v>8</v>
      </c>
      <c r="N12" cm="1">
        <f t="array" ref="N12">SUMPRODUCT(('Team Lineups'!$K$2:$K$2000&lt;&gt;"")*('Team Lineups'!$C$2:$C$2000=$A12)*COUNTIFS('Team Lineups'!$K$2:$K$2000,'Team Lineups'!$K$2:$K$2000,'Team Lineups'!$C$2:$C$2000,N$1))</f>
        <v>7</v>
      </c>
      <c r="O12" cm="1">
        <f t="array" ref="O12">SUMPRODUCT(('Team Lineups'!$K$2:$K$2000&lt;&gt;"")*('Team Lineups'!$C$2:$C$2000=$A12)*COUNTIFS('Team Lineups'!$K$2:$K$2000,'Team Lineups'!$K$2:$K$2000,'Team Lineups'!$C$2:$C$2000,O$1))</f>
        <v>5</v>
      </c>
      <c r="P12" cm="1">
        <f t="array" ref="P12">SUMPRODUCT(('Team Lineups'!$K$2:$K$2000&lt;&gt;"")*('Team Lineups'!$C$2:$C$2000=$A12)*COUNTIFS('Team Lineups'!$K$2:$K$2000,'Team Lineups'!$K$2:$K$2000,'Team Lineups'!$C$2:$C$2000,P$1))</f>
        <v>1</v>
      </c>
      <c r="Q12" cm="1">
        <f t="array" ref="Q12">SUMPRODUCT(('Team Lineups'!$K$2:$K$2000&lt;&gt;"")*('Team Lineups'!$C$2:$C$2000=$A12)*COUNTIFS('Team Lineups'!$K$2:$K$2000,'Team Lineups'!$K$2:$K$2000,'Team Lineups'!$C$2:$C$2000,Q$1))</f>
        <v>8</v>
      </c>
      <c r="R12" cm="1">
        <f t="array" ref="R12">SUMPRODUCT(('Team Lineups'!$K$2:$K$2000&lt;&gt;"")*('Team Lineups'!$C$2:$C$2000=$A12)*COUNTIFS('Team Lineups'!$K$2:$K$2000,'Team Lineups'!$K$2:$K$2000,'Team Lineups'!$C$2:$C$2000,R$1))</f>
        <v>4</v>
      </c>
      <c r="S12" cm="1">
        <f t="array" ref="S12">SUMPRODUCT(('Team Lineups'!$K$2:$K$2000&lt;&gt;"")*('Team Lineups'!$C$2:$C$2000=$A12)*COUNTIFS('Team Lineups'!$K$2:$K$2000,'Team Lineups'!$K$2:$K$2000,'Team Lineups'!$C$2:$C$2000,S$1))</f>
        <v>7</v>
      </c>
      <c r="T12" cm="1">
        <f t="array" ref="T12">SUMPRODUCT(('Team Lineups'!$K$2:$K$2000&lt;&gt;"")*('Team Lineups'!$C$2:$C$2000=$A12)*COUNTIFS('Team Lineups'!$K$2:$K$2000,'Team Lineups'!$K$2:$K$2000,'Team Lineups'!$C$2:$C$2000,T$1))</f>
        <v>5</v>
      </c>
      <c r="U12" cm="1">
        <f t="array" ref="U12">SUMPRODUCT(('Team Lineups'!$K$2:$K$2000&lt;&gt;"")*('Team Lineups'!$C$2:$C$2000=$A12)*COUNTIFS('Team Lineups'!$K$2:$K$2000,'Team Lineups'!$K$2:$K$2000,'Team Lineups'!$C$2:$C$2000,U$1))</f>
        <v>1</v>
      </c>
      <c r="V12" cm="1">
        <f t="array" ref="V12">SUMPRODUCT(('Team Lineups'!$K$2:$K$2000&lt;&gt;"")*('Team Lineups'!$C$2:$C$2000=$A12)*COUNTIFS('Team Lineups'!$K$2:$K$2000,'Team Lineups'!$K$2:$K$2000,'Team Lineups'!$C$2:$C$2000,V$1))</f>
        <v>5</v>
      </c>
      <c r="W12" cm="1">
        <f t="array" ref="W12">SUMPRODUCT(('Team Lineups'!$K$2:$K$2000&lt;&gt;"")*('Team Lineups'!$C$2:$C$2000=$A12)*COUNTIFS('Team Lineups'!$K$2:$K$2000,'Team Lineups'!$K$2:$K$2000,'Team Lineups'!$C$2:$C$2000,W$1))</f>
        <v>0</v>
      </c>
      <c r="X12" cm="1">
        <f t="array" ref="X12">SUMPRODUCT(('Team Lineups'!$K$2:$K$2000&lt;&gt;"")*('Team Lineups'!$C$2:$C$2000=$A12)*COUNTIFS('Team Lineups'!$K$2:$K$2000,'Team Lineups'!$K$2:$K$2000,'Team Lineups'!$C$2:$C$2000,X$1))</f>
        <v>0</v>
      </c>
      <c r="Y12" cm="1">
        <f t="array" ref="Y12">SUMPRODUCT(('Team Lineups'!$K$2:$K$2000&lt;&gt;"")*('Team Lineups'!$C$2:$C$2000=$A12)*COUNTIFS('Team Lineups'!$K$2:$K$2000,'Team Lineups'!$K$2:$K$2000,'Team Lineups'!$C$2:$C$2000,Y$1))</f>
        <v>1</v>
      </c>
      <c r="Z12" cm="1">
        <f t="array" ref="Z12">SUMPRODUCT(('Team Lineups'!$K$2:$K$2000&lt;&gt;"")*('Team Lineups'!$C$2:$C$2000=$A12)*COUNTIFS('Team Lineups'!$K$2:$K$2000,'Team Lineups'!$K$2:$K$2000,'Team Lineups'!$C$2:$C$2000,Z$1))</f>
        <v>0</v>
      </c>
      <c r="AA12" cm="1">
        <f t="array" ref="AA12">SUMPRODUCT(('Team Lineups'!$K$2:$K$2000&lt;&gt;"")*('Team Lineups'!$C$2:$C$2000=$A12)*COUNTIFS('Team Lineups'!$K$2:$K$2000,'Team Lineups'!$K$2:$K$2000,'Team Lineups'!$C$2:$C$2000,AA$1))</f>
        <v>7</v>
      </c>
      <c r="AB12" cm="1">
        <f t="array" ref="AB12">SUMPRODUCT(('Team Lineups'!$K$2:$K$2000&lt;&gt;"")*('Team Lineups'!$C$2:$C$2000=$A12)*COUNTIFS('Team Lineups'!$K$2:$K$2000,'Team Lineups'!$K$2:$K$2000,'Team Lineups'!$C$2:$C$2000,AB$1))</f>
        <v>5</v>
      </c>
      <c r="AC12" cm="1">
        <f t="array" ref="AC12">SUMPRODUCT(('Team Lineups'!$K$2:$K$2000&lt;&gt;"")*('Team Lineups'!$C$2:$C$2000=$A12)*COUNTIFS('Team Lineups'!$K$2:$K$2000,'Team Lineups'!$K$2:$K$2000,'Team Lineups'!$C$2:$C$2000,AC$1))</f>
        <v>0</v>
      </c>
      <c r="AD12" cm="1">
        <f t="array" ref="AD12">SUMPRODUCT(('Team Lineups'!$K$2:$K$2000&lt;&gt;"")*('Team Lineups'!$C$2:$C$2000=$A12)*COUNTIFS('Team Lineups'!$K$2:$K$2000,'Team Lineups'!$K$2:$K$2000,'Team Lineups'!$C$2:$C$2000,AD$1))</f>
        <v>5</v>
      </c>
      <c r="AE12" cm="1">
        <f t="array" ref="AE12">SUMPRODUCT(('Team Lineups'!$K$2:$K$2000&lt;&gt;"")*('Team Lineups'!$C$2:$C$2000=$A12)*COUNTIFS('Team Lineups'!$K$2:$K$2000,'Team Lineups'!$K$2:$K$2000,'Team Lineups'!$C$2:$C$2000,AE$1))</f>
        <v>1</v>
      </c>
      <c r="AF12" cm="1">
        <f t="array" ref="AF12">SUMPRODUCT(('Team Lineups'!$K$2:$K$2000&lt;&gt;"")*('Team Lineups'!$C$2:$C$2000=$A12)*COUNTIFS('Team Lineups'!$K$2:$K$2000,'Team Lineups'!$K$2:$K$2000,'Team Lineups'!$C$2:$C$2000,AF$1))</f>
        <v>0</v>
      </c>
      <c r="AG12" cm="1">
        <f t="array" ref="AG12">SUMPRODUCT(('Team Lineups'!$K$2:$K$2000&lt;&gt;"")*('Team Lineups'!$C$2:$C$2000=$A12)*COUNTIFS('Team Lineups'!$K$2:$K$2000,'Team Lineups'!$K$2:$K$2000,'Team Lineups'!$C$2:$C$2000,AG$1))</f>
        <v>2</v>
      </c>
      <c r="AH12" cm="1">
        <f t="array" ref="AH12">SUMPRODUCT(('Team Lineups'!$K$2:$K$2000&lt;&gt;"")*('Team Lineups'!$C$2:$C$2000=$A12)*COUNTIFS('Team Lineups'!$K$2:$K$2000,'Team Lineups'!$K$2:$K$2000,'Team Lineups'!$C$2:$C$2000,AH$1))</f>
        <v>2</v>
      </c>
      <c r="AI12" cm="1">
        <f t="array" ref="AI12">SUMPRODUCT(('Team Lineups'!$K$2:$K$2000&lt;&gt;"")*('Team Lineups'!$C$2:$C$2000=$A12)*COUNTIFS('Team Lineups'!$K$2:$K$2000,'Team Lineups'!$K$2:$K$2000,'Team Lineups'!$C$2:$C$2000,AI$1))</f>
        <v>0</v>
      </c>
      <c r="AJ12" cm="1">
        <f t="array" ref="AJ12">SUMPRODUCT(('Team Lineups'!$K$2:$K$2000&lt;&gt;"")*('Team Lineups'!$C$2:$C$2000=$A12)*COUNTIFS('Team Lineups'!$K$2:$K$2000,'Team Lineups'!$K$2:$K$2000,'Team Lineups'!$C$2:$C$2000,AJ$1))</f>
        <v>5</v>
      </c>
      <c r="AK12" cm="1">
        <f t="array" ref="AK12">SUMPRODUCT(('Team Lineups'!$K$2:$K$2000&lt;&gt;"")*('Team Lineups'!$C$2:$C$2000=$A12)*COUNTIFS('Team Lineups'!$K$2:$K$2000,'Team Lineups'!$K$2:$K$2000,'Team Lineups'!$C$2:$C$2000,AK$1))</f>
        <v>1</v>
      </c>
      <c r="AL12" cm="1">
        <f t="array" ref="AL12">SUMPRODUCT(('Team Lineups'!$K$2:$K$2000&lt;&gt;"")*('Team Lineups'!$C$2:$C$2000=$A12)*COUNTIFS('Team Lineups'!$K$2:$K$2000,'Team Lineups'!$K$2:$K$2000,'Team Lineups'!$C$2:$C$2000,AL$1))</f>
        <v>0</v>
      </c>
      <c r="AM12" cm="1">
        <f t="array" ref="AM12">SUMPRODUCT(('Team Lineups'!$K$2:$K$2000&lt;&gt;"")*('Team Lineups'!$C$2:$C$2000=$A12)*COUNTIFS('Team Lineups'!$K$2:$K$2000,'Team Lineups'!$K$2:$K$2000,'Team Lineups'!$C$2:$C$2000,AM$1))</f>
        <v>0</v>
      </c>
      <c r="AN12" cm="1">
        <f t="array" ref="AN12">SUMPRODUCT(('Team Lineups'!$K$2:$K$2000&lt;&gt;"")*('Team Lineups'!$C$2:$C$2000=$A12)*COUNTIFS('Team Lineups'!$K$2:$K$2000,'Team Lineups'!$K$2:$K$2000,'Team Lineups'!$C$2:$C$2000,AN$1))</f>
        <v>2</v>
      </c>
      <c r="AO12" cm="1">
        <f t="array" ref="AO12">SUMPRODUCT(('Team Lineups'!$K$2:$K$2000&lt;&gt;"")*('Team Lineups'!$C$2:$C$2000=$A12)*COUNTIFS('Team Lineups'!$K$2:$K$2000,'Team Lineups'!$K$2:$K$2000,'Team Lineups'!$C$2:$C$2000,AO$1))</f>
        <v>3</v>
      </c>
      <c r="AP12" cm="1">
        <f t="array" ref="AP12">SUMPRODUCT(('Team Lineups'!$K$2:$K$2000&lt;&gt;"")*('Team Lineups'!$C$2:$C$2000=$A12)*COUNTIFS('Team Lineups'!$K$2:$K$2000,'Team Lineups'!$K$2:$K$2000,'Team Lineups'!$C$2:$C$2000,AP$1))</f>
        <v>1</v>
      </c>
      <c r="AQ12" cm="1">
        <f t="array" ref="AQ12">SUMPRODUCT(('Team Lineups'!$K$2:$K$2000&lt;&gt;"")*('Team Lineups'!$C$2:$C$2000=$A12)*COUNTIFS('Team Lineups'!$K$2:$K$2000,'Team Lineups'!$K$2:$K$2000,'Team Lineups'!$C$2:$C$2000,AQ$1))</f>
        <v>2</v>
      </c>
      <c r="AR12" cm="1">
        <f t="array" ref="AR12">SUMPRODUCT(('Team Lineups'!$K$2:$K$2000&lt;&gt;"")*('Team Lineups'!$C$2:$C$2000=$A12)*COUNTIFS('Team Lineups'!$K$2:$K$2000,'Team Lineups'!$K$2:$K$2000,'Team Lineups'!$C$2:$C$2000,AR$1))</f>
        <v>0</v>
      </c>
      <c r="AS12" cm="1">
        <f t="array" ref="AS12">SUMPRODUCT(('Team Lineups'!$K$2:$K$2000&lt;&gt;"")*('Team Lineups'!$C$2:$C$2000=$A12)*COUNTIFS('Team Lineups'!$K$2:$K$2000,'Team Lineups'!$K$2:$K$2000,'Team Lineups'!$C$2:$C$2000,AS$1))</f>
        <v>1</v>
      </c>
      <c r="AT12" cm="1">
        <f t="array" ref="AT12">SUMPRODUCT(('Team Lineups'!$K$2:$K$2000&lt;&gt;"")*('Team Lineups'!$C$2:$C$2000=$A12)*COUNTIFS('Team Lineups'!$K$2:$K$2000,'Team Lineups'!$K$2:$K$2000,'Team Lineups'!$C$2:$C$2000,AT$1))</f>
        <v>0</v>
      </c>
      <c r="AU12" cm="1">
        <f t="array" ref="AU12">SUMPRODUCT(('Team Lineups'!$K$2:$K$2000&lt;&gt;"")*('Team Lineups'!$C$2:$C$2000=$A12)*COUNTIFS('Team Lineups'!$K$2:$K$2000,'Team Lineups'!$K$2:$K$2000,'Team Lineups'!$C$2:$C$2000,AU$1))</f>
        <v>0</v>
      </c>
      <c r="AV12" cm="1">
        <f t="array" ref="AV12">SUMPRODUCT(('Team Lineups'!$K$2:$K$2000&lt;&gt;"")*('Team Lineups'!$C$2:$C$2000=$A12)*COUNTIFS('Team Lineups'!$K$2:$K$2000,'Team Lineups'!$K$2:$K$2000,'Team Lineups'!$C$2:$C$2000,AV$1))</f>
        <v>0</v>
      </c>
    </row>
    <row r="13" spans="1:100" x14ac:dyDescent="0.35">
      <c r="A13" t="str">
        <v>Barroso</v>
      </c>
      <c r="B13" cm="1">
        <f t="array" ref="B13">SUMPRODUCT(('Team Lineups'!$K$2:$K$2000&lt;&gt;"")*('Team Lineups'!$C$2:$C$2000=$A13)*COUNTIFS('Team Lineups'!$K$2:$K$2000,'Team Lineups'!$K$2:$K$2000,'Team Lineups'!$C$2:$C$2000,B$1))</f>
        <v>6</v>
      </c>
      <c r="C13" cm="1">
        <f t="array" ref="C13">SUMPRODUCT(('Team Lineups'!$K$2:$K$2000&lt;&gt;"")*('Team Lineups'!$C$2:$C$2000=$A13)*COUNTIFS('Team Lineups'!$K$2:$K$2000,'Team Lineups'!$K$2:$K$2000,'Team Lineups'!$C$2:$C$2000,C$1))</f>
        <v>2</v>
      </c>
      <c r="D13" cm="1">
        <f t="array" ref="D13">SUMPRODUCT(('Team Lineups'!$K$2:$K$2000&lt;&gt;"")*('Team Lineups'!$C$2:$C$2000=$A13)*COUNTIFS('Team Lineups'!$K$2:$K$2000,'Team Lineups'!$K$2:$K$2000,'Team Lineups'!$C$2:$C$2000,D$1))</f>
        <v>5</v>
      </c>
      <c r="E13" cm="1">
        <f t="array" ref="E13">SUMPRODUCT(('Team Lineups'!$K$2:$K$2000&lt;&gt;"")*('Team Lineups'!$C$2:$C$2000=$A13)*COUNTIFS('Team Lineups'!$K$2:$K$2000,'Team Lineups'!$K$2:$K$2000,'Team Lineups'!$C$2:$C$2000,E$1))</f>
        <v>5</v>
      </c>
      <c r="F13" cm="1">
        <f t="array" ref="F13">SUMPRODUCT(('Team Lineups'!$K$2:$K$2000&lt;&gt;"")*('Team Lineups'!$C$2:$C$2000=$A13)*COUNTIFS('Team Lineups'!$K$2:$K$2000,'Team Lineups'!$K$2:$K$2000,'Team Lineups'!$C$2:$C$2000,F$1))</f>
        <v>10</v>
      </c>
      <c r="G13" cm="1">
        <f t="array" ref="G13">SUMPRODUCT(('Team Lineups'!$K$2:$K$2000&lt;&gt;"")*('Team Lineups'!$C$2:$C$2000=$A13)*COUNTIFS('Team Lineups'!$K$2:$K$2000,'Team Lineups'!$K$2:$K$2000,'Team Lineups'!$C$2:$C$2000,G$1))</f>
        <v>12</v>
      </c>
      <c r="H13" cm="1">
        <f t="array" ref="H13">SUMPRODUCT(('Team Lineups'!$K$2:$K$2000&lt;&gt;"")*('Team Lineups'!$C$2:$C$2000=$A13)*COUNTIFS('Team Lineups'!$K$2:$K$2000,'Team Lineups'!$K$2:$K$2000,'Team Lineups'!$C$2:$C$2000,H$1))</f>
        <v>9</v>
      </c>
      <c r="I13" cm="1">
        <f t="array" ref="I13">SUMPRODUCT(('Team Lineups'!$K$2:$K$2000&lt;&gt;"")*('Team Lineups'!$C$2:$C$2000=$A13)*COUNTIFS('Team Lineups'!$K$2:$K$2000,'Team Lineups'!$K$2:$K$2000,'Team Lineups'!$C$2:$C$2000,I$1))</f>
        <v>8</v>
      </c>
      <c r="J13" cm="1">
        <f t="array" ref="J13">SUMPRODUCT(('Team Lineups'!$K$2:$K$2000&lt;&gt;"")*('Team Lineups'!$C$2:$C$2000=$A13)*COUNTIFS('Team Lineups'!$K$2:$K$2000,'Team Lineups'!$K$2:$K$2000,'Team Lineups'!$C$2:$C$2000,J$1))</f>
        <v>0</v>
      </c>
      <c r="K13" cm="1">
        <f t="array" ref="K13">SUMPRODUCT(('Team Lineups'!$K$2:$K$2000&lt;&gt;"")*('Team Lineups'!$C$2:$C$2000=$A13)*COUNTIFS('Team Lineups'!$K$2:$K$2000,'Team Lineups'!$K$2:$K$2000,'Team Lineups'!$C$2:$C$2000,K$1))</f>
        <v>0</v>
      </c>
      <c r="L13" cm="1">
        <f t="array" ref="L13">SUMPRODUCT(('Team Lineups'!$K$2:$K$2000&lt;&gt;"")*('Team Lineups'!$C$2:$C$2000=$A13)*COUNTIFS('Team Lineups'!$K$2:$K$2000,'Team Lineups'!$K$2:$K$2000,'Team Lineups'!$C$2:$C$2000,L$1))</f>
        <v>8</v>
      </c>
      <c r="M13" cm="1">
        <f t="array" ref="M13">SUMPRODUCT(('Team Lineups'!$K$2:$K$2000&lt;&gt;"")*('Team Lineups'!$C$2:$C$2000=$A13)*COUNTIFS('Team Lineups'!$K$2:$K$2000,'Team Lineups'!$K$2:$K$2000,'Team Lineups'!$C$2:$C$2000,M$1))</f>
        <v>28</v>
      </c>
      <c r="N13" cm="1">
        <f t="array" ref="N13">SUMPRODUCT(('Team Lineups'!$K$2:$K$2000&lt;&gt;"")*('Team Lineups'!$C$2:$C$2000=$A13)*COUNTIFS('Team Lineups'!$K$2:$K$2000,'Team Lineups'!$K$2:$K$2000,'Team Lineups'!$C$2:$C$2000,N$1))</f>
        <v>5</v>
      </c>
      <c r="O13" cm="1">
        <f t="array" ref="O13">SUMPRODUCT(('Team Lineups'!$K$2:$K$2000&lt;&gt;"")*('Team Lineups'!$C$2:$C$2000=$A13)*COUNTIFS('Team Lineups'!$K$2:$K$2000,'Team Lineups'!$K$2:$K$2000,'Team Lineups'!$C$2:$C$2000,O$1))</f>
        <v>5</v>
      </c>
      <c r="P13" cm="1">
        <f t="array" ref="P13">SUMPRODUCT(('Team Lineups'!$K$2:$K$2000&lt;&gt;"")*('Team Lineups'!$C$2:$C$2000=$A13)*COUNTIFS('Team Lineups'!$K$2:$K$2000,'Team Lineups'!$K$2:$K$2000,'Team Lineups'!$C$2:$C$2000,P$1))</f>
        <v>2</v>
      </c>
      <c r="Q13" cm="1">
        <f t="array" ref="Q13">SUMPRODUCT(('Team Lineups'!$K$2:$K$2000&lt;&gt;"")*('Team Lineups'!$C$2:$C$2000=$A13)*COUNTIFS('Team Lineups'!$K$2:$K$2000,'Team Lineups'!$K$2:$K$2000,'Team Lineups'!$C$2:$C$2000,Q$1))</f>
        <v>10</v>
      </c>
      <c r="R13" cm="1">
        <f t="array" ref="R13">SUMPRODUCT(('Team Lineups'!$K$2:$K$2000&lt;&gt;"")*('Team Lineups'!$C$2:$C$2000=$A13)*COUNTIFS('Team Lineups'!$K$2:$K$2000,'Team Lineups'!$K$2:$K$2000,'Team Lineups'!$C$2:$C$2000,R$1))</f>
        <v>7</v>
      </c>
      <c r="S13" cm="1">
        <f t="array" ref="S13">SUMPRODUCT(('Team Lineups'!$K$2:$K$2000&lt;&gt;"")*('Team Lineups'!$C$2:$C$2000=$A13)*COUNTIFS('Team Lineups'!$K$2:$K$2000,'Team Lineups'!$K$2:$K$2000,'Team Lineups'!$C$2:$C$2000,S$1))</f>
        <v>6</v>
      </c>
      <c r="T13" cm="1">
        <f t="array" ref="T13">SUMPRODUCT(('Team Lineups'!$K$2:$K$2000&lt;&gt;"")*('Team Lineups'!$C$2:$C$2000=$A13)*COUNTIFS('Team Lineups'!$K$2:$K$2000,'Team Lineups'!$K$2:$K$2000,'Team Lineups'!$C$2:$C$2000,T$1))</f>
        <v>3</v>
      </c>
      <c r="U13" cm="1">
        <f t="array" ref="U13">SUMPRODUCT(('Team Lineups'!$K$2:$K$2000&lt;&gt;"")*('Team Lineups'!$C$2:$C$2000=$A13)*COUNTIFS('Team Lineups'!$K$2:$K$2000,'Team Lineups'!$K$2:$K$2000,'Team Lineups'!$C$2:$C$2000,U$1))</f>
        <v>0</v>
      </c>
      <c r="V13" cm="1">
        <f t="array" ref="V13">SUMPRODUCT(('Team Lineups'!$K$2:$K$2000&lt;&gt;"")*('Team Lineups'!$C$2:$C$2000=$A13)*COUNTIFS('Team Lineups'!$K$2:$K$2000,'Team Lineups'!$K$2:$K$2000,'Team Lineups'!$C$2:$C$2000,V$1))</f>
        <v>1</v>
      </c>
      <c r="W13" cm="1">
        <f t="array" ref="W13">SUMPRODUCT(('Team Lineups'!$K$2:$K$2000&lt;&gt;"")*('Team Lineups'!$C$2:$C$2000=$A13)*COUNTIFS('Team Lineups'!$K$2:$K$2000,'Team Lineups'!$K$2:$K$2000,'Team Lineups'!$C$2:$C$2000,W$1))</f>
        <v>1</v>
      </c>
      <c r="X13" cm="1">
        <f t="array" ref="X13">SUMPRODUCT(('Team Lineups'!$K$2:$K$2000&lt;&gt;"")*('Team Lineups'!$C$2:$C$2000=$A13)*COUNTIFS('Team Lineups'!$K$2:$K$2000,'Team Lineups'!$K$2:$K$2000,'Team Lineups'!$C$2:$C$2000,X$1))</f>
        <v>1</v>
      </c>
      <c r="Y13" cm="1">
        <f t="array" ref="Y13">SUMPRODUCT(('Team Lineups'!$K$2:$K$2000&lt;&gt;"")*('Team Lineups'!$C$2:$C$2000=$A13)*COUNTIFS('Team Lineups'!$K$2:$K$2000,'Team Lineups'!$K$2:$K$2000,'Team Lineups'!$C$2:$C$2000,Y$1))</f>
        <v>0</v>
      </c>
      <c r="Z13" cm="1">
        <f t="array" ref="Z13">SUMPRODUCT(('Team Lineups'!$K$2:$K$2000&lt;&gt;"")*('Team Lineups'!$C$2:$C$2000=$A13)*COUNTIFS('Team Lineups'!$K$2:$K$2000,'Team Lineups'!$K$2:$K$2000,'Team Lineups'!$C$2:$C$2000,Z$1))</f>
        <v>6</v>
      </c>
      <c r="AA13" cm="1">
        <f t="array" ref="AA13">SUMPRODUCT(('Team Lineups'!$K$2:$K$2000&lt;&gt;"")*('Team Lineups'!$C$2:$C$2000=$A13)*COUNTIFS('Team Lineups'!$K$2:$K$2000,'Team Lineups'!$K$2:$K$2000,'Team Lineups'!$C$2:$C$2000,AA$1))</f>
        <v>6</v>
      </c>
      <c r="AB13" cm="1">
        <f t="array" ref="AB13">SUMPRODUCT(('Team Lineups'!$K$2:$K$2000&lt;&gt;"")*('Team Lineups'!$C$2:$C$2000=$A13)*COUNTIFS('Team Lineups'!$K$2:$K$2000,'Team Lineups'!$K$2:$K$2000,'Team Lineups'!$C$2:$C$2000,AB$1))</f>
        <v>2</v>
      </c>
      <c r="AC13" cm="1">
        <f t="array" ref="AC13">SUMPRODUCT(('Team Lineups'!$K$2:$K$2000&lt;&gt;"")*('Team Lineups'!$C$2:$C$2000=$A13)*COUNTIFS('Team Lineups'!$K$2:$K$2000,'Team Lineups'!$K$2:$K$2000,'Team Lineups'!$C$2:$C$2000,AC$1))</f>
        <v>0</v>
      </c>
      <c r="AD13" cm="1">
        <f t="array" ref="AD13">SUMPRODUCT(('Team Lineups'!$K$2:$K$2000&lt;&gt;"")*('Team Lineups'!$C$2:$C$2000=$A13)*COUNTIFS('Team Lineups'!$K$2:$K$2000,'Team Lineups'!$K$2:$K$2000,'Team Lineups'!$C$2:$C$2000,AD$1))</f>
        <v>5</v>
      </c>
      <c r="AE13" cm="1">
        <f t="array" ref="AE13">SUMPRODUCT(('Team Lineups'!$K$2:$K$2000&lt;&gt;"")*('Team Lineups'!$C$2:$C$2000=$A13)*COUNTIFS('Team Lineups'!$K$2:$K$2000,'Team Lineups'!$K$2:$K$2000,'Team Lineups'!$C$2:$C$2000,AE$1))</f>
        <v>0</v>
      </c>
      <c r="AF13" cm="1">
        <f t="array" ref="AF13">SUMPRODUCT(('Team Lineups'!$K$2:$K$2000&lt;&gt;"")*('Team Lineups'!$C$2:$C$2000=$A13)*COUNTIFS('Team Lineups'!$K$2:$K$2000,'Team Lineups'!$K$2:$K$2000,'Team Lineups'!$C$2:$C$2000,AF$1))</f>
        <v>1</v>
      </c>
      <c r="AG13" cm="1">
        <f t="array" ref="AG13">SUMPRODUCT(('Team Lineups'!$K$2:$K$2000&lt;&gt;"")*('Team Lineups'!$C$2:$C$2000=$A13)*COUNTIFS('Team Lineups'!$K$2:$K$2000,'Team Lineups'!$K$2:$K$2000,'Team Lineups'!$C$2:$C$2000,AG$1))</f>
        <v>2</v>
      </c>
      <c r="AH13" cm="1">
        <f t="array" ref="AH13">SUMPRODUCT(('Team Lineups'!$K$2:$K$2000&lt;&gt;"")*('Team Lineups'!$C$2:$C$2000=$A13)*COUNTIFS('Team Lineups'!$K$2:$K$2000,'Team Lineups'!$K$2:$K$2000,'Team Lineups'!$C$2:$C$2000,AH$1))</f>
        <v>2</v>
      </c>
      <c r="AI13" cm="1">
        <f t="array" ref="AI13">SUMPRODUCT(('Team Lineups'!$K$2:$K$2000&lt;&gt;"")*('Team Lineups'!$C$2:$C$2000=$A13)*COUNTIFS('Team Lineups'!$K$2:$K$2000,'Team Lineups'!$K$2:$K$2000,'Team Lineups'!$C$2:$C$2000,AI$1))</f>
        <v>0</v>
      </c>
      <c r="AJ13" cm="1">
        <f t="array" ref="AJ13">SUMPRODUCT(('Team Lineups'!$K$2:$K$2000&lt;&gt;"")*('Team Lineups'!$C$2:$C$2000=$A13)*COUNTIFS('Team Lineups'!$K$2:$K$2000,'Team Lineups'!$K$2:$K$2000,'Team Lineups'!$C$2:$C$2000,AJ$1))</f>
        <v>2</v>
      </c>
      <c r="AK13" cm="1">
        <f t="array" ref="AK13">SUMPRODUCT(('Team Lineups'!$K$2:$K$2000&lt;&gt;"")*('Team Lineups'!$C$2:$C$2000=$A13)*COUNTIFS('Team Lineups'!$K$2:$K$2000,'Team Lineups'!$K$2:$K$2000,'Team Lineups'!$C$2:$C$2000,AK$1))</f>
        <v>1</v>
      </c>
      <c r="AL13" cm="1">
        <f t="array" ref="AL13">SUMPRODUCT(('Team Lineups'!$K$2:$K$2000&lt;&gt;"")*('Team Lineups'!$C$2:$C$2000=$A13)*COUNTIFS('Team Lineups'!$K$2:$K$2000,'Team Lineups'!$K$2:$K$2000,'Team Lineups'!$C$2:$C$2000,AL$1))</f>
        <v>5</v>
      </c>
      <c r="AM13" cm="1">
        <f t="array" ref="AM13">SUMPRODUCT(('Team Lineups'!$K$2:$K$2000&lt;&gt;"")*('Team Lineups'!$C$2:$C$2000=$A13)*COUNTIFS('Team Lineups'!$K$2:$K$2000,'Team Lineups'!$K$2:$K$2000,'Team Lineups'!$C$2:$C$2000,AM$1))</f>
        <v>0</v>
      </c>
      <c r="AN13" cm="1">
        <f t="array" ref="AN13">SUMPRODUCT(('Team Lineups'!$K$2:$K$2000&lt;&gt;"")*('Team Lineups'!$C$2:$C$2000=$A13)*COUNTIFS('Team Lineups'!$K$2:$K$2000,'Team Lineups'!$K$2:$K$2000,'Team Lineups'!$C$2:$C$2000,AN$1))</f>
        <v>2</v>
      </c>
      <c r="AO13" cm="1">
        <f t="array" ref="AO13">SUMPRODUCT(('Team Lineups'!$K$2:$K$2000&lt;&gt;"")*('Team Lineups'!$C$2:$C$2000=$A13)*COUNTIFS('Team Lineups'!$K$2:$K$2000,'Team Lineups'!$K$2:$K$2000,'Team Lineups'!$C$2:$C$2000,AO$1))</f>
        <v>0</v>
      </c>
      <c r="AP13" cm="1">
        <f t="array" ref="AP13">SUMPRODUCT(('Team Lineups'!$K$2:$K$2000&lt;&gt;"")*('Team Lineups'!$C$2:$C$2000=$A13)*COUNTIFS('Team Lineups'!$K$2:$K$2000,'Team Lineups'!$K$2:$K$2000,'Team Lineups'!$C$2:$C$2000,AP$1))</f>
        <v>3</v>
      </c>
      <c r="AQ13" cm="1">
        <f t="array" ref="AQ13">SUMPRODUCT(('Team Lineups'!$K$2:$K$2000&lt;&gt;"")*('Team Lineups'!$C$2:$C$2000=$A13)*COUNTIFS('Team Lineups'!$K$2:$K$2000,'Team Lineups'!$K$2:$K$2000,'Team Lineups'!$C$2:$C$2000,AQ$1))</f>
        <v>1</v>
      </c>
      <c r="AR13" cm="1">
        <f t="array" ref="AR13">SUMPRODUCT(('Team Lineups'!$K$2:$K$2000&lt;&gt;"")*('Team Lineups'!$C$2:$C$2000=$A13)*COUNTIFS('Team Lineups'!$K$2:$K$2000,'Team Lineups'!$K$2:$K$2000,'Team Lineups'!$C$2:$C$2000,AR$1))</f>
        <v>0</v>
      </c>
      <c r="AS13" cm="1">
        <f t="array" ref="AS13">SUMPRODUCT(('Team Lineups'!$K$2:$K$2000&lt;&gt;"")*('Team Lineups'!$C$2:$C$2000=$A13)*COUNTIFS('Team Lineups'!$K$2:$K$2000,'Team Lineups'!$K$2:$K$2000,'Team Lineups'!$C$2:$C$2000,AS$1))</f>
        <v>0</v>
      </c>
      <c r="AT13" cm="1">
        <f t="array" ref="AT13">SUMPRODUCT(('Team Lineups'!$K$2:$K$2000&lt;&gt;"")*('Team Lineups'!$C$2:$C$2000=$A13)*COUNTIFS('Team Lineups'!$K$2:$K$2000,'Team Lineups'!$K$2:$K$2000,'Team Lineups'!$C$2:$C$2000,AT$1))</f>
        <v>0</v>
      </c>
      <c r="AU13" cm="1">
        <f t="array" ref="AU13">SUMPRODUCT(('Team Lineups'!$K$2:$K$2000&lt;&gt;"")*('Team Lineups'!$C$2:$C$2000=$A13)*COUNTIFS('Team Lineups'!$K$2:$K$2000,'Team Lineups'!$K$2:$K$2000,'Team Lineups'!$C$2:$C$2000,AU$1))</f>
        <v>0</v>
      </c>
      <c r="AV13" cm="1">
        <f t="array" ref="AV13">SUMPRODUCT(('Team Lineups'!$K$2:$K$2000&lt;&gt;"")*('Team Lineups'!$C$2:$C$2000=$A13)*COUNTIFS('Team Lineups'!$K$2:$K$2000,'Team Lineups'!$K$2:$K$2000,'Team Lineups'!$C$2:$C$2000,AV$1))</f>
        <v>1</v>
      </c>
    </row>
    <row r="14" spans="1:100" x14ac:dyDescent="0.35">
      <c r="A14" t="str">
        <v>Dario</v>
      </c>
      <c r="B14" cm="1">
        <f t="array" ref="B14">SUMPRODUCT(('Team Lineups'!$K$2:$K$2000&lt;&gt;"")*('Team Lineups'!$C$2:$C$2000=$A14)*COUNTIFS('Team Lineups'!$K$2:$K$2000,'Team Lineups'!$K$2:$K$2000,'Team Lineups'!$C$2:$C$2000,B$1))</f>
        <v>9</v>
      </c>
      <c r="C14" cm="1">
        <f t="array" ref="C14">SUMPRODUCT(('Team Lineups'!$K$2:$K$2000&lt;&gt;"")*('Team Lineups'!$C$2:$C$2000=$A14)*COUNTIFS('Team Lineups'!$K$2:$K$2000,'Team Lineups'!$K$2:$K$2000,'Team Lineups'!$C$2:$C$2000,C$1))</f>
        <v>3</v>
      </c>
      <c r="D14" cm="1">
        <f t="array" ref="D14">SUMPRODUCT(('Team Lineups'!$K$2:$K$2000&lt;&gt;"")*('Team Lineups'!$C$2:$C$2000=$A14)*COUNTIFS('Team Lineups'!$K$2:$K$2000,'Team Lineups'!$K$2:$K$2000,'Team Lineups'!$C$2:$C$2000,D$1))</f>
        <v>8</v>
      </c>
      <c r="E14" cm="1">
        <f t="array" ref="E14">SUMPRODUCT(('Team Lineups'!$K$2:$K$2000&lt;&gt;"")*('Team Lineups'!$C$2:$C$2000=$A14)*COUNTIFS('Team Lineups'!$K$2:$K$2000,'Team Lineups'!$K$2:$K$2000,'Team Lineups'!$C$2:$C$2000,E$1))</f>
        <v>5</v>
      </c>
      <c r="F14" cm="1">
        <f t="array" ref="F14">SUMPRODUCT(('Team Lineups'!$K$2:$K$2000&lt;&gt;"")*('Team Lineups'!$C$2:$C$2000=$A14)*COUNTIFS('Team Lineups'!$K$2:$K$2000,'Team Lineups'!$K$2:$K$2000,'Team Lineups'!$C$2:$C$2000,F$1))</f>
        <v>1</v>
      </c>
      <c r="G14" cm="1">
        <f t="array" ref="G14">SUMPRODUCT(('Team Lineups'!$K$2:$K$2000&lt;&gt;"")*('Team Lineups'!$C$2:$C$2000=$A14)*COUNTIFS('Team Lineups'!$K$2:$K$2000,'Team Lineups'!$K$2:$K$2000,'Team Lineups'!$C$2:$C$2000,G$1))</f>
        <v>6</v>
      </c>
      <c r="H14" cm="1">
        <f t="array" ref="H14">SUMPRODUCT(('Team Lineups'!$K$2:$K$2000&lt;&gt;"")*('Team Lineups'!$C$2:$C$2000=$A14)*COUNTIFS('Team Lineups'!$K$2:$K$2000,'Team Lineups'!$K$2:$K$2000,'Team Lineups'!$C$2:$C$2000,H$1))</f>
        <v>5</v>
      </c>
      <c r="I14" cm="1">
        <f t="array" ref="I14">SUMPRODUCT(('Team Lineups'!$K$2:$K$2000&lt;&gt;"")*('Team Lineups'!$C$2:$C$2000=$A14)*COUNTIFS('Team Lineups'!$K$2:$K$2000,'Team Lineups'!$K$2:$K$2000,'Team Lineups'!$C$2:$C$2000,I$1))</f>
        <v>6</v>
      </c>
      <c r="J14" cm="1">
        <f t="array" ref="J14">SUMPRODUCT(('Team Lineups'!$K$2:$K$2000&lt;&gt;"")*('Team Lineups'!$C$2:$C$2000=$A14)*COUNTIFS('Team Lineups'!$K$2:$K$2000,'Team Lineups'!$K$2:$K$2000,'Team Lineups'!$C$2:$C$2000,J$1))</f>
        <v>0</v>
      </c>
      <c r="K14" cm="1">
        <f t="array" ref="K14">SUMPRODUCT(('Team Lineups'!$K$2:$K$2000&lt;&gt;"")*('Team Lineups'!$C$2:$C$2000=$A14)*COUNTIFS('Team Lineups'!$K$2:$K$2000,'Team Lineups'!$K$2:$K$2000,'Team Lineups'!$C$2:$C$2000,K$1))</f>
        <v>0</v>
      </c>
      <c r="L14" cm="1">
        <f t="array" ref="L14">SUMPRODUCT(('Team Lineups'!$K$2:$K$2000&lt;&gt;"")*('Team Lineups'!$C$2:$C$2000=$A14)*COUNTIFS('Team Lineups'!$K$2:$K$2000,'Team Lineups'!$K$2:$K$2000,'Team Lineups'!$C$2:$C$2000,L$1))</f>
        <v>7</v>
      </c>
      <c r="M14" cm="1">
        <f t="array" ref="M14">SUMPRODUCT(('Team Lineups'!$K$2:$K$2000&lt;&gt;"")*('Team Lineups'!$C$2:$C$2000=$A14)*COUNTIFS('Team Lineups'!$K$2:$K$2000,'Team Lineups'!$K$2:$K$2000,'Team Lineups'!$C$2:$C$2000,M$1))</f>
        <v>5</v>
      </c>
      <c r="N14" cm="1">
        <f t="array" ref="N14">SUMPRODUCT(('Team Lineups'!$K$2:$K$2000&lt;&gt;"")*('Team Lineups'!$C$2:$C$2000=$A14)*COUNTIFS('Team Lineups'!$K$2:$K$2000,'Team Lineups'!$K$2:$K$2000,'Team Lineups'!$C$2:$C$2000,N$1))</f>
        <v>20</v>
      </c>
      <c r="O14" cm="1">
        <f t="array" ref="O14">SUMPRODUCT(('Team Lineups'!$K$2:$K$2000&lt;&gt;"")*('Team Lineups'!$C$2:$C$2000=$A14)*COUNTIFS('Team Lineups'!$K$2:$K$2000,'Team Lineups'!$K$2:$K$2000,'Team Lineups'!$C$2:$C$2000,O$1))</f>
        <v>3</v>
      </c>
      <c r="P14" cm="1">
        <f t="array" ref="P14">SUMPRODUCT(('Team Lineups'!$K$2:$K$2000&lt;&gt;"")*('Team Lineups'!$C$2:$C$2000=$A14)*COUNTIFS('Team Lineups'!$K$2:$K$2000,'Team Lineups'!$K$2:$K$2000,'Team Lineups'!$C$2:$C$2000,P$1))</f>
        <v>0</v>
      </c>
      <c r="Q14" cm="1">
        <f t="array" ref="Q14">SUMPRODUCT(('Team Lineups'!$K$2:$K$2000&lt;&gt;"")*('Team Lineups'!$C$2:$C$2000=$A14)*COUNTIFS('Team Lineups'!$K$2:$K$2000,'Team Lineups'!$K$2:$K$2000,'Team Lineups'!$C$2:$C$2000,Q$1))</f>
        <v>5</v>
      </c>
      <c r="R14" cm="1">
        <f t="array" ref="R14">SUMPRODUCT(('Team Lineups'!$K$2:$K$2000&lt;&gt;"")*('Team Lineups'!$C$2:$C$2000=$A14)*COUNTIFS('Team Lineups'!$K$2:$K$2000,'Team Lineups'!$K$2:$K$2000,'Team Lineups'!$C$2:$C$2000,R$1))</f>
        <v>1</v>
      </c>
      <c r="S14" cm="1">
        <f t="array" ref="S14">SUMPRODUCT(('Team Lineups'!$K$2:$K$2000&lt;&gt;"")*('Team Lineups'!$C$2:$C$2000=$A14)*COUNTIFS('Team Lineups'!$K$2:$K$2000,'Team Lineups'!$K$2:$K$2000,'Team Lineups'!$C$2:$C$2000,S$1))</f>
        <v>3</v>
      </c>
      <c r="T14" cm="1">
        <f t="array" ref="T14">SUMPRODUCT(('Team Lineups'!$K$2:$K$2000&lt;&gt;"")*('Team Lineups'!$C$2:$C$2000=$A14)*COUNTIFS('Team Lineups'!$K$2:$K$2000,'Team Lineups'!$K$2:$K$2000,'Team Lineups'!$C$2:$C$2000,T$1))</f>
        <v>4</v>
      </c>
      <c r="U14" cm="1">
        <f t="array" ref="U14">SUMPRODUCT(('Team Lineups'!$K$2:$K$2000&lt;&gt;"")*('Team Lineups'!$C$2:$C$2000=$A14)*COUNTIFS('Team Lineups'!$K$2:$K$2000,'Team Lineups'!$K$2:$K$2000,'Team Lineups'!$C$2:$C$2000,U$1))</f>
        <v>0</v>
      </c>
      <c r="V14" cm="1">
        <f t="array" ref="V14">SUMPRODUCT(('Team Lineups'!$K$2:$K$2000&lt;&gt;"")*('Team Lineups'!$C$2:$C$2000=$A14)*COUNTIFS('Team Lineups'!$K$2:$K$2000,'Team Lineups'!$K$2:$K$2000,'Team Lineups'!$C$2:$C$2000,V$1))</f>
        <v>2</v>
      </c>
      <c r="W14" cm="1">
        <f t="array" ref="W14">SUMPRODUCT(('Team Lineups'!$K$2:$K$2000&lt;&gt;"")*('Team Lineups'!$C$2:$C$2000=$A14)*COUNTIFS('Team Lineups'!$K$2:$K$2000,'Team Lineups'!$K$2:$K$2000,'Team Lineups'!$C$2:$C$2000,W$1))</f>
        <v>0</v>
      </c>
      <c r="X14" cm="1">
        <f t="array" ref="X14">SUMPRODUCT(('Team Lineups'!$K$2:$K$2000&lt;&gt;"")*('Team Lineups'!$C$2:$C$2000=$A14)*COUNTIFS('Team Lineups'!$K$2:$K$2000,'Team Lineups'!$K$2:$K$2000,'Team Lineups'!$C$2:$C$2000,X$1))</f>
        <v>0</v>
      </c>
      <c r="Y14" cm="1">
        <f t="array" ref="Y14">SUMPRODUCT(('Team Lineups'!$K$2:$K$2000&lt;&gt;"")*('Team Lineups'!$C$2:$C$2000=$A14)*COUNTIFS('Team Lineups'!$K$2:$K$2000,'Team Lineups'!$K$2:$K$2000,'Team Lineups'!$C$2:$C$2000,Y$1))</f>
        <v>0</v>
      </c>
      <c r="Z14" cm="1">
        <f t="array" ref="Z14">SUMPRODUCT(('Team Lineups'!$K$2:$K$2000&lt;&gt;"")*('Team Lineups'!$C$2:$C$2000=$A14)*COUNTIFS('Team Lineups'!$K$2:$K$2000,'Team Lineups'!$K$2:$K$2000,'Team Lineups'!$C$2:$C$2000,Z$1))</f>
        <v>1</v>
      </c>
      <c r="AA14" cm="1">
        <f t="array" ref="AA14">SUMPRODUCT(('Team Lineups'!$K$2:$K$2000&lt;&gt;"")*('Team Lineups'!$C$2:$C$2000=$A14)*COUNTIFS('Team Lineups'!$K$2:$K$2000,'Team Lineups'!$K$2:$K$2000,'Team Lineups'!$C$2:$C$2000,AA$1))</f>
        <v>5</v>
      </c>
      <c r="AB14" cm="1">
        <f t="array" ref="AB14">SUMPRODUCT(('Team Lineups'!$K$2:$K$2000&lt;&gt;"")*('Team Lineups'!$C$2:$C$2000=$A14)*COUNTIFS('Team Lineups'!$K$2:$K$2000,'Team Lineups'!$K$2:$K$2000,'Team Lineups'!$C$2:$C$2000,AB$1))</f>
        <v>3</v>
      </c>
      <c r="AC14" cm="1">
        <f t="array" ref="AC14">SUMPRODUCT(('Team Lineups'!$K$2:$K$2000&lt;&gt;"")*('Team Lineups'!$C$2:$C$2000=$A14)*COUNTIFS('Team Lineups'!$K$2:$K$2000,'Team Lineups'!$K$2:$K$2000,'Team Lineups'!$C$2:$C$2000,AC$1))</f>
        <v>0</v>
      </c>
      <c r="AD14" cm="1">
        <f t="array" ref="AD14">SUMPRODUCT(('Team Lineups'!$K$2:$K$2000&lt;&gt;"")*('Team Lineups'!$C$2:$C$2000=$A14)*COUNTIFS('Team Lineups'!$K$2:$K$2000,'Team Lineups'!$K$2:$K$2000,'Team Lineups'!$C$2:$C$2000,AD$1))</f>
        <v>3</v>
      </c>
      <c r="AE14" cm="1">
        <f t="array" ref="AE14">SUMPRODUCT(('Team Lineups'!$K$2:$K$2000&lt;&gt;"")*('Team Lineups'!$C$2:$C$2000=$A14)*COUNTIFS('Team Lineups'!$K$2:$K$2000,'Team Lineups'!$K$2:$K$2000,'Team Lineups'!$C$2:$C$2000,AE$1))</f>
        <v>1</v>
      </c>
      <c r="AF14" cm="1">
        <f t="array" ref="AF14">SUMPRODUCT(('Team Lineups'!$K$2:$K$2000&lt;&gt;"")*('Team Lineups'!$C$2:$C$2000=$A14)*COUNTIFS('Team Lineups'!$K$2:$K$2000,'Team Lineups'!$K$2:$K$2000,'Team Lineups'!$C$2:$C$2000,AF$1))</f>
        <v>0</v>
      </c>
      <c r="AG14" cm="1">
        <f t="array" ref="AG14">SUMPRODUCT(('Team Lineups'!$K$2:$K$2000&lt;&gt;"")*('Team Lineups'!$C$2:$C$2000=$A14)*COUNTIFS('Team Lineups'!$K$2:$K$2000,'Team Lineups'!$K$2:$K$2000,'Team Lineups'!$C$2:$C$2000,AG$1))</f>
        <v>3</v>
      </c>
      <c r="AH14" cm="1">
        <f t="array" ref="AH14">SUMPRODUCT(('Team Lineups'!$K$2:$K$2000&lt;&gt;"")*('Team Lineups'!$C$2:$C$2000=$A14)*COUNTIFS('Team Lineups'!$K$2:$K$2000,'Team Lineups'!$K$2:$K$2000,'Team Lineups'!$C$2:$C$2000,AH$1))</f>
        <v>0</v>
      </c>
      <c r="AI14" cm="1">
        <f t="array" ref="AI14">SUMPRODUCT(('Team Lineups'!$K$2:$K$2000&lt;&gt;"")*('Team Lineups'!$C$2:$C$2000=$A14)*COUNTIFS('Team Lineups'!$K$2:$K$2000,'Team Lineups'!$K$2:$K$2000,'Team Lineups'!$C$2:$C$2000,AI$1))</f>
        <v>0</v>
      </c>
      <c r="AJ14" cm="1">
        <f t="array" ref="AJ14">SUMPRODUCT(('Team Lineups'!$K$2:$K$2000&lt;&gt;"")*('Team Lineups'!$C$2:$C$2000=$A14)*COUNTIFS('Team Lineups'!$K$2:$K$2000,'Team Lineups'!$K$2:$K$2000,'Team Lineups'!$C$2:$C$2000,AJ$1))</f>
        <v>6</v>
      </c>
      <c r="AK14" cm="1">
        <f t="array" ref="AK14">SUMPRODUCT(('Team Lineups'!$K$2:$K$2000&lt;&gt;"")*('Team Lineups'!$C$2:$C$2000=$A14)*COUNTIFS('Team Lineups'!$K$2:$K$2000,'Team Lineups'!$K$2:$K$2000,'Team Lineups'!$C$2:$C$2000,AK$1))</f>
        <v>0</v>
      </c>
      <c r="AL14" cm="1">
        <f t="array" ref="AL14">SUMPRODUCT(('Team Lineups'!$K$2:$K$2000&lt;&gt;"")*('Team Lineups'!$C$2:$C$2000=$A14)*COUNTIFS('Team Lineups'!$K$2:$K$2000,'Team Lineups'!$K$2:$K$2000,'Team Lineups'!$C$2:$C$2000,AL$1))</f>
        <v>2</v>
      </c>
      <c r="AM14" cm="1">
        <f t="array" ref="AM14">SUMPRODUCT(('Team Lineups'!$K$2:$K$2000&lt;&gt;"")*('Team Lineups'!$C$2:$C$2000=$A14)*COUNTIFS('Team Lineups'!$K$2:$K$2000,'Team Lineups'!$K$2:$K$2000,'Team Lineups'!$C$2:$C$2000,AM$1))</f>
        <v>0</v>
      </c>
      <c r="AN14" cm="1">
        <f t="array" ref="AN14">SUMPRODUCT(('Team Lineups'!$K$2:$K$2000&lt;&gt;"")*('Team Lineups'!$C$2:$C$2000=$A14)*COUNTIFS('Team Lineups'!$K$2:$K$2000,'Team Lineups'!$K$2:$K$2000,'Team Lineups'!$C$2:$C$2000,AN$1))</f>
        <v>1</v>
      </c>
      <c r="AO14" cm="1">
        <f t="array" ref="AO14">SUMPRODUCT(('Team Lineups'!$K$2:$K$2000&lt;&gt;"")*('Team Lineups'!$C$2:$C$2000=$A14)*COUNTIFS('Team Lineups'!$K$2:$K$2000,'Team Lineups'!$K$2:$K$2000,'Team Lineups'!$C$2:$C$2000,AO$1))</f>
        <v>3</v>
      </c>
      <c r="AP14" cm="1">
        <f t="array" ref="AP14">SUMPRODUCT(('Team Lineups'!$K$2:$K$2000&lt;&gt;"")*('Team Lineups'!$C$2:$C$2000=$A14)*COUNTIFS('Team Lineups'!$K$2:$K$2000,'Team Lineups'!$K$2:$K$2000,'Team Lineups'!$C$2:$C$2000,AP$1))</f>
        <v>4</v>
      </c>
      <c r="AQ14" cm="1">
        <f t="array" ref="AQ14">SUMPRODUCT(('Team Lineups'!$K$2:$K$2000&lt;&gt;"")*('Team Lineups'!$C$2:$C$2000=$A14)*COUNTIFS('Team Lineups'!$K$2:$K$2000,'Team Lineups'!$K$2:$K$2000,'Team Lineups'!$C$2:$C$2000,AQ$1))</f>
        <v>1</v>
      </c>
      <c r="AR14" cm="1">
        <f t="array" ref="AR14">SUMPRODUCT(('Team Lineups'!$K$2:$K$2000&lt;&gt;"")*('Team Lineups'!$C$2:$C$2000=$A14)*COUNTIFS('Team Lineups'!$K$2:$K$2000,'Team Lineups'!$K$2:$K$2000,'Team Lineups'!$C$2:$C$2000,AR$1))</f>
        <v>0</v>
      </c>
      <c r="AS14" cm="1">
        <f t="array" ref="AS14">SUMPRODUCT(('Team Lineups'!$K$2:$K$2000&lt;&gt;"")*('Team Lineups'!$C$2:$C$2000=$A14)*COUNTIFS('Team Lineups'!$K$2:$K$2000,'Team Lineups'!$K$2:$K$2000,'Team Lineups'!$C$2:$C$2000,AS$1))</f>
        <v>0</v>
      </c>
      <c r="AT14" cm="1">
        <f t="array" ref="AT14">SUMPRODUCT(('Team Lineups'!$K$2:$K$2000&lt;&gt;"")*('Team Lineups'!$C$2:$C$2000=$A14)*COUNTIFS('Team Lineups'!$K$2:$K$2000,'Team Lineups'!$K$2:$K$2000,'Team Lineups'!$C$2:$C$2000,AT$1))</f>
        <v>0</v>
      </c>
      <c r="AU14" cm="1">
        <f t="array" ref="AU14">SUMPRODUCT(('Team Lineups'!$K$2:$K$2000&lt;&gt;"")*('Team Lineups'!$C$2:$C$2000=$A14)*COUNTIFS('Team Lineups'!$K$2:$K$2000,'Team Lineups'!$K$2:$K$2000,'Team Lineups'!$C$2:$C$2000,AU$1))</f>
        <v>0</v>
      </c>
      <c r="AV14" cm="1">
        <f t="array" ref="AV14">SUMPRODUCT(('Team Lineups'!$K$2:$K$2000&lt;&gt;"")*('Team Lineups'!$C$2:$C$2000=$A14)*COUNTIFS('Team Lineups'!$K$2:$K$2000,'Team Lineups'!$K$2:$K$2000,'Team Lineups'!$C$2:$C$2000,AV$1))</f>
        <v>0</v>
      </c>
    </row>
    <row r="15" spans="1:100" x14ac:dyDescent="0.35">
      <c r="A15" t="str">
        <v>Tano</v>
      </c>
      <c r="B15" cm="1">
        <f t="array" ref="B15">SUMPRODUCT(('Team Lineups'!$K$2:$K$2000&lt;&gt;"")*('Team Lineups'!$C$2:$C$2000=$A15)*COUNTIFS('Team Lineups'!$K$2:$K$2000,'Team Lineups'!$K$2:$K$2000,'Team Lineups'!$C$2:$C$2000,B$1))</f>
        <v>2</v>
      </c>
      <c r="C15" cm="1">
        <f t="array" ref="C15">SUMPRODUCT(('Team Lineups'!$K$2:$K$2000&lt;&gt;"")*('Team Lineups'!$C$2:$C$2000=$A15)*COUNTIFS('Team Lineups'!$K$2:$K$2000,'Team Lineups'!$K$2:$K$2000,'Team Lineups'!$C$2:$C$2000,C$1))</f>
        <v>3</v>
      </c>
      <c r="D15" cm="1">
        <f t="array" ref="D15">SUMPRODUCT(('Team Lineups'!$K$2:$K$2000&lt;&gt;"")*('Team Lineups'!$C$2:$C$2000=$A15)*COUNTIFS('Team Lineups'!$K$2:$K$2000,'Team Lineups'!$K$2:$K$2000,'Team Lineups'!$C$2:$C$2000,D$1))</f>
        <v>5</v>
      </c>
      <c r="E15" cm="1">
        <f t="array" ref="E15">SUMPRODUCT(('Team Lineups'!$K$2:$K$2000&lt;&gt;"")*('Team Lineups'!$C$2:$C$2000=$A15)*COUNTIFS('Team Lineups'!$K$2:$K$2000,'Team Lineups'!$K$2:$K$2000,'Team Lineups'!$C$2:$C$2000,E$1))</f>
        <v>3</v>
      </c>
      <c r="F15" cm="1">
        <f t="array" ref="F15">SUMPRODUCT(('Team Lineups'!$K$2:$K$2000&lt;&gt;"")*('Team Lineups'!$C$2:$C$2000=$A15)*COUNTIFS('Team Lineups'!$K$2:$K$2000,'Team Lineups'!$K$2:$K$2000,'Team Lineups'!$C$2:$C$2000,F$1))</f>
        <v>5</v>
      </c>
      <c r="G15" cm="1">
        <f t="array" ref="G15">SUMPRODUCT(('Team Lineups'!$K$2:$K$2000&lt;&gt;"")*('Team Lineups'!$C$2:$C$2000=$A15)*COUNTIFS('Team Lineups'!$K$2:$K$2000,'Team Lineups'!$K$2:$K$2000,'Team Lineups'!$C$2:$C$2000,G$1))</f>
        <v>3</v>
      </c>
      <c r="H15" cm="1">
        <f t="array" ref="H15">SUMPRODUCT(('Team Lineups'!$K$2:$K$2000&lt;&gt;"")*('Team Lineups'!$C$2:$C$2000=$A15)*COUNTIFS('Team Lineups'!$K$2:$K$2000,'Team Lineups'!$K$2:$K$2000,'Team Lineups'!$C$2:$C$2000,H$1))</f>
        <v>5</v>
      </c>
      <c r="I15" cm="1">
        <f t="array" ref="I15">SUMPRODUCT(('Team Lineups'!$K$2:$K$2000&lt;&gt;"")*('Team Lineups'!$C$2:$C$2000=$A15)*COUNTIFS('Team Lineups'!$K$2:$K$2000,'Team Lineups'!$K$2:$K$2000,'Team Lineups'!$C$2:$C$2000,I$1))</f>
        <v>4</v>
      </c>
      <c r="J15" cm="1">
        <f t="array" ref="J15">SUMPRODUCT(('Team Lineups'!$K$2:$K$2000&lt;&gt;"")*('Team Lineups'!$C$2:$C$2000=$A15)*COUNTIFS('Team Lineups'!$K$2:$K$2000,'Team Lineups'!$K$2:$K$2000,'Team Lineups'!$C$2:$C$2000,J$1))</f>
        <v>0</v>
      </c>
      <c r="K15" cm="1">
        <f t="array" ref="K15">SUMPRODUCT(('Team Lineups'!$K$2:$K$2000&lt;&gt;"")*('Team Lineups'!$C$2:$C$2000=$A15)*COUNTIFS('Team Lineups'!$K$2:$K$2000,'Team Lineups'!$K$2:$K$2000,'Team Lineups'!$C$2:$C$2000,K$1))</f>
        <v>0</v>
      </c>
      <c r="L15" cm="1">
        <f t="array" ref="L15">SUMPRODUCT(('Team Lineups'!$K$2:$K$2000&lt;&gt;"")*('Team Lineups'!$C$2:$C$2000=$A15)*COUNTIFS('Team Lineups'!$K$2:$K$2000,'Team Lineups'!$K$2:$K$2000,'Team Lineups'!$C$2:$C$2000,L$1))</f>
        <v>5</v>
      </c>
      <c r="M15" cm="1">
        <f t="array" ref="M15">SUMPRODUCT(('Team Lineups'!$K$2:$K$2000&lt;&gt;"")*('Team Lineups'!$C$2:$C$2000=$A15)*COUNTIFS('Team Lineups'!$K$2:$K$2000,'Team Lineups'!$K$2:$K$2000,'Team Lineups'!$C$2:$C$2000,M$1))</f>
        <v>5</v>
      </c>
      <c r="N15" cm="1">
        <f t="array" ref="N15">SUMPRODUCT(('Team Lineups'!$K$2:$K$2000&lt;&gt;"")*('Team Lineups'!$C$2:$C$2000=$A15)*COUNTIFS('Team Lineups'!$K$2:$K$2000,'Team Lineups'!$K$2:$K$2000,'Team Lineups'!$C$2:$C$2000,N$1))</f>
        <v>3</v>
      </c>
      <c r="O15" cm="1">
        <f t="array" ref="O15">SUMPRODUCT(('Team Lineups'!$K$2:$K$2000&lt;&gt;"")*('Team Lineups'!$C$2:$C$2000=$A15)*COUNTIFS('Team Lineups'!$K$2:$K$2000,'Team Lineups'!$K$2:$K$2000,'Team Lineups'!$C$2:$C$2000,O$1))</f>
        <v>14</v>
      </c>
      <c r="P15" cm="1">
        <f t="array" ref="P15">SUMPRODUCT(('Team Lineups'!$K$2:$K$2000&lt;&gt;"")*('Team Lineups'!$C$2:$C$2000=$A15)*COUNTIFS('Team Lineups'!$K$2:$K$2000,'Team Lineups'!$K$2:$K$2000,'Team Lineups'!$C$2:$C$2000,P$1))</f>
        <v>1</v>
      </c>
      <c r="Q15" cm="1">
        <f t="array" ref="Q15">SUMPRODUCT(('Team Lineups'!$K$2:$K$2000&lt;&gt;"")*('Team Lineups'!$C$2:$C$2000=$A15)*COUNTIFS('Team Lineups'!$K$2:$K$2000,'Team Lineups'!$K$2:$K$2000,'Team Lineups'!$C$2:$C$2000,Q$1))</f>
        <v>9</v>
      </c>
      <c r="R15" cm="1">
        <f t="array" ref="R15">SUMPRODUCT(('Team Lineups'!$K$2:$K$2000&lt;&gt;"")*('Team Lineups'!$C$2:$C$2000=$A15)*COUNTIFS('Team Lineups'!$K$2:$K$2000,'Team Lineups'!$K$2:$K$2000,'Team Lineups'!$C$2:$C$2000,R$1))</f>
        <v>2</v>
      </c>
      <c r="S15" cm="1">
        <f t="array" ref="S15">SUMPRODUCT(('Team Lineups'!$K$2:$K$2000&lt;&gt;"")*('Team Lineups'!$C$2:$C$2000=$A15)*COUNTIFS('Team Lineups'!$K$2:$K$2000,'Team Lineups'!$K$2:$K$2000,'Team Lineups'!$C$2:$C$2000,S$1))</f>
        <v>1</v>
      </c>
      <c r="T15" cm="1">
        <f t="array" ref="T15">SUMPRODUCT(('Team Lineups'!$K$2:$K$2000&lt;&gt;"")*('Team Lineups'!$C$2:$C$2000=$A15)*COUNTIFS('Team Lineups'!$K$2:$K$2000,'Team Lineups'!$K$2:$K$2000,'Team Lineups'!$C$2:$C$2000,T$1))</f>
        <v>3</v>
      </c>
      <c r="U15" cm="1">
        <f t="array" ref="U15">SUMPRODUCT(('Team Lineups'!$K$2:$K$2000&lt;&gt;"")*('Team Lineups'!$C$2:$C$2000=$A15)*COUNTIFS('Team Lineups'!$K$2:$K$2000,'Team Lineups'!$K$2:$K$2000,'Team Lineups'!$C$2:$C$2000,U$1))</f>
        <v>0</v>
      </c>
      <c r="V15" cm="1">
        <f t="array" ref="V15">SUMPRODUCT(('Team Lineups'!$K$2:$K$2000&lt;&gt;"")*('Team Lineups'!$C$2:$C$2000=$A15)*COUNTIFS('Team Lineups'!$K$2:$K$2000,'Team Lineups'!$K$2:$K$2000,'Team Lineups'!$C$2:$C$2000,V$1))</f>
        <v>0</v>
      </c>
      <c r="W15" cm="1">
        <f t="array" ref="W15">SUMPRODUCT(('Team Lineups'!$K$2:$K$2000&lt;&gt;"")*('Team Lineups'!$C$2:$C$2000=$A15)*COUNTIFS('Team Lineups'!$K$2:$K$2000,'Team Lineups'!$K$2:$K$2000,'Team Lineups'!$C$2:$C$2000,W$1))</f>
        <v>0</v>
      </c>
      <c r="X15" cm="1">
        <f t="array" ref="X15">SUMPRODUCT(('Team Lineups'!$K$2:$K$2000&lt;&gt;"")*('Team Lineups'!$C$2:$C$2000=$A15)*COUNTIFS('Team Lineups'!$K$2:$K$2000,'Team Lineups'!$K$2:$K$2000,'Team Lineups'!$C$2:$C$2000,X$1))</f>
        <v>0</v>
      </c>
      <c r="Y15" cm="1">
        <f t="array" ref="Y15">SUMPRODUCT(('Team Lineups'!$K$2:$K$2000&lt;&gt;"")*('Team Lineups'!$C$2:$C$2000=$A15)*COUNTIFS('Team Lineups'!$K$2:$K$2000,'Team Lineups'!$K$2:$K$2000,'Team Lineups'!$C$2:$C$2000,Y$1))</f>
        <v>0</v>
      </c>
      <c r="Z15" cm="1">
        <f t="array" ref="Z15">SUMPRODUCT(('Team Lineups'!$K$2:$K$2000&lt;&gt;"")*('Team Lineups'!$C$2:$C$2000=$A15)*COUNTIFS('Team Lineups'!$K$2:$K$2000,'Team Lineups'!$K$2:$K$2000,'Team Lineups'!$C$2:$C$2000,Z$1))</f>
        <v>2</v>
      </c>
      <c r="AA15" cm="1">
        <f t="array" ref="AA15">SUMPRODUCT(('Team Lineups'!$K$2:$K$2000&lt;&gt;"")*('Team Lineups'!$C$2:$C$2000=$A15)*COUNTIFS('Team Lineups'!$K$2:$K$2000,'Team Lineups'!$K$2:$K$2000,'Team Lineups'!$C$2:$C$2000,AA$1))</f>
        <v>4</v>
      </c>
      <c r="AB15" cm="1">
        <f t="array" ref="AB15">SUMPRODUCT(('Team Lineups'!$K$2:$K$2000&lt;&gt;"")*('Team Lineups'!$C$2:$C$2000=$A15)*COUNTIFS('Team Lineups'!$K$2:$K$2000,'Team Lineups'!$K$2:$K$2000,'Team Lineups'!$C$2:$C$2000,AB$1))</f>
        <v>4</v>
      </c>
      <c r="AC15" cm="1">
        <f t="array" ref="AC15">SUMPRODUCT(('Team Lineups'!$K$2:$K$2000&lt;&gt;"")*('Team Lineups'!$C$2:$C$2000=$A15)*COUNTIFS('Team Lineups'!$K$2:$K$2000,'Team Lineups'!$K$2:$K$2000,'Team Lineups'!$C$2:$C$2000,AC$1))</f>
        <v>0</v>
      </c>
      <c r="AD15" cm="1">
        <f t="array" ref="AD15">SUMPRODUCT(('Team Lineups'!$K$2:$K$2000&lt;&gt;"")*('Team Lineups'!$C$2:$C$2000=$A15)*COUNTIFS('Team Lineups'!$K$2:$K$2000,'Team Lineups'!$K$2:$K$2000,'Team Lineups'!$C$2:$C$2000,AD$1))</f>
        <v>3</v>
      </c>
      <c r="AE15" cm="1">
        <f t="array" ref="AE15">SUMPRODUCT(('Team Lineups'!$K$2:$K$2000&lt;&gt;"")*('Team Lineups'!$C$2:$C$2000=$A15)*COUNTIFS('Team Lineups'!$K$2:$K$2000,'Team Lineups'!$K$2:$K$2000,'Team Lineups'!$C$2:$C$2000,AE$1))</f>
        <v>1</v>
      </c>
      <c r="AF15" cm="1">
        <f t="array" ref="AF15">SUMPRODUCT(('Team Lineups'!$K$2:$K$2000&lt;&gt;"")*('Team Lineups'!$C$2:$C$2000=$A15)*COUNTIFS('Team Lineups'!$K$2:$K$2000,'Team Lineups'!$K$2:$K$2000,'Team Lineups'!$C$2:$C$2000,AF$1))</f>
        <v>0</v>
      </c>
      <c r="AG15" cm="1">
        <f t="array" ref="AG15">SUMPRODUCT(('Team Lineups'!$K$2:$K$2000&lt;&gt;"")*('Team Lineups'!$C$2:$C$2000=$A15)*COUNTIFS('Team Lineups'!$K$2:$K$2000,'Team Lineups'!$K$2:$K$2000,'Team Lineups'!$C$2:$C$2000,AG$1))</f>
        <v>1</v>
      </c>
      <c r="AH15" cm="1">
        <f t="array" ref="AH15">SUMPRODUCT(('Team Lineups'!$K$2:$K$2000&lt;&gt;"")*('Team Lineups'!$C$2:$C$2000=$A15)*COUNTIFS('Team Lineups'!$K$2:$K$2000,'Team Lineups'!$K$2:$K$2000,'Team Lineups'!$C$2:$C$2000,AH$1))</f>
        <v>0</v>
      </c>
      <c r="AI15" cm="1">
        <f t="array" ref="AI15">SUMPRODUCT(('Team Lineups'!$K$2:$K$2000&lt;&gt;"")*('Team Lineups'!$C$2:$C$2000=$A15)*COUNTIFS('Team Lineups'!$K$2:$K$2000,'Team Lineups'!$K$2:$K$2000,'Team Lineups'!$C$2:$C$2000,AI$1))</f>
        <v>0</v>
      </c>
      <c r="AJ15" cm="1">
        <f t="array" ref="AJ15">SUMPRODUCT(('Team Lineups'!$K$2:$K$2000&lt;&gt;"")*('Team Lineups'!$C$2:$C$2000=$A15)*COUNTIFS('Team Lineups'!$K$2:$K$2000,'Team Lineups'!$K$2:$K$2000,'Team Lineups'!$C$2:$C$2000,AJ$1))</f>
        <v>2</v>
      </c>
      <c r="AK15" cm="1">
        <f t="array" ref="AK15">SUMPRODUCT(('Team Lineups'!$K$2:$K$2000&lt;&gt;"")*('Team Lineups'!$C$2:$C$2000=$A15)*COUNTIFS('Team Lineups'!$K$2:$K$2000,'Team Lineups'!$K$2:$K$2000,'Team Lineups'!$C$2:$C$2000,AK$1))</f>
        <v>0</v>
      </c>
      <c r="AL15" cm="1">
        <f t="array" ref="AL15">SUMPRODUCT(('Team Lineups'!$K$2:$K$2000&lt;&gt;"")*('Team Lineups'!$C$2:$C$2000=$A15)*COUNTIFS('Team Lineups'!$K$2:$K$2000,'Team Lineups'!$K$2:$K$2000,'Team Lineups'!$C$2:$C$2000,AL$1))</f>
        <v>1</v>
      </c>
      <c r="AM15" cm="1">
        <f t="array" ref="AM15">SUMPRODUCT(('Team Lineups'!$K$2:$K$2000&lt;&gt;"")*('Team Lineups'!$C$2:$C$2000=$A15)*COUNTIFS('Team Lineups'!$K$2:$K$2000,'Team Lineups'!$K$2:$K$2000,'Team Lineups'!$C$2:$C$2000,AM$1))</f>
        <v>0</v>
      </c>
      <c r="AN15" cm="1">
        <f t="array" ref="AN15">SUMPRODUCT(('Team Lineups'!$K$2:$K$2000&lt;&gt;"")*('Team Lineups'!$C$2:$C$2000=$A15)*COUNTIFS('Team Lineups'!$K$2:$K$2000,'Team Lineups'!$K$2:$K$2000,'Team Lineups'!$C$2:$C$2000,AN$1))</f>
        <v>0</v>
      </c>
      <c r="AO15" cm="1">
        <f t="array" ref="AO15">SUMPRODUCT(('Team Lineups'!$K$2:$K$2000&lt;&gt;"")*('Team Lineups'!$C$2:$C$2000=$A15)*COUNTIFS('Team Lineups'!$K$2:$K$2000,'Team Lineups'!$K$2:$K$2000,'Team Lineups'!$C$2:$C$2000,AO$1))</f>
        <v>1</v>
      </c>
      <c r="AP15" cm="1">
        <f t="array" ref="AP15">SUMPRODUCT(('Team Lineups'!$K$2:$K$2000&lt;&gt;"")*('Team Lineups'!$C$2:$C$2000=$A15)*COUNTIFS('Team Lineups'!$K$2:$K$2000,'Team Lineups'!$K$2:$K$2000,'Team Lineups'!$C$2:$C$2000,AP$1))</f>
        <v>0</v>
      </c>
      <c r="AQ15" cm="1">
        <f t="array" ref="AQ15">SUMPRODUCT(('Team Lineups'!$K$2:$K$2000&lt;&gt;"")*('Team Lineups'!$C$2:$C$2000=$A15)*COUNTIFS('Team Lineups'!$K$2:$K$2000,'Team Lineups'!$K$2:$K$2000,'Team Lineups'!$C$2:$C$2000,AQ$1))</f>
        <v>0</v>
      </c>
      <c r="AR15" cm="1">
        <f t="array" ref="AR15">SUMPRODUCT(('Team Lineups'!$K$2:$K$2000&lt;&gt;"")*('Team Lineups'!$C$2:$C$2000=$A15)*COUNTIFS('Team Lineups'!$K$2:$K$2000,'Team Lineups'!$K$2:$K$2000,'Team Lineups'!$C$2:$C$2000,AR$1))</f>
        <v>0</v>
      </c>
      <c r="AS15" cm="1">
        <f t="array" ref="AS15">SUMPRODUCT(('Team Lineups'!$K$2:$K$2000&lt;&gt;"")*('Team Lineups'!$C$2:$C$2000=$A15)*COUNTIFS('Team Lineups'!$K$2:$K$2000,'Team Lineups'!$K$2:$K$2000,'Team Lineups'!$C$2:$C$2000,AS$1))</f>
        <v>0</v>
      </c>
      <c r="AT15" cm="1">
        <f t="array" ref="AT15">SUMPRODUCT(('Team Lineups'!$K$2:$K$2000&lt;&gt;"")*('Team Lineups'!$C$2:$C$2000=$A15)*COUNTIFS('Team Lineups'!$K$2:$K$2000,'Team Lineups'!$K$2:$K$2000,'Team Lineups'!$C$2:$C$2000,AT$1))</f>
        <v>0</v>
      </c>
      <c r="AU15" cm="1">
        <f t="array" ref="AU15">SUMPRODUCT(('Team Lineups'!$K$2:$K$2000&lt;&gt;"")*('Team Lineups'!$C$2:$C$2000=$A15)*COUNTIFS('Team Lineups'!$K$2:$K$2000,'Team Lineups'!$K$2:$K$2000,'Team Lineups'!$C$2:$C$2000,AU$1))</f>
        <v>1</v>
      </c>
      <c r="AV15" cm="1">
        <f t="array" ref="AV15">SUMPRODUCT(('Team Lineups'!$K$2:$K$2000&lt;&gt;"")*('Team Lineups'!$C$2:$C$2000=$A15)*COUNTIFS('Team Lineups'!$K$2:$K$2000,'Team Lineups'!$K$2:$K$2000,'Team Lineups'!$C$2:$C$2000,AV$1))</f>
        <v>0</v>
      </c>
    </row>
    <row r="16" spans="1:100" x14ac:dyDescent="0.35">
      <c r="A16" t="str">
        <v>Julio</v>
      </c>
      <c r="B16" cm="1">
        <f t="array" ref="B16">SUMPRODUCT(('Team Lineups'!$K$2:$K$2000&lt;&gt;"")*('Team Lineups'!$C$2:$C$2000=$A16)*COUNTIFS('Team Lineups'!$K$2:$K$2000,'Team Lineups'!$K$2:$K$2000,'Team Lineups'!$C$2:$C$2000,B$1))</f>
        <v>0</v>
      </c>
      <c r="C16" cm="1">
        <f t="array" ref="C16">SUMPRODUCT(('Team Lineups'!$K$2:$K$2000&lt;&gt;"")*('Team Lineups'!$C$2:$C$2000=$A16)*COUNTIFS('Team Lineups'!$K$2:$K$2000,'Team Lineups'!$K$2:$K$2000,'Team Lineups'!$C$2:$C$2000,C$1))</f>
        <v>1</v>
      </c>
      <c r="D16" cm="1">
        <f t="array" ref="D16">SUMPRODUCT(('Team Lineups'!$K$2:$K$2000&lt;&gt;"")*('Team Lineups'!$C$2:$C$2000=$A16)*COUNTIFS('Team Lineups'!$K$2:$K$2000,'Team Lineups'!$K$2:$K$2000,'Team Lineups'!$C$2:$C$2000,D$1))</f>
        <v>2</v>
      </c>
      <c r="E16" cm="1">
        <f t="array" ref="E16">SUMPRODUCT(('Team Lineups'!$K$2:$K$2000&lt;&gt;"")*('Team Lineups'!$C$2:$C$2000=$A16)*COUNTIFS('Team Lineups'!$K$2:$K$2000,'Team Lineups'!$K$2:$K$2000,'Team Lineups'!$C$2:$C$2000,E$1))</f>
        <v>1</v>
      </c>
      <c r="F16" cm="1">
        <f t="array" ref="F16">SUMPRODUCT(('Team Lineups'!$K$2:$K$2000&lt;&gt;"")*('Team Lineups'!$C$2:$C$2000=$A16)*COUNTIFS('Team Lineups'!$K$2:$K$2000,'Team Lineups'!$K$2:$K$2000,'Team Lineups'!$C$2:$C$2000,F$1))</f>
        <v>2</v>
      </c>
      <c r="G16" cm="1">
        <f t="array" ref="G16">SUMPRODUCT(('Team Lineups'!$K$2:$K$2000&lt;&gt;"")*('Team Lineups'!$C$2:$C$2000=$A16)*COUNTIFS('Team Lineups'!$K$2:$K$2000,'Team Lineups'!$K$2:$K$2000,'Team Lineups'!$C$2:$C$2000,G$1))</f>
        <v>2</v>
      </c>
      <c r="H16" cm="1">
        <f t="array" ref="H16">SUMPRODUCT(('Team Lineups'!$K$2:$K$2000&lt;&gt;"")*('Team Lineups'!$C$2:$C$2000=$A16)*COUNTIFS('Team Lineups'!$K$2:$K$2000,'Team Lineups'!$K$2:$K$2000,'Team Lineups'!$C$2:$C$2000,H$1))</f>
        <v>1</v>
      </c>
      <c r="I16" cm="1">
        <f t="array" ref="I16">SUMPRODUCT(('Team Lineups'!$K$2:$K$2000&lt;&gt;"")*('Team Lineups'!$C$2:$C$2000=$A16)*COUNTIFS('Team Lineups'!$K$2:$K$2000,'Team Lineups'!$K$2:$K$2000,'Team Lineups'!$C$2:$C$2000,I$1))</f>
        <v>1</v>
      </c>
      <c r="J16" cm="1">
        <f t="array" ref="J16">SUMPRODUCT(('Team Lineups'!$K$2:$K$2000&lt;&gt;"")*('Team Lineups'!$C$2:$C$2000=$A16)*COUNTIFS('Team Lineups'!$K$2:$K$2000,'Team Lineups'!$K$2:$K$2000,'Team Lineups'!$C$2:$C$2000,J$1))</f>
        <v>1</v>
      </c>
      <c r="K16" cm="1">
        <f t="array" ref="K16">SUMPRODUCT(('Team Lineups'!$K$2:$K$2000&lt;&gt;"")*('Team Lineups'!$C$2:$C$2000=$A16)*COUNTIFS('Team Lineups'!$K$2:$K$2000,'Team Lineups'!$K$2:$K$2000,'Team Lineups'!$C$2:$C$2000,K$1))</f>
        <v>0</v>
      </c>
      <c r="L16" cm="1">
        <f t="array" ref="L16">SUMPRODUCT(('Team Lineups'!$K$2:$K$2000&lt;&gt;"")*('Team Lineups'!$C$2:$C$2000=$A16)*COUNTIFS('Team Lineups'!$K$2:$K$2000,'Team Lineups'!$K$2:$K$2000,'Team Lineups'!$C$2:$C$2000,L$1))</f>
        <v>1</v>
      </c>
      <c r="M16" cm="1">
        <f t="array" ref="M16">SUMPRODUCT(('Team Lineups'!$K$2:$K$2000&lt;&gt;"")*('Team Lineups'!$C$2:$C$2000=$A16)*COUNTIFS('Team Lineups'!$K$2:$K$2000,'Team Lineups'!$K$2:$K$2000,'Team Lineups'!$C$2:$C$2000,M$1))</f>
        <v>2</v>
      </c>
      <c r="N16" cm="1">
        <f t="array" ref="N16">SUMPRODUCT(('Team Lineups'!$K$2:$K$2000&lt;&gt;"")*('Team Lineups'!$C$2:$C$2000=$A16)*COUNTIFS('Team Lineups'!$K$2:$K$2000,'Team Lineups'!$K$2:$K$2000,'Team Lineups'!$C$2:$C$2000,N$1))</f>
        <v>0</v>
      </c>
      <c r="O16" cm="1">
        <f t="array" ref="O16">SUMPRODUCT(('Team Lineups'!$K$2:$K$2000&lt;&gt;"")*('Team Lineups'!$C$2:$C$2000=$A16)*COUNTIFS('Team Lineups'!$K$2:$K$2000,'Team Lineups'!$K$2:$K$2000,'Team Lineups'!$C$2:$C$2000,O$1))</f>
        <v>1</v>
      </c>
      <c r="P16" cm="1">
        <f t="array" ref="P16">SUMPRODUCT(('Team Lineups'!$K$2:$K$2000&lt;&gt;"")*('Team Lineups'!$C$2:$C$2000=$A16)*COUNTIFS('Team Lineups'!$K$2:$K$2000,'Team Lineups'!$K$2:$K$2000,'Team Lineups'!$C$2:$C$2000,P$1))</f>
        <v>4</v>
      </c>
      <c r="Q16" cm="1">
        <f t="array" ref="Q16">SUMPRODUCT(('Team Lineups'!$K$2:$K$2000&lt;&gt;"")*('Team Lineups'!$C$2:$C$2000=$A16)*COUNTIFS('Team Lineups'!$K$2:$K$2000,'Team Lineups'!$K$2:$K$2000,'Team Lineups'!$C$2:$C$2000,Q$1))</f>
        <v>2</v>
      </c>
      <c r="R16" cm="1">
        <f t="array" ref="R16">SUMPRODUCT(('Team Lineups'!$K$2:$K$2000&lt;&gt;"")*('Team Lineups'!$C$2:$C$2000=$A16)*COUNTIFS('Team Lineups'!$K$2:$K$2000,'Team Lineups'!$K$2:$K$2000,'Team Lineups'!$C$2:$C$2000,R$1))</f>
        <v>2</v>
      </c>
      <c r="S16" cm="1">
        <f t="array" ref="S16">SUMPRODUCT(('Team Lineups'!$K$2:$K$2000&lt;&gt;"")*('Team Lineups'!$C$2:$C$2000=$A16)*COUNTIFS('Team Lineups'!$K$2:$K$2000,'Team Lineups'!$K$2:$K$2000,'Team Lineups'!$C$2:$C$2000,S$1))</f>
        <v>0</v>
      </c>
      <c r="T16" cm="1">
        <f t="array" ref="T16">SUMPRODUCT(('Team Lineups'!$K$2:$K$2000&lt;&gt;"")*('Team Lineups'!$C$2:$C$2000=$A16)*COUNTIFS('Team Lineups'!$K$2:$K$2000,'Team Lineups'!$K$2:$K$2000,'Team Lineups'!$C$2:$C$2000,T$1))</f>
        <v>0</v>
      </c>
      <c r="U16" cm="1">
        <f t="array" ref="U16">SUMPRODUCT(('Team Lineups'!$K$2:$K$2000&lt;&gt;"")*('Team Lineups'!$C$2:$C$2000=$A16)*COUNTIFS('Team Lineups'!$K$2:$K$2000,'Team Lineups'!$K$2:$K$2000,'Team Lineups'!$C$2:$C$2000,U$1))</f>
        <v>0</v>
      </c>
      <c r="V16" cm="1">
        <f t="array" ref="V16">SUMPRODUCT(('Team Lineups'!$K$2:$K$2000&lt;&gt;"")*('Team Lineups'!$C$2:$C$2000=$A16)*COUNTIFS('Team Lineups'!$K$2:$K$2000,'Team Lineups'!$K$2:$K$2000,'Team Lineups'!$C$2:$C$2000,V$1))</f>
        <v>0</v>
      </c>
      <c r="W16" cm="1">
        <f t="array" ref="W16">SUMPRODUCT(('Team Lineups'!$K$2:$K$2000&lt;&gt;"")*('Team Lineups'!$C$2:$C$2000=$A16)*COUNTIFS('Team Lineups'!$K$2:$K$2000,'Team Lineups'!$K$2:$K$2000,'Team Lineups'!$C$2:$C$2000,W$1))</f>
        <v>0</v>
      </c>
      <c r="X16" cm="1">
        <f t="array" ref="X16">SUMPRODUCT(('Team Lineups'!$K$2:$K$2000&lt;&gt;"")*('Team Lineups'!$C$2:$C$2000=$A16)*COUNTIFS('Team Lineups'!$K$2:$K$2000,'Team Lineups'!$K$2:$K$2000,'Team Lineups'!$C$2:$C$2000,X$1))</f>
        <v>0</v>
      </c>
      <c r="Y16" cm="1">
        <f t="array" ref="Y16">SUMPRODUCT(('Team Lineups'!$K$2:$K$2000&lt;&gt;"")*('Team Lineups'!$C$2:$C$2000=$A16)*COUNTIFS('Team Lineups'!$K$2:$K$2000,'Team Lineups'!$K$2:$K$2000,'Team Lineups'!$C$2:$C$2000,Y$1))</f>
        <v>0</v>
      </c>
      <c r="Z16" cm="1">
        <f t="array" ref="Z16">SUMPRODUCT(('Team Lineups'!$K$2:$K$2000&lt;&gt;"")*('Team Lineups'!$C$2:$C$2000=$A16)*COUNTIFS('Team Lineups'!$K$2:$K$2000,'Team Lineups'!$K$2:$K$2000,'Team Lineups'!$C$2:$C$2000,Z$1))</f>
        <v>1</v>
      </c>
      <c r="AA16" cm="1">
        <f t="array" ref="AA16">SUMPRODUCT(('Team Lineups'!$K$2:$K$2000&lt;&gt;"")*('Team Lineups'!$C$2:$C$2000=$A16)*COUNTIFS('Team Lineups'!$K$2:$K$2000,'Team Lineups'!$K$2:$K$2000,'Team Lineups'!$C$2:$C$2000,AA$1))</f>
        <v>2</v>
      </c>
      <c r="AB16" cm="1">
        <f t="array" ref="AB16">SUMPRODUCT(('Team Lineups'!$K$2:$K$2000&lt;&gt;"")*('Team Lineups'!$C$2:$C$2000=$A16)*COUNTIFS('Team Lineups'!$K$2:$K$2000,'Team Lineups'!$K$2:$K$2000,'Team Lineups'!$C$2:$C$2000,AB$1))</f>
        <v>0</v>
      </c>
      <c r="AC16" cm="1">
        <f t="array" ref="AC16">SUMPRODUCT(('Team Lineups'!$K$2:$K$2000&lt;&gt;"")*('Team Lineups'!$C$2:$C$2000=$A16)*COUNTIFS('Team Lineups'!$K$2:$K$2000,'Team Lineups'!$K$2:$K$2000,'Team Lineups'!$C$2:$C$2000,AC$1))</f>
        <v>0</v>
      </c>
      <c r="AD16" cm="1">
        <f t="array" ref="AD16">SUMPRODUCT(('Team Lineups'!$K$2:$K$2000&lt;&gt;"")*('Team Lineups'!$C$2:$C$2000=$A16)*COUNTIFS('Team Lineups'!$K$2:$K$2000,'Team Lineups'!$K$2:$K$2000,'Team Lineups'!$C$2:$C$2000,AD$1))</f>
        <v>0</v>
      </c>
      <c r="AE16" cm="1">
        <f t="array" ref="AE16">SUMPRODUCT(('Team Lineups'!$K$2:$K$2000&lt;&gt;"")*('Team Lineups'!$C$2:$C$2000=$A16)*COUNTIFS('Team Lineups'!$K$2:$K$2000,'Team Lineups'!$K$2:$K$2000,'Team Lineups'!$C$2:$C$2000,AE$1))</f>
        <v>0</v>
      </c>
      <c r="AF16" cm="1">
        <f t="array" ref="AF16">SUMPRODUCT(('Team Lineups'!$K$2:$K$2000&lt;&gt;"")*('Team Lineups'!$C$2:$C$2000=$A16)*COUNTIFS('Team Lineups'!$K$2:$K$2000,'Team Lineups'!$K$2:$K$2000,'Team Lineups'!$C$2:$C$2000,AF$1))</f>
        <v>1</v>
      </c>
      <c r="AG16" cm="1">
        <f t="array" ref="AG16">SUMPRODUCT(('Team Lineups'!$K$2:$K$2000&lt;&gt;"")*('Team Lineups'!$C$2:$C$2000=$A16)*COUNTIFS('Team Lineups'!$K$2:$K$2000,'Team Lineups'!$K$2:$K$2000,'Team Lineups'!$C$2:$C$2000,AG$1))</f>
        <v>0</v>
      </c>
      <c r="AH16" cm="1">
        <f t="array" ref="AH16">SUMPRODUCT(('Team Lineups'!$K$2:$K$2000&lt;&gt;"")*('Team Lineups'!$C$2:$C$2000=$A16)*COUNTIFS('Team Lineups'!$K$2:$K$2000,'Team Lineups'!$K$2:$K$2000,'Team Lineups'!$C$2:$C$2000,AH$1))</f>
        <v>0</v>
      </c>
      <c r="AI16" cm="1">
        <f t="array" ref="AI16">SUMPRODUCT(('Team Lineups'!$K$2:$K$2000&lt;&gt;"")*('Team Lineups'!$C$2:$C$2000=$A16)*COUNTIFS('Team Lineups'!$K$2:$K$2000,'Team Lineups'!$K$2:$K$2000,'Team Lineups'!$C$2:$C$2000,AI$1))</f>
        <v>0</v>
      </c>
      <c r="AJ16" cm="1">
        <f t="array" ref="AJ16">SUMPRODUCT(('Team Lineups'!$K$2:$K$2000&lt;&gt;"")*('Team Lineups'!$C$2:$C$2000=$A16)*COUNTIFS('Team Lineups'!$K$2:$K$2000,'Team Lineups'!$K$2:$K$2000,'Team Lineups'!$C$2:$C$2000,AJ$1))</f>
        <v>0</v>
      </c>
      <c r="AK16" cm="1">
        <f t="array" ref="AK16">SUMPRODUCT(('Team Lineups'!$K$2:$K$2000&lt;&gt;"")*('Team Lineups'!$C$2:$C$2000=$A16)*COUNTIFS('Team Lineups'!$K$2:$K$2000,'Team Lineups'!$K$2:$K$2000,'Team Lineups'!$C$2:$C$2000,AK$1))</f>
        <v>0</v>
      </c>
      <c r="AL16" cm="1">
        <f t="array" ref="AL16">SUMPRODUCT(('Team Lineups'!$K$2:$K$2000&lt;&gt;"")*('Team Lineups'!$C$2:$C$2000=$A16)*COUNTIFS('Team Lineups'!$K$2:$K$2000,'Team Lineups'!$K$2:$K$2000,'Team Lineups'!$C$2:$C$2000,AL$1))</f>
        <v>0</v>
      </c>
      <c r="AM16" cm="1">
        <f t="array" ref="AM16">SUMPRODUCT(('Team Lineups'!$K$2:$K$2000&lt;&gt;"")*('Team Lineups'!$C$2:$C$2000=$A16)*COUNTIFS('Team Lineups'!$K$2:$K$2000,'Team Lineups'!$K$2:$K$2000,'Team Lineups'!$C$2:$C$2000,AM$1))</f>
        <v>0</v>
      </c>
      <c r="AN16" cm="1">
        <f t="array" ref="AN16">SUMPRODUCT(('Team Lineups'!$K$2:$K$2000&lt;&gt;"")*('Team Lineups'!$C$2:$C$2000=$A16)*COUNTIFS('Team Lineups'!$K$2:$K$2000,'Team Lineups'!$K$2:$K$2000,'Team Lineups'!$C$2:$C$2000,AN$1))</f>
        <v>0</v>
      </c>
      <c r="AO16" cm="1">
        <f t="array" ref="AO16">SUMPRODUCT(('Team Lineups'!$K$2:$K$2000&lt;&gt;"")*('Team Lineups'!$C$2:$C$2000=$A16)*COUNTIFS('Team Lineups'!$K$2:$K$2000,'Team Lineups'!$K$2:$K$2000,'Team Lineups'!$C$2:$C$2000,AO$1))</f>
        <v>0</v>
      </c>
      <c r="AP16" cm="1">
        <f t="array" ref="AP16">SUMPRODUCT(('Team Lineups'!$K$2:$K$2000&lt;&gt;"")*('Team Lineups'!$C$2:$C$2000=$A16)*COUNTIFS('Team Lineups'!$K$2:$K$2000,'Team Lineups'!$K$2:$K$2000,'Team Lineups'!$C$2:$C$2000,AP$1))</f>
        <v>0</v>
      </c>
      <c r="AQ16" cm="1">
        <f t="array" ref="AQ16">SUMPRODUCT(('Team Lineups'!$K$2:$K$2000&lt;&gt;"")*('Team Lineups'!$C$2:$C$2000=$A16)*COUNTIFS('Team Lineups'!$K$2:$K$2000,'Team Lineups'!$K$2:$K$2000,'Team Lineups'!$C$2:$C$2000,AQ$1))</f>
        <v>0</v>
      </c>
      <c r="AR16" cm="1">
        <f t="array" ref="AR16">SUMPRODUCT(('Team Lineups'!$K$2:$K$2000&lt;&gt;"")*('Team Lineups'!$C$2:$C$2000=$A16)*COUNTIFS('Team Lineups'!$K$2:$K$2000,'Team Lineups'!$K$2:$K$2000,'Team Lineups'!$C$2:$C$2000,AR$1))</f>
        <v>0</v>
      </c>
      <c r="AS16" cm="1">
        <f t="array" ref="AS16">SUMPRODUCT(('Team Lineups'!$K$2:$K$2000&lt;&gt;"")*('Team Lineups'!$C$2:$C$2000=$A16)*COUNTIFS('Team Lineups'!$K$2:$K$2000,'Team Lineups'!$K$2:$K$2000,'Team Lineups'!$C$2:$C$2000,AS$1))</f>
        <v>0</v>
      </c>
      <c r="AT16" cm="1">
        <f t="array" ref="AT16">SUMPRODUCT(('Team Lineups'!$K$2:$K$2000&lt;&gt;"")*('Team Lineups'!$C$2:$C$2000=$A16)*COUNTIFS('Team Lineups'!$K$2:$K$2000,'Team Lineups'!$K$2:$K$2000,'Team Lineups'!$C$2:$C$2000,AT$1))</f>
        <v>0</v>
      </c>
      <c r="AU16" cm="1">
        <f t="array" ref="AU16">SUMPRODUCT(('Team Lineups'!$K$2:$K$2000&lt;&gt;"")*('Team Lineups'!$C$2:$C$2000=$A16)*COUNTIFS('Team Lineups'!$K$2:$K$2000,'Team Lineups'!$K$2:$K$2000,'Team Lineups'!$C$2:$C$2000,AU$1))</f>
        <v>0</v>
      </c>
      <c r="AV16" cm="1">
        <f t="array" ref="AV16">SUMPRODUCT(('Team Lineups'!$K$2:$K$2000&lt;&gt;"")*('Team Lineups'!$C$2:$C$2000=$A16)*COUNTIFS('Team Lineups'!$K$2:$K$2000,'Team Lineups'!$K$2:$K$2000,'Team Lineups'!$C$2:$C$2000,AV$1))</f>
        <v>0</v>
      </c>
    </row>
    <row r="17" spans="1:48" x14ac:dyDescent="0.35">
      <c r="A17" t="str">
        <v>Enrico</v>
      </c>
      <c r="B17" cm="1">
        <f t="array" ref="B17">SUMPRODUCT(('Team Lineups'!$K$2:$K$2000&lt;&gt;"")*('Team Lineups'!$C$2:$C$2000=$A17)*COUNTIFS('Team Lineups'!$K$2:$K$2000,'Team Lineups'!$K$2:$K$2000,'Team Lineups'!$C$2:$C$2000,B$1))</f>
        <v>5</v>
      </c>
      <c r="C17" cm="1">
        <f t="array" ref="C17">SUMPRODUCT(('Team Lineups'!$K$2:$K$2000&lt;&gt;"")*('Team Lineups'!$C$2:$C$2000=$A17)*COUNTIFS('Team Lineups'!$K$2:$K$2000,'Team Lineups'!$K$2:$K$2000,'Team Lineups'!$C$2:$C$2000,C$1))</f>
        <v>4</v>
      </c>
      <c r="D17" cm="1">
        <f t="array" ref="D17">SUMPRODUCT(('Team Lineups'!$K$2:$K$2000&lt;&gt;"")*('Team Lineups'!$C$2:$C$2000=$A17)*COUNTIFS('Team Lineups'!$K$2:$K$2000,'Team Lineups'!$K$2:$K$2000,'Team Lineups'!$C$2:$C$2000,D$1))</f>
        <v>5</v>
      </c>
      <c r="E17" cm="1">
        <f t="array" ref="E17">SUMPRODUCT(('Team Lineups'!$K$2:$K$2000&lt;&gt;"")*('Team Lineups'!$C$2:$C$2000=$A17)*COUNTIFS('Team Lineups'!$K$2:$K$2000,'Team Lineups'!$K$2:$K$2000,'Team Lineups'!$C$2:$C$2000,E$1))</f>
        <v>7</v>
      </c>
      <c r="F17" cm="1">
        <f t="array" ref="F17">SUMPRODUCT(('Team Lineups'!$K$2:$K$2000&lt;&gt;"")*('Team Lineups'!$C$2:$C$2000=$A17)*COUNTIFS('Team Lineups'!$K$2:$K$2000,'Team Lineups'!$K$2:$K$2000,'Team Lineups'!$C$2:$C$2000,F$1))</f>
        <v>6</v>
      </c>
      <c r="G17" cm="1">
        <f t="array" ref="G17">SUMPRODUCT(('Team Lineups'!$K$2:$K$2000&lt;&gt;"")*('Team Lineups'!$C$2:$C$2000=$A17)*COUNTIFS('Team Lineups'!$K$2:$K$2000,'Team Lineups'!$K$2:$K$2000,'Team Lineups'!$C$2:$C$2000,G$1))</f>
        <v>8</v>
      </c>
      <c r="H17" cm="1">
        <f t="array" ref="H17">SUMPRODUCT(('Team Lineups'!$K$2:$K$2000&lt;&gt;"")*('Team Lineups'!$C$2:$C$2000=$A17)*COUNTIFS('Team Lineups'!$K$2:$K$2000,'Team Lineups'!$K$2:$K$2000,'Team Lineups'!$C$2:$C$2000,H$1))</f>
        <v>11</v>
      </c>
      <c r="I17" cm="1">
        <f t="array" ref="I17">SUMPRODUCT(('Team Lineups'!$K$2:$K$2000&lt;&gt;"")*('Team Lineups'!$C$2:$C$2000=$A17)*COUNTIFS('Team Lineups'!$K$2:$K$2000,'Team Lineups'!$K$2:$K$2000,'Team Lineups'!$C$2:$C$2000,I$1))</f>
        <v>6</v>
      </c>
      <c r="J17" cm="1">
        <f t="array" ref="J17">SUMPRODUCT(('Team Lineups'!$K$2:$K$2000&lt;&gt;"")*('Team Lineups'!$C$2:$C$2000=$A17)*COUNTIFS('Team Lineups'!$K$2:$K$2000,'Team Lineups'!$K$2:$K$2000,'Team Lineups'!$C$2:$C$2000,J$1))</f>
        <v>1</v>
      </c>
      <c r="K17" cm="1">
        <f t="array" ref="K17">SUMPRODUCT(('Team Lineups'!$K$2:$K$2000&lt;&gt;"")*('Team Lineups'!$C$2:$C$2000=$A17)*COUNTIFS('Team Lineups'!$K$2:$K$2000,'Team Lineups'!$K$2:$K$2000,'Team Lineups'!$C$2:$C$2000,K$1))</f>
        <v>0</v>
      </c>
      <c r="L17" cm="1">
        <f t="array" ref="L17">SUMPRODUCT(('Team Lineups'!$K$2:$K$2000&lt;&gt;"")*('Team Lineups'!$C$2:$C$2000=$A17)*COUNTIFS('Team Lineups'!$K$2:$K$2000,'Team Lineups'!$K$2:$K$2000,'Team Lineups'!$C$2:$C$2000,L$1))</f>
        <v>8</v>
      </c>
      <c r="M17" cm="1">
        <f t="array" ref="M17">SUMPRODUCT(('Team Lineups'!$K$2:$K$2000&lt;&gt;"")*('Team Lineups'!$C$2:$C$2000=$A17)*COUNTIFS('Team Lineups'!$K$2:$K$2000,'Team Lineups'!$K$2:$K$2000,'Team Lineups'!$C$2:$C$2000,M$1))</f>
        <v>10</v>
      </c>
      <c r="N17" cm="1">
        <f t="array" ref="N17">SUMPRODUCT(('Team Lineups'!$K$2:$K$2000&lt;&gt;"")*('Team Lineups'!$C$2:$C$2000=$A17)*COUNTIFS('Team Lineups'!$K$2:$K$2000,'Team Lineups'!$K$2:$K$2000,'Team Lineups'!$C$2:$C$2000,N$1))</f>
        <v>5</v>
      </c>
      <c r="O17" cm="1">
        <f t="array" ref="O17">SUMPRODUCT(('Team Lineups'!$K$2:$K$2000&lt;&gt;"")*('Team Lineups'!$C$2:$C$2000=$A17)*COUNTIFS('Team Lineups'!$K$2:$K$2000,'Team Lineups'!$K$2:$K$2000,'Team Lineups'!$C$2:$C$2000,O$1))</f>
        <v>9</v>
      </c>
      <c r="P17" cm="1">
        <f t="array" ref="P17">SUMPRODUCT(('Team Lineups'!$K$2:$K$2000&lt;&gt;"")*('Team Lineups'!$C$2:$C$2000=$A17)*COUNTIFS('Team Lineups'!$K$2:$K$2000,'Team Lineups'!$K$2:$K$2000,'Team Lineups'!$C$2:$C$2000,P$1))</f>
        <v>2</v>
      </c>
      <c r="Q17" cm="1">
        <f t="array" ref="Q17">SUMPRODUCT(('Team Lineups'!$K$2:$K$2000&lt;&gt;"")*('Team Lineups'!$C$2:$C$2000=$A17)*COUNTIFS('Team Lineups'!$K$2:$K$2000,'Team Lineups'!$K$2:$K$2000,'Team Lineups'!$C$2:$C$2000,Q$1))</f>
        <v>29</v>
      </c>
      <c r="R17" cm="1">
        <f t="array" ref="R17">SUMPRODUCT(('Team Lineups'!$K$2:$K$2000&lt;&gt;"")*('Team Lineups'!$C$2:$C$2000=$A17)*COUNTIFS('Team Lineups'!$K$2:$K$2000,'Team Lineups'!$K$2:$K$2000,'Team Lineups'!$C$2:$C$2000,R$1))</f>
        <v>3</v>
      </c>
      <c r="S17" cm="1">
        <f t="array" ref="S17">SUMPRODUCT(('Team Lineups'!$K$2:$K$2000&lt;&gt;"")*('Team Lineups'!$C$2:$C$2000=$A17)*COUNTIFS('Team Lineups'!$K$2:$K$2000,'Team Lineups'!$K$2:$K$2000,'Team Lineups'!$C$2:$C$2000,S$1))</f>
        <v>5</v>
      </c>
      <c r="T17" cm="1">
        <f t="array" ref="T17">SUMPRODUCT(('Team Lineups'!$K$2:$K$2000&lt;&gt;"")*('Team Lineups'!$C$2:$C$2000=$A17)*COUNTIFS('Team Lineups'!$K$2:$K$2000,'Team Lineups'!$K$2:$K$2000,'Team Lineups'!$C$2:$C$2000,T$1))</f>
        <v>3</v>
      </c>
      <c r="U17" cm="1">
        <f t="array" ref="U17">SUMPRODUCT(('Team Lineups'!$K$2:$K$2000&lt;&gt;"")*('Team Lineups'!$C$2:$C$2000=$A17)*COUNTIFS('Team Lineups'!$K$2:$K$2000,'Team Lineups'!$K$2:$K$2000,'Team Lineups'!$C$2:$C$2000,U$1))</f>
        <v>0</v>
      </c>
      <c r="V17" cm="1">
        <f t="array" ref="V17">SUMPRODUCT(('Team Lineups'!$K$2:$K$2000&lt;&gt;"")*('Team Lineups'!$C$2:$C$2000=$A17)*COUNTIFS('Team Lineups'!$K$2:$K$2000,'Team Lineups'!$K$2:$K$2000,'Team Lineups'!$C$2:$C$2000,V$1))</f>
        <v>2</v>
      </c>
      <c r="W17" cm="1">
        <f t="array" ref="W17">SUMPRODUCT(('Team Lineups'!$K$2:$K$2000&lt;&gt;"")*('Team Lineups'!$C$2:$C$2000=$A17)*COUNTIFS('Team Lineups'!$K$2:$K$2000,'Team Lineups'!$K$2:$K$2000,'Team Lineups'!$C$2:$C$2000,W$1))</f>
        <v>0</v>
      </c>
      <c r="X17" cm="1">
        <f t="array" ref="X17">SUMPRODUCT(('Team Lineups'!$K$2:$K$2000&lt;&gt;"")*('Team Lineups'!$C$2:$C$2000=$A17)*COUNTIFS('Team Lineups'!$K$2:$K$2000,'Team Lineups'!$K$2:$K$2000,'Team Lineups'!$C$2:$C$2000,X$1))</f>
        <v>0</v>
      </c>
      <c r="Y17" cm="1">
        <f t="array" ref="Y17">SUMPRODUCT(('Team Lineups'!$K$2:$K$2000&lt;&gt;"")*('Team Lineups'!$C$2:$C$2000=$A17)*COUNTIFS('Team Lineups'!$K$2:$K$2000,'Team Lineups'!$K$2:$K$2000,'Team Lineups'!$C$2:$C$2000,Y$1))</f>
        <v>1</v>
      </c>
      <c r="Z17" cm="1">
        <f t="array" ref="Z17">SUMPRODUCT(('Team Lineups'!$K$2:$K$2000&lt;&gt;"")*('Team Lineups'!$C$2:$C$2000=$A17)*COUNTIFS('Team Lineups'!$K$2:$K$2000,'Team Lineups'!$K$2:$K$2000,'Team Lineups'!$C$2:$C$2000,Z$1))</f>
        <v>3</v>
      </c>
      <c r="AA17" cm="1">
        <f t="array" ref="AA17">SUMPRODUCT(('Team Lineups'!$K$2:$K$2000&lt;&gt;"")*('Team Lineups'!$C$2:$C$2000=$A17)*COUNTIFS('Team Lineups'!$K$2:$K$2000,'Team Lineups'!$K$2:$K$2000,'Team Lineups'!$C$2:$C$2000,AA$1))</f>
        <v>4</v>
      </c>
      <c r="AB17" cm="1">
        <f t="array" ref="AB17">SUMPRODUCT(('Team Lineups'!$K$2:$K$2000&lt;&gt;"")*('Team Lineups'!$C$2:$C$2000=$A17)*COUNTIFS('Team Lineups'!$K$2:$K$2000,'Team Lineups'!$K$2:$K$2000,'Team Lineups'!$C$2:$C$2000,AB$1))</f>
        <v>4</v>
      </c>
      <c r="AC17" cm="1">
        <f t="array" ref="AC17">SUMPRODUCT(('Team Lineups'!$K$2:$K$2000&lt;&gt;"")*('Team Lineups'!$C$2:$C$2000=$A17)*COUNTIFS('Team Lineups'!$K$2:$K$2000,'Team Lineups'!$K$2:$K$2000,'Team Lineups'!$C$2:$C$2000,AC$1))</f>
        <v>0</v>
      </c>
      <c r="AD17" cm="1">
        <f t="array" ref="AD17">SUMPRODUCT(('Team Lineups'!$K$2:$K$2000&lt;&gt;"")*('Team Lineups'!$C$2:$C$2000=$A17)*COUNTIFS('Team Lineups'!$K$2:$K$2000,'Team Lineups'!$K$2:$K$2000,'Team Lineups'!$C$2:$C$2000,AD$1))</f>
        <v>1</v>
      </c>
      <c r="AE17" cm="1">
        <f t="array" ref="AE17">SUMPRODUCT(('Team Lineups'!$K$2:$K$2000&lt;&gt;"")*('Team Lineups'!$C$2:$C$2000=$A17)*COUNTIFS('Team Lineups'!$K$2:$K$2000,'Team Lineups'!$K$2:$K$2000,'Team Lineups'!$C$2:$C$2000,AE$1))</f>
        <v>5</v>
      </c>
      <c r="AF17" cm="1">
        <f t="array" ref="AF17">SUMPRODUCT(('Team Lineups'!$K$2:$K$2000&lt;&gt;"")*('Team Lineups'!$C$2:$C$2000=$A17)*COUNTIFS('Team Lineups'!$K$2:$K$2000,'Team Lineups'!$K$2:$K$2000,'Team Lineups'!$C$2:$C$2000,AF$1))</f>
        <v>0</v>
      </c>
      <c r="AG17" cm="1">
        <f t="array" ref="AG17">SUMPRODUCT(('Team Lineups'!$K$2:$K$2000&lt;&gt;"")*('Team Lineups'!$C$2:$C$2000=$A17)*COUNTIFS('Team Lineups'!$K$2:$K$2000,'Team Lineups'!$K$2:$K$2000,'Team Lineups'!$C$2:$C$2000,AG$1))</f>
        <v>3</v>
      </c>
      <c r="AH17" cm="1">
        <f t="array" ref="AH17">SUMPRODUCT(('Team Lineups'!$K$2:$K$2000&lt;&gt;"")*('Team Lineups'!$C$2:$C$2000=$A17)*COUNTIFS('Team Lineups'!$K$2:$K$2000,'Team Lineups'!$K$2:$K$2000,'Team Lineups'!$C$2:$C$2000,AH$1))</f>
        <v>0</v>
      </c>
      <c r="AI17" cm="1">
        <f t="array" ref="AI17">SUMPRODUCT(('Team Lineups'!$K$2:$K$2000&lt;&gt;"")*('Team Lineups'!$C$2:$C$2000=$A17)*COUNTIFS('Team Lineups'!$K$2:$K$2000,'Team Lineups'!$K$2:$K$2000,'Team Lineups'!$C$2:$C$2000,AI$1))</f>
        <v>2</v>
      </c>
      <c r="AJ17" cm="1">
        <f t="array" ref="AJ17">SUMPRODUCT(('Team Lineups'!$K$2:$K$2000&lt;&gt;"")*('Team Lineups'!$C$2:$C$2000=$A17)*COUNTIFS('Team Lineups'!$K$2:$K$2000,'Team Lineups'!$K$2:$K$2000,'Team Lineups'!$C$2:$C$2000,AJ$1))</f>
        <v>5</v>
      </c>
      <c r="AK17" cm="1">
        <f t="array" ref="AK17">SUMPRODUCT(('Team Lineups'!$K$2:$K$2000&lt;&gt;"")*('Team Lineups'!$C$2:$C$2000=$A17)*COUNTIFS('Team Lineups'!$K$2:$K$2000,'Team Lineups'!$K$2:$K$2000,'Team Lineups'!$C$2:$C$2000,AK$1))</f>
        <v>0</v>
      </c>
      <c r="AL17" cm="1">
        <f t="array" ref="AL17">SUMPRODUCT(('Team Lineups'!$K$2:$K$2000&lt;&gt;"")*('Team Lineups'!$C$2:$C$2000=$A17)*COUNTIFS('Team Lineups'!$K$2:$K$2000,'Team Lineups'!$K$2:$K$2000,'Team Lineups'!$C$2:$C$2000,AL$1))</f>
        <v>4</v>
      </c>
      <c r="AM17" cm="1">
        <f t="array" ref="AM17">SUMPRODUCT(('Team Lineups'!$K$2:$K$2000&lt;&gt;"")*('Team Lineups'!$C$2:$C$2000=$A17)*COUNTIFS('Team Lineups'!$K$2:$K$2000,'Team Lineups'!$K$2:$K$2000,'Team Lineups'!$C$2:$C$2000,AM$1))</f>
        <v>1</v>
      </c>
      <c r="AN17" cm="1">
        <f t="array" ref="AN17">SUMPRODUCT(('Team Lineups'!$K$2:$K$2000&lt;&gt;"")*('Team Lineups'!$C$2:$C$2000=$A17)*COUNTIFS('Team Lineups'!$K$2:$K$2000,'Team Lineups'!$K$2:$K$2000,'Team Lineups'!$C$2:$C$2000,AN$1))</f>
        <v>2</v>
      </c>
      <c r="AO17" cm="1">
        <f t="array" ref="AO17">SUMPRODUCT(('Team Lineups'!$K$2:$K$2000&lt;&gt;"")*('Team Lineups'!$C$2:$C$2000=$A17)*COUNTIFS('Team Lineups'!$K$2:$K$2000,'Team Lineups'!$K$2:$K$2000,'Team Lineups'!$C$2:$C$2000,AO$1))</f>
        <v>4</v>
      </c>
      <c r="AP17" cm="1">
        <f t="array" ref="AP17">SUMPRODUCT(('Team Lineups'!$K$2:$K$2000&lt;&gt;"")*('Team Lineups'!$C$2:$C$2000=$A17)*COUNTIFS('Team Lineups'!$K$2:$K$2000,'Team Lineups'!$K$2:$K$2000,'Team Lineups'!$C$2:$C$2000,AP$1))</f>
        <v>2</v>
      </c>
      <c r="AQ17" cm="1">
        <f t="array" ref="AQ17">SUMPRODUCT(('Team Lineups'!$K$2:$K$2000&lt;&gt;"")*('Team Lineups'!$C$2:$C$2000=$A17)*COUNTIFS('Team Lineups'!$K$2:$K$2000,'Team Lineups'!$K$2:$K$2000,'Team Lineups'!$C$2:$C$2000,AQ$1))</f>
        <v>2</v>
      </c>
      <c r="AR17" cm="1">
        <f t="array" ref="AR17">SUMPRODUCT(('Team Lineups'!$K$2:$K$2000&lt;&gt;"")*('Team Lineups'!$C$2:$C$2000=$A17)*COUNTIFS('Team Lineups'!$K$2:$K$2000,'Team Lineups'!$K$2:$K$2000,'Team Lineups'!$C$2:$C$2000,AR$1))</f>
        <v>0</v>
      </c>
      <c r="AS17" cm="1">
        <f t="array" ref="AS17">SUMPRODUCT(('Team Lineups'!$K$2:$K$2000&lt;&gt;"")*('Team Lineups'!$C$2:$C$2000=$A17)*COUNTIFS('Team Lineups'!$K$2:$K$2000,'Team Lineups'!$K$2:$K$2000,'Team Lineups'!$C$2:$C$2000,AS$1))</f>
        <v>1</v>
      </c>
      <c r="AT17" cm="1">
        <f t="array" ref="AT17">SUMPRODUCT(('Team Lineups'!$K$2:$K$2000&lt;&gt;"")*('Team Lineups'!$C$2:$C$2000=$A17)*COUNTIFS('Team Lineups'!$K$2:$K$2000,'Team Lineups'!$K$2:$K$2000,'Team Lineups'!$C$2:$C$2000,AT$1))</f>
        <v>0</v>
      </c>
      <c r="AU17" cm="1">
        <f t="array" ref="AU17">SUMPRODUCT(('Team Lineups'!$K$2:$K$2000&lt;&gt;"")*('Team Lineups'!$C$2:$C$2000=$A17)*COUNTIFS('Team Lineups'!$K$2:$K$2000,'Team Lineups'!$K$2:$K$2000,'Team Lineups'!$C$2:$C$2000,AU$1))</f>
        <v>0</v>
      </c>
      <c r="AV17" cm="1">
        <f t="array" ref="AV17">SUMPRODUCT(('Team Lineups'!$K$2:$K$2000&lt;&gt;"")*('Team Lineups'!$C$2:$C$2000=$A17)*COUNTIFS('Team Lineups'!$K$2:$K$2000,'Team Lineups'!$K$2:$K$2000,'Team Lineups'!$C$2:$C$2000,AV$1))</f>
        <v>0</v>
      </c>
    </row>
    <row r="18" spans="1:48" x14ac:dyDescent="0.35">
      <c r="A18" t="str">
        <v>Alirio</v>
      </c>
      <c r="B18" cm="1">
        <f t="array" ref="B18">SUMPRODUCT(('Team Lineups'!$K$2:$K$2000&lt;&gt;"")*('Team Lineups'!$C$2:$C$2000=$A18)*COUNTIFS('Team Lineups'!$K$2:$K$2000,'Team Lineups'!$K$2:$K$2000,'Team Lineups'!$C$2:$C$2000,B$1))</f>
        <v>5</v>
      </c>
      <c r="C18" cm="1">
        <f t="array" ref="C18">SUMPRODUCT(('Team Lineups'!$K$2:$K$2000&lt;&gt;"")*('Team Lineups'!$C$2:$C$2000=$A18)*COUNTIFS('Team Lineups'!$K$2:$K$2000,'Team Lineups'!$K$2:$K$2000,'Team Lineups'!$C$2:$C$2000,C$1))</f>
        <v>1</v>
      </c>
      <c r="D18" cm="1">
        <f t="array" ref="D18">SUMPRODUCT(('Team Lineups'!$K$2:$K$2000&lt;&gt;"")*('Team Lineups'!$C$2:$C$2000=$A18)*COUNTIFS('Team Lineups'!$K$2:$K$2000,'Team Lineups'!$K$2:$K$2000,'Team Lineups'!$C$2:$C$2000,D$1))</f>
        <v>8</v>
      </c>
      <c r="E18" cm="1">
        <f t="array" ref="E18">SUMPRODUCT(('Team Lineups'!$K$2:$K$2000&lt;&gt;"")*('Team Lineups'!$C$2:$C$2000=$A18)*COUNTIFS('Team Lineups'!$K$2:$K$2000,'Team Lineups'!$K$2:$K$2000,'Team Lineups'!$C$2:$C$2000,E$1))</f>
        <v>4</v>
      </c>
      <c r="F18" cm="1">
        <f t="array" ref="F18">SUMPRODUCT(('Team Lineups'!$K$2:$K$2000&lt;&gt;"")*('Team Lineups'!$C$2:$C$2000=$A18)*COUNTIFS('Team Lineups'!$K$2:$K$2000,'Team Lineups'!$K$2:$K$2000,'Team Lineups'!$C$2:$C$2000,F$1))</f>
        <v>8</v>
      </c>
      <c r="G18" cm="1">
        <f t="array" ref="G18">SUMPRODUCT(('Team Lineups'!$K$2:$K$2000&lt;&gt;"")*('Team Lineups'!$C$2:$C$2000=$A18)*COUNTIFS('Team Lineups'!$K$2:$K$2000,'Team Lineups'!$K$2:$K$2000,'Team Lineups'!$C$2:$C$2000,G$1))</f>
        <v>7</v>
      </c>
      <c r="H18" cm="1">
        <f t="array" ref="H18">SUMPRODUCT(('Team Lineups'!$K$2:$K$2000&lt;&gt;"")*('Team Lineups'!$C$2:$C$2000=$A18)*COUNTIFS('Team Lineups'!$K$2:$K$2000,'Team Lineups'!$K$2:$K$2000,'Team Lineups'!$C$2:$C$2000,H$1))</f>
        <v>6</v>
      </c>
      <c r="I18" cm="1">
        <f t="array" ref="I18">SUMPRODUCT(('Team Lineups'!$K$2:$K$2000&lt;&gt;"")*('Team Lineups'!$C$2:$C$2000=$A18)*COUNTIFS('Team Lineups'!$K$2:$K$2000,'Team Lineups'!$K$2:$K$2000,'Team Lineups'!$C$2:$C$2000,I$1))</f>
        <v>6</v>
      </c>
      <c r="J18" cm="1">
        <f t="array" ref="J18">SUMPRODUCT(('Team Lineups'!$K$2:$K$2000&lt;&gt;"")*('Team Lineups'!$C$2:$C$2000=$A18)*COUNTIFS('Team Lineups'!$K$2:$K$2000,'Team Lineups'!$K$2:$K$2000,'Team Lineups'!$C$2:$C$2000,J$1))</f>
        <v>1</v>
      </c>
      <c r="K18" cm="1">
        <f t="array" ref="K18">SUMPRODUCT(('Team Lineups'!$K$2:$K$2000&lt;&gt;"")*('Team Lineups'!$C$2:$C$2000=$A18)*COUNTIFS('Team Lineups'!$K$2:$K$2000,'Team Lineups'!$K$2:$K$2000,'Team Lineups'!$C$2:$C$2000,K$1))</f>
        <v>0</v>
      </c>
      <c r="L18" cm="1">
        <f t="array" ref="L18">SUMPRODUCT(('Team Lineups'!$K$2:$K$2000&lt;&gt;"")*('Team Lineups'!$C$2:$C$2000=$A18)*COUNTIFS('Team Lineups'!$K$2:$K$2000,'Team Lineups'!$K$2:$K$2000,'Team Lineups'!$C$2:$C$2000,L$1))</f>
        <v>4</v>
      </c>
      <c r="M18" cm="1">
        <f t="array" ref="M18">SUMPRODUCT(('Team Lineups'!$K$2:$K$2000&lt;&gt;"")*('Team Lineups'!$C$2:$C$2000=$A18)*COUNTIFS('Team Lineups'!$K$2:$K$2000,'Team Lineups'!$K$2:$K$2000,'Team Lineups'!$C$2:$C$2000,M$1))</f>
        <v>7</v>
      </c>
      <c r="N18" cm="1">
        <f t="array" ref="N18">SUMPRODUCT(('Team Lineups'!$K$2:$K$2000&lt;&gt;"")*('Team Lineups'!$C$2:$C$2000=$A18)*COUNTIFS('Team Lineups'!$K$2:$K$2000,'Team Lineups'!$K$2:$K$2000,'Team Lineups'!$C$2:$C$2000,N$1))</f>
        <v>1</v>
      </c>
      <c r="O18" cm="1">
        <f t="array" ref="O18">SUMPRODUCT(('Team Lineups'!$K$2:$K$2000&lt;&gt;"")*('Team Lineups'!$C$2:$C$2000=$A18)*COUNTIFS('Team Lineups'!$K$2:$K$2000,'Team Lineups'!$K$2:$K$2000,'Team Lineups'!$C$2:$C$2000,O$1))</f>
        <v>2</v>
      </c>
      <c r="P18" cm="1">
        <f t="array" ref="P18">SUMPRODUCT(('Team Lineups'!$K$2:$K$2000&lt;&gt;"")*('Team Lineups'!$C$2:$C$2000=$A18)*COUNTIFS('Team Lineups'!$K$2:$K$2000,'Team Lineups'!$K$2:$K$2000,'Team Lineups'!$C$2:$C$2000,P$1))</f>
        <v>2</v>
      </c>
      <c r="Q18" cm="1">
        <f t="array" ref="Q18">SUMPRODUCT(('Team Lineups'!$K$2:$K$2000&lt;&gt;"")*('Team Lineups'!$C$2:$C$2000=$A18)*COUNTIFS('Team Lineups'!$K$2:$K$2000,'Team Lineups'!$K$2:$K$2000,'Team Lineups'!$C$2:$C$2000,Q$1))</f>
        <v>3</v>
      </c>
      <c r="R18" cm="1">
        <f t="array" ref="R18">SUMPRODUCT(('Team Lineups'!$K$2:$K$2000&lt;&gt;"")*('Team Lineups'!$C$2:$C$2000=$A18)*COUNTIFS('Team Lineups'!$K$2:$K$2000,'Team Lineups'!$K$2:$K$2000,'Team Lineups'!$C$2:$C$2000,R$1))</f>
        <v>20</v>
      </c>
      <c r="S18" cm="1">
        <f t="array" ref="S18">SUMPRODUCT(('Team Lineups'!$K$2:$K$2000&lt;&gt;"")*('Team Lineups'!$C$2:$C$2000=$A18)*COUNTIFS('Team Lineups'!$K$2:$K$2000,'Team Lineups'!$K$2:$K$2000,'Team Lineups'!$C$2:$C$2000,S$1))</f>
        <v>2</v>
      </c>
      <c r="T18" cm="1">
        <f t="array" ref="T18">SUMPRODUCT(('Team Lineups'!$K$2:$K$2000&lt;&gt;"")*('Team Lineups'!$C$2:$C$2000=$A18)*COUNTIFS('Team Lineups'!$K$2:$K$2000,'Team Lineups'!$K$2:$K$2000,'Team Lineups'!$C$2:$C$2000,T$1))</f>
        <v>1</v>
      </c>
      <c r="U18" cm="1">
        <f t="array" ref="U18">SUMPRODUCT(('Team Lineups'!$K$2:$K$2000&lt;&gt;"")*('Team Lineups'!$C$2:$C$2000=$A18)*COUNTIFS('Team Lineups'!$K$2:$K$2000,'Team Lineups'!$K$2:$K$2000,'Team Lineups'!$C$2:$C$2000,U$1))</f>
        <v>0</v>
      </c>
      <c r="V18" cm="1">
        <f t="array" ref="V18">SUMPRODUCT(('Team Lineups'!$K$2:$K$2000&lt;&gt;"")*('Team Lineups'!$C$2:$C$2000=$A18)*COUNTIFS('Team Lineups'!$K$2:$K$2000,'Team Lineups'!$K$2:$K$2000,'Team Lineups'!$C$2:$C$2000,V$1))</f>
        <v>0</v>
      </c>
      <c r="W18" cm="1">
        <f t="array" ref="W18">SUMPRODUCT(('Team Lineups'!$K$2:$K$2000&lt;&gt;"")*('Team Lineups'!$C$2:$C$2000=$A18)*COUNTIFS('Team Lineups'!$K$2:$K$2000,'Team Lineups'!$K$2:$K$2000,'Team Lineups'!$C$2:$C$2000,W$1))</f>
        <v>0</v>
      </c>
      <c r="X18" cm="1">
        <f t="array" ref="X18">SUMPRODUCT(('Team Lineups'!$K$2:$K$2000&lt;&gt;"")*('Team Lineups'!$C$2:$C$2000=$A18)*COUNTIFS('Team Lineups'!$K$2:$K$2000,'Team Lineups'!$K$2:$K$2000,'Team Lineups'!$C$2:$C$2000,X$1))</f>
        <v>0</v>
      </c>
      <c r="Y18" cm="1">
        <f t="array" ref="Y18">SUMPRODUCT(('Team Lineups'!$K$2:$K$2000&lt;&gt;"")*('Team Lineups'!$C$2:$C$2000=$A18)*COUNTIFS('Team Lineups'!$K$2:$K$2000,'Team Lineups'!$K$2:$K$2000,'Team Lineups'!$C$2:$C$2000,Y$1))</f>
        <v>0</v>
      </c>
      <c r="Z18" cm="1">
        <f t="array" ref="Z18">SUMPRODUCT(('Team Lineups'!$K$2:$K$2000&lt;&gt;"")*('Team Lineups'!$C$2:$C$2000=$A18)*COUNTIFS('Team Lineups'!$K$2:$K$2000,'Team Lineups'!$K$2:$K$2000,'Team Lineups'!$C$2:$C$2000,Z$1))</f>
        <v>4</v>
      </c>
      <c r="AA18" cm="1">
        <f t="array" ref="AA18">SUMPRODUCT(('Team Lineups'!$K$2:$K$2000&lt;&gt;"")*('Team Lineups'!$C$2:$C$2000=$A18)*COUNTIFS('Team Lineups'!$K$2:$K$2000,'Team Lineups'!$K$2:$K$2000,'Team Lineups'!$C$2:$C$2000,AA$1))</f>
        <v>6</v>
      </c>
      <c r="AB18" cm="1">
        <f t="array" ref="AB18">SUMPRODUCT(('Team Lineups'!$K$2:$K$2000&lt;&gt;"")*('Team Lineups'!$C$2:$C$2000=$A18)*COUNTIFS('Team Lineups'!$K$2:$K$2000,'Team Lineups'!$K$2:$K$2000,'Team Lineups'!$C$2:$C$2000,AB$1))</f>
        <v>5</v>
      </c>
      <c r="AC18" cm="1">
        <f t="array" ref="AC18">SUMPRODUCT(('Team Lineups'!$K$2:$K$2000&lt;&gt;"")*('Team Lineups'!$C$2:$C$2000=$A18)*COUNTIFS('Team Lineups'!$K$2:$K$2000,'Team Lineups'!$K$2:$K$2000,'Team Lineups'!$C$2:$C$2000,AC$1))</f>
        <v>0</v>
      </c>
      <c r="AD18" cm="1">
        <f t="array" ref="AD18">SUMPRODUCT(('Team Lineups'!$K$2:$K$2000&lt;&gt;"")*('Team Lineups'!$C$2:$C$2000=$A18)*COUNTIFS('Team Lineups'!$K$2:$K$2000,'Team Lineups'!$K$2:$K$2000,'Team Lineups'!$C$2:$C$2000,AD$1))</f>
        <v>0</v>
      </c>
      <c r="AE18" cm="1">
        <f t="array" ref="AE18">SUMPRODUCT(('Team Lineups'!$K$2:$K$2000&lt;&gt;"")*('Team Lineups'!$C$2:$C$2000=$A18)*COUNTIFS('Team Lineups'!$K$2:$K$2000,'Team Lineups'!$K$2:$K$2000,'Team Lineups'!$C$2:$C$2000,AE$1))</f>
        <v>1</v>
      </c>
      <c r="AF18" cm="1">
        <f t="array" ref="AF18">SUMPRODUCT(('Team Lineups'!$K$2:$K$2000&lt;&gt;"")*('Team Lineups'!$C$2:$C$2000=$A18)*COUNTIFS('Team Lineups'!$K$2:$K$2000,'Team Lineups'!$K$2:$K$2000,'Team Lineups'!$C$2:$C$2000,AF$1))</f>
        <v>0</v>
      </c>
      <c r="AG18" cm="1">
        <f t="array" ref="AG18">SUMPRODUCT(('Team Lineups'!$K$2:$K$2000&lt;&gt;"")*('Team Lineups'!$C$2:$C$2000=$A18)*COUNTIFS('Team Lineups'!$K$2:$K$2000,'Team Lineups'!$K$2:$K$2000,'Team Lineups'!$C$2:$C$2000,AG$1))</f>
        <v>0</v>
      </c>
      <c r="AH18" cm="1">
        <f t="array" ref="AH18">SUMPRODUCT(('Team Lineups'!$K$2:$K$2000&lt;&gt;"")*('Team Lineups'!$C$2:$C$2000=$A18)*COUNTIFS('Team Lineups'!$K$2:$K$2000,'Team Lineups'!$K$2:$K$2000,'Team Lineups'!$C$2:$C$2000,AH$1))</f>
        <v>0</v>
      </c>
      <c r="AI18" cm="1">
        <f t="array" ref="AI18">SUMPRODUCT(('Team Lineups'!$K$2:$K$2000&lt;&gt;"")*('Team Lineups'!$C$2:$C$2000=$A18)*COUNTIFS('Team Lineups'!$K$2:$K$2000,'Team Lineups'!$K$2:$K$2000,'Team Lineups'!$C$2:$C$2000,AI$1))</f>
        <v>0</v>
      </c>
      <c r="AJ18" cm="1">
        <f t="array" ref="AJ18">SUMPRODUCT(('Team Lineups'!$K$2:$K$2000&lt;&gt;"")*('Team Lineups'!$C$2:$C$2000=$A18)*COUNTIFS('Team Lineups'!$K$2:$K$2000,'Team Lineups'!$K$2:$K$2000,'Team Lineups'!$C$2:$C$2000,AJ$1))</f>
        <v>3</v>
      </c>
      <c r="AK18" cm="1">
        <f t="array" ref="AK18">SUMPRODUCT(('Team Lineups'!$K$2:$K$2000&lt;&gt;"")*('Team Lineups'!$C$2:$C$2000=$A18)*COUNTIFS('Team Lineups'!$K$2:$K$2000,'Team Lineups'!$K$2:$K$2000,'Team Lineups'!$C$2:$C$2000,AK$1))</f>
        <v>2</v>
      </c>
      <c r="AL18" cm="1">
        <f t="array" ref="AL18">SUMPRODUCT(('Team Lineups'!$K$2:$K$2000&lt;&gt;"")*('Team Lineups'!$C$2:$C$2000=$A18)*COUNTIFS('Team Lineups'!$K$2:$K$2000,'Team Lineups'!$K$2:$K$2000,'Team Lineups'!$C$2:$C$2000,AL$1))</f>
        <v>8</v>
      </c>
      <c r="AM18" cm="1">
        <f t="array" ref="AM18">SUMPRODUCT(('Team Lineups'!$K$2:$K$2000&lt;&gt;"")*('Team Lineups'!$C$2:$C$2000=$A18)*COUNTIFS('Team Lineups'!$K$2:$K$2000,'Team Lineups'!$K$2:$K$2000,'Team Lineups'!$C$2:$C$2000,AM$1))</f>
        <v>0</v>
      </c>
      <c r="AN18" cm="1">
        <f t="array" ref="AN18">SUMPRODUCT(('Team Lineups'!$K$2:$K$2000&lt;&gt;"")*('Team Lineups'!$C$2:$C$2000=$A18)*COUNTIFS('Team Lineups'!$K$2:$K$2000,'Team Lineups'!$K$2:$K$2000,'Team Lineups'!$C$2:$C$2000,AN$1))</f>
        <v>1</v>
      </c>
      <c r="AO18" cm="1">
        <f t="array" ref="AO18">SUMPRODUCT(('Team Lineups'!$K$2:$K$2000&lt;&gt;"")*('Team Lineups'!$C$2:$C$2000=$A18)*COUNTIFS('Team Lineups'!$K$2:$K$2000,'Team Lineups'!$K$2:$K$2000,'Team Lineups'!$C$2:$C$2000,AO$1))</f>
        <v>0</v>
      </c>
      <c r="AP18" cm="1">
        <f t="array" ref="AP18">SUMPRODUCT(('Team Lineups'!$K$2:$K$2000&lt;&gt;"")*('Team Lineups'!$C$2:$C$2000=$A18)*COUNTIFS('Team Lineups'!$K$2:$K$2000,'Team Lineups'!$K$2:$K$2000,'Team Lineups'!$C$2:$C$2000,AP$1))</f>
        <v>1</v>
      </c>
      <c r="AQ18" cm="1">
        <f t="array" ref="AQ18">SUMPRODUCT(('Team Lineups'!$K$2:$K$2000&lt;&gt;"")*('Team Lineups'!$C$2:$C$2000=$A18)*COUNTIFS('Team Lineups'!$K$2:$K$2000,'Team Lineups'!$K$2:$K$2000,'Team Lineups'!$C$2:$C$2000,AQ$1))</f>
        <v>0</v>
      </c>
      <c r="AR18" cm="1">
        <f t="array" ref="AR18">SUMPRODUCT(('Team Lineups'!$K$2:$K$2000&lt;&gt;"")*('Team Lineups'!$C$2:$C$2000=$A18)*COUNTIFS('Team Lineups'!$K$2:$K$2000,'Team Lineups'!$K$2:$K$2000,'Team Lineups'!$C$2:$C$2000,AR$1))</f>
        <v>0</v>
      </c>
      <c r="AS18" cm="1">
        <f t="array" ref="AS18">SUMPRODUCT(('Team Lineups'!$K$2:$K$2000&lt;&gt;"")*('Team Lineups'!$C$2:$C$2000=$A18)*COUNTIFS('Team Lineups'!$K$2:$K$2000,'Team Lineups'!$K$2:$K$2000,'Team Lineups'!$C$2:$C$2000,AS$1))</f>
        <v>1</v>
      </c>
      <c r="AT18" cm="1">
        <f t="array" ref="AT18">SUMPRODUCT(('Team Lineups'!$K$2:$K$2000&lt;&gt;"")*('Team Lineups'!$C$2:$C$2000=$A18)*COUNTIFS('Team Lineups'!$K$2:$K$2000,'Team Lineups'!$K$2:$K$2000,'Team Lineups'!$C$2:$C$2000,AT$1))</f>
        <v>0</v>
      </c>
      <c r="AU18" cm="1">
        <f t="array" ref="AU18">SUMPRODUCT(('Team Lineups'!$K$2:$K$2000&lt;&gt;"")*('Team Lineups'!$C$2:$C$2000=$A18)*COUNTIFS('Team Lineups'!$K$2:$K$2000,'Team Lineups'!$K$2:$K$2000,'Team Lineups'!$C$2:$C$2000,AU$1))</f>
        <v>0</v>
      </c>
      <c r="AV18" cm="1">
        <f t="array" ref="AV18">SUMPRODUCT(('Team Lineups'!$K$2:$K$2000&lt;&gt;"")*('Team Lineups'!$C$2:$C$2000=$A18)*COUNTIFS('Team Lineups'!$K$2:$K$2000,'Team Lineups'!$K$2:$K$2000,'Team Lineups'!$C$2:$C$2000,AV$1))</f>
        <v>0</v>
      </c>
    </row>
    <row r="19" spans="1:48" x14ac:dyDescent="0.35">
      <c r="A19" t="str">
        <v>Diego</v>
      </c>
      <c r="B19" cm="1">
        <f t="array" ref="B19">SUMPRODUCT(('Team Lineups'!$K$2:$K$2000&lt;&gt;"")*('Team Lineups'!$C$2:$C$2000=$A19)*COUNTIFS('Team Lineups'!$K$2:$K$2000,'Team Lineups'!$K$2:$K$2000,'Team Lineups'!$C$2:$C$2000,B$1))</f>
        <v>3</v>
      </c>
      <c r="C19" cm="1">
        <f t="array" ref="C19">SUMPRODUCT(('Team Lineups'!$K$2:$K$2000&lt;&gt;"")*('Team Lineups'!$C$2:$C$2000=$A19)*COUNTIFS('Team Lineups'!$K$2:$K$2000,'Team Lineups'!$K$2:$K$2000,'Team Lineups'!$C$2:$C$2000,C$1))</f>
        <v>2</v>
      </c>
      <c r="D19" cm="1">
        <f t="array" ref="D19">SUMPRODUCT(('Team Lineups'!$K$2:$K$2000&lt;&gt;"")*('Team Lineups'!$C$2:$C$2000=$A19)*COUNTIFS('Team Lineups'!$K$2:$K$2000,'Team Lineups'!$K$2:$K$2000,'Team Lineups'!$C$2:$C$2000,D$1))</f>
        <v>2</v>
      </c>
      <c r="E19" cm="1">
        <f t="array" ref="E19">SUMPRODUCT(('Team Lineups'!$K$2:$K$2000&lt;&gt;"")*('Team Lineups'!$C$2:$C$2000=$A19)*COUNTIFS('Team Lineups'!$K$2:$K$2000,'Team Lineups'!$K$2:$K$2000,'Team Lineups'!$C$2:$C$2000,E$1))</f>
        <v>5</v>
      </c>
      <c r="F19" cm="1">
        <f t="array" ref="F19">SUMPRODUCT(('Team Lineups'!$K$2:$K$2000&lt;&gt;"")*('Team Lineups'!$C$2:$C$2000=$A19)*COUNTIFS('Team Lineups'!$K$2:$K$2000,'Team Lineups'!$K$2:$K$2000,'Team Lineups'!$C$2:$C$2000,F$1))</f>
        <v>4</v>
      </c>
      <c r="G19" cm="1">
        <f t="array" ref="G19">SUMPRODUCT(('Team Lineups'!$K$2:$K$2000&lt;&gt;"")*('Team Lineups'!$C$2:$C$2000=$A19)*COUNTIFS('Team Lineups'!$K$2:$K$2000,'Team Lineups'!$K$2:$K$2000,'Team Lineups'!$C$2:$C$2000,G$1))</f>
        <v>4</v>
      </c>
      <c r="H19" cm="1">
        <f t="array" ref="H19">SUMPRODUCT(('Team Lineups'!$K$2:$K$2000&lt;&gt;"")*('Team Lineups'!$C$2:$C$2000=$A19)*COUNTIFS('Team Lineups'!$K$2:$K$2000,'Team Lineups'!$K$2:$K$2000,'Team Lineups'!$C$2:$C$2000,H$1))</f>
        <v>4</v>
      </c>
      <c r="I19" cm="1">
        <f t="array" ref="I19">SUMPRODUCT(('Team Lineups'!$K$2:$K$2000&lt;&gt;"")*('Team Lineups'!$C$2:$C$2000=$A19)*COUNTIFS('Team Lineups'!$K$2:$K$2000,'Team Lineups'!$K$2:$K$2000,'Team Lineups'!$C$2:$C$2000,I$1))</f>
        <v>3</v>
      </c>
      <c r="J19" cm="1">
        <f t="array" ref="J19">SUMPRODUCT(('Team Lineups'!$K$2:$K$2000&lt;&gt;"")*('Team Lineups'!$C$2:$C$2000=$A19)*COUNTIFS('Team Lineups'!$K$2:$K$2000,'Team Lineups'!$K$2:$K$2000,'Team Lineups'!$C$2:$C$2000,J$1))</f>
        <v>0</v>
      </c>
      <c r="K19" cm="1">
        <f t="array" ref="K19">SUMPRODUCT(('Team Lineups'!$K$2:$K$2000&lt;&gt;"")*('Team Lineups'!$C$2:$C$2000=$A19)*COUNTIFS('Team Lineups'!$K$2:$K$2000,'Team Lineups'!$K$2:$K$2000,'Team Lineups'!$C$2:$C$2000,K$1))</f>
        <v>0</v>
      </c>
      <c r="L19" cm="1">
        <f t="array" ref="L19">SUMPRODUCT(('Team Lineups'!$K$2:$K$2000&lt;&gt;"")*('Team Lineups'!$C$2:$C$2000=$A19)*COUNTIFS('Team Lineups'!$K$2:$K$2000,'Team Lineups'!$K$2:$K$2000,'Team Lineups'!$C$2:$C$2000,L$1))</f>
        <v>7</v>
      </c>
      <c r="M19" cm="1">
        <f t="array" ref="M19">SUMPRODUCT(('Team Lineups'!$K$2:$K$2000&lt;&gt;"")*('Team Lineups'!$C$2:$C$2000=$A19)*COUNTIFS('Team Lineups'!$K$2:$K$2000,'Team Lineups'!$K$2:$K$2000,'Team Lineups'!$C$2:$C$2000,M$1))</f>
        <v>6</v>
      </c>
      <c r="N19" cm="1">
        <f t="array" ref="N19">SUMPRODUCT(('Team Lineups'!$K$2:$K$2000&lt;&gt;"")*('Team Lineups'!$C$2:$C$2000=$A19)*COUNTIFS('Team Lineups'!$K$2:$K$2000,'Team Lineups'!$K$2:$K$2000,'Team Lineups'!$C$2:$C$2000,N$1))</f>
        <v>3</v>
      </c>
      <c r="O19" cm="1">
        <f t="array" ref="O19">SUMPRODUCT(('Team Lineups'!$K$2:$K$2000&lt;&gt;"")*('Team Lineups'!$C$2:$C$2000=$A19)*COUNTIFS('Team Lineups'!$K$2:$K$2000,'Team Lineups'!$K$2:$K$2000,'Team Lineups'!$C$2:$C$2000,O$1))</f>
        <v>1</v>
      </c>
      <c r="P19" cm="1">
        <f t="array" ref="P19">SUMPRODUCT(('Team Lineups'!$K$2:$K$2000&lt;&gt;"")*('Team Lineups'!$C$2:$C$2000=$A19)*COUNTIFS('Team Lineups'!$K$2:$K$2000,'Team Lineups'!$K$2:$K$2000,'Team Lineups'!$C$2:$C$2000,P$1))</f>
        <v>0</v>
      </c>
      <c r="Q19" cm="1">
        <f t="array" ref="Q19">SUMPRODUCT(('Team Lineups'!$K$2:$K$2000&lt;&gt;"")*('Team Lineups'!$C$2:$C$2000=$A19)*COUNTIFS('Team Lineups'!$K$2:$K$2000,'Team Lineups'!$K$2:$K$2000,'Team Lineups'!$C$2:$C$2000,Q$1))</f>
        <v>5</v>
      </c>
      <c r="R19" cm="1">
        <f t="array" ref="R19">SUMPRODUCT(('Team Lineups'!$K$2:$K$2000&lt;&gt;"")*('Team Lineups'!$C$2:$C$2000=$A19)*COUNTIFS('Team Lineups'!$K$2:$K$2000,'Team Lineups'!$K$2:$K$2000,'Team Lineups'!$C$2:$C$2000,R$1))</f>
        <v>2</v>
      </c>
      <c r="S19" cm="1">
        <f t="array" ref="S19">SUMPRODUCT(('Team Lineups'!$K$2:$K$2000&lt;&gt;"")*('Team Lineups'!$C$2:$C$2000=$A19)*COUNTIFS('Team Lineups'!$K$2:$K$2000,'Team Lineups'!$K$2:$K$2000,'Team Lineups'!$C$2:$C$2000,S$1))</f>
        <v>14</v>
      </c>
      <c r="T19" cm="1">
        <f t="array" ref="T19">SUMPRODUCT(('Team Lineups'!$K$2:$K$2000&lt;&gt;"")*('Team Lineups'!$C$2:$C$2000=$A19)*COUNTIFS('Team Lineups'!$K$2:$K$2000,'Team Lineups'!$K$2:$K$2000,'Team Lineups'!$C$2:$C$2000,T$1))</f>
        <v>1</v>
      </c>
      <c r="U19" cm="1">
        <f t="array" ref="U19">SUMPRODUCT(('Team Lineups'!$K$2:$K$2000&lt;&gt;"")*('Team Lineups'!$C$2:$C$2000=$A19)*COUNTIFS('Team Lineups'!$K$2:$K$2000,'Team Lineups'!$K$2:$K$2000,'Team Lineups'!$C$2:$C$2000,U$1))</f>
        <v>0</v>
      </c>
      <c r="V19" cm="1">
        <f t="array" ref="V19">SUMPRODUCT(('Team Lineups'!$K$2:$K$2000&lt;&gt;"")*('Team Lineups'!$C$2:$C$2000=$A19)*COUNTIFS('Team Lineups'!$K$2:$K$2000,'Team Lineups'!$K$2:$K$2000,'Team Lineups'!$C$2:$C$2000,V$1))</f>
        <v>1</v>
      </c>
      <c r="W19" cm="1">
        <f t="array" ref="W19">SUMPRODUCT(('Team Lineups'!$K$2:$K$2000&lt;&gt;"")*('Team Lineups'!$C$2:$C$2000=$A19)*COUNTIFS('Team Lineups'!$K$2:$K$2000,'Team Lineups'!$K$2:$K$2000,'Team Lineups'!$C$2:$C$2000,W$1))</f>
        <v>0</v>
      </c>
      <c r="X19" cm="1">
        <f t="array" ref="X19">SUMPRODUCT(('Team Lineups'!$K$2:$K$2000&lt;&gt;"")*('Team Lineups'!$C$2:$C$2000=$A19)*COUNTIFS('Team Lineups'!$K$2:$K$2000,'Team Lineups'!$K$2:$K$2000,'Team Lineups'!$C$2:$C$2000,X$1))</f>
        <v>0</v>
      </c>
      <c r="Y19" cm="1">
        <f t="array" ref="Y19">SUMPRODUCT(('Team Lineups'!$K$2:$K$2000&lt;&gt;"")*('Team Lineups'!$C$2:$C$2000=$A19)*COUNTIFS('Team Lineups'!$K$2:$K$2000,'Team Lineups'!$K$2:$K$2000,'Team Lineups'!$C$2:$C$2000,Y$1))</f>
        <v>1</v>
      </c>
      <c r="Z19" cm="1">
        <f t="array" ref="Z19">SUMPRODUCT(('Team Lineups'!$K$2:$K$2000&lt;&gt;"")*('Team Lineups'!$C$2:$C$2000=$A19)*COUNTIFS('Team Lineups'!$K$2:$K$2000,'Team Lineups'!$K$2:$K$2000,'Team Lineups'!$C$2:$C$2000,Z$1))</f>
        <v>1</v>
      </c>
      <c r="AA19" cm="1">
        <f t="array" ref="AA19">SUMPRODUCT(('Team Lineups'!$K$2:$K$2000&lt;&gt;"")*('Team Lineups'!$C$2:$C$2000=$A19)*COUNTIFS('Team Lineups'!$K$2:$K$2000,'Team Lineups'!$K$2:$K$2000,'Team Lineups'!$C$2:$C$2000,AA$1))</f>
        <v>3</v>
      </c>
      <c r="AB19" cm="1">
        <f t="array" ref="AB19">SUMPRODUCT(('Team Lineups'!$K$2:$K$2000&lt;&gt;"")*('Team Lineups'!$C$2:$C$2000=$A19)*COUNTIFS('Team Lineups'!$K$2:$K$2000,'Team Lineups'!$K$2:$K$2000,'Team Lineups'!$C$2:$C$2000,AB$1))</f>
        <v>3</v>
      </c>
      <c r="AC19" cm="1">
        <f t="array" ref="AC19">SUMPRODUCT(('Team Lineups'!$K$2:$K$2000&lt;&gt;"")*('Team Lineups'!$C$2:$C$2000=$A19)*COUNTIFS('Team Lineups'!$K$2:$K$2000,'Team Lineups'!$K$2:$K$2000,'Team Lineups'!$C$2:$C$2000,AC$1))</f>
        <v>0</v>
      </c>
      <c r="AD19" cm="1">
        <f t="array" ref="AD19">SUMPRODUCT(('Team Lineups'!$K$2:$K$2000&lt;&gt;"")*('Team Lineups'!$C$2:$C$2000=$A19)*COUNTIFS('Team Lineups'!$K$2:$K$2000,'Team Lineups'!$K$2:$K$2000,'Team Lineups'!$C$2:$C$2000,AD$1))</f>
        <v>1</v>
      </c>
      <c r="AE19" cm="1">
        <f t="array" ref="AE19">SUMPRODUCT(('Team Lineups'!$K$2:$K$2000&lt;&gt;"")*('Team Lineups'!$C$2:$C$2000=$A19)*COUNTIFS('Team Lineups'!$K$2:$K$2000,'Team Lineups'!$K$2:$K$2000,'Team Lineups'!$C$2:$C$2000,AE$1))</f>
        <v>1</v>
      </c>
      <c r="AF19" cm="1">
        <f t="array" ref="AF19">SUMPRODUCT(('Team Lineups'!$K$2:$K$2000&lt;&gt;"")*('Team Lineups'!$C$2:$C$2000=$A19)*COUNTIFS('Team Lineups'!$K$2:$K$2000,'Team Lineups'!$K$2:$K$2000,'Team Lineups'!$C$2:$C$2000,AF$1))</f>
        <v>0</v>
      </c>
      <c r="AG19" cm="1">
        <f t="array" ref="AG19">SUMPRODUCT(('Team Lineups'!$K$2:$K$2000&lt;&gt;"")*('Team Lineups'!$C$2:$C$2000=$A19)*COUNTIFS('Team Lineups'!$K$2:$K$2000,'Team Lineups'!$K$2:$K$2000,'Team Lineups'!$C$2:$C$2000,AG$1))</f>
        <v>4</v>
      </c>
      <c r="AH19" cm="1">
        <f t="array" ref="AH19">SUMPRODUCT(('Team Lineups'!$K$2:$K$2000&lt;&gt;"")*('Team Lineups'!$C$2:$C$2000=$A19)*COUNTIFS('Team Lineups'!$K$2:$K$2000,'Team Lineups'!$K$2:$K$2000,'Team Lineups'!$C$2:$C$2000,AH$1))</f>
        <v>2</v>
      </c>
      <c r="AI19" cm="1">
        <f t="array" ref="AI19">SUMPRODUCT(('Team Lineups'!$K$2:$K$2000&lt;&gt;"")*('Team Lineups'!$C$2:$C$2000=$A19)*COUNTIFS('Team Lineups'!$K$2:$K$2000,'Team Lineups'!$K$2:$K$2000,'Team Lineups'!$C$2:$C$2000,AI$1))</f>
        <v>0</v>
      </c>
      <c r="AJ19" cm="1">
        <f t="array" ref="AJ19">SUMPRODUCT(('Team Lineups'!$K$2:$K$2000&lt;&gt;"")*('Team Lineups'!$C$2:$C$2000=$A19)*COUNTIFS('Team Lineups'!$K$2:$K$2000,'Team Lineups'!$K$2:$K$2000,'Team Lineups'!$C$2:$C$2000,AJ$1))</f>
        <v>0</v>
      </c>
      <c r="AK19" cm="1">
        <f t="array" ref="AK19">SUMPRODUCT(('Team Lineups'!$K$2:$K$2000&lt;&gt;"")*('Team Lineups'!$C$2:$C$2000=$A19)*COUNTIFS('Team Lineups'!$K$2:$K$2000,'Team Lineups'!$K$2:$K$2000,'Team Lineups'!$C$2:$C$2000,AK$1))</f>
        <v>0</v>
      </c>
      <c r="AL19" cm="1">
        <f t="array" ref="AL19">SUMPRODUCT(('Team Lineups'!$K$2:$K$2000&lt;&gt;"")*('Team Lineups'!$C$2:$C$2000=$A19)*COUNTIFS('Team Lineups'!$K$2:$K$2000,'Team Lineups'!$K$2:$K$2000,'Team Lineups'!$C$2:$C$2000,AL$1))</f>
        <v>1</v>
      </c>
      <c r="AM19" cm="1">
        <f t="array" ref="AM19">SUMPRODUCT(('Team Lineups'!$K$2:$K$2000&lt;&gt;"")*('Team Lineups'!$C$2:$C$2000=$A19)*COUNTIFS('Team Lineups'!$K$2:$K$2000,'Team Lineups'!$K$2:$K$2000,'Team Lineups'!$C$2:$C$2000,AM$1))</f>
        <v>0</v>
      </c>
      <c r="AN19" cm="1">
        <f t="array" ref="AN19">SUMPRODUCT(('Team Lineups'!$K$2:$K$2000&lt;&gt;"")*('Team Lineups'!$C$2:$C$2000=$A19)*COUNTIFS('Team Lineups'!$K$2:$K$2000,'Team Lineups'!$K$2:$K$2000,'Team Lineups'!$C$2:$C$2000,AN$1))</f>
        <v>2</v>
      </c>
      <c r="AO19" cm="1">
        <f t="array" ref="AO19">SUMPRODUCT(('Team Lineups'!$K$2:$K$2000&lt;&gt;"")*('Team Lineups'!$C$2:$C$2000=$A19)*COUNTIFS('Team Lineups'!$K$2:$K$2000,'Team Lineups'!$K$2:$K$2000,'Team Lineups'!$C$2:$C$2000,AO$1))</f>
        <v>0</v>
      </c>
      <c r="AP19" cm="1">
        <f t="array" ref="AP19">SUMPRODUCT(('Team Lineups'!$K$2:$K$2000&lt;&gt;"")*('Team Lineups'!$C$2:$C$2000=$A19)*COUNTIFS('Team Lineups'!$K$2:$K$2000,'Team Lineups'!$K$2:$K$2000,'Team Lineups'!$C$2:$C$2000,AP$1))</f>
        <v>1</v>
      </c>
      <c r="AQ19" cm="1">
        <f t="array" ref="AQ19">SUMPRODUCT(('Team Lineups'!$K$2:$K$2000&lt;&gt;"")*('Team Lineups'!$C$2:$C$2000=$A19)*COUNTIFS('Team Lineups'!$K$2:$K$2000,'Team Lineups'!$K$2:$K$2000,'Team Lineups'!$C$2:$C$2000,AQ$1))</f>
        <v>0</v>
      </c>
      <c r="AR19" cm="1">
        <f t="array" ref="AR19">SUMPRODUCT(('Team Lineups'!$K$2:$K$2000&lt;&gt;"")*('Team Lineups'!$C$2:$C$2000=$A19)*COUNTIFS('Team Lineups'!$K$2:$K$2000,'Team Lineups'!$K$2:$K$2000,'Team Lineups'!$C$2:$C$2000,AR$1))</f>
        <v>0</v>
      </c>
      <c r="AS19" cm="1">
        <f t="array" ref="AS19">SUMPRODUCT(('Team Lineups'!$K$2:$K$2000&lt;&gt;"")*('Team Lineups'!$C$2:$C$2000=$A19)*COUNTIFS('Team Lineups'!$K$2:$K$2000,'Team Lineups'!$K$2:$K$2000,'Team Lineups'!$C$2:$C$2000,AS$1))</f>
        <v>0</v>
      </c>
      <c r="AT19" cm="1">
        <f t="array" ref="AT19">SUMPRODUCT(('Team Lineups'!$K$2:$K$2000&lt;&gt;"")*('Team Lineups'!$C$2:$C$2000=$A19)*COUNTIFS('Team Lineups'!$K$2:$K$2000,'Team Lineups'!$K$2:$K$2000,'Team Lineups'!$C$2:$C$2000,AT$1))</f>
        <v>0</v>
      </c>
      <c r="AU19" cm="1">
        <f t="array" ref="AU19">SUMPRODUCT(('Team Lineups'!$K$2:$K$2000&lt;&gt;"")*('Team Lineups'!$C$2:$C$2000=$A19)*COUNTIFS('Team Lineups'!$K$2:$K$2000,'Team Lineups'!$K$2:$K$2000,'Team Lineups'!$C$2:$C$2000,AU$1))</f>
        <v>0</v>
      </c>
      <c r="AV19" cm="1">
        <f t="array" ref="AV19">SUMPRODUCT(('Team Lineups'!$K$2:$K$2000&lt;&gt;"")*('Team Lineups'!$C$2:$C$2000=$A19)*COUNTIFS('Team Lineups'!$K$2:$K$2000,'Team Lineups'!$K$2:$K$2000,'Team Lineups'!$C$2:$C$2000,AV$1))</f>
        <v>0</v>
      </c>
    </row>
    <row r="20" spans="1:48" x14ac:dyDescent="0.35">
      <c r="A20" t="str">
        <v>Giacomo</v>
      </c>
      <c r="B20" cm="1">
        <f t="array" ref="B20">SUMPRODUCT(('Team Lineups'!$K$2:$K$2000&lt;&gt;"")*('Team Lineups'!$C$2:$C$2000=$A20)*COUNTIFS('Team Lineups'!$K$2:$K$2000,'Team Lineups'!$K$2:$K$2000,'Team Lineups'!$C$2:$C$2000,B$1))</f>
        <v>0</v>
      </c>
      <c r="C20" cm="1">
        <f t="array" ref="C20">SUMPRODUCT(('Team Lineups'!$K$2:$K$2000&lt;&gt;"")*('Team Lineups'!$C$2:$C$2000=$A20)*COUNTIFS('Team Lineups'!$K$2:$K$2000,'Team Lineups'!$K$2:$K$2000,'Team Lineups'!$C$2:$C$2000,C$1))</f>
        <v>0</v>
      </c>
      <c r="D20" cm="1">
        <f t="array" ref="D20">SUMPRODUCT(('Team Lineups'!$K$2:$K$2000&lt;&gt;"")*('Team Lineups'!$C$2:$C$2000=$A20)*COUNTIFS('Team Lineups'!$K$2:$K$2000,'Team Lineups'!$K$2:$K$2000,'Team Lineups'!$C$2:$C$2000,D$1))</f>
        <v>4</v>
      </c>
      <c r="E20" cm="1">
        <f t="array" ref="E20">SUMPRODUCT(('Team Lineups'!$K$2:$K$2000&lt;&gt;"")*('Team Lineups'!$C$2:$C$2000=$A20)*COUNTIFS('Team Lineups'!$K$2:$K$2000,'Team Lineups'!$K$2:$K$2000,'Team Lineups'!$C$2:$C$2000,E$1))</f>
        <v>1</v>
      </c>
      <c r="F20" cm="1">
        <f t="array" ref="F20">SUMPRODUCT(('Team Lineups'!$K$2:$K$2000&lt;&gt;"")*('Team Lineups'!$C$2:$C$2000=$A20)*COUNTIFS('Team Lineups'!$K$2:$K$2000,'Team Lineups'!$K$2:$K$2000,'Team Lineups'!$C$2:$C$2000,F$1))</f>
        <v>1</v>
      </c>
      <c r="G20" cm="1">
        <f t="array" ref="G20">SUMPRODUCT(('Team Lineups'!$K$2:$K$2000&lt;&gt;"")*('Team Lineups'!$C$2:$C$2000=$A20)*COUNTIFS('Team Lineups'!$K$2:$K$2000,'Team Lineups'!$K$2:$K$2000,'Team Lineups'!$C$2:$C$2000,G$1))</f>
        <v>2</v>
      </c>
      <c r="H20" cm="1">
        <f t="array" ref="H20">SUMPRODUCT(('Team Lineups'!$K$2:$K$2000&lt;&gt;"")*('Team Lineups'!$C$2:$C$2000=$A20)*COUNTIFS('Team Lineups'!$K$2:$K$2000,'Team Lineups'!$K$2:$K$2000,'Team Lineups'!$C$2:$C$2000,H$1))</f>
        <v>1</v>
      </c>
      <c r="I20" cm="1">
        <f t="array" ref="I20">SUMPRODUCT(('Team Lineups'!$K$2:$K$2000&lt;&gt;"")*('Team Lineups'!$C$2:$C$2000=$A20)*COUNTIFS('Team Lineups'!$K$2:$K$2000,'Team Lineups'!$K$2:$K$2000,'Team Lineups'!$C$2:$C$2000,I$1))</f>
        <v>4</v>
      </c>
      <c r="J20" cm="1">
        <f t="array" ref="J20">SUMPRODUCT(('Team Lineups'!$K$2:$K$2000&lt;&gt;"")*('Team Lineups'!$C$2:$C$2000=$A20)*COUNTIFS('Team Lineups'!$K$2:$K$2000,'Team Lineups'!$K$2:$K$2000,'Team Lineups'!$C$2:$C$2000,J$1))</f>
        <v>0</v>
      </c>
      <c r="K20" cm="1">
        <f t="array" ref="K20">SUMPRODUCT(('Team Lineups'!$K$2:$K$2000&lt;&gt;"")*('Team Lineups'!$C$2:$C$2000=$A20)*COUNTIFS('Team Lineups'!$K$2:$K$2000,'Team Lineups'!$K$2:$K$2000,'Team Lineups'!$C$2:$C$2000,K$1))</f>
        <v>0</v>
      </c>
      <c r="L20" cm="1">
        <f t="array" ref="L20">SUMPRODUCT(('Team Lineups'!$K$2:$K$2000&lt;&gt;"")*('Team Lineups'!$C$2:$C$2000=$A20)*COUNTIFS('Team Lineups'!$K$2:$K$2000,'Team Lineups'!$K$2:$K$2000,'Team Lineups'!$C$2:$C$2000,L$1))</f>
        <v>5</v>
      </c>
      <c r="M20" cm="1">
        <f t="array" ref="M20">SUMPRODUCT(('Team Lineups'!$K$2:$K$2000&lt;&gt;"")*('Team Lineups'!$C$2:$C$2000=$A20)*COUNTIFS('Team Lineups'!$K$2:$K$2000,'Team Lineups'!$K$2:$K$2000,'Team Lineups'!$C$2:$C$2000,M$1))</f>
        <v>3</v>
      </c>
      <c r="N20" cm="1">
        <f t="array" ref="N20">SUMPRODUCT(('Team Lineups'!$K$2:$K$2000&lt;&gt;"")*('Team Lineups'!$C$2:$C$2000=$A20)*COUNTIFS('Team Lineups'!$K$2:$K$2000,'Team Lineups'!$K$2:$K$2000,'Team Lineups'!$C$2:$C$2000,N$1))</f>
        <v>4</v>
      </c>
      <c r="O20" cm="1">
        <f t="array" ref="O20">SUMPRODUCT(('Team Lineups'!$K$2:$K$2000&lt;&gt;"")*('Team Lineups'!$C$2:$C$2000=$A20)*COUNTIFS('Team Lineups'!$K$2:$K$2000,'Team Lineups'!$K$2:$K$2000,'Team Lineups'!$C$2:$C$2000,O$1))</f>
        <v>3</v>
      </c>
      <c r="P20" cm="1">
        <f t="array" ref="P20">SUMPRODUCT(('Team Lineups'!$K$2:$K$2000&lt;&gt;"")*('Team Lineups'!$C$2:$C$2000=$A20)*COUNTIFS('Team Lineups'!$K$2:$K$2000,'Team Lineups'!$K$2:$K$2000,'Team Lineups'!$C$2:$C$2000,P$1))</f>
        <v>0</v>
      </c>
      <c r="Q20" cm="1">
        <f t="array" ref="Q20">SUMPRODUCT(('Team Lineups'!$K$2:$K$2000&lt;&gt;"")*('Team Lineups'!$C$2:$C$2000=$A20)*COUNTIFS('Team Lineups'!$K$2:$K$2000,'Team Lineups'!$K$2:$K$2000,'Team Lineups'!$C$2:$C$2000,Q$1))</f>
        <v>3</v>
      </c>
      <c r="R20" cm="1">
        <f t="array" ref="R20">SUMPRODUCT(('Team Lineups'!$K$2:$K$2000&lt;&gt;"")*('Team Lineups'!$C$2:$C$2000=$A20)*COUNTIFS('Team Lineups'!$K$2:$K$2000,'Team Lineups'!$K$2:$K$2000,'Team Lineups'!$C$2:$C$2000,R$1))</f>
        <v>1</v>
      </c>
      <c r="S20" cm="1">
        <f t="array" ref="S20">SUMPRODUCT(('Team Lineups'!$K$2:$K$2000&lt;&gt;"")*('Team Lineups'!$C$2:$C$2000=$A20)*COUNTIFS('Team Lineups'!$K$2:$K$2000,'Team Lineups'!$K$2:$K$2000,'Team Lineups'!$C$2:$C$2000,S$1))</f>
        <v>1</v>
      </c>
      <c r="T20" cm="1">
        <f t="array" ref="T20">SUMPRODUCT(('Team Lineups'!$K$2:$K$2000&lt;&gt;"")*('Team Lineups'!$C$2:$C$2000=$A20)*COUNTIFS('Team Lineups'!$K$2:$K$2000,'Team Lineups'!$K$2:$K$2000,'Team Lineups'!$C$2:$C$2000,T$1))</f>
        <v>10</v>
      </c>
      <c r="U20" cm="1">
        <f t="array" ref="U20">SUMPRODUCT(('Team Lineups'!$K$2:$K$2000&lt;&gt;"")*('Team Lineups'!$C$2:$C$2000=$A20)*COUNTIFS('Team Lineups'!$K$2:$K$2000,'Team Lineups'!$K$2:$K$2000,'Team Lineups'!$C$2:$C$2000,U$1))</f>
        <v>0</v>
      </c>
      <c r="V20" cm="1">
        <f t="array" ref="V20">SUMPRODUCT(('Team Lineups'!$K$2:$K$2000&lt;&gt;"")*('Team Lineups'!$C$2:$C$2000=$A20)*COUNTIFS('Team Lineups'!$K$2:$K$2000,'Team Lineups'!$K$2:$K$2000,'Team Lineups'!$C$2:$C$2000,V$1))</f>
        <v>0</v>
      </c>
      <c r="W20" cm="1">
        <f t="array" ref="W20">SUMPRODUCT(('Team Lineups'!$K$2:$K$2000&lt;&gt;"")*('Team Lineups'!$C$2:$C$2000=$A20)*COUNTIFS('Team Lineups'!$K$2:$K$2000,'Team Lineups'!$K$2:$K$2000,'Team Lineups'!$C$2:$C$2000,W$1))</f>
        <v>0</v>
      </c>
      <c r="X20" cm="1">
        <f t="array" ref="X20">SUMPRODUCT(('Team Lineups'!$K$2:$K$2000&lt;&gt;"")*('Team Lineups'!$C$2:$C$2000=$A20)*COUNTIFS('Team Lineups'!$K$2:$K$2000,'Team Lineups'!$K$2:$K$2000,'Team Lineups'!$C$2:$C$2000,X$1))</f>
        <v>0</v>
      </c>
      <c r="Y20" cm="1">
        <f t="array" ref="Y20">SUMPRODUCT(('Team Lineups'!$K$2:$K$2000&lt;&gt;"")*('Team Lineups'!$C$2:$C$2000=$A20)*COUNTIFS('Team Lineups'!$K$2:$K$2000,'Team Lineups'!$K$2:$K$2000,'Team Lineups'!$C$2:$C$2000,Y$1))</f>
        <v>0</v>
      </c>
      <c r="Z20" cm="1">
        <f t="array" ref="Z20">SUMPRODUCT(('Team Lineups'!$K$2:$K$2000&lt;&gt;"")*('Team Lineups'!$C$2:$C$2000=$A20)*COUNTIFS('Team Lineups'!$K$2:$K$2000,'Team Lineups'!$K$2:$K$2000,'Team Lineups'!$C$2:$C$2000,Z$1))</f>
        <v>0</v>
      </c>
      <c r="AA20" cm="1">
        <f t="array" ref="AA20">SUMPRODUCT(('Team Lineups'!$K$2:$K$2000&lt;&gt;"")*('Team Lineups'!$C$2:$C$2000=$A20)*COUNTIFS('Team Lineups'!$K$2:$K$2000,'Team Lineups'!$K$2:$K$2000,'Team Lineups'!$C$2:$C$2000,AA$1))</f>
        <v>3</v>
      </c>
      <c r="AB20" cm="1">
        <f t="array" ref="AB20">SUMPRODUCT(('Team Lineups'!$K$2:$K$2000&lt;&gt;"")*('Team Lineups'!$C$2:$C$2000=$A20)*COUNTIFS('Team Lineups'!$K$2:$K$2000,'Team Lineups'!$K$2:$K$2000,'Team Lineups'!$C$2:$C$2000,AB$1))</f>
        <v>2</v>
      </c>
      <c r="AC20" cm="1">
        <f t="array" ref="AC20">SUMPRODUCT(('Team Lineups'!$K$2:$K$2000&lt;&gt;"")*('Team Lineups'!$C$2:$C$2000=$A20)*COUNTIFS('Team Lineups'!$K$2:$K$2000,'Team Lineups'!$K$2:$K$2000,'Team Lineups'!$C$2:$C$2000,AC$1))</f>
        <v>0</v>
      </c>
      <c r="AD20" cm="1">
        <f t="array" ref="AD20">SUMPRODUCT(('Team Lineups'!$K$2:$K$2000&lt;&gt;"")*('Team Lineups'!$C$2:$C$2000=$A20)*COUNTIFS('Team Lineups'!$K$2:$K$2000,'Team Lineups'!$K$2:$K$2000,'Team Lineups'!$C$2:$C$2000,AD$1))</f>
        <v>4</v>
      </c>
      <c r="AE20" cm="1">
        <f t="array" ref="AE20">SUMPRODUCT(('Team Lineups'!$K$2:$K$2000&lt;&gt;"")*('Team Lineups'!$C$2:$C$2000=$A20)*COUNTIFS('Team Lineups'!$K$2:$K$2000,'Team Lineups'!$K$2:$K$2000,'Team Lineups'!$C$2:$C$2000,AE$1))</f>
        <v>2</v>
      </c>
      <c r="AF20" cm="1">
        <f t="array" ref="AF20">SUMPRODUCT(('Team Lineups'!$K$2:$K$2000&lt;&gt;"")*('Team Lineups'!$C$2:$C$2000=$A20)*COUNTIFS('Team Lineups'!$K$2:$K$2000,'Team Lineups'!$K$2:$K$2000,'Team Lineups'!$C$2:$C$2000,AF$1))</f>
        <v>0</v>
      </c>
      <c r="AG20" cm="1">
        <f t="array" ref="AG20">SUMPRODUCT(('Team Lineups'!$K$2:$K$2000&lt;&gt;"")*('Team Lineups'!$C$2:$C$2000=$A20)*COUNTIFS('Team Lineups'!$K$2:$K$2000,'Team Lineups'!$K$2:$K$2000,'Team Lineups'!$C$2:$C$2000,AG$1))</f>
        <v>0</v>
      </c>
      <c r="AH20" cm="1">
        <f t="array" ref="AH20">SUMPRODUCT(('Team Lineups'!$K$2:$K$2000&lt;&gt;"")*('Team Lineups'!$C$2:$C$2000=$A20)*COUNTIFS('Team Lineups'!$K$2:$K$2000,'Team Lineups'!$K$2:$K$2000,'Team Lineups'!$C$2:$C$2000,AH$1))</f>
        <v>0</v>
      </c>
      <c r="AI20" cm="1">
        <f t="array" ref="AI20">SUMPRODUCT(('Team Lineups'!$K$2:$K$2000&lt;&gt;"")*('Team Lineups'!$C$2:$C$2000=$A20)*COUNTIFS('Team Lineups'!$K$2:$K$2000,'Team Lineups'!$K$2:$K$2000,'Team Lineups'!$C$2:$C$2000,AI$1))</f>
        <v>0</v>
      </c>
      <c r="AJ20" cm="1">
        <f t="array" ref="AJ20">SUMPRODUCT(('Team Lineups'!$K$2:$K$2000&lt;&gt;"")*('Team Lineups'!$C$2:$C$2000=$A20)*COUNTIFS('Team Lineups'!$K$2:$K$2000,'Team Lineups'!$K$2:$K$2000,'Team Lineups'!$C$2:$C$2000,AJ$1))</f>
        <v>2</v>
      </c>
      <c r="AK20" cm="1">
        <f t="array" ref="AK20">SUMPRODUCT(('Team Lineups'!$K$2:$K$2000&lt;&gt;"")*('Team Lineups'!$C$2:$C$2000=$A20)*COUNTIFS('Team Lineups'!$K$2:$K$2000,'Team Lineups'!$K$2:$K$2000,'Team Lineups'!$C$2:$C$2000,AK$1))</f>
        <v>1</v>
      </c>
      <c r="AL20" cm="1">
        <f t="array" ref="AL20">SUMPRODUCT(('Team Lineups'!$K$2:$K$2000&lt;&gt;"")*('Team Lineups'!$C$2:$C$2000=$A20)*COUNTIFS('Team Lineups'!$K$2:$K$2000,'Team Lineups'!$K$2:$K$2000,'Team Lineups'!$C$2:$C$2000,AL$1))</f>
        <v>2</v>
      </c>
      <c r="AM20" cm="1">
        <f t="array" ref="AM20">SUMPRODUCT(('Team Lineups'!$K$2:$K$2000&lt;&gt;"")*('Team Lineups'!$C$2:$C$2000=$A20)*COUNTIFS('Team Lineups'!$K$2:$K$2000,'Team Lineups'!$K$2:$K$2000,'Team Lineups'!$C$2:$C$2000,AM$1))</f>
        <v>0</v>
      </c>
      <c r="AN20" cm="1">
        <f t="array" ref="AN20">SUMPRODUCT(('Team Lineups'!$K$2:$K$2000&lt;&gt;"")*('Team Lineups'!$C$2:$C$2000=$A20)*COUNTIFS('Team Lineups'!$K$2:$K$2000,'Team Lineups'!$K$2:$K$2000,'Team Lineups'!$C$2:$C$2000,AN$1))</f>
        <v>0</v>
      </c>
      <c r="AO20" cm="1">
        <f t="array" ref="AO20">SUMPRODUCT(('Team Lineups'!$K$2:$K$2000&lt;&gt;"")*('Team Lineups'!$C$2:$C$2000=$A20)*COUNTIFS('Team Lineups'!$K$2:$K$2000,'Team Lineups'!$K$2:$K$2000,'Team Lineups'!$C$2:$C$2000,AO$1))</f>
        <v>1</v>
      </c>
      <c r="AP20" cm="1">
        <f t="array" ref="AP20">SUMPRODUCT(('Team Lineups'!$K$2:$K$2000&lt;&gt;"")*('Team Lineups'!$C$2:$C$2000=$A20)*COUNTIFS('Team Lineups'!$K$2:$K$2000,'Team Lineups'!$K$2:$K$2000,'Team Lineups'!$C$2:$C$2000,AP$1))</f>
        <v>1</v>
      </c>
      <c r="AQ20" cm="1">
        <f t="array" ref="AQ20">SUMPRODUCT(('Team Lineups'!$K$2:$K$2000&lt;&gt;"")*('Team Lineups'!$C$2:$C$2000=$A20)*COUNTIFS('Team Lineups'!$K$2:$K$2000,'Team Lineups'!$K$2:$K$2000,'Team Lineups'!$C$2:$C$2000,AQ$1))</f>
        <v>0</v>
      </c>
      <c r="AR20" cm="1">
        <f t="array" ref="AR20">SUMPRODUCT(('Team Lineups'!$K$2:$K$2000&lt;&gt;"")*('Team Lineups'!$C$2:$C$2000=$A20)*COUNTIFS('Team Lineups'!$K$2:$K$2000,'Team Lineups'!$K$2:$K$2000,'Team Lineups'!$C$2:$C$2000,AR$1))</f>
        <v>0</v>
      </c>
      <c r="AS20" cm="1">
        <f t="array" ref="AS20">SUMPRODUCT(('Team Lineups'!$K$2:$K$2000&lt;&gt;"")*('Team Lineups'!$C$2:$C$2000=$A20)*COUNTIFS('Team Lineups'!$K$2:$K$2000,'Team Lineups'!$K$2:$K$2000,'Team Lineups'!$C$2:$C$2000,AS$1))</f>
        <v>0</v>
      </c>
      <c r="AT20" cm="1">
        <f t="array" ref="AT20">SUMPRODUCT(('Team Lineups'!$K$2:$K$2000&lt;&gt;"")*('Team Lineups'!$C$2:$C$2000=$A20)*COUNTIFS('Team Lineups'!$K$2:$K$2000,'Team Lineups'!$K$2:$K$2000,'Team Lineups'!$C$2:$C$2000,AT$1))</f>
        <v>0</v>
      </c>
      <c r="AU20" cm="1">
        <f t="array" ref="AU20">SUMPRODUCT(('Team Lineups'!$K$2:$K$2000&lt;&gt;"")*('Team Lineups'!$C$2:$C$2000=$A20)*COUNTIFS('Team Lineups'!$K$2:$K$2000,'Team Lineups'!$K$2:$K$2000,'Team Lineups'!$C$2:$C$2000,AU$1))</f>
        <v>0</v>
      </c>
      <c r="AV20" cm="1">
        <f t="array" ref="AV20">SUMPRODUCT(('Team Lineups'!$K$2:$K$2000&lt;&gt;"")*('Team Lineups'!$C$2:$C$2000=$A20)*COUNTIFS('Team Lineups'!$K$2:$K$2000,'Team Lineups'!$K$2:$K$2000,'Team Lineups'!$C$2:$C$2000,AV$1))</f>
        <v>0</v>
      </c>
    </row>
    <row r="21" spans="1:48" x14ac:dyDescent="0.35">
      <c r="A21" t="str">
        <v>Christian</v>
      </c>
      <c r="B21" cm="1">
        <f t="array" ref="B21">SUMPRODUCT(('Team Lineups'!$K$2:$K$2000&lt;&gt;"")*('Team Lineups'!$C$2:$C$2000=$A21)*COUNTIFS('Team Lineups'!$K$2:$K$2000,'Team Lineups'!$K$2:$K$2000,'Team Lineups'!$C$2:$C$2000,B$1))</f>
        <v>0</v>
      </c>
      <c r="C21" cm="1">
        <f t="array" ref="C21">SUMPRODUCT(('Team Lineups'!$K$2:$K$2000&lt;&gt;"")*('Team Lineups'!$C$2:$C$2000=$A21)*COUNTIFS('Team Lineups'!$K$2:$K$2000,'Team Lineups'!$K$2:$K$2000,'Team Lineups'!$C$2:$C$2000,C$1))</f>
        <v>0</v>
      </c>
      <c r="D21" cm="1">
        <f t="array" ref="D21">SUMPRODUCT(('Team Lineups'!$K$2:$K$2000&lt;&gt;"")*('Team Lineups'!$C$2:$C$2000=$A21)*COUNTIFS('Team Lineups'!$K$2:$K$2000,'Team Lineups'!$K$2:$K$2000,'Team Lineups'!$C$2:$C$2000,D$1))</f>
        <v>1</v>
      </c>
      <c r="E21" cm="1">
        <f t="array" ref="E21">SUMPRODUCT(('Team Lineups'!$K$2:$K$2000&lt;&gt;"")*('Team Lineups'!$C$2:$C$2000=$A21)*COUNTIFS('Team Lineups'!$K$2:$K$2000,'Team Lineups'!$K$2:$K$2000,'Team Lineups'!$C$2:$C$2000,E$1))</f>
        <v>0</v>
      </c>
      <c r="F21" cm="1">
        <f t="array" ref="F21">SUMPRODUCT(('Team Lineups'!$K$2:$K$2000&lt;&gt;"")*('Team Lineups'!$C$2:$C$2000=$A21)*COUNTIFS('Team Lineups'!$K$2:$K$2000,'Team Lineups'!$K$2:$K$2000,'Team Lineups'!$C$2:$C$2000,F$1))</f>
        <v>0</v>
      </c>
      <c r="G21" cm="1">
        <f t="array" ref="G21">SUMPRODUCT(('Team Lineups'!$K$2:$K$2000&lt;&gt;"")*('Team Lineups'!$C$2:$C$2000=$A21)*COUNTIFS('Team Lineups'!$K$2:$K$2000,'Team Lineups'!$K$2:$K$2000,'Team Lineups'!$C$2:$C$2000,G$1))</f>
        <v>0</v>
      </c>
      <c r="H21" cm="1">
        <f t="array" ref="H21">SUMPRODUCT(('Team Lineups'!$K$2:$K$2000&lt;&gt;"")*('Team Lineups'!$C$2:$C$2000=$A21)*COUNTIFS('Team Lineups'!$K$2:$K$2000,'Team Lineups'!$K$2:$K$2000,'Team Lineups'!$C$2:$C$2000,H$1))</f>
        <v>0</v>
      </c>
      <c r="I21" cm="1">
        <f t="array" ref="I21">SUMPRODUCT(('Team Lineups'!$K$2:$K$2000&lt;&gt;"")*('Team Lineups'!$C$2:$C$2000=$A21)*COUNTIFS('Team Lineups'!$K$2:$K$2000,'Team Lineups'!$K$2:$K$2000,'Team Lineups'!$C$2:$C$2000,I$1))</f>
        <v>1</v>
      </c>
      <c r="J21" cm="1">
        <f t="array" ref="J21">SUMPRODUCT(('Team Lineups'!$K$2:$K$2000&lt;&gt;"")*('Team Lineups'!$C$2:$C$2000=$A21)*COUNTIFS('Team Lineups'!$K$2:$K$2000,'Team Lineups'!$K$2:$K$2000,'Team Lineups'!$C$2:$C$2000,J$1))</f>
        <v>0</v>
      </c>
      <c r="K21" cm="1">
        <f t="array" ref="K21">SUMPRODUCT(('Team Lineups'!$K$2:$K$2000&lt;&gt;"")*('Team Lineups'!$C$2:$C$2000=$A21)*COUNTIFS('Team Lineups'!$K$2:$K$2000,'Team Lineups'!$K$2:$K$2000,'Team Lineups'!$C$2:$C$2000,K$1))</f>
        <v>0</v>
      </c>
      <c r="L21" cm="1">
        <f t="array" ref="L21">SUMPRODUCT(('Team Lineups'!$K$2:$K$2000&lt;&gt;"")*('Team Lineups'!$C$2:$C$2000=$A21)*COUNTIFS('Team Lineups'!$K$2:$K$2000,'Team Lineups'!$K$2:$K$2000,'Team Lineups'!$C$2:$C$2000,L$1))</f>
        <v>1</v>
      </c>
      <c r="M21" cm="1">
        <f t="array" ref="M21">SUMPRODUCT(('Team Lineups'!$K$2:$K$2000&lt;&gt;"")*('Team Lineups'!$C$2:$C$2000=$A21)*COUNTIFS('Team Lineups'!$K$2:$K$2000,'Team Lineups'!$K$2:$K$2000,'Team Lineups'!$C$2:$C$2000,M$1))</f>
        <v>0</v>
      </c>
      <c r="N21" cm="1">
        <f t="array" ref="N21">SUMPRODUCT(('Team Lineups'!$K$2:$K$2000&lt;&gt;"")*('Team Lineups'!$C$2:$C$2000=$A21)*COUNTIFS('Team Lineups'!$K$2:$K$2000,'Team Lineups'!$K$2:$K$2000,'Team Lineups'!$C$2:$C$2000,N$1))</f>
        <v>0</v>
      </c>
      <c r="O21" cm="1">
        <f t="array" ref="O21">SUMPRODUCT(('Team Lineups'!$K$2:$K$2000&lt;&gt;"")*('Team Lineups'!$C$2:$C$2000=$A21)*COUNTIFS('Team Lineups'!$K$2:$K$2000,'Team Lineups'!$K$2:$K$2000,'Team Lineups'!$C$2:$C$2000,O$1))</f>
        <v>0</v>
      </c>
      <c r="P21" cm="1">
        <f t="array" ref="P21">SUMPRODUCT(('Team Lineups'!$K$2:$K$2000&lt;&gt;"")*('Team Lineups'!$C$2:$C$2000=$A21)*COUNTIFS('Team Lineups'!$K$2:$K$2000,'Team Lineups'!$K$2:$K$2000,'Team Lineups'!$C$2:$C$2000,P$1))</f>
        <v>0</v>
      </c>
      <c r="Q21" cm="1">
        <f t="array" ref="Q21">SUMPRODUCT(('Team Lineups'!$K$2:$K$2000&lt;&gt;"")*('Team Lineups'!$C$2:$C$2000=$A21)*COUNTIFS('Team Lineups'!$K$2:$K$2000,'Team Lineups'!$K$2:$K$2000,'Team Lineups'!$C$2:$C$2000,Q$1))</f>
        <v>0</v>
      </c>
      <c r="R21" cm="1">
        <f t="array" ref="R21">SUMPRODUCT(('Team Lineups'!$K$2:$K$2000&lt;&gt;"")*('Team Lineups'!$C$2:$C$2000=$A21)*COUNTIFS('Team Lineups'!$K$2:$K$2000,'Team Lineups'!$K$2:$K$2000,'Team Lineups'!$C$2:$C$2000,R$1))</f>
        <v>0</v>
      </c>
      <c r="S21" cm="1">
        <f t="array" ref="S21">SUMPRODUCT(('Team Lineups'!$K$2:$K$2000&lt;&gt;"")*('Team Lineups'!$C$2:$C$2000=$A21)*COUNTIFS('Team Lineups'!$K$2:$K$2000,'Team Lineups'!$K$2:$K$2000,'Team Lineups'!$C$2:$C$2000,S$1))</f>
        <v>0</v>
      </c>
      <c r="T21" cm="1">
        <f t="array" ref="T21">SUMPRODUCT(('Team Lineups'!$K$2:$K$2000&lt;&gt;"")*('Team Lineups'!$C$2:$C$2000=$A21)*COUNTIFS('Team Lineups'!$K$2:$K$2000,'Team Lineups'!$K$2:$K$2000,'Team Lineups'!$C$2:$C$2000,T$1))</f>
        <v>0</v>
      </c>
      <c r="U21" cm="1">
        <f t="array" ref="U21">SUMPRODUCT(('Team Lineups'!$K$2:$K$2000&lt;&gt;"")*('Team Lineups'!$C$2:$C$2000=$A21)*COUNTIFS('Team Lineups'!$K$2:$K$2000,'Team Lineups'!$K$2:$K$2000,'Team Lineups'!$C$2:$C$2000,U$1))</f>
        <v>1</v>
      </c>
      <c r="V21" cm="1">
        <f t="array" ref="V21">SUMPRODUCT(('Team Lineups'!$K$2:$K$2000&lt;&gt;"")*('Team Lineups'!$C$2:$C$2000=$A21)*COUNTIFS('Team Lineups'!$K$2:$K$2000,'Team Lineups'!$K$2:$K$2000,'Team Lineups'!$C$2:$C$2000,V$1))</f>
        <v>1</v>
      </c>
      <c r="W21" cm="1">
        <f t="array" ref="W21">SUMPRODUCT(('Team Lineups'!$K$2:$K$2000&lt;&gt;"")*('Team Lineups'!$C$2:$C$2000=$A21)*COUNTIFS('Team Lineups'!$K$2:$K$2000,'Team Lineups'!$K$2:$K$2000,'Team Lineups'!$C$2:$C$2000,W$1))</f>
        <v>0</v>
      </c>
      <c r="X21" cm="1">
        <f t="array" ref="X21">SUMPRODUCT(('Team Lineups'!$K$2:$K$2000&lt;&gt;"")*('Team Lineups'!$C$2:$C$2000=$A21)*COUNTIFS('Team Lineups'!$K$2:$K$2000,'Team Lineups'!$K$2:$K$2000,'Team Lineups'!$C$2:$C$2000,X$1))</f>
        <v>0</v>
      </c>
      <c r="Y21" cm="1">
        <f t="array" ref="Y21">SUMPRODUCT(('Team Lineups'!$K$2:$K$2000&lt;&gt;"")*('Team Lineups'!$C$2:$C$2000=$A21)*COUNTIFS('Team Lineups'!$K$2:$K$2000,'Team Lineups'!$K$2:$K$2000,'Team Lineups'!$C$2:$C$2000,Y$1))</f>
        <v>0</v>
      </c>
      <c r="Z21" cm="1">
        <f t="array" ref="Z21">SUMPRODUCT(('Team Lineups'!$K$2:$K$2000&lt;&gt;"")*('Team Lineups'!$C$2:$C$2000=$A21)*COUNTIFS('Team Lineups'!$K$2:$K$2000,'Team Lineups'!$K$2:$K$2000,'Team Lineups'!$C$2:$C$2000,Z$1))</f>
        <v>0</v>
      </c>
      <c r="AA21" cm="1">
        <f t="array" ref="AA21">SUMPRODUCT(('Team Lineups'!$K$2:$K$2000&lt;&gt;"")*('Team Lineups'!$C$2:$C$2000=$A21)*COUNTIFS('Team Lineups'!$K$2:$K$2000,'Team Lineups'!$K$2:$K$2000,'Team Lineups'!$C$2:$C$2000,AA$1))</f>
        <v>0</v>
      </c>
      <c r="AB21" cm="1">
        <f t="array" ref="AB21">SUMPRODUCT(('Team Lineups'!$K$2:$K$2000&lt;&gt;"")*('Team Lineups'!$C$2:$C$2000=$A21)*COUNTIFS('Team Lineups'!$K$2:$K$2000,'Team Lineups'!$K$2:$K$2000,'Team Lineups'!$C$2:$C$2000,AB$1))</f>
        <v>0</v>
      </c>
      <c r="AC21" cm="1">
        <f t="array" ref="AC21">SUMPRODUCT(('Team Lineups'!$K$2:$K$2000&lt;&gt;"")*('Team Lineups'!$C$2:$C$2000=$A21)*COUNTIFS('Team Lineups'!$K$2:$K$2000,'Team Lineups'!$K$2:$K$2000,'Team Lineups'!$C$2:$C$2000,AC$1))</f>
        <v>0</v>
      </c>
      <c r="AD21" cm="1">
        <f t="array" ref="AD21">SUMPRODUCT(('Team Lineups'!$K$2:$K$2000&lt;&gt;"")*('Team Lineups'!$C$2:$C$2000=$A21)*COUNTIFS('Team Lineups'!$K$2:$K$2000,'Team Lineups'!$K$2:$K$2000,'Team Lineups'!$C$2:$C$2000,AD$1))</f>
        <v>0</v>
      </c>
      <c r="AE21" cm="1">
        <f t="array" ref="AE21">SUMPRODUCT(('Team Lineups'!$K$2:$K$2000&lt;&gt;"")*('Team Lineups'!$C$2:$C$2000=$A21)*COUNTIFS('Team Lineups'!$K$2:$K$2000,'Team Lineups'!$K$2:$K$2000,'Team Lineups'!$C$2:$C$2000,AE$1))</f>
        <v>0</v>
      </c>
      <c r="AF21" cm="1">
        <f t="array" ref="AF21">SUMPRODUCT(('Team Lineups'!$K$2:$K$2000&lt;&gt;"")*('Team Lineups'!$C$2:$C$2000=$A21)*COUNTIFS('Team Lineups'!$K$2:$K$2000,'Team Lineups'!$K$2:$K$2000,'Team Lineups'!$C$2:$C$2000,AF$1))</f>
        <v>0</v>
      </c>
      <c r="AG21" cm="1">
        <f t="array" ref="AG21">SUMPRODUCT(('Team Lineups'!$K$2:$K$2000&lt;&gt;"")*('Team Lineups'!$C$2:$C$2000=$A21)*COUNTIFS('Team Lineups'!$K$2:$K$2000,'Team Lineups'!$K$2:$K$2000,'Team Lineups'!$C$2:$C$2000,AG$1))</f>
        <v>0</v>
      </c>
      <c r="AH21" cm="1">
        <f t="array" ref="AH21">SUMPRODUCT(('Team Lineups'!$K$2:$K$2000&lt;&gt;"")*('Team Lineups'!$C$2:$C$2000=$A21)*COUNTIFS('Team Lineups'!$K$2:$K$2000,'Team Lineups'!$K$2:$K$2000,'Team Lineups'!$C$2:$C$2000,AH$1))</f>
        <v>0</v>
      </c>
      <c r="AI21" cm="1">
        <f t="array" ref="AI21">SUMPRODUCT(('Team Lineups'!$K$2:$K$2000&lt;&gt;"")*('Team Lineups'!$C$2:$C$2000=$A21)*COUNTIFS('Team Lineups'!$K$2:$K$2000,'Team Lineups'!$K$2:$K$2000,'Team Lineups'!$C$2:$C$2000,AI$1))</f>
        <v>0</v>
      </c>
      <c r="AJ21" cm="1">
        <f t="array" ref="AJ21">SUMPRODUCT(('Team Lineups'!$K$2:$K$2000&lt;&gt;"")*('Team Lineups'!$C$2:$C$2000=$A21)*COUNTIFS('Team Lineups'!$K$2:$K$2000,'Team Lineups'!$K$2:$K$2000,'Team Lineups'!$C$2:$C$2000,AJ$1))</f>
        <v>0</v>
      </c>
      <c r="AK21" cm="1">
        <f t="array" ref="AK21">SUMPRODUCT(('Team Lineups'!$K$2:$K$2000&lt;&gt;"")*('Team Lineups'!$C$2:$C$2000=$A21)*COUNTIFS('Team Lineups'!$K$2:$K$2000,'Team Lineups'!$K$2:$K$2000,'Team Lineups'!$C$2:$C$2000,AK$1))</f>
        <v>0</v>
      </c>
      <c r="AL21" cm="1">
        <f t="array" ref="AL21">SUMPRODUCT(('Team Lineups'!$K$2:$K$2000&lt;&gt;"")*('Team Lineups'!$C$2:$C$2000=$A21)*COUNTIFS('Team Lineups'!$K$2:$K$2000,'Team Lineups'!$K$2:$K$2000,'Team Lineups'!$C$2:$C$2000,AL$1))</f>
        <v>0</v>
      </c>
      <c r="AM21" cm="1">
        <f t="array" ref="AM21">SUMPRODUCT(('Team Lineups'!$K$2:$K$2000&lt;&gt;"")*('Team Lineups'!$C$2:$C$2000=$A21)*COUNTIFS('Team Lineups'!$K$2:$K$2000,'Team Lineups'!$K$2:$K$2000,'Team Lineups'!$C$2:$C$2000,AM$1))</f>
        <v>0</v>
      </c>
      <c r="AN21" cm="1">
        <f t="array" ref="AN21">SUMPRODUCT(('Team Lineups'!$K$2:$K$2000&lt;&gt;"")*('Team Lineups'!$C$2:$C$2000=$A21)*COUNTIFS('Team Lineups'!$K$2:$K$2000,'Team Lineups'!$K$2:$K$2000,'Team Lineups'!$C$2:$C$2000,AN$1))</f>
        <v>0</v>
      </c>
      <c r="AO21" cm="1">
        <f t="array" ref="AO21">SUMPRODUCT(('Team Lineups'!$K$2:$K$2000&lt;&gt;"")*('Team Lineups'!$C$2:$C$2000=$A21)*COUNTIFS('Team Lineups'!$K$2:$K$2000,'Team Lineups'!$K$2:$K$2000,'Team Lineups'!$C$2:$C$2000,AO$1))</f>
        <v>0</v>
      </c>
      <c r="AP21" cm="1">
        <f t="array" ref="AP21">SUMPRODUCT(('Team Lineups'!$K$2:$K$2000&lt;&gt;"")*('Team Lineups'!$C$2:$C$2000=$A21)*COUNTIFS('Team Lineups'!$K$2:$K$2000,'Team Lineups'!$K$2:$K$2000,'Team Lineups'!$C$2:$C$2000,AP$1))</f>
        <v>0</v>
      </c>
      <c r="AQ21" cm="1">
        <f t="array" ref="AQ21">SUMPRODUCT(('Team Lineups'!$K$2:$K$2000&lt;&gt;"")*('Team Lineups'!$C$2:$C$2000=$A21)*COUNTIFS('Team Lineups'!$K$2:$K$2000,'Team Lineups'!$K$2:$K$2000,'Team Lineups'!$C$2:$C$2000,AQ$1))</f>
        <v>0</v>
      </c>
      <c r="AR21" cm="1">
        <f t="array" ref="AR21">SUMPRODUCT(('Team Lineups'!$K$2:$K$2000&lt;&gt;"")*('Team Lineups'!$C$2:$C$2000=$A21)*COUNTIFS('Team Lineups'!$K$2:$K$2000,'Team Lineups'!$K$2:$K$2000,'Team Lineups'!$C$2:$C$2000,AR$1))</f>
        <v>0</v>
      </c>
      <c r="AS21" cm="1">
        <f t="array" ref="AS21">SUMPRODUCT(('Team Lineups'!$K$2:$K$2000&lt;&gt;"")*('Team Lineups'!$C$2:$C$2000=$A21)*COUNTIFS('Team Lineups'!$K$2:$K$2000,'Team Lineups'!$K$2:$K$2000,'Team Lineups'!$C$2:$C$2000,AS$1))</f>
        <v>0</v>
      </c>
      <c r="AT21" cm="1">
        <f t="array" ref="AT21">SUMPRODUCT(('Team Lineups'!$K$2:$K$2000&lt;&gt;"")*('Team Lineups'!$C$2:$C$2000=$A21)*COUNTIFS('Team Lineups'!$K$2:$K$2000,'Team Lineups'!$K$2:$K$2000,'Team Lineups'!$C$2:$C$2000,AT$1))</f>
        <v>0</v>
      </c>
      <c r="AU21" cm="1">
        <f t="array" ref="AU21">SUMPRODUCT(('Team Lineups'!$K$2:$K$2000&lt;&gt;"")*('Team Lineups'!$C$2:$C$2000=$A21)*COUNTIFS('Team Lineups'!$K$2:$K$2000,'Team Lineups'!$K$2:$K$2000,'Team Lineups'!$C$2:$C$2000,AU$1))</f>
        <v>0</v>
      </c>
      <c r="AV21" cm="1">
        <f t="array" ref="AV21">SUMPRODUCT(('Team Lineups'!$K$2:$K$2000&lt;&gt;"")*('Team Lineups'!$C$2:$C$2000=$A21)*COUNTIFS('Team Lineups'!$K$2:$K$2000,'Team Lineups'!$K$2:$K$2000,'Team Lineups'!$C$2:$C$2000,AV$1))</f>
        <v>0</v>
      </c>
    </row>
    <row r="22" spans="1:48" x14ac:dyDescent="0.35">
      <c r="A22" t="str">
        <v>Karl</v>
      </c>
      <c r="B22" cm="1">
        <f t="array" ref="B22">SUMPRODUCT(('Team Lineups'!$K$2:$K$2000&lt;&gt;"")*('Team Lineups'!$C$2:$C$2000=$A22)*COUNTIFS('Team Lineups'!$K$2:$K$2000,'Team Lineups'!$K$2:$K$2000,'Team Lineups'!$C$2:$C$2000,B$1))</f>
        <v>1</v>
      </c>
      <c r="C22" cm="1">
        <f t="array" ref="C22">SUMPRODUCT(('Team Lineups'!$K$2:$K$2000&lt;&gt;"")*('Team Lineups'!$C$2:$C$2000=$A22)*COUNTIFS('Team Lineups'!$K$2:$K$2000,'Team Lineups'!$K$2:$K$2000,'Team Lineups'!$C$2:$C$2000,C$1))</f>
        <v>2</v>
      </c>
      <c r="D22" cm="1">
        <f t="array" ref="D22">SUMPRODUCT(('Team Lineups'!$K$2:$K$2000&lt;&gt;"")*('Team Lineups'!$C$2:$C$2000=$A22)*COUNTIFS('Team Lineups'!$K$2:$K$2000,'Team Lineups'!$K$2:$K$2000,'Team Lineups'!$C$2:$C$2000,D$1))</f>
        <v>2</v>
      </c>
      <c r="E22" cm="1">
        <f t="array" ref="E22">SUMPRODUCT(('Team Lineups'!$K$2:$K$2000&lt;&gt;"")*('Team Lineups'!$C$2:$C$2000=$A22)*COUNTIFS('Team Lineups'!$K$2:$K$2000,'Team Lineups'!$K$2:$K$2000,'Team Lineups'!$C$2:$C$2000,E$1))</f>
        <v>2</v>
      </c>
      <c r="F22" cm="1">
        <f t="array" ref="F22">SUMPRODUCT(('Team Lineups'!$K$2:$K$2000&lt;&gt;"")*('Team Lineups'!$C$2:$C$2000=$A22)*COUNTIFS('Team Lineups'!$K$2:$K$2000,'Team Lineups'!$K$2:$K$2000,'Team Lineups'!$C$2:$C$2000,F$1))</f>
        <v>0</v>
      </c>
      <c r="G22" cm="1">
        <f t="array" ref="G22">SUMPRODUCT(('Team Lineups'!$K$2:$K$2000&lt;&gt;"")*('Team Lineups'!$C$2:$C$2000=$A22)*COUNTIFS('Team Lineups'!$K$2:$K$2000,'Team Lineups'!$K$2:$K$2000,'Team Lineups'!$C$2:$C$2000,G$1))</f>
        <v>2</v>
      </c>
      <c r="H22" cm="1">
        <f t="array" ref="H22">SUMPRODUCT(('Team Lineups'!$K$2:$K$2000&lt;&gt;"")*('Team Lineups'!$C$2:$C$2000=$A22)*COUNTIFS('Team Lineups'!$K$2:$K$2000,'Team Lineups'!$K$2:$K$2000,'Team Lineups'!$C$2:$C$2000,H$1))</f>
        <v>0</v>
      </c>
      <c r="I22" cm="1">
        <f t="array" ref="I22">SUMPRODUCT(('Team Lineups'!$K$2:$K$2000&lt;&gt;"")*('Team Lineups'!$C$2:$C$2000=$A22)*COUNTIFS('Team Lineups'!$K$2:$K$2000,'Team Lineups'!$K$2:$K$2000,'Team Lineups'!$C$2:$C$2000,I$1))</f>
        <v>1</v>
      </c>
      <c r="J22" cm="1">
        <f t="array" ref="J22">SUMPRODUCT(('Team Lineups'!$K$2:$K$2000&lt;&gt;"")*('Team Lineups'!$C$2:$C$2000=$A22)*COUNTIFS('Team Lineups'!$K$2:$K$2000,'Team Lineups'!$K$2:$K$2000,'Team Lineups'!$C$2:$C$2000,J$1))</f>
        <v>0</v>
      </c>
      <c r="K22" cm="1">
        <f t="array" ref="K22">SUMPRODUCT(('Team Lineups'!$K$2:$K$2000&lt;&gt;"")*('Team Lineups'!$C$2:$C$2000=$A22)*COUNTIFS('Team Lineups'!$K$2:$K$2000,'Team Lineups'!$K$2:$K$2000,'Team Lineups'!$C$2:$C$2000,K$1))</f>
        <v>0</v>
      </c>
      <c r="L22" cm="1">
        <f t="array" ref="L22">SUMPRODUCT(('Team Lineups'!$K$2:$K$2000&lt;&gt;"")*('Team Lineups'!$C$2:$C$2000=$A22)*COUNTIFS('Team Lineups'!$K$2:$K$2000,'Team Lineups'!$K$2:$K$2000,'Team Lineups'!$C$2:$C$2000,L$1))</f>
        <v>5</v>
      </c>
      <c r="M22" cm="1">
        <f t="array" ref="M22">SUMPRODUCT(('Team Lineups'!$K$2:$K$2000&lt;&gt;"")*('Team Lineups'!$C$2:$C$2000=$A22)*COUNTIFS('Team Lineups'!$K$2:$K$2000,'Team Lineups'!$K$2:$K$2000,'Team Lineups'!$C$2:$C$2000,M$1))</f>
        <v>1</v>
      </c>
      <c r="N22" cm="1">
        <f t="array" ref="N22">SUMPRODUCT(('Team Lineups'!$K$2:$K$2000&lt;&gt;"")*('Team Lineups'!$C$2:$C$2000=$A22)*COUNTIFS('Team Lineups'!$K$2:$K$2000,'Team Lineups'!$K$2:$K$2000,'Team Lineups'!$C$2:$C$2000,N$1))</f>
        <v>2</v>
      </c>
      <c r="O22" cm="1">
        <f t="array" ref="O22">SUMPRODUCT(('Team Lineups'!$K$2:$K$2000&lt;&gt;"")*('Team Lineups'!$C$2:$C$2000=$A22)*COUNTIFS('Team Lineups'!$K$2:$K$2000,'Team Lineups'!$K$2:$K$2000,'Team Lineups'!$C$2:$C$2000,O$1))</f>
        <v>0</v>
      </c>
      <c r="P22" cm="1">
        <f t="array" ref="P22">SUMPRODUCT(('Team Lineups'!$K$2:$K$2000&lt;&gt;"")*('Team Lineups'!$C$2:$C$2000=$A22)*COUNTIFS('Team Lineups'!$K$2:$K$2000,'Team Lineups'!$K$2:$K$2000,'Team Lineups'!$C$2:$C$2000,P$1))</f>
        <v>0</v>
      </c>
      <c r="Q22" cm="1">
        <f t="array" ref="Q22">SUMPRODUCT(('Team Lineups'!$K$2:$K$2000&lt;&gt;"")*('Team Lineups'!$C$2:$C$2000=$A22)*COUNTIFS('Team Lineups'!$K$2:$K$2000,'Team Lineups'!$K$2:$K$2000,'Team Lineups'!$C$2:$C$2000,Q$1))</f>
        <v>2</v>
      </c>
      <c r="R22" cm="1">
        <f t="array" ref="R22">SUMPRODUCT(('Team Lineups'!$K$2:$K$2000&lt;&gt;"")*('Team Lineups'!$C$2:$C$2000=$A22)*COUNTIFS('Team Lineups'!$K$2:$K$2000,'Team Lineups'!$K$2:$K$2000,'Team Lineups'!$C$2:$C$2000,R$1))</f>
        <v>0</v>
      </c>
      <c r="S22" cm="1">
        <f t="array" ref="S22">SUMPRODUCT(('Team Lineups'!$K$2:$K$2000&lt;&gt;"")*('Team Lineups'!$C$2:$C$2000=$A22)*COUNTIFS('Team Lineups'!$K$2:$K$2000,'Team Lineups'!$K$2:$K$2000,'Team Lineups'!$C$2:$C$2000,S$1))</f>
        <v>1</v>
      </c>
      <c r="T22" cm="1">
        <f t="array" ref="T22">SUMPRODUCT(('Team Lineups'!$K$2:$K$2000&lt;&gt;"")*('Team Lineups'!$C$2:$C$2000=$A22)*COUNTIFS('Team Lineups'!$K$2:$K$2000,'Team Lineups'!$K$2:$K$2000,'Team Lineups'!$C$2:$C$2000,T$1))</f>
        <v>0</v>
      </c>
      <c r="U22" cm="1">
        <f t="array" ref="U22">SUMPRODUCT(('Team Lineups'!$K$2:$K$2000&lt;&gt;"")*('Team Lineups'!$C$2:$C$2000=$A22)*COUNTIFS('Team Lineups'!$K$2:$K$2000,'Team Lineups'!$K$2:$K$2000,'Team Lineups'!$C$2:$C$2000,U$1))</f>
        <v>1</v>
      </c>
      <c r="V22" cm="1">
        <f t="array" ref="V22">SUMPRODUCT(('Team Lineups'!$K$2:$K$2000&lt;&gt;"")*('Team Lineups'!$C$2:$C$2000=$A22)*COUNTIFS('Team Lineups'!$K$2:$K$2000,'Team Lineups'!$K$2:$K$2000,'Team Lineups'!$C$2:$C$2000,V$1))</f>
        <v>5</v>
      </c>
      <c r="W22" cm="1">
        <f t="array" ref="W22">SUMPRODUCT(('Team Lineups'!$K$2:$K$2000&lt;&gt;"")*('Team Lineups'!$C$2:$C$2000=$A22)*COUNTIFS('Team Lineups'!$K$2:$K$2000,'Team Lineups'!$K$2:$K$2000,'Team Lineups'!$C$2:$C$2000,W$1))</f>
        <v>0</v>
      </c>
      <c r="X22" cm="1">
        <f t="array" ref="X22">SUMPRODUCT(('Team Lineups'!$K$2:$K$2000&lt;&gt;"")*('Team Lineups'!$C$2:$C$2000=$A22)*COUNTIFS('Team Lineups'!$K$2:$K$2000,'Team Lineups'!$K$2:$K$2000,'Team Lineups'!$C$2:$C$2000,X$1))</f>
        <v>0</v>
      </c>
      <c r="Y22" cm="1">
        <f t="array" ref="Y22">SUMPRODUCT(('Team Lineups'!$K$2:$K$2000&lt;&gt;"")*('Team Lineups'!$C$2:$C$2000=$A22)*COUNTIFS('Team Lineups'!$K$2:$K$2000,'Team Lineups'!$K$2:$K$2000,'Team Lineups'!$C$2:$C$2000,Y$1))</f>
        <v>1</v>
      </c>
      <c r="Z22" cm="1">
        <f t="array" ref="Z22">SUMPRODUCT(('Team Lineups'!$K$2:$K$2000&lt;&gt;"")*('Team Lineups'!$C$2:$C$2000=$A22)*COUNTIFS('Team Lineups'!$K$2:$K$2000,'Team Lineups'!$K$2:$K$2000,'Team Lineups'!$C$2:$C$2000,Z$1))</f>
        <v>0</v>
      </c>
      <c r="AA22" cm="1">
        <f t="array" ref="AA22">SUMPRODUCT(('Team Lineups'!$K$2:$K$2000&lt;&gt;"")*('Team Lineups'!$C$2:$C$2000=$A22)*COUNTIFS('Team Lineups'!$K$2:$K$2000,'Team Lineups'!$K$2:$K$2000,'Team Lineups'!$C$2:$C$2000,AA$1))</f>
        <v>1</v>
      </c>
      <c r="AB22" cm="1">
        <f t="array" ref="AB22">SUMPRODUCT(('Team Lineups'!$K$2:$K$2000&lt;&gt;"")*('Team Lineups'!$C$2:$C$2000=$A22)*COUNTIFS('Team Lineups'!$K$2:$K$2000,'Team Lineups'!$K$2:$K$2000,'Team Lineups'!$C$2:$C$2000,AB$1))</f>
        <v>1</v>
      </c>
      <c r="AC22" cm="1">
        <f t="array" ref="AC22">SUMPRODUCT(('Team Lineups'!$K$2:$K$2000&lt;&gt;"")*('Team Lineups'!$C$2:$C$2000=$A22)*COUNTIFS('Team Lineups'!$K$2:$K$2000,'Team Lineups'!$K$2:$K$2000,'Team Lineups'!$C$2:$C$2000,AC$1))</f>
        <v>0</v>
      </c>
      <c r="AD22" cm="1">
        <f t="array" ref="AD22">SUMPRODUCT(('Team Lineups'!$K$2:$K$2000&lt;&gt;"")*('Team Lineups'!$C$2:$C$2000=$A22)*COUNTIFS('Team Lineups'!$K$2:$K$2000,'Team Lineups'!$K$2:$K$2000,'Team Lineups'!$C$2:$C$2000,AD$1))</f>
        <v>0</v>
      </c>
      <c r="AE22" cm="1">
        <f t="array" ref="AE22">SUMPRODUCT(('Team Lineups'!$K$2:$K$2000&lt;&gt;"")*('Team Lineups'!$C$2:$C$2000=$A22)*COUNTIFS('Team Lineups'!$K$2:$K$2000,'Team Lineups'!$K$2:$K$2000,'Team Lineups'!$C$2:$C$2000,AE$1))</f>
        <v>0</v>
      </c>
      <c r="AF22" cm="1">
        <f t="array" ref="AF22">SUMPRODUCT(('Team Lineups'!$K$2:$K$2000&lt;&gt;"")*('Team Lineups'!$C$2:$C$2000=$A22)*COUNTIFS('Team Lineups'!$K$2:$K$2000,'Team Lineups'!$K$2:$K$2000,'Team Lineups'!$C$2:$C$2000,AF$1))</f>
        <v>0</v>
      </c>
      <c r="AG22" cm="1">
        <f t="array" ref="AG22">SUMPRODUCT(('Team Lineups'!$K$2:$K$2000&lt;&gt;"")*('Team Lineups'!$C$2:$C$2000=$A22)*COUNTIFS('Team Lineups'!$K$2:$K$2000,'Team Lineups'!$K$2:$K$2000,'Team Lineups'!$C$2:$C$2000,AG$1))</f>
        <v>0</v>
      </c>
      <c r="AH22" cm="1">
        <f t="array" ref="AH22">SUMPRODUCT(('Team Lineups'!$K$2:$K$2000&lt;&gt;"")*('Team Lineups'!$C$2:$C$2000=$A22)*COUNTIFS('Team Lineups'!$K$2:$K$2000,'Team Lineups'!$K$2:$K$2000,'Team Lineups'!$C$2:$C$2000,AH$1))</f>
        <v>0</v>
      </c>
      <c r="AI22" cm="1">
        <f t="array" ref="AI22">SUMPRODUCT(('Team Lineups'!$K$2:$K$2000&lt;&gt;"")*('Team Lineups'!$C$2:$C$2000=$A22)*COUNTIFS('Team Lineups'!$K$2:$K$2000,'Team Lineups'!$K$2:$K$2000,'Team Lineups'!$C$2:$C$2000,AI$1))</f>
        <v>0</v>
      </c>
      <c r="AJ22" cm="1">
        <f t="array" ref="AJ22">SUMPRODUCT(('Team Lineups'!$K$2:$K$2000&lt;&gt;"")*('Team Lineups'!$C$2:$C$2000=$A22)*COUNTIFS('Team Lineups'!$K$2:$K$2000,'Team Lineups'!$K$2:$K$2000,'Team Lineups'!$C$2:$C$2000,AJ$1))</f>
        <v>0</v>
      </c>
      <c r="AK22" cm="1">
        <f t="array" ref="AK22">SUMPRODUCT(('Team Lineups'!$K$2:$K$2000&lt;&gt;"")*('Team Lineups'!$C$2:$C$2000=$A22)*COUNTIFS('Team Lineups'!$K$2:$K$2000,'Team Lineups'!$K$2:$K$2000,'Team Lineups'!$C$2:$C$2000,AK$1))</f>
        <v>0</v>
      </c>
      <c r="AL22" cm="1">
        <f t="array" ref="AL22">SUMPRODUCT(('Team Lineups'!$K$2:$K$2000&lt;&gt;"")*('Team Lineups'!$C$2:$C$2000=$A22)*COUNTIFS('Team Lineups'!$K$2:$K$2000,'Team Lineups'!$K$2:$K$2000,'Team Lineups'!$C$2:$C$2000,AL$1))</f>
        <v>0</v>
      </c>
      <c r="AM22" cm="1">
        <f t="array" ref="AM22">SUMPRODUCT(('Team Lineups'!$K$2:$K$2000&lt;&gt;"")*('Team Lineups'!$C$2:$C$2000=$A22)*COUNTIFS('Team Lineups'!$K$2:$K$2000,'Team Lineups'!$K$2:$K$2000,'Team Lineups'!$C$2:$C$2000,AM$1))</f>
        <v>0</v>
      </c>
      <c r="AN22" cm="1">
        <f t="array" ref="AN22">SUMPRODUCT(('Team Lineups'!$K$2:$K$2000&lt;&gt;"")*('Team Lineups'!$C$2:$C$2000=$A22)*COUNTIFS('Team Lineups'!$K$2:$K$2000,'Team Lineups'!$K$2:$K$2000,'Team Lineups'!$C$2:$C$2000,AN$1))</f>
        <v>0</v>
      </c>
      <c r="AO22" cm="1">
        <f t="array" ref="AO22">SUMPRODUCT(('Team Lineups'!$K$2:$K$2000&lt;&gt;"")*('Team Lineups'!$C$2:$C$2000=$A22)*COUNTIFS('Team Lineups'!$K$2:$K$2000,'Team Lineups'!$K$2:$K$2000,'Team Lineups'!$C$2:$C$2000,AO$1))</f>
        <v>0</v>
      </c>
      <c r="AP22" cm="1">
        <f t="array" ref="AP22">SUMPRODUCT(('Team Lineups'!$K$2:$K$2000&lt;&gt;"")*('Team Lineups'!$C$2:$C$2000=$A22)*COUNTIFS('Team Lineups'!$K$2:$K$2000,'Team Lineups'!$K$2:$K$2000,'Team Lineups'!$C$2:$C$2000,AP$1))</f>
        <v>0</v>
      </c>
      <c r="AQ22" cm="1">
        <f t="array" ref="AQ22">SUMPRODUCT(('Team Lineups'!$K$2:$K$2000&lt;&gt;"")*('Team Lineups'!$C$2:$C$2000=$A22)*COUNTIFS('Team Lineups'!$K$2:$K$2000,'Team Lineups'!$K$2:$K$2000,'Team Lineups'!$C$2:$C$2000,AQ$1))</f>
        <v>0</v>
      </c>
      <c r="AR22" cm="1">
        <f t="array" ref="AR22">SUMPRODUCT(('Team Lineups'!$K$2:$K$2000&lt;&gt;"")*('Team Lineups'!$C$2:$C$2000=$A22)*COUNTIFS('Team Lineups'!$K$2:$K$2000,'Team Lineups'!$K$2:$K$2000,'Team Lineups'!$C$2:$C$2000,AR$1))</f>
        <v>0</v>
      </c>
      <c r="AS22" cm="1">
        <f t="array" ref="AS22">SUMPRODUCT(('Team Lineups'!$K$2:$K$2000&lt;&gt;"")*('Team Lineups'!$C$2:$C$2000=$A22)*COUNTIFS('Team Lineups'!$K$2:$K$2000,'Team Lineups'!$K$2:$K$2000,'Team Lineups'!$C$2:$C$2000,AS$1))</f>
        <v>0</v>
      </c>
      <c r="AT22" cm="1">
        <f t="array" ref="AT22">SUMPRODUCT(('Team Lineups'!$K$2:$K$2000&lt;&gt;"")*('Team Lineups'!$C$2:$C$2000=$A22)*COUNTIFS('Team Lineups'!$K$2:$K$2000,'Team Lineups'!$K$2:$K$2000,'Team Lineups'!$C$2:$C$2000,AT$1))</f>
        <v>0</v>
      </c>
      <c r="AU22" cm="1">
        <f t="array" ref="AU22">SUMPRODUCT(('Team Lineups'!$K$2:$K$2000&lt;&gt;"")*('Team Lineups'!$C$2:$C$2000=$A22)*COUNTIFS('Team Lineups'!$K$2:$K$2000,'Team Lineups'!$K$2:$K$2000,'Team Lineups'!$C$2:$C$2000,AU$1))</f>
        <v>0</v>
      </c>
      <c r="AV22" cm="1">
        <f t="array" ref="AV22">SUMPRODUCT(('Team Lineups'!$K$2:$K$2000&lt;&gt;"")*('Team Lineups'!$C$2:$C$2000=$A22)*COUNTIFS('Team Lineups'!$K$2:$K$2000,'Team Lineups'!$K$2:$K$2000,'Team Lineups'!$C$2:$C$2000,AV$1))</f>
        <v>0</v>
      </c>
    </row>
    <row r="23" spans="1:48" x14ac:dyDescent="0.35">
      <c r="A23" t="str">
        <v>Alberto</v>
      </c>
      <c r="B23" cm="1">
        <f t="array" ref="B23">SUMPRODUCT(('Team Lineups'!$K$2:$K$2000&lt;&gt;"")*('Team Lineups'!$C$2:$C$2000=$A23)*COUNTIFS('Team Lineups'!$K$2:$K$2000,'Team Lineups'!$K$2:$K$2000,'Team Lineups'!$C$2:$C$2000,B$1))</f>
        <v>1</v>
      </c>
      <c r="C23" cm="1">
        <f t="array" ref="C23">SUMPRODUCT(('Team Lineups'!$K$2:$K$2000&lt;&gt;"")*('Team Lineups'!$C$2:$C$2000=$A23)*COUNTIFS('Team Lineups'!$K$2:$K$2000,'Team Lineups'!$K$2:$K$2000,'Team Lineups'!$C$2:$C$2000,C$1))</f>
        <v>0</v>
      </c>
      <c r="D23" cm="1">
        <f t="array" ref="D23">SUMPRODUCT(('Team Lineups'!$K$2:$K$2000&lt;&gt;"")*('Team Lineups'!$C$2:$C$2000=$A23)*COUNTIFS('Team Lineups'!$K$2:$K$2000,'Team Lineups'!$K$2:$K$2000,'Team Lineups'!$C$2:$C$2000,D$1))</f>
        <v>0</v>
      </c>
      <c r="E23" cm="1">
        <f t="array" ref="E23">SUMPRODUCT(('Team Lineups'!$K$2:$K$2000&lt;&gt;"")*('Team Lineups'!$C$2:$C$2000=$A23)*COUNTIFS('Team Lineups'!$K$2:$K$2000,'Team Lineups'!$K$2:$K$2000,'Team Lineups'!$C$2:$C$2000,E$1))</f>
        <v>0</v>
      </c>
      <c r="F23" cm="1">
        <f t="array" ref="F23">SUMPRODUCT(('Team Lineups'!$K$2:$K$2000&lt;&gt;"")*('Team Lineups'!$C$2:$C$2000=$A23)*COUNTIFS('Team Lineups'!$K$2:$K$2000,'Team Lineups'!$K$2:$K$2000,'Team Lineups'!$C$2:$C$2000,F$1))</f>
        <v>1</v>
      </c>
      <c r="G23" cm="1">
        <f t="array" ref="G23">SUMPRODUCT(('Team Lineups'!$K$2:$K$2000&lt;&gt;"")*('Team Lineups'!$C$2:$C$2000=$A23)*COUNTIFS('Team Lineups'!$K$2:$K$2000,'Team Lineups'!$K$2:$K$2000,'Team Lineups'!$C$2:$C$2000,G$1))</f>
        <v>0</v>
      </c>
      <c r="H23" cm="1">
        <f t="array" ref="H23">SUMPRODUCT(('Team Lineups'!$K$2:$K$2000&lt;&gt;"")*('Team Lineups'!$C$2:$C$2000=$A23)*COUNTIFS('Team Lineups'!$K$2:$K$2000,'Team Lineups'!$K$2:$K$2000,'Team Lineups'!$C$2:$C$2000,H$1))</f>
        <v>0</v>
      </c>
      <c r="I23" cm="1">
        <f t="array" ref="I23">SUMPRODUCT(('Team Lineups'!$K$2:$K$2000&lt;&gt;"")*('Team Lineups'!$C$2:$C$2000=$A23)*COUNTIFS('Team Lineups'!$K$2:$K$2000,'Team Lineups'!$K$2:$K$2000,'Team Lineups'!$C$2:$C$2000,I$1))</f>
        <v>0</v>
      </c>
      <c r="J23" cm="1">
        <f t="array" ref="J23">SUMPRODUCT(('Team Lineups'!$K$2:$K$2000&lt;&gt;"")*('Team Lineups'!$C$2:$C$2000=$A23)*COUNTIFS('Team Lineups'!$K$2:$K$2000,'Team Lineups'!$K$2:$K$2000,'Team Lineups'!$C$2:$C$2000,J$1))</f>
        <v>0</v>
      </c>
      <c r="K23" cm="1">
        <f t="array" ref="K23">SUMPRODUCT(('Team Lineups'!$K$2:$K$2000&lt;&gt;"")*('Team Lineups'!$C$2:$C$2000=$A23)*COUNTIFS('Team Lineups'!$K$2:$K$2000,'Team Lineups'!$K$2:$K$2000,'Team Lineups'!$C$2:$C$2000,K$1))</f>
        <v>0</v>
      </c>
      <c r="L23" cm="1">
        <f t="array" ref="L23">SUMPRODUCT(('Team Lineups'!$K$2:$K$2000&lt;&gt;"")*('Team Lineups'!$C$2:$C$2000=$A23)*COUNTIFS('Team Lineups'!$K$2:$K$2000,'Team Lineups'!$K$2:$K$2000,'Team Lineups'!$C$2:$C$2000,L$1))</f>
        <v>0</v>
      </c>
      <c r="M23" cm="1">
        <f t="array" ref="M23">SUMPRODUCT(('Team Lineups'!$K$2:$K$2000&lt;&gt;"")*('Team Lineups'!$C$2:$C$2000=$A23)*COUNTIFS('Team Lineups'!$K$2:$K$2000,'Team Lineups'!$K$2:$K$2000,'Team Lineups'!$C$2:$C$2000,M$1))</f>
        <v>1</v>
      </c>
      <c r="N23" cm="1">
        <f t="array" ref="N23">SUMPRODUCT(('Team Lineups'!$K$2:$K$2000&lt;&gt;"")*('Team Lineups'!$C$2:$C$2000=$A23)*COUNTIFS('Team Lineups'!$K$2:$K$2000,'Team Lineups'!$K$2:$K$2000,'Team Lineups'!$C$2:$C$2000,N$1))</f>
        <v>0</v>
      </c>
      <c r="O23" cm="1">
        <f t="array" ref="O23">SUMPRODUCT(('Team Lineups'!$K$2:$K$2000&lt;&gt;"")*('Team Lineups'!$C$2:$C$2000=$A23)*COUNTIFS('Team Lineups'!$K$2:$K$2000,'Team Lineups'!$K$2:$K$2000,'Team Lineups'!$C$2:$C$2000,O$1))</f>
        <v>0</v>
      </c>
      <c r="P23" cm="1">
        <f t="array" ref="P23">SUMPRODUCT(('Team Lineups'!$K$2:$K$2000&lt;&gt;"")*('Team Lineups'!$C$2:$C$2000=$A23)*COUNTIFS('Team Lineups'!$K$2:$K$2000,'Team Lineups'!$K$2:$K$2000,'Team Lineups'!$C$2:$C$2000,P$1))</f>
        <v>0</v>
      </c>
      <c r="Q23" cm="1">
        <f t="array" ref="Q23">SUMPRODUCT(('Team Lineups'!$K$2:$K$2000&lt;&gt;"")*('Team Lineups'!$C$2:$C$2000=$A23)*COUNTIFS('Team Lineups'!$K$2:$K$2000,'Team Lineups'!$K$2:$K$2000,'Team Lineups'!$C$2:$C$2000,Q$1))</f>
        <v>0</v>
      </c>
      <c r="R23" cm="1">
        <f t="array" ref="R23">SUMPRODUCT(('Team Lineups'!$K$2:$K$2000&lt;&gt;"")*('Team Lineups'!$C$2:$C$2000=$A23)*COUNTIFS('Team Lineups'!$K$2:$K$2000,'Team Lineups'!$K$2:$K$2000,'Team Lineups'!$C$2:$C$2000,R$1))</f>
        <v>0</v>
      </c>
      <c r="S23" cm="1">
        <f t="array" ref="S23">SUMPRODUCT(('Team Lineups'!$K$2:$K$2000&lt;&gt;"")*('Team Lineups'!$C$2:$C$2000=$A23)*COUNTIFS('Team Lineups'!$K$2:$K$2000,'Team Lineups'!$K$2:$K$2000,'Team Lineups'!$C$2:$C$2000,S$1))</f>
        <v>0</v>
      </c>
      <c r="T23" cm="1">
        <f t="array" ref="T23">SUMPRODUCT(('Team Lineups'!$K$2:$K$2000&lt;&gt;"")*('Team Lineups'!$C$2:$C$2000=$A23)*COUNTIFS('Team Lineups'!$K$2:$K$2000,'Team Lineups'!$K$2:$K$2000,'Team Lineups'!$C$2:$C$2000,T$1))</f>
        <v>0</v>
      </c>
      <c r="U23" cm="1">
        <f t="array" ref="U23">SUMPRODUCT(('Team Lineups'!$K$2:$K$2000&lt;&gt;"")*('Team Lineups'!$C$2:$C$2000=$A23)*COUNTIFS('Team Lineups'!$K$2:$K$2000,'Team Lineups'!$K$2:$K$2000,'Team Lineups'!$C$2:$C$2000,U$1))</f>
        <v>0</v>
      </c>
      <c r="V23" cm="1">
        <f t="array" ref="V23">SUMPRODUCT(('Team Lineups'!$K$2:$K$2000&lt;&gt;"")*('Team Lineups'!$C$2:$C$2000=$A23)*COUNTIFS('Team Lineups'!$K$2:$K$2000,'Team Lineups'!$K$2:$K$2000,'Team Lineups'!$C$2:$C$2000,V$1))</f>
        <v>0</v>
      </c>
      <c r="W23" cm="1">
        <f t="array" ref="W23">SUMPRODUCT(('Team Lineups'!$K$2:$K$2000&lt;&gt;"")*('Team Lineups'!$C$2:$C$2000=$A23)*COUNTIFS('Team Lineups'!$K$2:$K$2000,'Team Lineups'!$K$2:$K$2000,'Team Lineups'!$C$2:$C$2000,W$1))</f>
        <v>2</v>
      </c>
      <c r="X23" cm="1">
        <f t="array" ref="X23">SUMPRODUCT(('Team Lineups'!$K$2:$K$2000&lt;&gt;"")*('Team Lineups'!$C$2:$C$2000=$A23)*COUNTIFS('Team Lineups'!$K$2:$K$2000,'Team Lineups'!$K$2:$K$2000,'Team Lineups'!$C$2:$C$2000,X$1))</f>
        <v>1</v>
      </c>
      <c r="Y23" cm="1">
        <f t="array" ref="Y23">SUMPRODUCT(('Team Lineups'!$K$2:$K$2000&lt;&gt;"")*('Team Lineups'!$C$2:$C$2000=$A23)*COUNTIFS('Team Lineups'!$K$2:$K$2000,'Team Lineups'!$K$2:$K$2000,'Team Lineups'!$C$2:$C$2000,Y$1))</f>
        <v>0</v>
      </c>
      <c r="Z23" cm="1">
        <f t="array" ref="Z23">SUMPRODUCT(('Team Lineups'!$K$2:$K$2000&lt;&gt;"")*('Team Lineups'!$C$2:$C$2000=$A23)*COUNTIFS('Team Lineups'!$K$2:$K$2000,'Team Lineups'!$K$2:$K$2000,'Team Lineups'!$C$2:$C$2000,Z$1))</f>
        <v>0</v>
      </c>
      <c r="AA23" cm="1">
        <f t="array" ref="AA23">SUMPRODUCT(('Team Lineups'!$K$2:$K$2000&lt;&gt;"")*('Team Lineups'!$C$2:$C$2000=$A23)*COUNTIFS('Team Lineups'!$K$2:$K$2000,'Team Lineups'!$K$2:$K$2000,'Team Lineups'!$C$2:$C$2000,AA$1))</f>
        <v>0</v>
      </c>
      <c r="AB23" cm="1">
        <f t="array" ref="AB23">SUMPRODUCT(('Team Lineups'!$K$2:$K$2000&lt;&gt;"")*('Team Lineups'!$C$2:$C$2000=$A23)*COUNTIFS('Team Lineups'!$K$2:$K$2000,'Team Lineups'!$K$2:$K$2000,'Team Lineups'!$C$2:$C$2000,AB$1))</f>
        <v>0</v>
      </c>
      <c r="AC23" cm="1">
        <f t="array" ref="AC23">SUMPRODUCT(('Team Lineups'!$K$2:$K$2000&lt;&gt;"")*('Team Lineups'!$C$2:$C$2000=$A23)*COUNTIFS('Team Lineups'!$K$2:$K$2000,'Team Lineups'!$K$2:$K$2000,'Team Lineups'!$C$2:$C$2000,AC$1))</f>
        <v>0</v>
      </c>
      <c r="AD23" cm="1">
        <f t="array" ref="AD23">SUMPRODUCT(('Team Lineups'!$K$2:$K$2000&lt;&gt;"")*('Team Lineups'!$C$2:$C$2000=$A23)*COUNTIFS('Team Lineups'!$K$2:$K$2000,'Team Lineups'!$K$2:$K$2000,'Team Lineups'!$C$2:$C$2000,AD$1))</f>
        <v>1</v>
      </c>
      <c r="AE23" cm="1">
        <f t="array" ref="AE23">SUMPRODUCT(('Team Lineups'!$K$2:$K$2000&lt;&gt;"")*('Team Lineups'!$C$2:$C$2000=$A23)*COUNTIFS('Team Lineups'!$K$2:$K$2000,'Team Lineups'!$K$2:$K$2000,'Team Lineups'!$C$2:$C$2000,AE$1))</f>
        <v>0</v>
      </c>
      <c r="AF23" cm="1">
        <f t="array" ref="AF23">SUMPRODUCT(('Team Lineups'!$K$2:$K$2000&lt;&gt;"")*('Team Lineups'!$C$2:$C$2000=$A23)*COUNTIFS('Team Lineups'!$K$2:$K$2000,'Team Lineups'!$K$2:$K$2000,'Team Lineups'!$C$2:$C$2000,AF$1))</f>
        <v>0</v>
      </c>
      <c r="AG23" cm="1">
        <f t="array" ref="AG23">SUMPRODUCT(('Team Lineups'!$K$2:$K$2000&lt;&gt;"")*('Team Lineups'!$C$2:$C$2000=$A23)*COUNTIFS('Team Lineups'!$K$2:$K$2000,'Team Lineups'!$K$2:$K$2000,'Team Lineups'!$C$2:$C$2000,AG$1))</f>
        <v>0</v>
      </c>
      <c r="AH23" cm="1">
        <f t="array" ref="AH23">SUMPRODUCT(('Team Lineups'!$K$2:$K$2000&lt;&gt;"")*('Team Lineups'!$C$2:$C$2000=$A23)*COUNTIFS('Team Lineups'!$K$2:$K$2000,'Team Lineups'!$K$2:$K$2000,'Team Lineups'!$C$2:$C$2000,AH$1))</f>
        <v>0</v>
      </c>
      <c r="AI23" cm="1">
        <f t="array" ref="AI23">SUMPRODUCT(('Team Lineups'!$K$2:$K$2000&lt;&gt;"")*('Team Lineups'!$C$2:$C$2000=$A23)*COUNTIFS('Team Lineups'!$K$2:$K$2000,'Team Lineups'!$K$2:$K$2000,'Team Lineups'!$C$2:$C$2000,AI$1))</f>
        <v>0</v>
      </c>
      <c r="AJ23" cm="1">
        <f t="array" ref="AJ23">SUMPRODUCT(('Team Lineups'!$K$2:$K$2000&lt;&gt;"")*('Team Lineups'!$C$2:$C$2000=$A23)*COUNTIFS('Team Lineups'!$K$2:$K$2000,'Team Lineups'!$K$2:$K$2000,'Team Lineups'!$C$2:$C$2000,AJ$1))</f>
        <v>0</v>
      </c>
      <c r="AK23" cm="1">
        <f t="array" ref="AK23">SUMPRODUCT(('Team Lineups'!$K$2:$K$2000&lt;&gt;"")*('Team Lineups'!$C$2:$C$2000=$A23)*COUNTIFS('Team Lineups'!$K$2:$K$2000,'Team Lineups'!$K$2:$K$2000,'Team Lineups'!$C$2:$C$2000,AK$1))</f>
        <v>0</v>
      </c>
      <c r="AL23" cm="1">
        <f t="array" ref="AL23">SUMPRODUCT(('Team Lineups'!$K$2:$K$2000&lt;&gt;"")*('Team Lineups'!$C$2:$C$2000=$A23)*COUNTIFS('Team Lineups'!$K$2:$K$2000,'Team Lineups'!$K$2:$K$2000,'Team Lineups'!$C$2:$C$2000,AL$1))</f>
        <v>1</v>
      </c>
      <c r="AM23" cm="1">
        <f t="array" ref="AM23">SUMPRODUCT(('Team Lineups'!$K$2:$K$2000&lt;&gt;"")*('Team Lineups'!$C$2:$C$2000=$A23)*COUNTIFS('Team Lineups'!$K$2:$K$2000,'Team Lineups'!$K$2:$K$2000,'Team Lineups'!$C$2:$C$2000,AM$1))</f>
        <v>0</v>
      </c>
      <c r="AN23" cm="1">
        <f t="array" ref="AN23">SUMPRODUCT(('Team Lineups'!$K$2:$K$2000&lt;&gt;"")*('Team Lineups'!$C$2:$C$2000=$A23)*COUNTIFS('Team Lineups'!$K$2:$K$2000,'Team Lineups'!$K$2:$K$2000,'Team Lineups'!$C$2:$C$2000,AN$1))</f>
        <v>0</v>
      </c>
      <c r="AO23" cm="1">
        <f t="array" ref="AO23">SUMPRODUCT(('Team Lineups'!$K$2:$K$2000&lt;&gt;"")*('Team Lineups'!$C$2:$C$2000=$A23)*COUNTIFS('Team Lineups'!$K$2:$K$2000,'Team Lineups'!$K$2:$K$2000,'Team Lineups'!$C$2:$C$2000,AO$1))</f>
        <v>1</v>
      </c>
      <c r="AP23" cm="1">
        <f t="array" ref="AP23">SUMPRODUCT(('Team Lineups'!$K$2:$K$2000&lt;&gt;"")*('Team Lineups'!$C$2:$C$2000=$A23)*COUNTIFS('Team Lineups'!$K$2:$K$2000,'Team Lineups'!$K$2:$K$2000,'Team Lineups'!$C$2:$C$2000,AP$1))</f>
        <v>1</v>
      </c>
      <c r="AQ23" cm="1">
        <f t="array" ref="AQ23">SUMPRODUCT(('Team Lineups'!$K$2:$K$2000&lt;&gt;"")*('Team Lineups'!$C$2:$C$2000=$A23)*COUNTIFS('Team Lineups'!$K$2:$K$2000,'Team Lineups'!$K$2:$K$2000,'Team Lineups'!$C$2:$C$2000,AQ$1))</f>
        <v>0</v>
      </c>
      <c r="AR23" cm="1">
        <f t="array" ref="AR23">SUMPRODUCT(('Team Lineups'!$K$2:$K$2000&lt;&gt;"")*('Team Lineups'!$C$2:$C$2000=$A23)*COUNTIFS('Team Lineups'!$K$2:$K$2000,'Team Lineups'!$K$2:$K$2000,'Team Lineups'!$C$2:$C$2000,AR$1))</f>
        <v>0</v>
      </c>
      <c r="AS23" cm="1">
        <f t="array" ref="AS23">SUMPRODUCT(('Team Lineups'!$K$2:$K$2000&lt;&gt;"")*('Team Lineups'!$C$2:$C$2000=$A23)*COUNTIFS('Team Lineups'!$K$2:$K$2000,'Team Lineups'!$K$2:$K$2000,'Team Lineups'!$C$2:$C$2000,AS$1))</f>
        <v>0</v>
      </c>
      <c r="AT23" cm="1">
        <f t="array" ref="AT23">SUMPRODUCT(('Team Lineups'!$K$2:$K$2000&lt;&gt;"")*('Team Lineups'!$C$2:$C$2000=$A23)*COUNTIFS('Team Lineups'!$K$2:$K$2000,'Team Lineups'!$K$2:$K$2000,'Team Lineups'!$C$2:$C$2000,AT$1))</f>
        <v>0</v>
      </c>
      <c r="AU23" cm="1">
        <f t="array" ref="AU23">SUMPRODUCT(('Team Lineups'!$K$2:$K$2000&lt;&gt;"")*('Team Lineups'!$C$2:$C$2000=$A23)*COUNTIFS('Team Lineups'!$K$2:$K$2000,'Team Lineups'!$K$2:$K$2000,'Team Lineups'!$C$2:$C$2000,AU$1))</f>
        <v>0</v>
      </c>
      <c r="AV23" cm="1">
        <f t="array" ref="AV23">SUMPRODUCT(('Team Lineups'!$K$2:$K$2000&lt;&gt;"")*('Team Lineups'!$C$2:$C$2000=$A23)*COUNTIFS('Team Lineups'!$K$2:$K$2000,'Team Lineups'!$K$2:$K$2000,'Team Lineups'!$C$2:$C$2000,AV$1))</f>
        <v>0</v>
      </c>
    </row>
    <row r="24" spans="1:48" x14ac:dyDescent="0.35">
      <c r="A24" t="str">
        <v>Noah</v>
      </c>
      <c r="B24" cm="1">
        <f t="array" ref="B24">SUMPRODUCT(('Team Lineups'!$K$2:$K$2000&lt;&gt;"")*('Team Lineups'!$C$2:$C$2000=$A24)*COUNTIFS('Team Lineups'!$K$2:$K$2000,'Team Lineups'!$K$2:$K$2000,'Team Lineups'!$C$2:$C$2000,B$1))</f>
        <v>1</v>
      </c>
      <c r="C24" cm="1">
        <f t="array" ref="C24">SUMPRODUCT(('Team Lineups'!$K$2:$K$2000&lt;&gt;"")*('Team Lineups'!$C$2:$C$2000=$A24)*COUNTIFS('Team Lineups'!$K$2:$K$2000,'Team Lineups'!$K$2:$K$2000,'Team Lineups'!$C$2:$C$2000,C$1))</f>
        <v>0</v>
      </c>
      <c r="D24" cm="1">
        <f t="array" ref="D24">SUMPRODUCT(('Team Lineups'!$K$2:$K$2000&lt;&gt;"")*('Team Lineups'!$C$2:$C$2000=$A24)*COUNTIFS('Team Lineups'!$K$2:$K$2000,'Team Lineups'!$K$2:$K$2000,'Team Lineups'!$C$2:$C$2000,D$1))</f>
        <v>0</v>
      </c>
      <c r="E24" cm="1">
        <f t="array" ref="E24">SUMPRODUCT(('Team Lineups'!$K$2:$K$2000&lt;&gt;"")*('Team Lineups'!$C$2:$C$2000=$A24)*COUNTIFS('Team Lineups'!$K$2:$K$2000,'Team Lineups'!$K$2:$K$2000,'Team Lineups'!$C$2:$C$2000,E$1))</f>
        <v>0</v>
      </c>
      <c r="F24" cm="1">
        <f t="array" ref="F24">SUMPRODUCT(('Team Lineups'!$K$2:$K$2000&lt;&gt;"")*('Team Lineups'!$C$2:$C$2000=$A24)*COUNTIFS('Team Lineups'!$K$2:$K$2000,'Team Lineups'!$K$2:$K$2000,'Team Lineups'!$C$2:$C$2000,F$1))</f>
        <v>1</v>
      </c>
      <c r="G24" cm="1">
        <f t="array" ref="G24">SUMPRODUCT(('Team Lineups'!$K$2:$K$2000&lt;&gt;"")*('Team Lineups'!$C$2:$C$2000=$A24)*COUNTIFS('Team Lineups'!$K$2:$K$2000,'Team Lineups'!$K$2:$K$2000,'Team Lineups'!$C$2:$C$2000,G$1))</f>
        <v>0</v>
      </c>
      <c r="H24" cm="1">
        <f t="array" ref="H24">SUMPRODUCT(('Team Lineups'!$K$2:$K$2000&lt;&gt;"")*('Team Lineups'!$C$2:$C$2000=$A24)*COUNTIFS('Team Lineups'!$K$2:$K$2000,'Team Lineups'!$K$2:$K$2000,'Team Lineups'!$C$2:$C$2000,H$1))</f>
        <v>0</v>
      </c>
      <c r="I24" cm="1">
        <f t="array" ref="I24">SUMPRODUCT(('Team Lineups'!$K$2:$K$2000&lt;&gt;"")*('Team Lineups'!$C$2:$C$2000=$A24)*COUNTIFS('Team Lineups'!$K$2:$K$2000,'Team Lineups'!$K$2:$K$2000,'Team Lineups'!$C$2:$C$2000,I$1))</f>
        <v>0</v>
      </c>
      <c r="J24" cm="1">
        <f t="array" ref="J24">SUMPRODUCT(('Team Lineups'!$K$2:$K$2000&lt;&gt;"")*('Team Lineups'!$C$2:$C$2000=$A24)*COUNTIFS('Team Lineups'!$K$2:$K$2000,'Team Lineups'!$K$2:$K$2000,'Team Lineups'!$C$2:$C$2000,J$1))</f>
        <v>0</v>
      </c>
      <c r="K24" cm="1">
        <f t="array" ref="K24">SUMPRODUCT(('Team Lineups'!$K$2:$K$2000&lt;&gt;"")*('Team Lineups'!$C$2:$C$2000=$A24)*COUNTIFS('Team Lineups'!$K$2:$K$2000,'Team Lineups'!$K$2:$K$2000,'Team Lineups'!$C$2:$C$2000,K$1))</f>
        <v>0</v>
      </c>
      <c r="L24" cm="1">
        <f t="array" ref="L24">SUMPRODUCT(('Team Lineups'!$K$2:$K$2000&lt;&gt;"")*('Team Lineups'!$C$2:$C$2000=$A24)*COUNTIFS('Team Lineups'!$K$2:$K$2000,'Team Lineups'!$K$2:$K$2000,'Team Lineups'!$C$2:$C$2000,L$1))</f>
        <v>0</v>
      </c>
      <c r="M24" cm="1">
        <f t="array" ref="M24">SUMPRODUCT(('Team Lineups'!$K$2:$K$2000&lt;&gt;"")*('Team Lineups'!$C$2:$C$2000=$A24)*COUNTIFS('Team Lineups'!$K$2:$K$2000,'Team Lineups'!$K$2:$K$2000,'Team Lineups'!$C$2:$C$2000,M$1))</f>
        <v>1</v>
      </c>
      <c r="N24" cm="1">
        <f t="array" ref="N24">SUMPRODUCT(('Team Lineups'!$K$2:$K$2000&lt;&gt;"")*('Team Lineups'!$C$2:$C$2000=$A24)*COUNTIFS('Team Lineups'!$K$2:$K$2000,'Team Lineups'!$K$2:$K$2000,'Team Lineups'!$C$2:$C$2000,N$1))</f>
        <v>0</v>
      </c>
      <c r="O24" cm="1">
        <f t="array" ref="O24">SUMPRODUCT(('Team Lineups'!$K$2:$K$2000&lt;&gt;"")*('Team Lineups'!$C$2:$C$2000=$A24)*COUNTIFS('Team Lineups'!$K$2:$K$2000,'Team Lineups'!$K$2:$K$2000,'Team Lineups'!$C$2:$C$2000,O$1))</f>
        <v>0</v>
      </c>
      <c r="P24" cm="1">
        <f t="array" ref="P24">SUMPRODUCT(('Team Lineups'!$K$2:$K$2000&lt;&gt;"")*('Team Lineups'!$C$2:$C$2000=$A24)*COUNTIFS('Team Lineups'!$K$2:$K$2000,'Team Lineups'!$K$2:$K$2000,'Team Lineups'!$C$2:$C$2000,P$1))</f>
        <v>0</v>
      </c>
      <c r="Q24" cm="1">
        <f t="array" ref="Q24">SUMPRODUCT(('Team Lineups'!$K$2:$K$2000&lt;&gt;"")*('Team Lineups'!$C$2:$C$2000=$A24)*COUNTIFS('Team Lineups'!$K$2:$K$2000,'Team Lineups'!$K$2:$K$2000,'Team Lineups'!$C$2:$C$2000,Q$1))</f>
        <v>0</v>
      </c>
      <c r="R24" cm="1">
        <f t="array" ref="R24">SUMPRODUCT(('Team Lineups'!$K$2:$K$2000&lt;&gt;"")*('Team Lineups'!$C$2:$C$2000=$A24)*COUNTIFS('Team Lineups'!$K$2:$K$2000,'Team Lineups'!$K$2:$K$2000,'Team Lineups'!$C$2:$C$2000,R$1))</f>
        <v>0</v>
      </c>
      <c r="S24" cm="1">
        <f t="array" ref="S24">SUMPRODUCT(('Team Lineups'!$K$2:$K$2000&lt;&gt;"")*('Team Lineups'!$C$2:$C$2000=$A24)*COUNTIFS('Team Lineups'!$K$2:$K$2000,'Team Lineups'!$K$2:$K$2000,'Team Lineups'!$C$2:$C$2000,S$1))</f>
        <v>0</v>
      </c>
      <c r="T24" cm="1">
        <f t="array" ref="T24">SUMPRODUCT(('Team Lineups'!$K$2:$K$2000&lt;&gt;"")*('Team Lineups'!$C$2:$C$2000=$A24)*COUNTIFS('Team Lineups'!$K$2:$K$2000,'Team Lineups'!$K$2:$K$2000,'Team Lineups'!$C$2:$C$2000,T$1))</f>
        <v>0</v>
      </c>
      <c r="U24" cm="1">
        <f t="array" ref="U24">SUMPRODUCT(('Team Lineups'!$K$2:$K$2000&lt;&gt;"")*('Team Lineups'!$C$2:$C$2000=$A24)*COUNTIFS('Team Lineups'!$K$2:$K$2000,'Team Lineups'!$K$2:$K$2000,'Team Lineups'!$C$2:$C$2000,U$1))</f>
        <v>0</v>
      </c>
      <c r="V24" cm="1">
        <f t="array" ref="V24">SUMPRODUCT(('Team Lineups'!$K$2:$K$2000&lt;&gt;"")*('Team Lineups'!$C$2:$C$2000=$A24)*COUNTIFS('Team Lineups'!$K$2:$K$2000,'Team Lineups'!$K$2:$K$2000,'Team Lineups'!$C$2:$C$2000,V$1))</f>
        <v>0</v>
      </c>
      <c r="W24" cm="1">
        <f t="array" ref="W24">SUMPRODUCT(('Team Lineups'!$K$2:$K$2000&lt;&gt;"")*('Team Lineups'!$C$2:$C$2000=$A24)*COUNTIFS('Team Lineups'!$K$2:$K$2000,'Team Lineups'!$K$2:$K$2000,'Team Lineups'!$C$2:$C$2000,W$1))</f>
        <v>1</v>
      </c>
      <c r="X24" cm="1">
        <f t="array" ref="X24">SUMPRODUCT(('Team Lineups'!$K$2:$K$2000&lt;&gt;"")*('Team Lineups'!$C$2:$C$2000=$A24)*COUNTIFS('Team Lineups'!$K$2:$K$2000,'Team Lineups'!$K$2:$K$2000,'Team Lineups'!$C$2:$C$2000,X$1))</f>
        <v>1</v>
      </c>
      <c r="Y24" cm="1">
        <f t="array" ref="Y24">SUMPRODUCT(('Team Lineups'!$K$2:$K$2000&lt;&gt;"")*('Team Lineups'!$C$2:$C$2000=$A24)*COUNTIFS('Team Lineups'!$K$2:$K$2000,'Team Lineups'!$K$2:$K$2000,'Team Lineups'!$C$2:$C$2000,Y$1))</f>
        <v>0</v>
      </c>
      <c r="Z24" cm="1">
        <f t="array" ref="Z24">SUMPRODUCT(('Team Lineups'!$K$2:$K$2000&lt;&gt;"")*('Team Lineups'!$C$2:$C$2000=$A24)*COUNTIFS('Team Lineups'!$K$2:$K$2000,'Team Lineups'!$K$2:$K$2000,'Team Lineups'!$C$2:$C$2000,Z$1))</f>
        <v>0</v>
      </c>
      <c r="AA24" cm="1">
        <f t="array" ref="AA24">SUMPRODUCT(('Team Lineups'!$K$2:$K$2000&lt;&gt;"")*('Team Lineups'!$C$2:$C$2000=$A24)*COUNTIFS('Team Lineups'!$K$2:$K$2000,'Team Lineups'!$K$2:$K$2000,'Team Lineups'!$C$2:$C$2000,AA$1))</f>
        <v>0</v>
      </c>
      <c r="AB24" cm="1">
        <f t="array" ref="AB24">SUMPRODUCT(('Team Lineups'!$K$2:$K$2000&lt;&gt;"")*('Team Lineups'!$C$2:$C$2000=$A24)*COUNTIFS('Team Lineups'!$K$2:$K$2000,'Team Lineups'!$K$2:$K$2000,'Team Lineups'!$C$2:$C$2000,AB$1))</f>
        <v>0</v>
      </c>
      <c r="AC24" cm="1">
        <f t="array" ref="AC24">SUMPRODUCT(('Team Lineups'!$K$2:$K$2000&lt;&gt;"")*('Team Lineups'!$C$2:$C$2000=$A24)*COUNTIFS('Team Lineups'!$K$2:$K$2000,'Team Lineups'!$K$2:$K$2000,'Team Lineups'!$C$2:$C$2000,AC$1))</f>
        <v>0</v>
      </c>
      <c r="AD24" cm="1">
        <f t="array" ref="AD24">SUMPRODUCT(('Team Lineups'!$K$2:$K$2000&lt;&gt;"")*('Team Lineups'!$C$2:$C$2000=$A24)*COUNTIFS('Team Lineups'!$K$2:$K$2000,'Team Lineups'!$K$2:$K$2000,'Team Lineups'!$C$2:$C$2000,AD$1))</f>
        <v>0</v>
      </c>
      <c r="AE24" cm="1">
        <f t="array" ref="AE24">SUMPRODUCT(('Team Lineups'!$K$2:$K$2000&lt;&gt;"")*('Team Lineups'!$C$2:$C$2000=$A24)*COUNTIFS('Team Lineups'!$K$2:$K$2000,'Team Lineups'!$K$2:$K$2000,'Team Lineups'!$C$2:$C$2000,AE$1))</f>
        <v>0</v>
      </c>
      <c r="AF24" cm="1">
        <f t="array" ref="AF24">SUMPRODUCT(('Team Lineups'!$K$2:$K$2000&lt;&gt;"")*('Team Lineups'!$C$2:$C$2000=$A24)*COUNTIFS('Team Lineups'!$K$2:$K$2000,'Team Lineups'!$K$2:$K$2000,'Team Lineups'!$C$2:$C$2000,AF$1))</f>
        <v>0</v>
      </c>
      <c r="AG24" cm="1">
        <f t="array" ref="AG24">SUMPRODUCT(('Team Lineups'!$K$2:$K$2000&lt;&gt;"")*('Team Lineups'!$C$2:$C$2000=$A24)*COUNTIFS('Team Lineups'!$K$2:$K$2000,'Team Lineups'!$K$2:$K$2000,'Team Lineups'!$C$2:$C$2000,AG$1))</f>
        <v>0</v>
      </c>
      <c r="AH24" cm="1">
        <f t="array" ref="AH24">SUMPRODUCT(('Team Lineups'!$K$2:$K$2000&lt;&gt;"")*('Team Lineups'!$C$2:$C$2000=$A24)*COUNTIFS('Team Lineups'!$K$2:$K$2000,'Team Lineups'!$K$2:$K$2000,'Team Lineups'!$C$2:$C$2000,AH$1))</f>
        <v>0</v>
      </c>
      <c r="AI24" cm="1">
        <f t="array" ref="AI24">SUMPRODUCT(('Team Lineups'!$K$2:$K$2000&lt;&gt;"")*('Team Lineups'!$C$2:$C$2000=$A24)*COUNTIFS('Team Lineups'!$K$2:$K$2000,'Team Lineups'!$K$2:$K$2000,'Team Lineups'!$C$2:$C$2000,AI$1))</f>
        <v>0</v>
      </c>
      <c r="AJ24" cm="1">
        <f t="array" ref="AJ24">SUMPRODUCT(('Team Lineups'!$K$2:$K$2000&lt;&gt;"")*('Team Lineups'!$C$2:$C$2000=$A24)*COUNTIFS('Team Lineups'!$K$2:$K$2000,'Team Lineups'!$K$2:$K$2000,'Team Lineups'!$C$2:$C$2000,AJ$1))</f>
        <v>0</v>
      </c>
      <c r="AK24" cm="1">
        <f t="array" ref="AK24">SUMPRODUCT(('Team Lineups'!$K$2:$K$2000&lt;&gt;"")*('Team Lineups'!$C$2:$C$2000=$A24)*COUNTIFS('Team Lineups'!$K$2:$K$2000,'Team Lineups'!$K$2:$K$2000,'Team Lineups'!$C$2:$C$2000,AK$1))</f>
        <v>0</v>
      </c>
      <c r="AL24" cm="1">
        <f t="array" ref="AL24">SUMPRODUCT(('Team Lineups'!$K$2:$K$2000&lt;&gt;"")*('Team Lineups'!$C$2:$C$2000=$A24)*COUNTIFS('Team Lineups'!$K$2:$K$2000,'Team Lineups'!$K$2:$K$2000,'Team Lineups'!$C$2:$C$2000,AL$1))</f>
        <v>0</v>
      </c>
      <c r="AM24" cm="1">
        <f t="array" ref="AM24">SUMPRODUCT(('Team Lineups'!$K$2:$K$2000&lt;&gt;"")*('Team Lineups'!$C$2:$C$2000=$A24)*COUNTIFS('Team Lineups'!$K$2:$K$2000,'Team Lineups'!$K$2:$K$2000,'Team Lineups'!$C$2:$C$2000,AM$1))</f>
        <v>0</v>
      </c>
      <c r="AN24" cm="1">
        <f t="array" ref="AN24">SUMPRODUCT(('Team Lineups'!$K$2:$K$2000&lt;&gt;"")*('Team Lineups'!$C$2:$C$2000=$A24)*COUNTIFS('Team Lineups'!$K$2:$K$2000,'Team Lineups'!$K$2:$K$2000,'Team Lineups'!$C$2:$C$2000,AN$1))</f>
        <v>0</v>
      </c>
      <c r="AO24" cm="1">
        <f t="array" ref="AO24">SUMPRODUCT(('Team Lineups'!$K$2:$K$2000&lt;&gt;"")*('Team Lineups'!$C$2:$C$2000=$A24)*COUNTIFS('Team Lineups'!$K$2:$K$2000,'Team Lineups'!$K$2:$K$2000,'Team Lineups'!$C$2:$C$2000,AO$1))</f>
        <v>0</v>
      </c>
      <c r="AP24" cm="1">
        <f t="array" ref="AP24">SUMPRODUCT(('Team Lineups'!$K$2:$K$2000&lt;&gt;"")*('Team Lineups'!$C$2:$C$2000=$A24)*COUNTIFS('Team Lineups'!$K$2:$K$2000,'Team Lineups'!$K$2:$K$2000,'Team Lineups'!$C$2:$C$2000,AP$1))</f>
        <v>0</v>
      </c>
      <c r="AQ24" cm="1">
        <f t="array" ref="AQ24">SUMPRODUCT(('Team Lineups'!$K$2:$K$2000&lt;&gt;"")*('Team Lineups'!$C$2:$C$2000=$A24)*COUNTIFS('Team Lineups'!$K$2:$K$2000,'Team Lineups'!$K$2:$K$2000,'Team Lineups'!$C$2:$C$2000,AQ$1))</f>
        <v>0</v>
      </c>
      <c r="AR24" cm="1">
        <f t="array" ref="AR24">SUMPRODUCT(('Team Lineups'!$K$2:$K$2000&lt;&gt;"")*('Team Lineups'!$C$2:$C$2000=$A24)*COUNTIFS('Team Lineups'!$K$2:$K$2000,'Team Lineups'!$K$2:$K$2000,'Team Lineups'!$C$2:$C$2000,AR$1))</f>
        <v>0</v>
      </c>
      <c r="AS24" cm="1">
        <f t="array" ref="AS24">SUMPRODUCT(('Team Lineups'!$K$2:$K$2000&lt;&gt;"")*('Team Lineups'!$C$2:$C$2000=$A24)*COUNTIFS('Team Lineups'!$K$2:$K$2000,'Team Lineups'!$K$2:$K$2000,'Team Lineups'!$C$2:$C$2000,AS$1))</f>
        <v>0</v>
      </c>
      <c r="AT24" cm="1">
        <f t="array" ref="AT24">SUMPRODUCT(('Team Lineups'!$K$2:$K$2000&lt;&gt;"")*('Team Lineups'!$C$2:$C$2000=$A24)*COUNTIFS('Team Lineups'!$K$2:$K$2000,'Team Lineups'!$K$2:$K$2000,'Team Lineups'!$C$2:$C$2000,AT$1))</f>
        <v>0</v>
      </c>
      <c r="AU24" cm="1">
        <f t="array" ref="AU24">SUMPRODUCT(('Team Lineups'!$K$2:$K$2000&lt;&gt;"")*('Team Lineups'!$C$2:$C$2000=$A24)*COUNTIFS('Team Lineups'!$K$2:$K$2000,'Team Lineups'!$K$2:$K$2000,'Team Lineups'!$C$2:$C$2000,AU$1))</f>
        <v>0</v>
      </c>
      <c r="AV24" cm="1">
        <f t="array" ref="AV24">SUMPRODUCT(('Team Lineups'!$K$2:$K$2000&lt;&gt;"")*('Team Lineups'!$C$2:$C$2000=$A24)*COUNTIFS('Team Lineups'!$K$2:$K$2000,'Team Lineups'!$K$2:$K$2000,'Team Lineups'!$C$2:$C$2000,AV$1))</f>
        <v>0</v>
      </c>
    </row>
    <row r="25" spans="1:48" x14ac:dyDescent="0.35">
      <c r="A25" t="str">
        <v>TK</v>
      </c>
      <c r="B25" cm="1">
        <f t="array" ref="B25">SUMPRODUCT(('Team Lineups'!$K$2:$K$2000&lt;&gt;"")*('Team Lineups'!$C$2:$C$2000=$A25)*COUNTIFS('Team Lineups'!$K$2:$K$2000,'Team Lineups'!$K$2:$K$2000,'Team Lineups'!$C$2:$C$2000,B$1))</f>
        <v>0</v>
      </c>
      <c r="C25" cm="1">
        <f t="array" ref="C25">SUMPRODUCT(('Team Lineups'!$K$2:$K$2000&lt;&gt;"")*('Team Lineups'!$C$2:$C$2000=$A25)*COUNTIFS('Team Lineups'!$K$2:$K$2000,'Team Lineups'!$K$2:$K$2000,'Team Lineups'!$C$2:$C$2000,C$1))</f>
        <v>0</v>
      </c>
      <c r="D25" cm="1">
        <f t="array" ref="D25">SUMPRODUCT(('Team Lineups'!$K$2:$K$2000&lt;&gt;"")*('Team Lineups'!$C$2:$C$2000=$A25)*COUNTIFS('Team Lineups'!$K$2:$K$2000,'Team Lineups'!$K$2:$K$2000,'Team Lineups'!$C$2:$C$2000,D$1))</f>
        <v>0</v>
      </c>
      <c r="E25" cm="1">
        <f t="array" ref="E25">SUMPRODUCT(('Team Lineups'!$K$2:$K$2000&lt;&gt;"")*('Team Lineups'!$C$2:$C$2000=$A25)*COUNTIFS('Team Lineups'!$K$2:$K$2000,'Team Lineups'!$K$2:$K$2000,'Team Lineups'!$C$2:$C$2000,E$1))</f>
        <v>0</v>
      </c>
      <c r="F25" cm="1">
        <f t="array" ref="F25">SUMPRODUCT(('Team Lineups'!$K$2:$K$2000&lt;&gt;"")*('Team Lineups'!$C$2:$C$2000=$A25)*COUNTIFS('Team Lineups'!$K$2:$K$2000,'Team Lineups'!$K$2:$K$2000,'Team Lineups'!$C$2:$C$2000,F$1))</f>
        <v>0</v>
      </c>
      <c r="G25" cm="1">
        <f t="array" ref="G25">SUMPRODUCT(('Team Lineups'!$K$2:$K$2000&lt;&gt;"")*('Team Lineups'!$C$2:$C$2000=$A25)*COUNTIFS('Team Lineups'!$K$2:$K$2000,'Team Lineups'!$K$2:$K$2000,'Team Lineups'!$C$2:$C$2000,G$1))</f>
        <v>0</v>
      </c>
      <c r="H25" cm="1">
        <f t="array" ref="H25">SUMPRODUCT(('Team Lineups'!$K$2:$K$2000&lt;&gt;"")*('Team Lineups'!$C$2:$C$2000=$A25)*COUNTIFS('Team Lineups'!$K$2:$K$2000,'Team Lineups'!$K$2:$K$2000,'Team Lineups'!$C$2:$C$2000,H$1))</f>
        <v>0</v>
      </c>
      <c r="I25" cm="1">
        <f t="array" ref="I25">SUMPRODUCT(('Team Lineups'!$K$2:$K$2000&lt;&gt;"")*('Team Lineups'!$C$2:$C$2000=$A25)*COUNTIFS('Team Lineups'!$K$2:$K$2000,'Team Lineups'!$K$2:$K$2000,'Team Lineups'!$C$2:$C$2000,I$1))</f>
        <v>0</v>
      </c>
      <c r="J25" cm="1">
        <f t="array" ref="J25">SUMPRODUCT(('Team Lineups'!$K$2:$K$2000&lt;&gt;"")*('Team Lineups'!$C$2:$C$2000=$A25)*COUNTIFS('Team Lineups'!$K$2:$K$2000,'Team Lineups'!$K$2:$K$2000,'Team Lineups'!$C$2:$C$2000,J$1))</f>
        <v>0</v>
      </c>
      <c r="K25" cm="1">
        <f t="array" ref="K25">SUMPRODUCT(('Team Lineups'!$K$2:$K$2000&lt;&gt;"")*('Team Lineups'!$C$2:$C$2000=$A25)*COUNTIFS('Team Lineups'!$K$2:$K$2000,'Team Lineups'!$K$2:$K$2000,'Team Lineups'!$C$2:$C$2000,K$1))</f>
        <v>0</v>
      </c>
      <c r="L25" cm="1">
        <f t="array" ref="L25">SUMPRODUCT(('Team Lineups'!$K$2:$K$2000&lt;&gt;"")*('Team Lineups'!$C$2:$C$2000=$A25)*COUNTIFS('Team Lineups'!$K$2:$K$2000,'Team Lineups'!$K$2:$K$2000,'Team Lineups'!$C$2:$C$2000,L$1))</f>
        <v>1</v>
      </c>
      <c r="M25" cm="1">
        <f t="array" ref="M25">SUMPRODUCT(('Team Lineups'!$K$2:$K$2000&lt;&gt;"")*('Team Lineups'!$C$2:$C$2000=$A25)*COUNTIFS('Team Lineups'!$K$2:$K$2000,'Team Lineups'!$K$2:$K$2000,'Team Lineups'!$C$2:$C$2000,M$1))</f>
        <v>0</v>
      </c>
      <c r="N25" cm="1">
        <f t="array" ref="N25">SUMPRODUCT(('Team Lineups'!$K$2:$K$2000&lt;&gt;"")*('Team Lineups'!$C$2:$C$2000=$A25)*COUNTIFS('Team Lineups'!$K$2:$K$2000,'Team Lineups'!$K$2:$K$2000,'Team Lineups'!$C$2:$C$2000,N$1))</f>
        <v>0</v>
      </c>
      <c r="O25" cm="1">
        <f t="array" ref="O25">SUMPRODUCT(('Team Lineups'!$K$2:$K$2000&lt;&gt;"")*('Team Lineups'!$C$2:$C$2000=$A25)*COUNTIFS('Team Lineups'!$K$2:$K$2000,'Team Lineups'!$K$2:$K$2000,'Team Lineups'!$C$2:$C$2000,O$1))</f>
        <v>0</v>
      </c>
      <c r="P25" cm="1">
        <f t="array" ref="P25">SUMPRODUCT(('Team Lineups'!$K$2:$K$2000&lt;&gt;"")*('Team Lineups'!$C$2:$C$2000=$A25)*COUNTIFS('Team Lineups'!$K$2:$K$2000,'Team Lineups'!$K$2:$K$2000,'Team Lineups'!$C$2:$C$2000,P$1))</f>
        <v>0</v>
      </c>
      <c r="Q25" cm="1">
        <f t="array" ref="Q25">SUMPRODUCT(('Team Lineups'!$K$2:$K$2000&lt;&gt;"")*('Team Lineups'!$C$2:$C$2000=$A25)*COUNTIFS('Team Lineups'!$K$2:$K$2000,'Team Lineups'!$K$2:$K$2000,'Team Lineups'!$C$2:$C$2000,Q$1))</f>
        <v>1</v>
      </c>
      <c r="R25" cm="1">
        <f t="array" ref="R25">SUMPRODUCT(('Team Lineups'!$K$2:$K$2000&lt;&gt;"")*('Team Lineups'!$C$2:$C$2000=$A25)*COUNTIFS('Team Lineups'!$K$2:$K$2000,'Team Lineups'!$K$2:$K$2000,'Team Lineups'!$C$2:$C$2000,R$1))</f>
        <v>0</v>
      </c>
      <c r="S25" cm="1">
        <f t="array" ref="S25">SUMPRODUCT(('Team Lineups'!$K$2:$K$2000&lt;&gt;"")*('Team Lineups'!$C$2:$C$2000=$A25)*COUNTIFS('Team Lineups'!$K$2:$K$2000,'Team Lineups'!$K$2:$K$2000,'Team Lineups'!$C$2:$C$2000,S$1))</f>
        <v>1</v>
      </c>
      <c r="T25" cm="1">
        <f t="array" ref="T25">SUMPRODUCT(('Team Lineups'!$K$2:$K$2000&lt;&gt;"")*('Team Lineups'!$C$2:$C$2000=$A25)*COUNTIFS('Team Lineups'!$K$2:$K$2000,'Team Lineups'!$K$2:$K$2000,'Team Lineups'!$C$2:$C$2000,T$1))</f>
        <v>0</v>
      </c>
      <c r="U25" cm="1">
        <f t="array" ref="U25">SUMPRODUCT(('Team Lineups'!$K$2:$K$2000&lt;&gt;"")*('Team Lineups'!$C$2:$C$2000=$A25)*COUNTIFS('Team Lineups'!$K$2:$K$2000,'Team Lineups'!$K$2:$K$2000,'Team Lineups'!$C$2:$C$2000,U$1))</f>
        <v>0</v>
      </c>
      <c r="V25" cm="1">
        <f t="array" ref="V25">SUMPRODUCT(('Team Lineups'!$K$2:$K$2000&lt;&gt;"")*('Team Lineups'!$C$2:$C$2000=$A25)*COUNTIFS('Team Lineups'!$K$2:$K$2000,'Team Lineups'!$K$2:$K$2000,'Team Lineups'!$C$2:$C$2000,V$1))</f>
        <v>1</v>
      </c>
      <c r="W25" cm="1">
        <f t="array" ref="W25">SUMPRODUCT(('Team Lineups'!$K$2:$K$2000&lt;&gt;"")*('Team Lineups'!$C$2:$C$2000=$A25)*COUNTIFS('Team Lineups'!$K$2:$K$2000,'Team Lineups'!$K$2:$K$2000,'Team Lineups'!$C$2:$C$2000,W$1))</f>
        <v>0</v>
      </c>
      <c r="X25" cm="1">
        <f t="array" ref="X25">SUMPRODUCT(('Team Lineups'!$K$2:$K$2000&lt;&gt;"")*('Team Lineups'!$C$2:$C$2000=$A25)*COUNTIFS('Team Lineups'!$K$2:$K$2000,'Team Lineups'!$K$2:$K$2000,'Team Lineups'!$C$2:$C$2000,X$1))</f>
        <v>0</v>
      </c>
      <c r="Y25" cm="1">
        <f t="array" ref="Y25">SUMPRODUCT(('Team Lineups'!$K$2:$K$2000&lt;&gt;"")*('Team Lineups'!$C$2:$C$2000=$A25)*COUNTIFS('Team Lineups'!$K$2:$K$2000,'Team Lineups'!$K$2:$K$2000,'Team Lineups'!$C$2:$C$2000,Y$1))</f>
        <v>1</v>
      </c>
      <c r="Z25" cm="1">
        <f t="array" ref="Z25">SUMPRODUCT(('Team Lineups'!$K$2:$K$2000&lt;&gt;"")*('Team Lineups'!$C$2:$C$2000=$A25)*COUNTIFS('Team Lineups'!$K$2:$K$2000,'Team Lineups'!$K$2:$K$2000,'Team Lineups'!$C$2:$C$2000,Z$1))</f>
        <v>0</v>
      </c>
      <c r="AA25" cm="1">
        <f t="array" ref="AA25">SUMPRODUCT(('Team Lineups'!$K$2:$K$2000&lt;&gt;"")*('Team Lineups'!$C$2:$C$2000=$A25)*COUNTIFS('Team Lineups'!$K$2:$K$2000,'Team Lineups'!$K$2:$K$2000,'Team Lineups'!$C$2:$C$2000,AA$1))</f>
        <v>0</v>
      </c>
      <c r="AB25" cm="1">
        <f t="array" ref="AB25">SUMPRODUCT(('Team Lineups'!$K$2:$K$2000&lt;&gt;"")*('Team Lineups'!$C$2:$C$2000=$A25)*COUNTIFS('Team Lineups'!$K$2:$K$2000,'Team Lineups'!$K$2:$K$2000,'Team Lineups'!$C$2:$C$2000,AB$1))</f>
        <v>0</v>
      </c>
      <c r="AC25" cm="1">
        <f t="array" ref="AC25">SUMPRODUCT(('Team Lineups'!$K$2:$K$2000&lt;&gt;"")*('Team Lineups'!$C$2:$C$2000=$A25)*COUNTIFS('Team Lineups'!$K$2:$K$2000,'Team Lineups'!$K$2:$K$2000,'Team Lineups'!$C$2:$C$2000,AC$1))</f>
        <v>0</v>
      </c>
      <c r="AD25" cm="1">
        <f t="array" ref="AD25">SUMPRODUCT(('Team Lineups'!$K$2:$K$2000&lt;&gt;"")*('Team Lineups'!$C$2:$C$2000=$A25)*COUNTIFS('Team Lineups'!$K$2:$K$2000,'Team Lineups'!$K$2:$K$2000,'Team Lineups'!$C$2:$C$2000,AD$1))</f>
        <v>0</v>
      </c>
      <c r="AE25" cm="1">
        <f t="array" ref="AE25">SUMPRODUCT(('Team Lineups'!$K$2:$K$2000&lt;&gt;"")*('Team Lineups'!$C$2:$C$2000=$A25)*COUNTIFS('Team Lineups'!$K$2:$K$2000,'Team Lineups'!$K$2:$K$2000,'Team Lineups'!$C$2:$C$2000,AE$1))</f>
        <v>0</v>
      </c>
      <c r="AF25" cm="1">
        <f t="array" ref="AF25">SUMPRODUCT(('Team Lineups'!$K$2:$K$2000&lt;&gt;"")*('Team Lineups'!$C$2:$C$2000=$A25)*COUNTIFS('Team Lineups'!$K$2:$K$2000,'Team Lineups'!$K$2:$K$2000,'Team Lineups'!$C$2:$C$2000,AF$1))</f>
        <v>0</v>
      </c>
      <c r="AG25" cm="1">
        <f t="array" ref="AG25">SUMPRODUCT(('Team Lineups'!$K$2:$K$2000&lt;&gt;"")*('Team Lineups'!$C$2:$C$2000=$A25)*COUNTIFS('Team Lineups'!$K$2:$K$2000,'Team Lineups'!$K$2:$K$2000,'Team Lineups'!$C$2:$C$2000,AG$1))</f>
        <v>0</v>
      </c>
      <c r="AH25" cm="1">
        <f t="array" ref="AH25">SUMPRODUCT(('Team Lineups'!$K$2:$K$2000&lt;&gt;"")*('Team Lineups'!$C$2:$C$2000=$A25)*COUNTIFS('Team Lineups'!$K$2:$K$2000,'Team Lineups'!$K$2:$K$2000,'Team Lineups'!$C$2:$C$2000,AH$1))</f>
        <v>0</v>
      </c>
      <c r="AI25" cm="1">
        <f t="array" ref="AI25">SUMPRODUCT(('Team Lineups'!$K$2:$K$2000&lt;&gt;"")*('Team Lineups'!$C$2:$C$2000=$A25)*COUNTIFS('Team Lineups'!$K$2:$K$2000,'Team Lineups'!$K$2:$K$2000,'Team Lineups'!$C$2:$C$2000,AI$1))</f>
        <v>0</v>
      </c>
      <c r="AJ25" cm="1">
        <f t="array" ref="AJ25">SUMPRODUCT(('Team Lineups'!$K$2:$K$2000&lt;&gt;"")*('Team Lineups'!$C$2:$C$2000=$A25)*COUNTIFS('Team Lineups'!$K$2:$K$2000,'Team Lineups'!$K$2:$K$2000,'Team Lineups'!$C$2:$C$2000,AJ$1))</f>
        <v>0</v>
      </c>
      <c r="AK25" cm="1">
        <f t="array" ref="AK25">SUMPRODUCT(('Team Lineups'!$K$2:$K$2000&lt;&gt;"")*('Team Lineups'!$C$2:$C$2000=$A25)*COUNTIFS('Team Lineups'!$K$2:$K$2000,'Team Lineups'!$K$2:$K$2000,'Team Lineups'!$C$2:$C$2000,AK$1))</f>
        <v>0</v>
      </c>
      <c r="AL25" cm="1">
        <f t="array" ref="AL25">SUMPRODUCT(('Team Lineups'!$K$2:$K$2000&lt;&gt;"")*('Team Lineups'!$C$2:$C$2000=$A25)*COUNTIFS('Team Lineups'!$K$2:$K$2000,'Team Lineups'!$K$2:$K$2000,'Team Lineups'!$C$2:$C$2000,AL$1))</f>
        <v>0</v>
      </c>
      <c r="AM25" cm="1">
        <f t="array" ref="AM25">SUMPRODUCT(('Team Lineups'!$K$2:$K$2000&lt;&gt;"")*('Team Lineups'!$C$2:$C$2000=$A25)*COUNTIFS('Team Lineups'!$K$2:$K$2000,'Team Lineups'!$K$2:$K$2000,'Team Lineups'!$C$2:$C$2000,AM$1))</f>
        <v>0</v>
      </c>
      <c r="AN25" cm="1">
        <f t="array" ref="AN25">SUMPRODUCT(('Team Lineups'!$K$2:$K$2000&lt;&gt;"")*('Team Lineups'!$C$2:$C$2000=$A25)*COUNTIFS('Team Lineups'!$K$2:$K$2000,'Team Lineups'!$K$2:$K$2000,'Team Lineups'!$C$2:$C$2000,AN$1))</f>
        <v>0</v>
      </c>
      <c r="AO25" cm="1">
        <f t="array" ref="AO25">SUMPRODUCT(('Team Lineups'!$K$2:$K$2000&lt;&gt;"")*('Team Lineups'!$C$2:$C$2000=$A25)*COUNTIFS('Team Lineups'!$K$2:$K$2000,'Team Lineups'!$K$2:$K$2000,'Team Lineups'!$C$2:$C$2000,AO$1))</f>
        <v>0</v>
      </c>
      <c r="AP25" cm="1">
        <f t="array" ref="AP25">SUMPRODUCT(('Team Lineups'!$K$2:$K$2000&lt;&gt;"")*('Team Lineups'!$C$2:$C$2000=$A25)*COUNTIFS('Team Lineups'!$K$2:$K$2000,'Team Lineups'!$K$2:$K$2000,'Team Lineups'!$C$2:$C$2000,AP$1))</f>
        <v>0</v>
      </c>
      <c r="AQ25" cm="1">
        <f t="array" ref="AQ25">SUMPRODUCT(('Team Lineups'!$K$2:$K$2000&lt;&gt;"")*('Team Lineups'!$C$2:$C$2000=$A25)*COUNTIFS('Team Lineups'!$K$2:$K$2000,'Team Lineups'!$K$2:$K$2000,'Team Lineups'!$C$2:$C$2000,AQ$1))</f>
        <v>0</v>
      </c>
      <c r="AR25" cm="1">
        <f t="array" ref="AR25">SUMPRODUCT(('Team Lineups'!$K$2:$K$2000&lt;&gt;"")*('Team Lineups'!$C$2:$C$2000=$A25)*COUNTIFS('Team Lineups'!$K$2:$K$2000,'Team Lineups'!$K$2:$K$2000,'Team Lineups'!$C$2:$C$2000,AR$1))</f>
        <v>0</v>
      </c>
      <c r="AS25" cm="1">
        <f t="array" ref="AS25">SUMPRODUCT(('Team Lineups'!$K$2:$K$2000&lt;&gt;"")*('Team Lineups'!$C$2:$C$2000=$A25)*COUNTIFS('Team Lineups'!$K$2:$K$2000,'Team Lineups'!$K$2:$K$2000,'Team Lineups'!$C$2:$C$2000,AS$1))</f>
        <v>0</v>
      </c>
      <c r="AT25" cm="1">
        <f t="array" ref="AT25">SUMPRODUCT(('Team Lineups'!$K$2:$K$2000&lt;&gt;"")*('Team Lineups'!$C$2:$C$2000=$A25)*COUNTIFS('Team Lineups'!$K$2:$K$2000,'Team Lineups'!$K$2:$K$2000,'Team Lineups'!$C$2:$C$2000,AT$1))</f>
        <v>0</v>
      </c>
      <c r="AU25" cm="1">
        <f t="array" ref="AU25">SUMPRODUCT(('Team Lineups'!$K$2:$K$2000&lt;&gt;"")*('Team Lineups'!$C$2:$C$2000=$A25)*COUNTIFS('Team Lineups'!$K$2:$K$2000,'Team Lineups'!$K$2:$K$2000,'Team Lineups'!$C$2:$C$2000,AU$1))</f>
        <v>0</v>
      </c>
      <c r="AV25" cm="1">
        <f t="array" ref="AV25">SUMPRODUCT(('Team Lineups'!$K$2:$K$2000&lt;&gt;"")*('Team Lineups'!$C$2:$C$2000=$A25)*COUNTIFS('Team Lineups'!$K$2:$K$2000,'Team Lineups'!$K$2:$K$2000,'Team Lineups'!$C$2:$C$2000,AV$1))</f>
        <v>0</v>
      </c>
    </row>
    <row r="26" spans="1:48" x14ac:dyDescent="0.35">
      <c r="A26" t="str">
        <v>Manfredi</v>
      </c>
      <c r="B26" cm="1">
        <f t="array" ref="B26">SUMPRODUCT(('Team Lineups'!$K$2:$K$2000&lt;&gt;"")*('Team Lineups'!$C$2:$C$2000=$A26)*COUNTIFS('Team Lineups'!$K$2:$K$2000,'Team Lineups'!$K$2:$K$2000,'Team Lineups'!$C$2:$C$2000,B$1))</f>
        <v>2</v>
      </c>
      <c r="C26" cm="1">
        <f t="array" ref="C26">SUMPRODUCT(('Team Lineups'!$K$2:$K$2000&lt;&gt;"")*('Team Lineups'!$C$2:$C$2000=$A26)*COUNTIFS('Team Lineups'!$K$2:$K$2000,'Team Lineups'!$K$2:$K$2000,'Team Lineups'!$C$2:$C$2000,C$1))</f>
        <v>0</v>
      </c>
      <c r="D26" cm="1">
        <f t="array" ref="D26">SUMPRODUCT(('Team Lineups'!$K$2:$K$2000&lt;&gt;"")*('Team Lineups'!$C$2:$C$2000=$A26)*COUNTIFS('Team Lineups'!$K$2:$K$2000,'Team Lineups'!$K$2:$K$2000,'Team Lineups'!$C$2:$C$2000,D$1))</f>
        <v>1</v>
      </c>
      <c r="E26" cm="1">
        <f t="array" ref="E26">SUMPRODUCT(('Team Lineups'!$K$2:$K$2000&lt;&gt;"")*('Team Lineups'!$C$2:$C$2000=$A26)*COUNTIFS('Team Lineups'!$K$2:$K$2000,'Team Lineups'!$K$2:$K$2000,'Team Lineups'!$C$2:$C$2000,E$1))</f>
        <v>3</v>
      </c>
      <c r="F26" cm="1">
        <f t="array" ref="F26">SUMPRODUCT(('Team Lineups'!$K$2:$K$2000&lt;&gt;"")*('Team Lineups'!$C$2:$C$2000=$A26)*COUNTIFS('Team Lineups'!$K$2:$K$2000,'Team Lineups'!$K$2:$K$2000,'Team Lineups'!$C$2:$C$2000,F$1))</f>
        <v>2</v>
      </c>
      <c r="G26" cm="1">
        <f t="array" ref="G26">SUMPRODUCT(('Team Lineups'!$K$2:$K$2000&lt;&gt;"")*('Team Lineups'!$C$2:$C$2000=$A26)*COUNTIFS('Team Lineups'!$K$2:$K$2000,'Team Lineups'!$K$2:$K$2000,'Team Lineups'!$C$2:$C$2000,G$1))</f>
        <v>4</v>
      </c>
      <c r="H26" cm="1">
        <f t="array" ref="H26">SUMPRODUCT(('Team Lineups'!$K$2:$K$2000&lt;&gt;"")*('Team Lineups'!$C$2:$C$2000=$A26)*COUNTIFS('Team Lineups'!$K$2:$K$2000,'Team Lineups'!$K$2:$K$2000,'Team Lineups'!$C$2:$C$2000,H$1))</f>
        <v>3</v>
      </c>
      <c r="I26" cm="1">
        <f t="array" ref="I26">SUMPRODUCT(('Team Lineups'!$K$2:$K$2000&lt;&gt;"")*('Team Lineups'!$C$2:$C$2000=$A26)*COUNTIFS('Team Lineups'!$K$2:$K$2000,'Team Lineups'!$K$2:$K$2000,'Team Lineups'!$C$2:$C$2000,I$1))</f>
        <v>4</v>
      </c>
      <c r="J26" cm="1">
        <f t="array" ref="J26">SUMPRODUCT(('Team Lineups'!$K$2:$K$2000&lt;&gt;"")*('Team Lineups'!$C$2:$C$2000=$A26)*COUNTIFS('Team Lineups'!$K$2:$K$2000,'Team Lineups'!$K$2:$K$2000,'Team Lineups'!$C$2:$C$2000,J$1))</f>
        <v>0</v>
      </c>
      <c r="K26" cm="1">
        <f t="array" ref="K26">SUMPRODUCT(('Team Lineups'!$K$2:$K$2000&lt;&gt;"")*('Team Lineups'!$C$2:$C$2000=$A26)*COUNTIFS('Team Lineups'!$K$2:$K$2000,'Team Lineups'!$K$2:$K$2000,'Team Lineups'!$C$2:$C$2000,K$1))</f>
        <v>0</v>
      </c>
      <c r="L26" cm="1">
        <f t="array" ref="L26">SUMPRODUCT(('Team Lineups'!$K$2:$K$2000&lt;&gt;"")*('Team Lineups'!$C$2:$C$2000=$A26)*COUNTIFS('Team Lineups'!$K$2:$K$2000,'Team Lineups'!$K$2:$K$2000,'Team Lineups'!$C$2:$C$2000,L$1))</f>
        <v>0</v>
      </c>
      <c r="M26" cm="1">
        <f t="array" ref="M26">SUMPRODUCT(('Team Lineups'!$K$2:$K$2000&lt;&gt;"")*('Team Lineups'!$C$2:$C$2000=$A26)*COUNTIFS('Team Lineups'!$K$2:$K$2000,'Team Lineups'!$K$2:$K$2000,'Team Lineups'!$C$2:$C$2000,M$1))</f>
        <v>6</v>
      </c>
      <c r="N26" cm="1">
        <f t="array" ref="N26">SUMPRODUCT(('Team Lineups'!$K$2:$K$2000&lt;&gt;"")*('Team Lineups'!$C$2:$C$2000=$A26)*COUNTIFS('Team Lineups'!$K$2:$K$2000,'Team Lineups'!$K$2:$K$2000,'Team Lineups'!$C$2:$C$2000,N$1))</f>
        <v>1</v>
      </c>
      <c r="O26" cm="1">
        <f t="array" ref="O26">SUMPRODUCT(('Team Lineups'!$K$2:$K$2000&lt;&gt;"")*('Team Lineups'!$C$2:$C$2000=$A26)*COUNTIFS('Team Lineups'!$K$2:$K$2000,'Team Lineups'!$K$2:$K$2000,'Team Lineups'!$C$2:$C$2000,O$1))</f>
        <v>2</v>
      </c>
      <c r="P26" cm="1">
        <f t="array" ref="P26">SUMPRODUCT(('Team Lineups'!$K$2:$K$2000&lt;&gt;"")*('Team Lineups'!$C$2:$C$2000=$A26)*COUNTIFS('Team Lineups'!$K$2:$K$2000,'Team Lineups'!$K$2:$K$2000,'Team Lineups'!$C$2:$C$2000,P$1))</f>
        <v>1</v>
      </c>
      <c r="Q26" cm="1">
        <f t="array" ref="Q26">SUMPRODUCT(('Team Lineups'!$K$2:$K$2000&lt;&gt;"")*('Team Lineups'!$C$2:$C$2000=$A26)*COUNTIFS('Team Lineups'!$K$2:$K$2000,'Team Lineups'!$K$2:$K$2000,'Team Lineups'!$C$2:$C$2000,Q$1))</f>
        <v>3</v>
      </c>
      <c r="R26" cm="1">
        <f t="array" ref="R26">SUMPRODUCT(('Team Lineups'!$K$2:$K$2000&lt;&gt;"")*('Team Lineups'!$C$2:$C$2000=$A26)*COUNTIFS('Team Lineups'!$K$2:$K$2000,'Team Lineups'!$K$2:$K$2000,'Team Lineups'!$C$2:$C$2000,R$1))</f>
        <v>4</v>
      </c>
      <c r="S26" cm="1">
        <f t="array" ref="S26">SUMPRODUCT(('Team Lineups'!$K$2:$K$2000&lt;&gt;"")*('Team Lineups'!$C$2:$C$2000=$A26)*COUNTIFS('Team Lineups'!$K$2:$K$2000,'Team Lineups'!$K$2:$K$2000,'Team Lineups'!$C$2:$C$2000,S$1))</f>
        <v>1</v>
      </c>
      <c r="T26" cm="1">
        <f t="array" ref="T26">SUMPRODUCT(('Team Lineups'!$K$2:$K$2000&lt;&gt;"")*('Team Lineups'!$C$2:$C$2000=$A26)*COUNTIFS('Team Lineups'!$K$2:$K$2000,'Team Lineups'!$K$2:$K$2000,'Team Lineups'!$C$2:$C$2000,T$1))</f>
        <v>0</v>
      </c>
      <c r="U26" cm="1">
        <f t="array" ref="U26">SUMPRODUCT(('Team Lineups'!$K$2:$K$2000&lt;&gt;"")*('Team Lineups'!$C$2:$C$2000=$A26)*COUNTIFS('Team Lineups'!$K$2:$K$2000,'Team Lineups'!$K$2:$K$2000,'Team Lineups'!$C$2:$C$2000,U$1))</f>
        <v>0</v>
      </c>
      <c r="V26" cm="1">
        <f t="array" ref="V26">SUMPRODUCT(('Team Lineups'!$K$2:$K$2000&lt;&gt;"")*('Team Lineups'!$C$2:$C$2000=$A26)*COUNTIFS('Team Lineups'!$K$2:$K$2000,'Team Lineups'!$K$2:$K$2000,'Team Lineups'!$C$2:$C$2000,V$1))</f>
        <v>0</v>
      </c>
      <c r="W26" cm="1">
        <f t="array" ref="W26">SUMPRODUCT(('Team Lineups'!$K$2:$K$2000&lt;&gt;"")*('Team Lineups'!$C$2:$C$2000=$A26)*COUNTIFS('Team Lineups'!$K$2:$K$2000,'Team Lineups'!$K$2:$K$2000,'Team Lineups'!$C$2:$C$2000,W$1))</f>
        <v>0</v>
      </c>
      <c r="X26" cm="1">
        <f t="array" ref="X26">SUMPRODUCT(('Team Lineups'!$K$2:$K$2000&lt;&gt;"")*('Team Lineups'!$C$2:$C$2000=$A26)*COUNTIFS('Team Lineups'!$K$2:$K$2000,'Team Lineups'!$K$2:$K$2000,'Team Lineups'!$C$2:$C$2000,X$1))</f>
        <v>0</v>
      </c>
      <c r="Y26" cm="1">
        <f t="array" ref="Y26">SUMPRODUCT(('Team Lineups'!$K$2:$K$2000&lt;&gt;"")*('Team Lineups'!$C$2:$C$2000=$A26)*COUNTIFS('Team Lineups'!$K$2:$K$2000,'Team Lineups'!$K$2:$K$2000,'Team Lineups'!$C$2:$C$2000,Y$1))</f>
        <v>0</v>
      </c>
      <c r="Z26" cm="1">
        <f t="array" ref="Z26">SUMPRODUCT(('Team Lineups'!$K$2:$K$2000&lt;&gt;"")*('Team Lineups'!$C$2:$C$2000=$A26)*COUNTIFS('Team Lineups'!$K$2:$K$2000,'Team Lineups'!$K$2:$K$2000,'Team Lineups'!$C$2:$C$2000,Z$1))</f>
        <v>10</v>
      </c>
      <c r="AA26" cm="1">
        <f t="array" ref="AA26">SUMPRODUCT(('Team Lineups'!$K$2:$K$2000&lt;&gt;"")*('Team Lineups'!$C$2:$C$2000=$A26)*COUNTIFS('Team Lineups'!$K$2:$K$2000,'Team Lineups'!$K$2:$K$2000,'Team Lineups'!$C$2:$C$2000,AA$1))</f>
        <v>1</v>
      </c>
      <c r="AB26" cm="1">
        <f t="array" ref="AB26">SUMPRODUCT(('Team Lineups'!$K$2:$K$2000&lt;&gt;"")*('Team Lineups'!$C$2:$C$2000=$A26)*COUNTIFS('Team Lineups'!$K$2:$K$2000,'Team Lineups'!$K$2:$K$2000,'Team Lineups'!$C$2:$C$2000,AB$1))</f>
        <v>0</v>
      </c>
      <c r="AC26" cm="1">
        <f t="array" ref="AC26">SUMPRODUCT(('Team Lineups'!$K$2:$K$2000&lt;&gt;"")*('Team Lineups'!$C$2:$C$2000=$A26)*COUNTIFS('Team Lineups'!$K$2:$K$2000,'Team Lineups'!$K$2:$K$2000,'Team Lineups'!$C$2:$C$2000,AC$1))</f>
        <v>0</v>
      </c>
      <c r="AD26" cm="1">
        <f t="array" ref="AD26">SUMPRODUCT(('Team Lineups'!$K$2:$K$2000&lt;&gt;"")*('Team Lineups'!$C$2:$C$2000=$A26)*COUNTIFS('Team Lineups'!$K$2:$K$2000,'Team Lineups'!$K$2:$K$2000,'Team Lineups'!$C$2:$C$2000,AD$1))</f>
        <v>1</v>
      </c>
      <c r="AE26" cm="1">
        <f t="array" ref="AE26">SUMPRODUCT(('Team Lineups'!$K$2:$K$2000&lt;&gt;"")*('Team Lineups'!$C$2:$C$2000=$A26)*COUNTIFS('Team Lineups'!$K$2:$K$2000,'Team Lineups'!$K$2:$K$2000,'Team Lineups'!$C$2:$C$2000,AE$1))</f>
        <v>0</v>
      </c>
      <c r="AF26" cm="1">
        <f t="array" ref="AF26">SUMPRODUCT(('Team Lineups'!$K$2:$K$2000&lt;&gt;"")*('Team Lineups'!$C$2:$C$2000=$A26)*COUNTIFS('Team Lineups'!$K$2:$K$2000,'Team Lineups'!$K$2:$K$2000,'Team Lineups'!$C$2:$C$2000,AF$1))</f>
        <v>1</v>
      </c>
      <c r="AG26" cm="1">
        <f t="array" ref="AG26">SUMPRODUCT(('Team Lineups'!$K$2:$K$2000&lt;&gt;"")*('Team Lineups'!$C$2:$C$2000=$A26)*COUNTIFS('Team Lineups'!$K$2:$K$2000,'Team Lineups'!$K$2:$K$2000,'Team Lineups'!$C$2:$C$2000,AG$1))</f>
        <v>1</v>
      </c>
      <c r="AH26" cm="1">
        <f t="array" ref="AH26">SUMPRODUCT(('Team Lineups'!$K$2:$K$2000&lt;&gt;"")*('Team Lineups'!$C$2:$C$2000=$A26)*COUNTIFS('Team Lineups'!$K$2:$K$2000,'Team Lineups'!$K$2:$K$2000,'Team Lineups'!$C$2:$C$2000,AH$1))</f>
        <v>0</v>
      </c>
      <c r="AI26" cm="1">
        <f t="array" ref="AI26">SUMPRODUCT(('Team Lineups'!$K$2:$K$2000&lt;&gt;"")*('Team Lineups'!$C$2:$C$2000=$A26)*COUNTIFS('Team Lineups'!$K$2:$K$2000,'Team Lineups'!$K$2:$K$2000,'Team Lineups'!$C$2:$C$2000,AI$1))</f>
        <v>0</v>
      </c>
      <c r="AJ26" cm="1">
        <f t="array" ref="AJ26">SUMPRODUCT(('Team Lineups'!$K$2:$K$2000&lt;&gt;"")*('Team Lineups'!$C$2:$C$2000=$A26)*COUNTIFS('Team Lineups'!$K$2:$K$2000,'Team Lineups'!$K$2:$K$2000,'Team Lineups'!$C$2:$C$2000,AJ$1))</f>
        <v>0</v>
      </c>
      <c r="AK26" cm="1">
        <f t="array" ref="AK26">SUMPRODUCT(('Team Lineups'!$K$2:$K$2000&lt;&gt;"")*('Team Lineups'!$C$2:$C$2000=$A26)*COUNTIFS('Team Lineups'!$K$2:$K$2000,'Team Lineups'!$K$2:$K$2000,'Team Lineups'!$C$2:$C$2000,AK$1))</f>
        <v>1</v>
      </c>
      <c r="AL26" cm="1">
        <f t="array" ref="AL26">SUMPRODUCT(('Team Lineups'!$K$2:$K$2000&lt;&gt;"")*('Team Lineups'!$C$2:$C$2000=$A26)*COUNTIFS('Team Lineups'!$K$2:$K$2000,'Team Lineups'!$K$2:$K$2000,'Team Lineups'!$C$2:$C$2000,AL$1))</f>
        <v>4</v>
      </c>
      <c r="AM26" cm="1">
        <f t="array" ref="AM26">SUMPRODUCT(('Team Lineups'!$K$2:$K$2000&lt;&gt;"")*('Team Lineups'!$C$2:$C$2000=$A26)*COUNTIFS('Team Lineups'!$K$2:$K$2000,'Team Lineups'!$K$2:$K$2000,'Team Lineups'!$C$2:$C$2000,AM$1))</f>
        <v>1</v>
      </c>
      <c r="AN26" cm="1">
        <f t="array" ref="AN26">SUMPRODUCT(('Team Lineups'!$K$2:$K$2000&lt;&gt;"")*('Team Lineups'!$C$2:$C$2000=$A26)*COUNTIFS('Team Lineups'!$K$2:$K$2000,'Team Lineups'!$K$2:$K$2000,'Team Lineups'!$C$2:$C$2000,AN$1))</f>
        <v>1</v>
      </c>
      <c r="AO26" cm="1">
        <f t="array" ref="AO26">SUMPRODUCT(('Team Lineups'!$K$2:$K$2000&lt;&gt;"")*('Team Lineups'!$C$2:$C$2000=$A26)*COUNTIFS('Team Lineups'!$K$2:$K$2000,'Team Lineups'!$K$2:$K$2000,'Team Lineups'!$C$2:$C$2000,AO$1))</f>
        <v>0</v>
      </c>
      <c r="AP26" cm="1">
        <f t="array" ref="AP26">SUMPRODUCT(('Team Lineups'!$K$2:$K$2000&lt;&gt;"")*('Team Lineups'!$C$2:$C$2000=$A26)*COUNTIFS('Team Lineups'!$K$2:$K$2000,'Team Lineups'!$K$2:$K$2000,'Team Lineups'!$C$2:$C$2000,AP$1))</f>
        <v>0</v>
      </c>
      <c r="AQ26" cm="1">
        <f t="array" ref="AQ26">SUMPRODUCT(('Team Lineups'!$K$2:$K$2000&lt;&gt;"")*('Team Lineups'!$C$2:$C$2000=$A26)*COUNTIFS('Team Lineups'!$K$2:$K$2000,'Team Lineups'!$K$2:$K$2000,'Team Lineups'!$C$2:$C$2000,AQ$1))</f>
        <v>0</v>
      </c>
      <c r="AR26" cm="1">
        <f t="array" ref="AR26">SUMPRODUCT(('Team Lineups'!$K$2:$K$2000&lt;&gt;"")*('Team Lineups'!$C$2:$C$2000=$A26)*COUNTIFS('Team Lineups'!$K$2:$K$2000,'Team Lineups'!$K$2:$K$2000,'Team Lineups'!$C$2:$C$2000,AR$1))</f>
        <v>0</v>
      </c>
      <c r="AS26" cm="1">
        <f t="array" ref="AS26">SUMPRODUCT(('Team Lineups'!$K$2:$K$2000&lt;&gt;"")*('Team Lineups'!$C$2:$C$2000=$A26)*COUNTIFS('Team Lineups'!$K$2:$K$2000,'Team Lineups'!$K$2:$K$2000,'Team Lineups'!$C$2:$C$2000,AS$1))</f>
        <v>0</v>
      </c>
      <c r="AT26" cm="1">
        <f t="array" ref="AT26">SUMPRODUCT(('Team Lineups'!$K$2:$K$2000&lt;&gt;"")*('Team Lineups'!$C$2:$C$2000=$A26)*COUNTIFS('Team Lineups'!$K$2:$K$2000,'Team Lineups'!$K$2:$K$2000,'Team Lineups'!$C$2:$C$2000,AT$1))</f>
        <v>0</v>
      </c>
      <c r="AU26" cm="1">
        <f t="array" ref="AU26">SUMPRODUCT(('Team Lineups'!$K$2:$K$2000&lt;&gt;"")*('Team Lineups'!$C$2:$C$2000=$A26)*COUNTIFS('Team Lineups'!$K$2:$K$2000,'Team Lineups'!$K$2:$K$2000,'Team Lineups'!$C$2:$C$2000,AU$1))</f>
        <v>0</v>
      </c>
      <c r="AV26" cm="1">
        <f t="array" ref="AV26">SUMPRODUCT(('Team Lineups'!$K$2:$K$2000&lt;&gt;"")*('Team Lineups'!$C$2:$C$2000=$A26)*COUNTIFS('Team Lineups'!$K$2:$K$2000,'Team Lineups'!$K$2:$K$2000,'Team Lineups'!$C$2:$C$2000,AV$1))</f>
        <v>0</v>
      </c>
    </row>
    <row r="27" spans="1:48" x14ac:dyDescent="0.35">
      <c r="A27" t="str">
        <v>Stefano</v>
      </c>
      <c r="B27" cm="1">
        <f t="array" ref="B27">SUMPRODUCT(('Team Lineups'!$K$2:$K$2000&lt;&gt;"")*('Team Lineups'!$C$2:$C$2000=$A27)*COUNTIFS('Team Lineups'!$K$2:$K$2000,'Team Lineups'!$K$2:$K$2000,'Team Lineups'!$C$2:$C$2000,B$1))</f>
        <v>6</v>
      </c>
      <c r="C27" cm="1">
        <f t="array" ref="C27">SUMPRODUCT(('Team Lineups'!$K$2:$K$2000&lt;&gt;"")*('Team Lineups'!$C$2:$C$2000=$A27)*COUNTIFS('Team Lineups'!$K$2:$K$2000,'Team Lineups'!$K$2:$K$2000,'Team Lineups'!$C$2:$C$2000,C$1))</f>
        <v>4</v>
      </c>
      <c r="D27" cm="1">
        <f t="array" ref="D27">SUMPRODUCT(('Team Lineups'!$K$2:$K$2000&lt;&gt;"")*('Team Lineups'!$C$2:$C$2000=$A27)*COUNTIFS('Team Lineups'!$K$2:$K$2000,'Team Lineups'!$K$2:$K$2000,'Team Lineups'!$C$2:$C$2000,D$1))</f>
        <v>4</v>
      </c>
      <c r="E27" cm="1">
        <f t="array" ref="E27">SUMPRODUCT(('Team Lineups'!$K$2:$K$2000&lt;&gt;"")*('Team Lineups'!$C$2:$C$2000=$A27)*COUNTIFS('Team Lineups'!$K$2:$K$2000,'Team Lineups'!$K$2:$K$2000,'Team Lineups'!$C$2:$C$2000,E$1))</f>
        <v>8</v>
      </c>
      <c r="F27" cm="1">
        <f t="array" ref="F27">SUMPRODUCT(('Team Lineups'!$K$2:$K$2000&lt;&gt;"")*('Team Lineups'!$C$2:$C$2000=$A27)*COUNTIFS('Team Lineups'!$K$2:$K$2000,'Team Lineups'!$K$2:$K$2000,'Team Lineups'!$C$2:$C$2000,F$1))</f>
        <v>8</v>
      </c>
      <c r="G27" cm="1">
        <f t="array" ref="G27">SUMPRODUCT(('Team Lineups'!$K$2:$K$2000&lt;&gt;"")*('Team Lineups'!$C$2:$C$2000=$A27)*COUNTIFS('Team Lineups'!$K$2:$K$2000,'Team Lineups'!$K$2:$K$2000,'Team Lineups'!$C$2:$C$2000,G$1))</f>
        <v>10</v>
      </c>
      <c r="H27" cm="1">
        <f t="array" ref="H27">SUMPRODUCT(('Team Lineups'!$K$2:$K$2000&lt;&gt;"")*('Team Lineups'!$C$2:$C$2000=$A27)*COUNTIFS('Team Lineups'!$K$2:$K$2000,'Team Lineups'!$K$2:$K$2000,'Team Lineups'!$C$2:$C$2000,H$1))</f>
        <v>4</v>
      </c>
      <c r="I27" cm="1">
        <f t="array" ref="I27">SUMPRODUCT(('Team Lineups'!$K$2:$K$2000&lt;&gt;"")*('Team Lineups'!$C$2:$C$2000=$A27)*COUNTIFS('Team Lineups'!$K$2:$K$2000,'Team Lineups'!$K$2:$K$2000,'Team Lineups'!$C$2:$C$2000,I$1))</f>
        <v>10</v>
      </c>
      <c r="J27" cm="1">
        <f t="array" ref="J27">SUMPRODUCT(('Team Lineups'!$K$2:$K$2000&lt;&gt;"")*('Team Lineups'!$C$2:$C$2000=$A27)*COUNTIFS('Team Lineups'!$K$2:$K$2000,'Team Lineups'!$K$2:$K$2000,'Team Lineups'!$C$2:$C$2000,J$1))</f>
        <v>0</v>
      </c>
      <c r="K27" cm="1">
        <f t="array" ref="K27">SUMPRODUCT(('Team Lineups'!$K$2:$K$2000&lt;&gt;"")*('Team Lineups'!$C$2:$C$2000=$A27)*COUNTIFS('Team Lineups'!$K$2:$K$2000,'Team Lineups'!$K$2:$K$2000,'Team Lineups'!$C$2:$C$2000,K$1))</f>
        <v>0</v>
      </c>
      <c r="L27" cm="1">
        <f t="array" ref="L27">SUMPRODUCT(('Team Lineups'!$K$2:$K$2000&lt;&gt;"")*('Team Lineups'!$C$2:$C$2000=$A27)*COUNTIFS('Team Lineups'!$K$2:$K$2000,'Team Lineups'!$K$2:$K$2000,'Team Lineups'!$C$2:$C$2000,L$1))</f>
        <v>7</v>
      </c>
      <c r="M27" cm="1">
        <f t="array" ref="M27">SUMPRODUCT(('Team Lineups'!$K$2:$K$2000&lt;&gt;"")*('Team Lineups'!$C$2:$C$2000=$A27)*COUNTIFS('Team Lineups'!$K$2:$K$2000,'Team Lineups'!$K$2:$K$2000,'Team Lineups'!$C$2:$C$2000,M$1))</f>
        <v>6</v>
      </c>
      <c r="N27" cm="1">
        <f t="array" ref="N27">SUMPRODUCT(('Team Lineups'!$K$2:$K$2000&lt;&gt;"")*('Team Lineups'!$C$2:$C$2000=$A27)*COUNTIFS('Team Lineups'!$K$2:$K$2000,'Team Lineups'!$K$2:$K$2000,'Team Lineups'!$C$2:$C$2000,N$1))</f>
        <v>5</v>
      </c>
      <c r="O27" cm="1">
        <f t="array" ref="O27">SUMPRODUCT(('Team Lineups'!$K$2:$K$2000&lt;&gt;"")*('Team Lineups'!$C$2:$C$2000=$A27)*COUNTIFS('Team Lineups'!$K$2:$K$2000,'Team Lineups'!$K$2:$K$2000,'Team Lineups'!$C$2:$C$2000,O$1))</f>
        <v>4</v>
      </c>
      <c r="P27" cm="1">
        <f t="array" ref="P27">SUMPRODUCT(('Team Lineups'!$K$2:$K$2000&lt;&gt;"")*('Team Lineups'!$C$2:$C$2000=$A27)*COUNTIFS('Team Lineups'!$K$2:$K$2000,'Team Lineups'!$K$2:$K$2000,'Team Lineups'!$C$2:$C$2000,P$1))</f>
        <v>2</v>
      </c>
      <c r="Q27" cm="1">
        <f t="array" ref="Q27">SUMPRODUCT(('Team Lineups'!$K$2:$K$2000&lt;&gt;"")*('Team Lineups'!$C$2:$C$2000=$A27)*COUNTIFS('Team Lineups'!$K$2:$K$2000,'Team Lineups'!$K$2:$K$2000,'Team Lineups'!$C$2:$C$2000,Q$1))</f>
        <v>4</v>
      </c>
      <c r="R27" cm="1">
        <f t="array" ref="R27">SUMPRODUCT(('Team Lineups'!$K$2:$K$2000&lt;&gt;"")*('Team Lineups'!$C$2:$C$2000=$A27)*COUNTIFS('Team Lineups'!$K$2:$K$2000,'Team Lineups'!$K$2:$K$2000,'Team Lineups'!$C$2:$C$2000,R$1))</f>
        <v>6</v>
      </c>
      <c r="S27" cm="1">
        <f t="array" ref="S27">SUMPRODUCT(('Team Lineups'!$K$2:$K$2000&lt;&gt;"")*('Team Lineups'!$C$2:$C$2000=$A27)*COUNTIFS('Team Lineups'!$K$2:$K$2000,'Team Lineups'!$K$2:$K$2000,'Team Lineups'!$C$2:$C$2000,S$1))</f>
        <v>3</v>
      </c>
      <c r="T27" cm="1">
        <f t="array" ref="T27">SUMPRODUCT(('Team Lineups'!$K$2:$K$2000&lt;&gt;"")*('Team Lineups'!$C$2:$C$2000=$A27)*COUNTIFS('Team Lineups'!$K$2:$K$2000,'Team Lineups'!$K$2:$K$2000,'Team Lineups'!$C$2:$C$2000,T$1))</f>
        <v>3</v>
      </c>
      <c r="U27" cm="1">
        <f t="array" ref="U27">SUMPRODUCT(('Team Lineups'!$K$2:$K$2000&lt;&gt;"")*('Team Lineups'!$C$2:$C$2000=$A27)*COUNTIFS('Team Lineups'!$K$2:$K$2000,'Team Lineups'!$K$2:$K$2000,'Team Lineups'!$C$2:$C$2000,U$1))</f>
        <v>0</v>
      </c>
      <c r="V27" cm="1">
        <f t="array" ref="V27">SUMPRODUCT(('Team Lineups'!$K$2:$K$2000&lt;&gt;"")*('Team Lineups'!$C$2:$C$2000=$A27)*COUNTIFS('Team Lineups'!$K$2:$K$2000,'Team Lineups'!$K$2:$K$2000,'Team Lineups'!$C$2:$C$2000,V$1))</f>
        <v>1</v>
      </c>
      <c r="W27" cm="1">
        <f t="array" ref="W27">SUMPRODUCT(('Team Lineups'!$K$2:$K$2000&lt;&gt;"")*('Team Lineups'!$C$2:$C$2000=$A27)*COUNTIFS('Team Lineups'!$K$2:$K$2000,'Team Lineups'!$K$2:$K$2000,'Team Lineups'!$C$2:$C$2000,W$1))</f>
        <v>0</v>
      </c>
      <c r="X27" cm="1">
        <f t="array" ref="X27">SUMPRODUCT(('Team Lineups'!$K$2:$K$2000&lt;&gt;"")*('Team Lineups'!$C$2:$C$2000=$A27)*COUNTIFS('Team Lineups'!$K$2:$K$2000,'Team Lineups'!$K$2:$K$2000,'Team Lineups'!$C$2:$C$2000,X$1))</f>
        <v>0</v>
      </c>
      <c r="Y27" cm="1">
        <f t="array" ref="Y27">SUMPRODUCT(('Team Lineups'!$K$2:$K$2000&lt;&gt;"")*('Team Lineups'!$C$2:$C$2000=$A27)*COUNTIFS('Team Lineups'!$K$2:$K$2000,'Team Lineups'!$K$2:$K$2000,'Team Lineups'!$C$2:$C$2000,Y$1))</f>
        <v>0</v>
      </c>
      <c r="Z27" cm="1">
        <f t="array" ref="Z27">SUMPRODUCT(('Team Lineups'!$K$2:$K$2000&lt;&gt;"")*('Team Lineups'!$C$2:$C$2000=$A27)*COUNTIFS('Team Lineups'!$K$2:$K$2000,'Team Lineups'!$K$2:$K$2000,'Team Lineups'!$C$2:$C$2000,Z$1))</f>
        <v>1</v>
      </c>
      <c r="AA27" cm="1">
        <f t="array" ref="AA27">SUMPRODUCT(('Team Lineups'!$K$2:$K$2000&lt;&gt;"")*('Team Lineups'!$C$2:$C$2000=$A27)*COUNTIFS('Team Lineups'!$K$2:$K$2000,'Team Lineups'!$K$2:$K$2000,'Team Lineups'!$C$2:$C$2000,AA$1))</f>
        <v>25</v>
      </c>
      <c r="AB27" cm="1">
        <f t="array" ref="AB27">SUMPRODUCT(('Team Lineups'!$K$2:$K$2000&lt;&gt;"")*('Team Lineups'!$C$2:$C$2000=$A27)*COUNTIFS('Team Lineups'!$K$2:$K$2000,'Team Lineups'!$K$2:$K$2000,'Team Lineups'!$C$2:$C$2000,AB$1))</f>
        <v>7</v>
      </c>
      <c r="AC27" cm="1">
        <f t="array" ref="AC27">SUMPRODUCT(('Team Lineups'!$K$2:$K$2000&lt;&gt;"")*('Team Lineups'!$C$2:$C$2000=$A27)*COUNTIFS('Team Lineups'!$K$2:$K$2000,'Team Lineups'!$K$2:$K$2000,'Team Lineups'!$C$2:$C$2000,AC$1))</f>
        <v>1</v>
      </c>
      <c r="AD27" cm="1">
        <f t="array" ref="AD27">SUMPRODUCT(('Team Lineups'!$K$2:$K$2000&lt;&gt;"")*('Team Lineups'!$C$2:$C$2000=$A27)*COUNTIFS('Team Lineups'!$K$2:$K$2000,'Team Lineups'!$K$2:$K$2000,'Team Lineups'!$C$2:$C$2000,AD$1))</f>
        <v>3</v>
      </c>
      <c r="AE27" cm="1">
        <f t="array" ref="AE27">SUMPRODUCT(('Team Lineups'!$K$2:$K$2000&lt;&gt;"")*('Team Lineups'!$C$2:$C$2000=$A27)*COUNTIFS('Team Lineups'!$K$2:$K$2000,'Team Lineups'!$K$2:$K$2000,'Team Lineups'!$C$2:$C$2000,AE$1))</f>
        <v>2</v>
      </c>
      <c r="AF27" cm="1">
        <f t="array" ref="AF27">SUMPRODUCT(('Team Lineups'!$K$2:$K$2000&lt;&gt;"")*('Team Lineups'!$C$2:$C$2000=$A27)*COUNTIFS('Team Lineups'!$K$2:$K$2000,'Team Lineups'!$K$2:$K$2000,'Team Lineups'!$C$2:$C$2000,AF$1))</f>
        <v>0</v>
      </c>
      <c r="AG27" cm="1">
        <f t="array" ref="AG27">SUMPRODUCT(('Team Lineups'!$K$2:$K$2000&lt;&gt;"")*('Team Lineups'!$C$2:$C$2000=$A27)*COUNTIFS('Team Lineups'!$K$2:$K$2000,'Team Lineups'!$K$2:$K$2000,'Team Lineups'!$C$2:$C$2000,AG$1))</f>
        <v>2</v>
      </c>
      <c r="AH27" cm="1">
        <f t="array" ref="AH27">SUMPRODUCT(('Team Lineups'!$K$2:$K$2000&lt;&gt;"")*('Team Lineups'!$C$2:$C$2000=$A27)*COUNTIFS('Team Lineups'!$K$2:$K$2000,'Team Lineups'!$K$2:$K$2000,'Team Lineups'!$C$2:$C$2000,AH$1))</f>
        <v>0</v>
      </c>
      <c r="AI27" cm="1">
        <f t="array" ref="AI27">SUMPRODUCT(('Team Lineups'!$K$2:$K$2000&lt;&gt;"")*('Team Lineups'!$C$2:$C$2000=$A27)*COUNTIFS('Team Lineups'!$K$2:$K$2000,'Team Lineups'!$K$2:$K$2000,'Team Lineups'!$C$2:$C$2000,AI$1))</f>
        <v>0</v>
      </c>
      <c r="AJ27" cm="1">
        <f t="array" ref="AJ27">SUMPRODUCT(('Team Lineups'!$K$2:$K$2000&lt;&gt;"")*('Team Lineups'!$C$2:$C$2000=$A27)*COUNTIFS('Team Lineups'!$K$2:$K$2000,'Team Lineups'!$K$2:$K$2000,'Team Lineups'!$C$2:$C$2000,AJ$1))</f>
        <v>8</v>
      </c>
      <c r="AK27" cm="1">
        <f t="array" ref="AK27">SUMPRODUCT(('Team Lineups'!$K$2:$K$2000&lt;&gt;"")*('Team Lineups'!$C$2:$C$2000=$A27)*COUNTIFS('Team Lineups'!$K$2:$K$2000,'Team Lineups'!$K$2:$K$2000,'Team Lineups'!$C$2:$C$2000,AK$1))</f>
        <v>1</v>
      </c>
      <c r="AL27" cm="1">
        <f t="array" ref="AL27">SUMPRODUCT(('Team Lineups'!$K$2:$K$2000&lt;&gt;"")*('Team Lineups'!$C$2:$C$2000=$A27)*COUNTIFS('Team Lineups'!$K$2:$K$2000,'Team Lineups'!$K$2:$K$2000,'Team Lineups'!$C$2:$C$2000,AL$1))</f>
        <v>4</v>
      </c>
      <c r="AM27" cm="1">
        <f t="array" ref="AM27">SUMPRODUCT(('Team Lineups'!$K$2:$K$2000&lt;&gt;"")*('Team Lineups'!$C$2:$C$2000=$A27)*COUNTIFS('Team Lineups'!$K$2:$K$2000,'Team Lineups'!$K$2:$K$2000,'Team Lineups'!$C$2:$C$2000,AM$1))</f>
        <v>1</v>
      </c>
      <c r="AN27" cm="1">
        <f t="array" ref="AN27">SUMPRODUCT(('Team Lineups'!$K$2:$K$2000&lt;&gt;"")*('Team Lineups'!$C$2:$C$2000=$A27)*COUNTIFS('Team Lineups'!$K$2:$K$2000,'Team Lineups'!$K$2:$K$2000,'Team Lineups'!$C$2:$C$2000,AN$1))</f>
        <v>2</v>
      </c>
      <c r="AO27" cm="1">
        <f t="array" ref="AO27">SUMPRODUCT(('Team Lineups'!$K$2:$K$2000&lt;&gt;"")*('Team Lineups'!$C$2:$C$2000=$A27)*COUNTIFS('Team Lineups'!$K$2:$K$2000,'Team Lineups'!$K$2:$K$2000,'Team Lineups'!$C$2:$C$2000,AO$1))</f>
        <v>3</v>
      </c>
      <c r="AP27" cm="1">
        <f t="array" ref="AP27">SUMPRODUCT(('Team Lineups'!$K$2:$K$2000&lt;&gt;"")*('Team Lineups'!$C$2:$C$2000=$A27)*COUNTIFS('Team Lineups'!$K$2:$K$2000,'Team Lineups'!$K$2:$K$2000,'Team Lineups'!$C$2:$C$2000,AP$1))</f>
        <v>2</v>
      </c>
      <c r="AQ27" cm="1">
        <f t="array" ref="AQ27">SUMPRODUCT(('Team Lineups'!$K$2:$K$2000&lt;&gt;"")*('Team Lineups'!$C$2:$C$2000=$A27)*COUNTIFS('Team Lineups'!$K$2:$K$2000,'Team Lineups'!$K$2:$K$2000,'Team Lineups'!$C$2:$C$2000,AQ$1))</f>
        <v>1</v>
      </c>
      <c r="AR27" cm="1">
        <f t="array" ref="AR27">SUMPRODUCT(('Team Lineups'!$K$2:$K$2000&lt;&gt;"")*('Team Lineups'!$C$2:$C$2000=$A27)*COUNTIFS('Team Lineups'!$K$2:$K$2000,'Team Lineups'!$K$2:$K$2000,'Team Lineups'!$C$2:$C$2000,AR$1))</f>
        <v>0</v>
      </c>
      <c r="AS27" cm="1">
        <f t="array" ref="AS27">SUMPRODUCT(('Team Lineups'!$K$2:$K$2000&lt;&gt;"")*('Team Lineups'!$C$2:$C$2000=$A27)*COUNTIFS('Team Lineups'!$K$2:$K$2000,'Team Lineups'!$K$2:$K$2000,'Team Lineups'!$C$2:$C$2000,AS$1))</f>
        <v>0</v>
      </c>
      <c r="AT27" cm="1">
        <f t="array" ref="AT27">SUMPRODUCT(('Team Lineups'!$K$2:$K$2000&lt;&gt;"")*('Team Lineups'!$C$2:$C$2000=$A27)*COUNTIFS('Team Lineups'!$K$2:$K$2000,'Team Lineups'!$K$2:$K$2000,'Team Lineups'!$C$2:$C$2000,AT$1))</f>
        <v>0</v>
      </c>
      <c r="AU27" cm="1">
        <f t="array" ref="AU27">SUMPRODUCT(('Team Lineups'!$K$2:$K$2000&lt;&gt;"")*('Team Lineups'!$C$2:$C$2000=$A27)*COUNTIFS('Team Lineups'!$K$2:$K$2000,'Team Lineups'!$K$2:$K$2000,'Team Lineups'!$C$2:$C$2000,AU$1))</f>
        <v>1</v>
      </c>
      <c r="AV27" cm="1">
        <f t="array" ref="AV27">SUMPRODUCT(('Team Lineups'!$K$2:$K$2000&lt;&gt;"")*('Team Lineups'!$C$2:$C$2000=$A27)*COUNTIFS('Team Lineups'!$K$2:$K$2000,'Team Lineups'!$K$2:$K$2000,'Team Lineups'!$C$2:$C$2000,AV$1))</f>
        <v>0</v>
      </c>
    </row>
    <row r="28" spans="1:48" x14ac:dyDescent="0.35">
      <c r="A28" t="str">
        <v>Angelo</v>
      </c>
      <c r="B28" cm="1">
        <f t="array" ref="B28">SUMPRODUCT(('Team Lineups'!$K$2:$K$2000&lt;&gt;"")*('Team Lineups'!$C$2:$C$2000=$A28)*COUNTIFS('Team Lineups'!$K$2:$K$2000,'Team Lineups'!$K$2:$K$2000,'Team Lineups'!$C$2:$C$2000,B$1))</f>
        <v>2</v>
      </c>
      <c r="C28" cm="1">
        <f t="array" ref="C28">SUMPRODUCT(('Team Lineups'!$K$2:$K$2000&lt;&gt;"")*('Team Lineups'!$C$2:$C$2000=$A28)*COUNTIFS('Team Lineups'!$K$2:$K$2000,'Team Lineups'!$K$2:$K$2000,'Team Lineups'!$C$2:$C$2000,C$1))</f>
        <v>3</v>
      </c>
      <c r="D28" cm="1">
        <f t="array" ref="D28">SUMPRODUCT(('Team Lineups'!$K$2:$K$2000&lt;&gt;"")*('Team Lineups'!$C$2:$C$2000=$A28)*COUNTIFS('Team Lineups'!$K$2:$K$2000,'Team Lineups'!$K$2:$K$2000,'Team Lineups'!$C$2:$C$2000,D$1))</f>
        <v>3</v>
      </c>
      <c r="E28" cm="1">
        <f t="array" ref="E28">SUMPRODUCT(('Team Lineups'!$K$2:$K$2000&lt;&gt;"")*('Team Lineups'!$C$2:$C$2000=$A28)*COUNTIFS('Team Lineups'!$K$2:$K$2000,'Team Lineups'!$K$2:$K$2000,'Team Lineups'!$C$2:$C$2000,E$1))</f>
        <v>4</v>
      </c>
      <c r="F28" cm="1">
        <f t="array" ref="F28">SUMPRODUCT(('Team Lineups'!$K$2:$K$2000&lt;&gt;"")*('Team Lineups'!$C$2:$C$2000=$A28)*COUNTIFS('Team Lineups'!$K$2:$K$2000,'Team Lineups'!$K$2:$K$2000,'Team Lineups'!$C$2:$C$2000,F$1))</f>
        <v>4</v>
      </c>
      <c r="G28" cm="1">
        <f t="array" ref="G28">SUMPRODUCT(('Team Lineups'!$K$2:$K$2000&lt;&gt;"")*('Team Lineups'!$C$2:$C$2000=$A28)*COUNTIFS('Team Lineups'!$K$2:$K$2000,'Team Lineups'!$K$2:$K$2000,'Team Lineups'!$C$2:$C$2000,G$1))</f>
        <v>4</v>
      </c>
      <c r="H28" cm="1">
        <f t="array" ref="H28">SUMPRODUCT(('Team Lineups'!$K$2:$K$2000&lt;&gt;"")*('Team Lineups'!$C$2:$C$2000=$A28)*COUNTIFS('Team Lineups'!$K$2:$K$2000,'Team Lineups'!$K$2:$K$2000,'Team Lineups'!$C$2:$C$2000,H$1))</f>
        <v>7</v>
      </c>
      <c r="I28" cm="1">
        <f t="array" ref="I28">SUMPRODUCT(('Team Lineups'!$K$2:$K$2000&lt;&gt;"")*('Team Lineups'!$C$2:$C$2000=$A28)*COUNTIFS('Team Lineups'!$K$2:$K$2000,'Team Lineups'!$K$2:$K$2000,'Team Lineups'!$C$2:$C$2000,I$1))</f>
        <v>4</v>
      </c>
      <c r="J28" cm="1">
        <f t="array" ref="J28">SUMPRODUCT(('Team Lineups'!$K$2:$K$2000&lt;&gt;"")*('Team Lineups'!$C$2:$C$2000=$A28)*COUNTIFS('Team Lineups'!$K$2:$K$2000,'Team Lineups'!$K$2:$K$2000,'Team Lineups'!$C$2:$C$2000,J$1))</f>
        <v>0</v>
      </c>
      <c r="K28" cm="1">
        <f t="array" ref="K28">SUMPRODUCT(('Team Lineups'!$K$2:$K$2000&lt;&gt;"")*('Team Lineups'!$C$2:$C$2000=$A28)*COUNTIFS('Team Lineups'!$K$2:$K$2000,'Team Lineups'!$K$2:$K$2000,'Team Lineups'!$C$2:$C$2000,K$1))</f>
        <v>0</v>
      </c>
      <c r="L28" cm="1">
        <f t="array" ref="L28">SUMPRODUCT(('Team Lineups'!$K$2:$K$2000&lt;&gt;"")*('Team Lineups'!$C$2:$C$2000=$A28)*COUNTIFS('Team Lineups'!$K$2:$K$2000,'Team Lineups'!$K$2:$K$2000,'Team Lineups'!$C$2:$C$2000,L$1))</f>
        <v>5</v>
      </c>
      <c r="M28" cm="1">
        <f t="array" ref="M28">SUMPRODUCT(('Team Lineups'!$K$2:$K$2000&lt;&gt;"")*('Team Lineups'!$C$2:$C$2000=$A28)*COUNTIFS('Team Lineups'!$K$2:$K$2000,'Team Lineups'!$K$2:$K$2000,'Team Lineups'!$C$2:$C$2000,M$1))</f>
        <v>2</v>
      </c>
      <c r="N28" cm="1">
        <f t="array" ref="N28">SUMPRODUCT(('Team Lineups'!$K$2:$K$2000&lt;&gt;"")*('Team Lineups'!$C$2:$C$2000=$A28)*COUNTIFS('Team Lineups'!$K$2:$K$2000,'Team Lineups'!$K$2:$K$2000,'Team Lineups'!$C$2:$C$2000,N$1))</f>
        <v>3</v>
      </c>
      <c r="O28" cm="1">
        <f t="array" ref="O28">SUMPRODUCT(('Team Lineups'!$K$2:$K$2000&lt;&gt;"")*('Team Lineups'!$C$2:$C$2000=$A28)*COUNTIFS('Team Lineups'!$K$2:$K$2000,'Team Lineups'!$K$2:$K$2000,'Team Lineups'!$C$2:$C$2000,O$1))</f>
        <v>4</v>
      </c>
      <c r="P28" cm="1">
        <f t="array" ref="P28">SUMPRODUCT(('Team Lineups'!$K$2:$K$2000&lt;&gt;"")*('Team Lineups'!$C$2:$C$2000=$A28)*COUNTIFS('Team Lineups'!$K$2:$K$2000,'Team Lineups'!$K$2:$K$2000,'Team Lineups'!$C$2:$C$2000,P$1))</f>
        <v>0</v>
      </c>
      <c r="Q28" cm="1">
        <f t="array" ref="Q28">SUMPRODUCT(('Team Lineups'!$K$2:$K$2000&lt;&gt;"")*('Team Lineups'!$C$2:$C$2000=$A28)*COUNTIFS('Team Lineups'!$K$2:$K$2000,'Team Lineups'!$K$2:$K$2000,'Team Lineups'!$C$2:$C$2000,Q$1))</f>
        <v>4</v>
      </c>
      <c r="R28" cm="1">
        <f t="array" ref="R28">SUMPRODUCT(('Team Lineups'!$K$2:$K$2000&lt;&gt;"")*('Team Lineups'!$C$2:$C$2000=$A28)*COUNTIFS('Team Lineups'!$K$2:$K$2000,'Team Lineups'!$K$2:$K$2000,'Team Lineups'!$C$2:$C$2000,R$1))</f>
        <v>5</v>
      </c>
      <c r="S28" cm="1">
        <f t="array" ref="S28">SUMPRODUCT(('Team Lineups'!$K$2:$K$2000&lt;&gt;"")*('Team Lineups'!$C$2:$C$2000=$A28)*COUNTIFS('Team Lineups'!$K$2:$K$2000,'Team Lineups'!$K$2:$K$2000,'Team Lineups'!$C$2:$C$2000,S$1))</f>
        <v>3</v>
      </c>
      <c r="T28" cm="1">
        <f t="array" ref="T28">SUMPRODUCT(('Team Lineups'!$K$2:$K$2000&lt;&gt;"")*('Team Lineups'!$C$2:$C$2000=$A28)*COUNTIFS('Team Lineups'!$K$2:$K$2000,'Team Lineups'!$K$2:$K$2000,'Team Lineups'!$C$2:$C$2000,T$1))</f>
        <v>2</v>
      </c>
      <c r="U28" cm="1">
        <f t="array" ref="U28">SUMPRODUCT(('Team Lineups'!$K$2:$K$2000&lt;&gt;"")*('Team Lineups'!$C$2:$C$2000=$A28)*COUNTIFS('Team Lineups'!$K$2:$K$2000,'Team Lineups'!$K$2:$K$2000,'Team Lineups'!$C$2:$C$2000,U$1))</f>
        <v>0</v>
      </c>
      <c r="V28" cm="1">
        <f t="array" ref="V28">SUMPRODUCT(('Team Lineups'!$K$2:$K$2000&lt;&gt;"")*('Team Lineups'!$C$2:$C$2000=$A28)*COUNTIFS('Team Lineups'!$K$2:$K$2000,'Team Lineups'!$K$2:$K$2000,'Team Lineups'!$C$2:$C$2000,V$1))</f>
        <v>1</v>
      </c>
      <c r="W28" cm="1">
        <f t="array" ref="W28">SUMPRODUCT(('Team Lineups'!$K$2:$K$2000&lt;&gt;"")*('Team Lineups'!$C$2:$C$2000=$A28)*COUNTIFS('Team Lineups'!$K$2:$K$2000,'Team Lineups'!$K$2:$K$2000,'Team Lineups'!$C$2:$C$2000,W$1))</f>
        <v>0</v>
      </c>
      <c r="X28" cm="1">
        <f t="array" ref="X28">SUMPRODUCT(('Team Lineups'!$K$2:$K$2000&lt;&gt;"")*('Team Lineups'!$C$2:$C$2000=$A28)*COUNTIFS('Team Lineups'!$K$2:$K$2000,'Team Lineups'!$K$2:$K$2000,'Team Lineups'!$C$2:$C$2000,X$1))</f>
        <v>0</v>
      </c>
      <c r="Y28" cm="1">
        <f t="array" ref="Y28">SUMPRODUCT(('Team Lineups'!$K$2:$K$2000&lt;&gt;"")*('Team Lineups'!$C$2:$C$2000=$A28)*COUNTIFS('Team Lineups'!$K$2:$K$2000,'Team Lineups'!$K$2:$K$2000,'Team Lineups'!$C$2:$C$2000,Y$1))</f>
        <v>0</v>
      </c>
      <c r="Z28" cm="1">
        <f t="array" ref="Z28">SUMPRODUCT(('Team Lineups'!$K$2:$K$2000&lt;&gt;"")*('Team Lineups'!$C$2:$C$2000=$A28)*COUNTIFS('Team Lineups'!$K$2:$K$2000,'Team Lineups'!$K$2:$K$2000,'Team Lineups'!$C$2:$C$2000,Z$1))</f>
        <v>0</v>
      </c>
      <c r="AA28" cm="1">
        <f t="array" ref="AA28">SUMPRODUCT(('Team Lineups'!$K$2:$K$2000&lt;&gt;"")*('Team Lineups'!$C$2:$C$2000=$A28)*COUNTIFS('Team Lineups'!$K$2:$K$2000,'Team Lineups'!$K$2:$K$2000,'Team Lineups'!$C$2:$C$2000,AA$1))</f>
        <v>7</v>
      </c>
      <c r="AB28" cm="1">
        <f t="array" ref="AB28">SUMPRODUCT(('Team Lineups'!$K$2:$K$2000&lt;&gt;"")*('Team Lineups'!$C$2:$C$2000=$A28)*COUNTIFS('Team Lineups'!$K$2:$K$2000,'Team Lineups'!$K$2:$K$2000,'Team Lineups'!$C$2:$C$2000,AB$1))</f>
        <v>19</v>
      </c>
      <c r="AC28" cm="1">
        <f t="array" ref="AC28">SUMPRODUCT(('Team Lineups'!$K$2:$K$2000&lt;&gt;"")*('Team Lineups'!$C$2:$C$2000=$A28)*COUNTIFS('Team Lineups'!$K$2:$K$2000,'Team Lineups'!$K$2:$K$2000,'Team Lineups'!$C$2:$C$2000,AC$1))</f>
        <v>0</v>
      </c>
      <c r="AD28" cm="1">
        <f t="array" ref="AD28">SUMPRODUCT(('Team Lineups'!$K$2:$K$2000&lt;&gt;"")*('Team Lineups'!$C$2:$C$2000=$A28)*COUNTIFS('Team Lineups'!$K$2:$K$2000,'Team Lineups'!$K$2:$K$2000,'Team Lineups'!$C$2:$C$2000,AD$1))</f>
        <v>5</v>
      </c>
      <c r="AE28" cm="1">
        <f t="array" ref="AE28">SUMPRODUCT(('Team Lineups'!$K$2:$K$2000&lt;&gt;"")*('Team Lineups'!$C$2:$C$2000=$A28)*COUNTIFS('Team Lineups'!$K$2:$K$2000,'Team Lineups'!$K$2:$K$2000,'Team Lineups'!$C$2:$C$2000,AE$1))</f>
        <v>2</v>
      </c>
      <c r="AF28" cm="1">
        <f t="array" ref="AF28">SUMPRODUCT(('Team Lineups'!$K$2:$K$2000&lt;&gt;"")*('Team Lineups'!$C$2:$C$2000=$A28)*COUNTIFS('Team Lineups'!$K$2:$K$2000,'Team Lineups'!$K$2:$K$2000,'Team Lineups'!$C$2:$C$2000,AF$1))</f>
        <v>0</v>
      </c>
      <c r="AG28" cm="1">
        <f t="array" ref="AG28">SUMPRODUCT(('Team Lineups'!$K$2:$K$2000&lt;&gt;"")*('Team Lineups'!$C$2:$C$2000=$A28)*COUNTIFS('Team Lineups'!$K$2:$K$2000,'Team Lineups'!$K$2:$K$2000,'Team Lineups'!$C$2:$C$2000,AG$1))</f>
        <v>0</v>
      </c>
      <c r="AH28" cm="1">
        <f t="array" ref="AH28">SUMPRODUCT(('Team Lineups'!$K$2:$K$2000&lt;&gt;"")*('Team Lineups'!$C$2:$C$2000=$A28)*COUNTIFS('Team Lineups'!$K$2:$K$2000,'Team Lineups'!$K$2:$K$2000,'Team Lineups'!$C$2:$C$2000,AH$1))</f>
        <v>0</v>
      </c>
      <c r="AI28" cm="1">
        <f t="array" ref="AI28">SUMPRODUCT(('Team Lineups'!$K$2:$K$2000&lt;&gt;"")*('Team Lineups'!$C$2:$C$2000=$A28)*COUNTIFS('Team Lineups'!$K$2:$K$2000,'Team Lineups'!$K$2:$K$2000,'Team Lineups'!$C$2:$C$2000,AI$1))</f>
        <v>2</v>
      </c>
      <c r="AJ28" cm="1">
        <f t="array" ref="AJ28">SUMPRODUCT(('Team Lineups'!$K$2:$K$2000&lt;&gt;"")*('Team Lineups'!$C$2:$C$2000=$A28)*COUNTIFS('Team Lineups'!$K$2:$K$2000,'Team Lineups'!$K$2:$K$2000,'Team Lineups'!$C$2:$C$2000,AJ$1))</f>
        <v>3</v>
      </c>
      <c r="AK28" cm="1">
        <f t="array" ref="AK28">SUMPRODUCT(('Team Lineups'!$K$2:$K$2000&lt;&gt;"")*('Team Lineups'!$C$2:$C$2000=$A28)*COUNTIFS('Team Lineups'!$K$2:$K$2000,'Team Lineups'!$K$2:$K$2000,'Team Lineups'!$C$2:$C$2000,AK$1))</f>
        <v>1</v>
      </c>
      <c r="AL28" cm="1">
        <f t="array" ref="AL28">SUMPRODUCT(('Team Lineups'!$K$2:$K$2000&lt;&gt;"")*('Team Lineups'!$C$2:$C$2000=$A28)*COUNTIFS('Team Lineups'!$K$2:$K$2000,'Team Lineups'!$K$2:$K$2000,'Team Lineups'!$C$2:$C$2000,AL$1))</f>
        <v>6</v>
      </c>
      <c r="AM28" cm="1">
        <f t="array" ref="AM28">SUMPRODUCT(('Team Lineups'!$K$2:$K$2000&lt;&gt;"")*('Team Lineups'!$C$2:$C$2000=$A28)*COUNTIFS('Team Lineups'!$K$2:$K$2000,'Team Lineups'!$K$2:$K$2000,'Team Lineups'!$C$2:$C$2000,AM$1))</f>
        <v>0</v>
      </c>
      <c r="AN28" cm="1">
        <f t="array" ref="AN28">SUMPRODUCT(('Team Lineups'!$K$2:$K$2000&lt;&gt;"")*('Team Lineups'!$C$2:$C$2000=$A28)*COUNTIFS('Team Lineups'!$K$2:$K$2000,'Team Lineups'!$K$2:$K$2000,'Team Lineups'!$C$2:$C$2000,AN$1))</f>
        <v>2</v>
      </c>
      <c r="AO28" cm="1">
        <f t="array" ref="AO28">SUMPRODUCT(('Team Lineups'!$K$2:$K$2000&lt;&gt;"")*('Team Lineups'!$C$2:$C$2000=$A28)*COUNTIFS('Team Lineups'!$K$2:$K$2000,'Team Lineups'!$K$2:$K$2000,'Team Lineups'!$C$2:$C$2000,AO$1))</f>
        <v>1</v>
      </c>
      <c r="AP28" cm="1">
        <f t="array" ref="AP28">SUMPRODUCT(('Team Lineups'!$K$2:$K$2000&lt;&gt;"")*('Team Lineups'!$C$2:$C$2000=$A28)*COUNTIFS('Team Lineups'!$K$2:$K$2000,'Team Lineups'!$K$2:$K$2000,'Team Lineups'!$C$2:$C$2000,AP$1))</f>
        <v>1</v>
      </c>
      <c r="AQ28" cm="1">
        <f t="array" ref="AQ28">SUMPRODUCT(('Team Lineups'!$K$2:$K$2000&lt;&gt;"")*('Team Lineups'!$C$2:$C$2000=$A28)*COUNTIFS('Team Lineups'!$K$2:$K$2000,'Team Lineups'!$K$2:$K$2000,'Team Lineups'!$C$2:$C$2000,AQ$1))</f>
        <v>1</v>
      </c>
      <c r="AR28" cm="1">
        <f t="array" ref="AR28">SUMPRODUCT(('Team Lineups'!$K$2:$K$2000&lt;&gt;"")*('Team Lineups'!$C$2:$C$2000=$A28)*COUNTIFS('Team Lineups'!$K$2:$K$2000,'Team Lineups'!$K$2:$K$2000,'Team Lineups'!$C$2:$C$2000,AR$1))</f>
        <v>0</v>
      </c>
      <c r="AS28" cm="1">
        <f t="array" ref="AS28">SUMPRODUCT(('Team Lineups'!$K$2:$K$2000&lt;&gt;"")*('Team Lineups'!$C$2:$C$2000=$A28)*COUNTIFS('Team Lineups'!$K$2:$K$2000,'Team Lineups'!$K$2:$K$2000,'Team Lineups'!$C$2:$C$2000,AS$1))</f>
        <v>0</v>
      </c>
      <c r="AT28" cm="1">
        <f t="array" ref="AT28">SUMPRODUCT(('Team Lineups'!$K$2:$K$2000&lt;&gt;"")*('Team Lineups'!$C$2:$C$2000=$A28)*COUNTIFS('Team Lineups'!$K$2:$K$2000,'Team Lineups'!$K$2:$K$2000,'Team Lineups'!$C$2:$C$2000,AT$1))</f>
        <v>1</v>
      </c>
      <c r="AU28" cm="1">
        <f t="array" ref="AU28">SUMPRODUCT(('Team Lineups'!$K$2:$K$2000&lt;&gt;"")*('Team Lineups'!$C$2:$C$2000=$A28)*COUNTIFS('Team Lineups'!$K$2:$K$2000,'Team Lineups'!$K$2:$K$2000,'Team Lineups'!$C$2:$C$2000,AU$1))</f>
        <v>1</v>
      </c>
      <c r="AV28" cm="1">
        <f t="array" ref="AV28">SUMPRODUCT(('Team Lineups'!$K$2:$K$2000&lt;&gt;"")*('Team Lineups'!$C$2:$C$2000=$A28)*COUNTIFS('Team Lineups'!$K$2:$K$2000,'Team Lineups'!$K$2:$K$2000,'Team Lineups'!$C$2:$C$2000,AV$1))</f>
        <v>0</v>
      </c>
    </row>
    <row r="29" spans="1:48" x14ac:dyDescent="0.35">
      <c r="A29" t="str">
        <v>Tiago</v>
      </c>
      <c r="B29" cm="1">
        <f t="array" ref="B29">SUMPRODUCT(('Team Lineups'!$K$2:$K$2000&lt;&gt;"")*('Team Lineups'!$C$2:$C$2000=$A29)*COUNTIFS('Team Lineups'!$K$2:$K$2000,'Team Lineups'!$K$2:$K$2000,'Team Lineups'!$C$2:$C$2000,B$1))</f>
        <v>1</v>
      </c>
      <c r="C29" cm="1">
        <f t="array" ref="C29">SUMPRODUCT(('Team Lineups'!$K$2:$K$2000&lt;&gt;"")*('Team Lineups'!$C$2:$C$2000=$A29)*COUNTIFS('Team Lineups'!$K$2:$K$2000,'Team Lineups'!$K$2:$K$2000,'Team Lineups'!$C$2:$C$2000,C$1))</f>
        <v>1</v>
      </c>
      <c r="D29" cm="1">
        <f t="array" ref="D29">SUMPRODUCT(('Team Lineups'!$K$2:$K$2000&lt;&gt;"")*('Team Lineups'!$C$2:$C$2000=$A29)*COUNTIFS('Team Lineups'!$K$2:$K$2000,'Team Lineups'!$K$2:$K$2000,'Team Lineups'!$C$2:$C$2000,D$1))</f>
        <v>0</v>
      </c>
      <c r="E29" cm="1">
        <f t="array" ref="E29">SUMPRODUCT(('Team Lineups'!$K$2:$K$2000&lt;&gt;"")*('Team Lineups'!$C$2:$C$2000=$A29)*COUNTIFS('Team Lineups'!$K$2:$K$2000,'Team Lineups'!$K$2:$K$2000,'Team Lineups'!$C$2:$C$2000,E$1))</f>
        <v>1</v>
      </c>
      <c r="F29" cm="1">
        <f t="array" ref="F29">SUMPRODUCT(('Team Lineups'!$K$2:$K$2000&lt;&gt;"")*('Team Lineups'!$C$2:$C$2000=$A29)*COUNTIFS('Team Lineups'!$K$2:$K$2000,'Team Lineups'!$K$2:$K$2000,'Team Lineups'!$C$2:$C$2000,F$1))</f>
        <v>0</v>
      </c>
      <c r="G29" cm="1">
        <f t="array" ref="G29">SUMPRODUCT(('Team Lineups'!$K$2:$K$2000&lt;&gt;"")*('Team Lineups'!$C$2:$C$2000=$A29)*COUNTIFS('Team Lineups'!$K$2:$K$2000,'Team Lineups'!$K$2:$K$2000,'Team Lineups'!$C$2:$C$2000,G$1))</f>
        <v>1</v>
      </c>
      <c r="H29" cm="1">
        <f t="array" ref="H29">SUMPRODUCT(('Team Lineups'!$K$2:$K$2000&lt;&gt;"")*('Team Lineups'!$C$2:$C$2000=$A29)*COUNTIFS('Team Lineups'!$K$2:$K$2000,'Team Lineups'!$K$2:$K$2000,'Team Lineups'!$C$2:$C$2000,H$1))</f>
        <v>0</v>
      </c>
      <c r="I29" cm="1">
        <f t="array" ref="I29">SUMPRODUCT(('Team Lineups'!$K$2:$K$2000&lt;&gt;"")*('Team Lineups'!$C$2:$C$2000=$A29)*COUNTIFS('Team Lineups'!$K$2:$K$2000,'Team Lineups'!$K$2:$K$2000,'Team Lineups'!$C$2:$C$2000,I$1))</f>
        <v>1</v>
      </c>
      <c r="J29" cm="1">
        <f t="array" ref="J29">SUMPRODUCT(('Team Lineups'!$K$2:$K$2000&lt;&gt;"")*('Team Lineups'!$C$2:$C$2000=$A29)*COUNTIFS('Team Lineups'!$K$2:$K$2000,'Team Lineups'!$K$2:$K$2000,'Team Lineups'!$C$2:$C$2000,J$1))</f>
        <v>0</v>
      </c>
      <c r="K29" cm="1">
        <f t="array" ref="K29">SUMPRODUCT(('Team Lineups'!$K$2:$K$2000&lt;&gt;"")*('Team Lineups'!$C$2:$C$2000=$A29)*COUNTIFS('Team Lineups'!$K$2:$K$2000,'Team Lineups'!$K$2:$K$2000,'Team Lineups'!$C$2:$C$2000,K$1))</f>
        <v>0</v>
      </c>
      <c r="L29" cm="1">
        <f t="array" ref="L29">SUMPRODUCT(('Team Lineups'!$K$2:$K$2000&lt;&gt;"")*('Team Lineups'!$C$2:$C$2000=$A29)*COUNTIFS('Team Lineups'!$K$2:$K$2000,'Team Lineups'!$K$2:$K$2000,'Team Lineups'!$C$2:$C$2000,L$1))</f>
        <v>0</v>
      </c>
      <c r="M29" cm="1">
        <f t="array" ref="M29">SUMPRODUCT(('Team Lineups'!$K$2:$K$2000&lt;&gt;"")*('Team Lineups'!$C$2:$C$2000=$A29)*COUNTIFS('Team Lineups'!$K$2:$K$2000,'Team Lineups'!$K$2:$K$2000,'Team Lineups'!$C$2:$C$2000,M$1))</f>
        <v>0</v>
      </c>
      <c r="N29" cm="1">
        <f t="array" ref="N29">SUMPRODUCT(('Team Lineups'!$K$2:$K$2000&lt;&gt;"")*('Team Lineups'!$C$2:$C$2000=$A29)*COUNTIFS('Team Lineups'!$K$2:$K$2000,'Team Lineups'!$K$2:$K$2000,'Team Lineups'!$C$2:$C$2000,N$1))</f>
        <v>0</v>
      </c>
      <c r="O29" cm="1">
        <f t="array" ref="O29">SUMPRODUCT(('Team Lineups'!$K$2:$K$2000&lt;&gt;"")*('Team Lineups'!$C$2:$C$2000=$A29)*COUNTIFS('Team Lineups'!$K$2:$K$2000,'Team Lineups'!$K$2:$K$2000,'Team Lineups'!$C$2:$C$2000,O$1))</f>
        <v>0</v>
      </c>
      <c r="P29" cm="1">
        <f t="array" ref="P29">SUMPRODUCT(('Team Lineups'!$K$2:$K$2000&lt;&gt;"")*('Team Lineups'!$C$2:$C$2000=$A29)*COUNTIFS('Team Lineups'!$K$2:$K$2000,'Team Lineups'!$K$2:$K$2000,'Team Lineups'!$C$2:$C$2000,P$1))</f>
        <v>0</v>
      </c>
      <c r="Q29" cm="1">
        <f t="array" ref="Q29">SUMPRODUCT(('Team Lineups'!$K$2:$K$2000&lt;&gt;"")*('Team Lineups'!$C$2:$C$2000=$A29)*COUNTIFS('Team Lineups'!$K$2:$K$2000,'Team Lineups'!$K$2:$K$2000,'Team Lineups'!$C$2:$C$2000,Q$1))</f>
        <v>0</v>
      </c>
      <c r="R29" cm="1">
        <f t="array" ref="R29">SUMPRODUCT(('Team Lineups'!$K$2:$K$2000&lt;&gt;"")*('Team Lineups'!$C$2:$C$2000=$A29)*COUNTIFS('Team Lineups'!$K$2:$K$2000,'Team Lineups'!$K$2:$K$2000,'Team Lineups'!$C$2:$C$2000,R$1))</f>
        <v>0</v>
      </c>
      <c r="S29" cm="1">
        <f t="array" ref="S29">SUMPRODUCT(('Team Lineups'!$K$2:$K$2000&lt;&gt;"")*('Team Lineups'!$C$2:$C$2000=$A29)*COUNTIFS('Team Lineups'!$K$2:$K$2000,'Team Lineups'!$K$2:$K$2000,'Team Lineups'!$C$2:$C$2000,S$1))</f>
        <v>0</v>
      </c>
      <c r="T29" cm="1">
        <f t="array" ref="T29">SUMPRODUCT(('Team Lineups'!$K$2:$K$2000&lt;&gt;"")*('Team Lineups'!$C$2:$C$2000=$A29)*COUNTIFS('Team Lineups'!$K$2:$K$2000,'Team Lineups'!$K$2:$K$2000,'Team Lineups'!$C$2:$C$2000,T$1))</f>
        <v>0</v>
      </c>
      <c r="U29" cm="1">
        <f t="array" ref="U29">SUMPRODUCT(('Team Lineups'!$K$2:$K$2000&lt;&gt;"")*('Team Lineups'!$C$2:$C$2000=$A29)*COUNTIFS('Team Lineups'!$K$2:$K$2000,'Team Lineups'!$K$2:$K$2000,'Team Lineups'!$C$2:$C$2000,U$1))</f>
        <v>0</v>
      </c>
      <c r="V29" cm="1">
        <f t="array" ref="V29">SUMPRODUCT(('Team Lineups'!$K$2:$K$2000&lt;&gt;"")*('Team Lineups'!$C$2:$C$2000=$A29)*COUNTIFS('Team Lineups'!$K$2:$K$2000,'Team Lineups'!$K$2:$K$2000,'Team Lineups'!$C$2:$C$2000,V$1))</f>
        <v>0</v>
      </c>
      <c r="W29" cm="1">
        <f t="array" ref="W29">SUMPRODUCT(('Team Lineups'!$K$2:$K$2000&lt;&gt;"")*('Team Lineups'!$C$2:$C$2000=$A29)*COUNTIFS('Team Lineups'!$K$2:$K$2000,'Team Lineups'!$K$2:$K$2000,'Team Lineups'!$C$2:$C$2000,W$1))</f>
        <v>0</v>
      </c>
      <c r="X29" cm="1">
        <f t="array" ref="X29">SUMPRODUCT(('Team Lineups'!$K$2:$K$2000&lt;&gt;"")*('Team Lineups'!$C$2:$C$2000=$A29)*COUNTIFS('Team Lineups'!$K$2:$K$2000,'Team Lineups'!$K$2:$K$2000,'Team Lineups'!$C$2:$C$2000,X$1))</f>
        <v>0</v>
      </c>
      <c r="Y29" cm="1">
        <f t="array" ref="Y29">SUMPRODUCT(('Team Lineups'!$K$2:$K$2000&lt;&gt;"")*('Team Lineups'!$C$2:$C$2000=$A29)*COUNTIFS('Team Lineups'!$K$2:$K$2000,'Team Lineups'!$K$2:$K$2000,'Team Lineups'!$C$2:$C$2000,Y$1))</f>
        <v>0</v>
      </c>
      <c r="Z29" cm="1">
        <f t="array" ref="Z29">SUMPRODUCT(('Team Lineups'!$K$2:$K$2000&lt;&gt;"")*('Team Lineups'!$C$2:$C$2000=$A29)*COUNTIFS('Team Lineups'!$K$2:$K$2000,'Team Lineups'!$K$2:$K$2000,'Team Lineups'!$C$2:$C$2000,Z$1))</f>
        <v>0</v>
      </c>
      <c r="AA29" cm="1">
        <f t="array" ref="AA29">SUMPRODUCT(('Team Lineups'!$K$2:$K$2000&lt;&gt;"")*('Team Lineups'!$C$2:$C$2000=$A29)*COUNTIFS('Team Lineups'!$K$2:$K$2000,'Team Lineups'!$K$2:$K$2000,'Team Lineups'!$C$2:$C$2000,AA$1))</f>
        <v>1</v>
      </c>
      <c r="AB29" cm="1">
        <f t="array" ref="AB29">SUMPRODUCT(('Team Lineups'!$K$2:$K$2000&lt;&gt;"")*('Team Lineups'!$C$2:$C$2000=$A29)*COUNTIFS('Team Lineups'!$K$2:$K$2000,'Team Lineups'!$K$2:$K$2000,'Team Lineups'!$C$2:$C$2000,AB$1))</f>
        <v>0</v>
      </c>
      <c r="AC29" cm="1">
        <f t="array" ref="AC29">SUMPRODUCT(('Team Lineups'!$K$2:$K$2000&lt;&gt;"")*('Team Lineups'!$C$2:$C$2000=$A29)*COUNTIFS('Team Lineups'!$K$2:$K$2000,'Team Lineups'!$K$2:$K$2000,'Team Lineups'!$C$2:$C$2000,AC$1))</f>
        <v>1</v>
      </c>
      <c r="AD29" cm="1">
        <f t="array" ref="AD29">SUMPRODUCT(('Team Lineups'!$K$2:$K$2000&lt;&gt;"")*('Team Lineups'!$C$2:$C$2000=$A29)*COUNTIFS('Team Lineups'!$K$2:$K$2000,'Team Lineups'!$K$2:$K$2000,'Team Lineups'!$C$2:$C$2000,AD$1))</f>
        <v>0</v>
      </c>
      <c r="AE29" cm="1">
        <f t="array" ref="AE29">SUMPRODUCT(('Team Lineups'!$K$2:$K$2000&lt;&gt;"")*('Team Lineups'!$C$2:$C$2000=$A29)*COUNTIFS('Team Lineups'!$K$2:$K$2000,'Team Lineups'!$K$2:$K$2000,'Team Lineups'!$C$2:$C$2000,AE$1))</f>
        <v>0</v>
      </c>
      <c r="AF29" cm="1">
        <f t="array" ref="AF29">SUMPRODUCT(('Team Lineups'!$K$2:$K$2000&lt;&gt;"")*('Team Lineups'!$C$2:$C$2000=$A29)*COUNTIFS('Team Lineups'!$K$2:$K$2000,'Team Lineups'!$K$2:$K$2000,'Team Lineups'!$C$2:$C$2000,AF$1))</f>
        <v>0</v>
      </c>
      <c r="AG29" cm="1">
        <f t="array" ref="AG29">SUMPRODUCT(('Team Lineups'!$K$2:$K$2000&lt;&gt;"")*('Team Lineups'!$C$2:$C$2000=$A29)*COUNTIFS('Team Lineups'!$K$2:$K$2000,'Team Lineups'!$K$2:$K$2000,'Team Lineups'!$C$2:$C$2000,AG$1))</f>
        <v>0</v>
      </c>
      <c r="AH29" cm="1">
        <f t="array" ref="AH29">SUMPRODUCT(('Team Lineups'!$K$2:$K$2000&lt;&gt;"")*('Team Lineups'!$C$2:$C$2000=$A29)*COUNTIFS('Team Lineups'!$K$2:$K$2000,'Team Lineups'!$K$2:$K$2000,'Team Lineups'!$C$2:$C$2000,AH$1))</f>
        <v>0</v>
      </c>
      <c r="AI29" cm="1">
        <f t="array" ref="AI29">SUMPRODUCT(('Team Lineups'!$K$2:$K$2000&lt;&gt;"")*('Team Lineups'!$C$2:$C$2000=$A29)*COUNTIFS('Team Lineups'!$K$2:$K$2000,'Team Lineups'!$K$2:$K$2000,'Team Lineups'!$C$2:$C$2000,AI$1))</f>
        <v>0</v>
      </c>
      <c r="AJ29" cm="1">
        <f t="array" ref="AJ29">SUMPRODUCT(('Team Lineups'!$K$2:$K$2000&lt;&gt;"")*('Team Lineups'!$C$2:$C$2000=$A29)*COUNTIFS('Team Lineups'!$K$2:$K$2000,'Team Lineups'!$K$2:$K$2000,'Team Lineups'!$C$2:$C$2000,AJ$1))</f>
        <v>0</v>
      </c>
      <c r="AK29" cm="1">
        <f t="array" ref="AK29">SUMPRODUCT(('Team Lineups'!$K$2:$K$2000&lt;&gt;"")*('Team Lineups'!$C$2:$C$2000=$A29)*COUNTIFS('Team Lineups'!$K$2:$K$2000,'Team Lineups'!$K$2:$K$2000,'Team Lineups'!$C$2:$C$2000,AK$1))</f>
        <v>0</v>
      </c>
      <c r="AL29" cm="1">
        <f t="array" ref="AL29">SUMPRODUCT(('Team Lineups'!$K$2:$K$2000&lt;&gt;"")*('Team Lineups'!$C$2:$C$2000=$A29)*COUNTIFS('Team Lineups'!$K$2:$K$2000,'Team Lineups'!$K$2:$K$2000,'Team Lineups'!$C$2:$C$2000,AL$1))</f>
        <v>0</v>
      </c>
      <c r="AM29" cm="1">
        <f t="array" ref="AM29">SUMPRODUCT(('Team Lineups'!$K$2:$K$2000&lt;&gt;"")*('Team Lineups'!$C$2:$C$2000=$A29)*COUNTIFS('Team Lineups'!$K$2:$K$2000,'Team Lineups'!$K$2:$K$2000,'Team Lineups'!$C$2:$C$2000,AM$1))</f>
        <v>0</v>
      </c>
      <c r="AN29" cm="1">
        <f t="array" ref="AN29">SUMPRODUCT(('Team Lineups'!$K$2:$K$2000&lt;&gt;"")*('Team Lineups'!$C$2:$C$2000=$A29)*COUNTIFS('Team Lineups'!$K$2:$K$2000,'Team Lineups'!$K$2:$K$2000,'Team Lineups'!$C$2:$C$2000,AN$1))</f>
        <v>0</v>
      </c>
      <c r="AO29" cm="1">
        <f t="array" ref="AO29">SUMPRODUCT(('Team Lineups'!$K$2:$K$2000&lt;&gt;"")*('Team Lineups'!$C$2:$C$2000=$A29)*COUNTIFS('Team Lineups'!$K$2:$K$2000,'Team Lineups'!$K$2:$K$2000,'Team Lineups'!$C$2:$C$2000,AO$1))</f>
        <v>0</v>
      </c>
      <c r="AP29" cm="1">
        <f t="array" ref="AP29">SUMPRODUCT(('Team Lineups'!$K$2:$K$2000&lt;&gt;"")*('Team Lineups'!$C$2:$C$2000=$A29)*COUNTIFS('Team Lineups'!$K$2:$K$2000,'Team Lineups'!$K$2:$K$2000,'Team Lineups'!$C$2:$C$2000,AP$1))</f>
        <v>0</v>
      </c>
      <c r="AQ29" cm="1">
        <f t="array" ref="AQ29">SUMPRODUCT(('Team Lineups'!$K$2:$K$2000&lt;&gt;"")*('Team Lineups'!$C$2:$C$2000=$A29)*COUNTIFS('Team Lineups'!$K$2:$K$2000,'Team Lineups'!$K$2:$K$2000,'Team Lineups'!$C$2:$C$2000,AQ$1))</f>
        <v>0</v>
      </c>
      <c r="AR29" cm="1">
        <f t="array" ref="AR29">SUMPRODUCT(('Team Lineups'!$K$2:$K$2000&lt;&gt;"")*('Team Lineups'!$C$2:$C$2000=$A29)*COUNTIFS('Team Lineups'!$K$2:$K$2000,'Team Lineups'!$K$2:$K$2000,'Team Lineups'!$C$2:$C$2000,AR$1))</f>
        <v>0</v>
      </c>
      <c r="AS29" cm="1">
        <f t="array" ref="AS29">SUMPRODUCT(('Team Lineups'!$K$2:$K$2000&lt;&gt;"")*('Team Lineups'!$C$2:$C$2000=$A29)*COUNTIFS('Team Lineups'!$K$2:$K$2000,'Team Lineups'!$K$2:$K$2000,'Team Lineups'!$C$2:$C$2000,AS$1))</f>
        <v>0</v>
      </c>
      <c r="AT29" cm="1">
        <f t="array" ref="AT29">SUMPRODUCT(('Team Lineups'!$K$2:$K$2000&lt;&gt;"")*('Team Lineups'!$C$2:$C$2000=$A29)*COUNTIFS('Team Lineups'!$K$2:$K$2000,'Team Lineups'!$K$2:$K$2000,'Team Lineups'!$C$2:$C$2000,AT$1))</f>
        <v>0</v>
      </c>
      <c r="AU29" cm="1">
        <f t="array" ref="AU29">SUMPRODUCT(('Team Lineups'!$K$2:$K$2000&lt;&gt;"")*('Team Lineups'!$C$2:$C$2000=$A29)*COUNTIFS('Team Lineups'!$K$2:$K$2000,'Team Lineups'!$K$2:$K$2000,'Team Lineups'!$C$2:$C$2000,AU$1))</f>
        <v>0</v>
      </c>
      <c r="AV29" cm="1">
        <f t="array" ref="AV29">SUMPRODUCT(('Team Lineups'!$K$2:$K$2000&lt;&gt;"")*('Team Lineups'!$C$2:$C$2000=$A29)*COUNTIFS('Team Lineups'!$K$2:$K$2000,'Team Lineups'!$K$2:$K$2000,'Team Lineups'!$C$2:$C$2000,AV$1))</f>
        <v>0</v>
      </c>
    </row>
    <row r="30" spans="1:48" x14ac:dyDescent="0.35">
      <c r="A30" t="str">
        <v>Andrea M</v>
      </c>
      <c r="B30" cm="1">
        <f t="array" ref="B30">SUMPRODUCT(('Team Lineups'!$K$2:$K$2000&lt;&gt;"")*('Team Lineups'!$C$2:$C$2000=$A30)*COUNTIFS('Team Lineups'!$K$2:$K$2000,'Team Lineups'!$K$2:$K$2000,'Team Lineups'!$C$2:$C$2000,B$1))</f>
        <v>3</v>
      </c>
      <c r="C30" cm="1">
        <f t="array" ref="C30">SUMPRODUCT(('Team Lineups'!$K$2:$K$2000&lt;&gt;"")*('Team Lineups'!$C$2:$C$2000=$A30)*COUNTIFS('Team Lineups'!$K$2:$K$2000,'Team Lineups'!$K$2:$K$2000,'Team Lineups'!$C$2:$C$2000,C$1))</f>
        <v>2</v>
      </c>
      <c r="D30" cm="1">
        <f t="array" ref="D30">SUMPRODUCT(('Team Lineups'!$K$2:$K$2000&lt;&gt;"")*('Team Lineups'!$C$2:$C$2000=$A30)*COUNTIFS('Team Lineups'!$K$2:$K$2000,'Team Lineups'!$K$2:$K$2000,'Team Lineups'!$C$2:$C$2000,D$1))</f>
        <v>0</v>
      </c>
      <c r="E30" cm="1">
        <f t="array" ref="E30">SUMPRODUCT(('Team Lineups'!$K$2:$K$2000&lt;&gt;"")*('Team Lineups'!$C$2:$C$2000=$A30)*COUNTIFS('Team Lineups'!$K$2:$K$2000,'Team Lineups'!$K$2:$K$2000,'Team Lineups'!$C$2:$C$2000,E$1))</f>
        <v>2</v>
      </c>
      <c r="F30" cm="1">
        <f t="array" ref="F30">SUMPRODUCT(('Team Lineups'!$K$2:$K$2000&lt;&gt;"")*('Team Lineups'!$C$2:$C$2000=$A30)*COUNTIFS('Team Lineups'!$K$2:$K$2000,'Team Lineups'!$K$2:$K$2000,'Team Lineups'!$C$2:$C$2000,F$1))</f>
        <v>1</v>
      </c>
      <c r="G30" cm="1">
        <f t="array" ref="G30">SUMPRODUCT(('Team Lineups'!$K$2:$K$2000&lt;&gt;"")*('Team Lineups'!$C$2:$C$2000=$A30)*COUNTIFS('Team Lineups'!$K$2:$K$2000,'Team Lineups'!$K$2:$K$2000,'Team Lineups'!$C$2:$C$2000,G$1))</f>
        <v>6</v>
      </c>
      <c r="H30" cm="1">
        <f t="array" ref="H30">SUMPRODUCT(('Team Lineups'!$K$2:$K$2000&lt;&gt;"")*('Team Lineups'!$C$2:$C$2000=$A30)*COUNTIFS('Team Lineups'!$K$2:$K$2000,'Team Lineups'!$K$2:$K$2000,'Team Lineups'!$C$2:$C$2000,H$1))</f>
        <v>4</v>
      </c>
      <c r="I30" cm="1">
        <f t="array" ref="I30">SUMPRODUCT(('Team Lineups'!$K$2:$K$2000&lt;&gt;"")*('Team Lineups'!$C$2:$C$2000=$A30)*COUNTIFS('Team Lineups'!$K$2:$K$2000,'Team Lineups'!$K$2:$K$2000,'Team Lineups'!$C$2:$C$2000,I$1))</f>
        <v>6</v>
      </c>
      <c r="J30" cm="1">
        <f t="array" ref="J30">SUMPRODUCT(('Team Lineups'!$K$2:$K$2000&lt;&gt;"")*('Team Lineups'!$C$2:$C$2000=$A30)*COUNTIFS('Team Lineups'!$K$2:$K$2000,'Team Lineups'!$K$2:$K$2000,'Team Lineups'!$C$2:$C$2000,J$1))</f>
        <v>0</v>
      </c>
      <c r="K30" cm="1">
        <f t="array" ref="K30">SUMPRODUCT(('Team Lineups'!$K$2:$K$2000&lt;&gt;"")*('Team Lineups'!$C$2:$C$2000=$A30)*COUNTIFS('Team Lineups'!$K$2:$K$2000,'Team Lineups'!$K$2:$K$2000,'Team Lineups'!$C$2:$C$2000,K$1))</f>
        <v>0</v>
      </c>
      <c r="L30" cm="1">
        <f t="array" ref="L30">SUMPRODUCT(('Team Lineups'!$K$2:$K$2000&lt;&gt;"")*('Team Lineups'!$C$2:$C$2000=$A30)*COUNTIFS('Team Lineups'!$K$2:$K$2000,'Team Lineups'!$K$2:$K$2000,'Team Lineups'!$C$2:$C$2000,L$1))</f>
        <v>5</v>
      </c>
      <c r="M30" cm="1">
        <f t="array" ref="M30">SUMPRODUCT(('Team Lineups'!$K$2:$K$2000&lt;&gt;"")*('Team Lineups'!$C$2:$C$2000=$A30)*COUNTIFS('Team Lineups'!$K$2:$K$2000,'Team Lineups'!$K$2:$K$2000,'Team Lineups'!$C$2:$C$2000,M$1))</f>
        <v>5</v>
      </c>
      <c r="N30" cm="1">
        <f t="array" ref="N30">SUMPRODUCT(('Team Lineups'!$K$2:$K$2000&lt;&gt;"")*('Team Lineups'!$C$2:$C$2000=$A30)*COUNTIFS('Team Lineups'!$K$2:$K$2000,'Team Lineups'!$K$2:$K$2000,'Team Lineups'!$C$2:$C$2000,N$1))</f>
        <v>3</v>
      </c>
      <c r="O30" cm="1">
        <f t="array" ref="O30">SUMPRODUCT(('Team Lineups'!$K$2:$K$2000&lt;&gt;"")*('Team Lineups'!$C$2:$C$2000=$A30)*COUNTIFS('Team Lineups'!$K$2:$K$2000,'Team Lineups'!$K$2:$K$2000,'Team Lineups'!$C$2:$C$2000,O$1))</f>
        <v>3</v>
      </c>
      <c r="P30" cm="1">
        <f t="array" ref="P30">SUMPRODUCT(('Team Lineups'!$K$2:$K$2000&lt;&gt;"")*('Team Lineups'!$C$2:$C$2000=$A30)*COUNTIFS('Team Lineups'!$K$2:$K$2000,'Team Lineups'!$K$2:$K$2000,'Team Lineups'!$C$2:$C$2000,P$1))</f>
        <v>0</v>
      </c>
      <c r="Q30" cm="1">
        <f t="array" ref="Q30">SUMPRODUCT(('Team Lineups'!$K$2:$K$2000&lt;&gt;"")*('Team Lineups'!$C$2:$C$2000=$A30)*COUNTIFS('Team Lineups'!$K$2:$K$2000,'Team Lineups'!$K$2:$K$2000,'Team Lineups'!$C$2:$C$2000,Q$1))</f>
        <v>1</v>
      </c>
      <c r="R30" cm="1">
        <f t="array" ref="R30">SUMPRODUCT(('Team Lineups'!$K$2:$K$2000&lt;&gt;"")*('Team Lineups'!$C$2:$C$2000=$A30)*COUNTIFS('Team Lineups'!$K$2:$K$2000,'Team Lineups'!$K$2:$K$2000,'Team Lineups'!$C$2:$C$2000,R$1))</f>
        <v>0</v>
      </c>
      <c r="S30" cm="1">
        <f t="array" ref="S30">SUMPRODUCT(('Team Lineups'!$K$2:$K$2000&lt;&gt;"")*('Team Lineups'!$C$2:$C$2000=$A30)*COUNTIFS('Team Lineups'!$K$2:$K$2000,'Team Lineups'!$K$2:$K$2000,'Team Lineups'!$C$2:$C$2000,S$1))</f>
        <v>1</v>
      </c>
      <c r="T30" cm="1">
        <f t="array" ref="T30">SUMPRODUCT(('Team Lineups'!$K$2:$K$2000&lt;&gt;"")*('Team Lineups'!$C$2:$C$2000=$A30)*COUNTIFS('Team Lineups'!$K$2:$K$2000,'Team Lineups'!$K$2:$K$2000,'Team Lineups'!$C$2:$C$2000,T$1))</f>
        <v>4</v>
      </c>
      <c r="U30" cm="1">
        <f t="array" ref="U30">SUMPRODUCT(('Team Lineups'!$K$2:$K$2000&lt;&gt;"")*('Team Lineups'!$C$2:$C$2000=$A30)*COUNTIFS('Team Lineups'!$K$2:$K$2000,'Team Lineups'!$K$2:$K$2000,'Team Lineups'!$C$2:$C$2000,U$1))</f>
        <v>0</v>
      </c>
      <c r="V30" cm="1">
        <f t="array" ref="V30">SUMPRODUCT(('Team Lineups'!$K$2:$K$2000&lt;&gt;"")*('Team Lineups'!$C$2:$C$2000=$A30)*COUNTIFS('Team Lineups'!$K$2:$K$2000,'Team Lineups'!$K$2:$K$2000,'Team Lineups'!$C$2:$C$2000,V$1))</f>
        <v>0</v>
      </c>
      <c r="W30" cm="1">
        <f t="array" ref="W30">SUMPRODUCT(('Team Lineups'!$K$2:$K$2000&lt;&gt;"")*('Team Lineups'!$C$2:$C$2000=$A30)*COUNTIFS('Team Lineups'!$K$2:$K$2000,'Team Lineups'!$K$2:$K$2000,'Team Lineups'!$C$2:$C$2000,W$1))</f>
        <v>1</v>
      </c>
      <c r="X30" cm="1">
        <f t="array" ref="X30">SUMPRODUCT(('Team Lineups'!$K$2:$K$2000&lt;&gt;"")*('Team Lineups'!$C$2:$C$2000=$A30)*COUNTIFS('Team Lineups'!$K$2:$K$2000,'Team Lineups'!$K$2:$K$2000,'Team Lineups'!$C$2:$C$2000,X$1))</f>
        <v>0</v>
      </c>
      <c r="Y30" cm="1">
        <f t="array" ref="Y30">SUMPRODUCT(('Team Lineups'!$K$2:$K$2000&lt;&gt;"")*('Team Lineups'!$C$2:$C$2000=$A30)*COUNTIFS('Team Lineups'!$K$2:$K$2000,'Team Lineups'!$K$2:$K$2000,'Team Lineups'!$C$2:$C$2000,Y$1))</f>
        <v>0</v>
      </c>
      <c r="Z30" cm="1">
        <f t="array" ref="Z30">SUMPRODUCT(('Team Lineups'!$K$2:$K$2000&lt;&gt;"")*('Team Lineups'!$C$2:$C$2000=$A30)*COUNTIFS('Team Lineups'!$K$2:$K$2000,'Team Lineups'!$K$2:$K$2000,'Team Lineups'!$C$2:$C$2000,Z$1))</f>
        <v>1</v>
      </c>
      <c r="AA30" cm="1">
        <f t="array" ref="AA30">SUMPRODUCT(('Team Lineups'!$K$2:$K$2000&lt;&gt;"")*('Team Lineups'!$C$2:$C$2000=$A30)*COUNTIFS('Team Lineups'!$K$2:$K$2000,'Team Lineups'!$K$2:$K$2000,'Team Lineups'!$C$2:$C$2000,AA$1))</f>
        <v>3</v>
      </c>
      <c r="AB30" cm="1">
        <f t="array" ref="AB30">SUMPRODUCT(('Team Lineups'!$K$2:$K$2000&lt;&gt;"")*('Team Lineups'!$C$2:$C$2000=$A30)*COUNTIFS('Team Lineups'!$K$2:$K$2000,'Team Lineups'!$K$2:$K$2000,'Team Lineups'!$C$2:$C$2000,AB$1))</f>
        <v>5</v>
      </c>
      <c r="AC30" cm="1">
        <f t="array" ref="AC30">SUMPRODUCT(('Team Lineups'!$K$2:$K$2000&lt;&gt;"")*('Team Lineups'!$C$2:$C$2000=$A30)*COUNTIFS('Team Lineups'!$K$2:$K$2000,'Team Lineups'!$K$2:$K$2000,'Team Lineups'!$C$2:$C$2000,AC$1))</f>
        <v>0</v>
      </c>
      <c r="AD30" cm="1">
        <f t="array" ref="AD30">SUMPRODUCT(('Team Lineups'!$K$2:$K$2000&lt;&gt;"")*('Team Lineups'!$C$2:$C$2000=$A30)*COUNTIFS('Team Lineups'!$K$2:$K$2000,'Team Lineups'!$K$2:$K$2000,'Team Lineups'!$C$2:$C$2000,AD$1))</f>
        <v>14</v>
      </c>
      <c r="AE30" cm="1">
        <f t="array" ref="AE30">SUMPRODUCT(('Team Lineups'!$K$2:$K$2000&lt;&gt;"")*('Team Lineups'!$C$2:$C$2000=$A30)*COUNTIFS('Team Lineups'!$K$2:$K$2000,'Team Lineups'!$K$2:$K$2000,'Team Lineups'!$C$2:$C$2000,AE$1))</f>
        <v>1</v>
      </c>
      <c r="AF30" cm="1">
        <f t="array" ref="AF30">SUMPRODUCT(('Team Lineups'!$K$2:$K$2000&lt;&gt;"")*('Team Lineups'!$C$2:$C$2000=$A30)*COUNTIFS('Team Lineups'!$K$2:$K$2000,'Team Lineups'!$K$2:$K$2000,'Team Lineups'!$C$2:$C$2000,AF$1))</f>
        <v>0</v>
      </c>
      <c r="AG30" cm="1">
        <f t="array" ref="AG30">SUMPRODUCT(('Team Lineups'!$K$2:$K$2000&lt;&gt;"")*('Team Lineups'!$C$2:$C$2000=$A30)*COUNTIFS('Team Lineups'!$K$2:$K$2000,'Team Lineups'!$K$2:$K$2000,'Team Lineups'!$C$2:$C$2000,AG$1))</f>
        <v>1</v>
      </c>
      <c r="AH30" cm="1">
        <f t="array" ref="AH30">SUMPRODUCT(('Team Lineups'!$K$2:$K$2000&lt;&gt;"")*('Team Lineups'!$C$2:$C$2000=$A30)*COUNTIFS('Team Lineups'!$K$2:$K$2000,'Team Lineups'!$K$2:$K$2000,'Team Lineups'!$C$2:$C$2000,AH$1))</f>
        <v>1</v>
      </c>
      <c r="AI30" cm="1">
        <f t="array" ref="AI30">SUMPRODUCT(('Team Lineups'!$K$2:$K$2000&lt;&gt;"")*('Team Lineups'!$C$2:$C$2000=$A30)*COUNTIFS('Team Lineups'!$K$2:$K$2000,'Team Lineups'!$K$2:$K$2000,'Team Lineups'!$C$2:$C$2000,AI$1))</f>
        <v>0</v>
      </c>
      <c r="AJ30" cm="1">
        <f t="array" ref="AJ30">SUMPRODUCT(('Team Lineups'!$K$2:$K$2000&lt;&gt;"")*('Team Lineups'!$C$2:$C$2000=$A30)*COUNTIFS('Team Lineups'!$K$2:$K$2000,'Team Lineups'!$K$2:$K$2000,'Team Lineups'!$C$2:$C$2000,AJ$1))</f>
        <v>2</v>
      </c>
      <c r="AK30" cm="1">
        <f t="array" ref="AK30">SUMPRODUCT(('Team Lineups'!$K$2:$K$2000&lt;&gt;"")*('Team Lineups'!$C$2:$C$2000=$A30)*COUNTIFS('Team Lineups'!$K$2:$K$2000,'Team Lineups'!$K$2:$K$2000,'Team Lineups'!$C$2:$C$2000,AK$1))</f>
        <v>1</v>
      </c>
      <c r="AL30" cm="1">
        <f t="array" ref="AL30">SUMPRODUCT(('Team Lineups'!$K$2:$K$2000&lt;&gt;"")*('Team Lineups'!$C$2:$C$2000=$A30)*COUNTIFS('Team Lineups'!$K$2:$K$2000,'Team Lineups'!$K$2:$K$2000,'Team Lineups'!$C$2:$C$2000,AL$1))</f>
        <v>4</v>
      </c>
      <c r="AM30" cm="1">
        <f t="array" ref="AM30">SUMPRODUCT(('Team Lineups'!$K$2:$K$2000&lt;&gt;"")*('Team Lineups'!$C$2:$C$2000=$A30)*COUNTIFS('Team Lineups'!$K$2:$K$2000,'Team Lineups'!$K$2:$K$2000,'Team Lineups'!$C$2:$C$2000,AM$1))</f>
        <v>0</v>
      </c>
      <c r="AN30" cm="1">
        <f t="array" ref="AN30">SUMPRODUCT(('Team Lineups'!$K$2:$K$2000&lt;&gt;"")*('Team Lineups'!$C$2:$C$2000=$A30)*COUNTIFS('Team Lineups'!$K$2:$K$2000,'Team Lineups'!$K$2:$K$2000,'Team Lineups'!$C$2:$C$2000,AN$1))</f>
        <v>1</v>
      </c>
      <c r="AO30" cm="1">
        <f t="array" ref="AO30">SUMPRODUCT(('Team Lineups'!$K$2:$K$2000&lt;&gt;"")*('Team Lineups'!$C$2:$C$2000=$A30)*COUNTIFS('Team Lineups'!$K$2:$K$2000,'Team Lineups'!$K$2:$K$2000,'Team Lineups'!$C$2:$C$2000,AO$1))</f>
        <v>2</v>
      </c>
      <c r="AP30" cm="1">
        <f t="array" ref="AP30">SUMPRODUCT(('Team Lineups'!$K$2:$K$2000&lt;&gt;"")*('Team Lineups'!$C$2:$C$2000=$A30)*COUNTIFS('Team Lineups'!$K$2:$K$2000,'Team Lineups'!$K$2:$K$2000,'Team Lineups'!$C$2:$C$2000,AP$1))</f>
        <v>3</v>
      </c>
      <c r="AQ30" cm="1">
        <f t="array" ref="AQ30">SUMPRODUCT(('Team Lineups'!$K$2:$K$2000&lt;&gt;"")*('Team Lineups'!$C$2:$C$2000=$A30)*COUNTIFS('Team Lineups'!$K$2:$K$2000,'Team Lineups'!$K$2:$K$2000,'Team Lineups'!$C$2:$C$2000,AQ$1))</f>
        <v>1</v>
      </c>
      <c r="AR30" cm="1">
        <f t="array" ref="AR30">SUMPRODUCT(('Team Lineups'!$K$2:$K$2000&lt;&gt;"")*('Team Lineups'!$C$2:$C$2000=$A30)*COUNTIFS('Team Lineups'!$K$2:$K$2000,'Team Lineups'!$K$2:$K$2000,'Team Lineups'!$C$2:$C$2000,AR$1))</f>
        <v>1</v>
      </c>
      <c r="AS30" cm="1">
        <f t="array" ref="AS30">SUMPRODUCT(('Team Lineups'!$K$2:$K$2000&lt;&gt;"")*('Team Lineups'!$C$2:$C$2000=$A30)*COUNTIFS('Team Lineups'!$K$2:$K$2000,'Team Lineups'!$K$2:$K$2000,'Team Lineups'!$C$2:$C$2000,AS$1))</f>
        <v>0</v>
      </c>
      <c r="AT30" cm="1">
        <f t="array" ref="AT30">SUMPRODUCT(('Team Lineups'!$K$2:$K$2000&lt;&gt;"")*('Team Lineups'!$C$2:$C$2000=$A30)*COUNTIFS('Team Lineups'!$K$2:$K$2000,'Team Lineups'!$K$2:$K$2000,'Team Lineups'!$C$2:$C$2000,AT$1))</f>
        <v>0</v>
      </c>
      <c r="AU30" cm="1">
        <f t="array" ref="AU30">SUMPRODUCT(('Team Lineups'!$K$2:$K$2000&lt;&gt;"")*('Team Lineups'!$C$2:$C$2000=$A30)*COUNTIFS('Team Lineups'!$K$2:$K$2000,'Team Lineups'!$K$2:$K$2000,'Team Lineups'!$C$2:$C$2000,AU$1))</f>
        <v>0</v>
      </c>
      <c r="AV30" cm="1">
        <f t="array" ref="AV30">SUMPRODUCT(('Team Lineups'!$K$2:$K$2000&lt;&gt;"")*('Team Lineups'!$C$2:$C$2000=$A30)*COUNTIFS('Team Lineups'!$K$2:$K$2000,'Team Lineups'!$K$2:$K$2000,'Team Lineups'!$C$2:$C$2000,AV$1))</f>
        <v>1</v>
      </c>
    </row>
    <row r="31" spans="1:48" x14ac:dyDescent="0.35">
      <c r="A31" t="str">
        <v>Giosué</v>
      </c>
      <c r="B31" cm="1">
        <f t="array" ref="B31">SUMPRODUCT(('Team Lineups'!$K$2:$K$2000&lt;&gt;"")*('Team Lineups'!$C$2:$C$2000=$A31)*COUNTIFS('Team Lineups'!$K$2:$K$2000,'Team Lineups'!$K$2:$K$2000,'Team Lineups'!$C$2:$C$2000,B$1))</f>
        <v>2</v>
      </c>
      <c r="C31" cm="1">
        <f t="array" ref="C31">SUMPRODUCT(('Team Lineups'!$K$2:$K$2000&lt;&gt;"")*('Team Lineups'!$C$2:$C$2000=$A31)*COUNTIFS('Team Lineups'!$K$2:$K$2000,'Team Lineups'!$K$2:$K$2000,'Team Lineups'!$C$2:$C$2000,C$1))</f>
        <v>0</v>
      </c>
      <c r="D31" cm="1">
        <f t="array" ref="D31">SUMPRODUCT(('Team Lineups'!$K$2:$K$2000&lt;&gt;"")*('Team Lineups'!$C$2:$C$2000=$A31)*COUNTIFS('Team Lineups'!$K$2:$K$2000,'Team Lineups'!$K$2:$K$2000,'Team Lineups'!$C$2:$C$2000,D$1))</f>
        <v>1</v>
      </c>
      <c r="E31" cm="1">
        <f t="array" ref="E31">SUMPRODUCT(('Team Lineups'!$K$2:$K$2000&lt;&gt;"")*('Team Lineups'!$C$2:$C$2000=$A31)*COUNTIFS('Team Lineups'!$K$2:$K$2000,'Team Lineups'!$K$2:$K$2000,'Team Lineups'!$C$2:$C$2000,E$1))</f>
        <v>2</v>
      </c>
      <c r="F31" cm="1">
        <f t="array" ref="F31">SUMPRODUCT(('Team Lineups'!$K$2:$K$2000&lt;&gt;"")*('Team Lineups'!$C$2:$C$2000=$A31)*COUNTIFS('Team Lineups'!$K$2:$K$2000,'Team Lineups'!$K$2:$K$2000,'Team Lineups'!$C$2:$C$2000,F$1))</f>
        <v>0</v>
      </c>
      <c r="G31" cm="1">
        <f t="array" ref="G31">SUMPRODUCT(('Team Lineups'!$K$2:$K$2000&lt;&gt;"")*('Team Lineups'!$C$2:$C$2000=$A31)*COUNTIFS('Team Lineups'!$K$2:$K$2000,'Team Lineups'!$K$2:$K$2000,'Team Lineups'!$C$2:$C$2000,G$1))</f>
        <v>2</v>
      </c>
      <c r="H31" cm="1">
        <f t="array" ref="H31">SUMPRODUCT(('Team Lineups'!$K$2:$K$2000&lt;&gt;"")*('Team Lineups'!$C$2:$C$2000=$A31)*COUNTIFS('Team Lineups'!$K$2:$K$2000,'Team Lineups'!$K$2:$K$2000,'Team Lineups'!$C$2:$C$2000,H$1))</f>
        <v>3</v>
      </c>
      <c r="I31" cm="1">
        <f t="array" ref="I31">SUMPRODUCT(('Team Lineups'!$K$2:$K$2000&lt;&gt;"")*('Team Lineups'!$C$2:$C$2000=$A31)*COUNTIFS('Team Lineups'!$K$2:$K$2000,'Team Lineups'!$K$2:$K$2000,'Team Lineups'!$C$2:$C$2000,I$1))</f>
        <v>2</v>
      </c>
      <c r="J31" cm="1">
        <f t="array" ref="J31">SUMPRODUCT(('Team Lineups'!$K$2:$K$2000&lt;&gt;"")*('Team Lineups'!$C$2:$C$2000=$A31)*COUNTIFS('Team Lineups'!$K$2:$K$2000,'Team Lineups'!$K$2:$K$2000,'Team Lineups'!$C$2:$C$2000,J$1))</f>
        <v>0</v>
      </c>
      <c r="K31" cm="1">
        <f t="array" ref="K31">SUMPRODUCT(('Team Lineups'!$K$2:$K$2000&lt;&gt;"")*('Team Lineups'!$C$2:$C$2000=$A31)*COUNTIFS('Team Lineups'!$K$2:$K$2000,'Team Lineups'!$K$2:$K$2000,'Team Lineups'!$C$2:$C$2000,K$1))</f>
        <v>0</v>
      </c>
      <c r="L31" cm="1">
        <f t="array" ref="L31">SUMPRODUCT(('Team Lineups'!$K$2:$K$2000&lt;&gt;"")*('Team Lineups'!$C$2:$C$2000=$A31)*COUNTIFS('Team Lineups'!$K$2:$K$2000,'Team Lineups'!$K$2:$K$2000,'Team Lineups'!$C$2:$C$2000,L$1))</f>
        <v>1</v>
      </c>
      <c r="M31" cm="1">
        <f t="array" ref="M31">SUMPRODUCT(('Team Lineups'!$K$2:$K$2000&lt;&gt;"")*('Team Lineups'!$C$2:$C$2000=$A31)*COUNTIFS('Team Lineups'!$K$2:$K$2000,'Team Lineups'!$K$2:$K$2000,'Team Lineups'!$C$2:$C$2000,M$1))</f>
        <v>0</v>
      </c>
      <c r="N31" cm="1">
        <f t="array" ref="N31">SUMPRODUCT(('Team Lineups'!$K$2:$K$2000&lt;&gt;"")*('Team Lineups'!$C$2:$C$2000=$A31)*COUNTIFS('Team Lineups'!$K$2:$K$2000,'Team Lineups'!$K$2:$K$2000,'Team Lineups'!$C$2:$C$2000,N$1))</f>
        <v>1</v>
      </c>
      <c r="O31" cm="1">
        <f t="array" ref="O31">SUMPRODUCT(('Team Lineups'!$K$2:$K$2000&lt;&gt;"")*('Team Lineups'!$C$2:$C$2000=$A31)*COUNTIFS('Team Lineups'!$K$2:$K$2000,'Team Lineups'!$K$2:$K$2000,'Team Lineups'!$C$2:$C$2000,O$1))</f>
        <v>1</v>
      </c>
      <c r="P31" cm="1">
        <f t="array" ref="P31">SUMPRODUCT(('Team Lineups'!$K$2:$K$2000&lt;&gt;"")*('Team Lineups'!$C$2:$C$2000=$A31)*COUNTIFS('Team Lineups'!$K$2:$K$2000,'Team Lineups'!$K$2:$K$2000,'Team Lineups'!$C$2:$C$2000,P$1))</f>
        <v>0</v>
      </c>
      <c r="Q31" cm="1">
        <f t="array" ref="Q31">SUMPRODUCT(('Team Lineups'!$K$2:$K$2000&lt;&gt;"")*('Team Lineups'!$C$2:$C$2000=$A31)*COUNTIFS('Team Lineups'!$K$2:$K$2000,'Team Lineups'!$K$2:$K$2000,'Team Lineups'!$C$2:$C$2000,Q$1))</f>
        <v>5</v>
      </c>
      <c r="R31" cm="1">
        <f t="array" ref="R31">SUMPRODUCT(('Team Lineups'!$K$2:$K$2000&lt;&gt;"")*('Team Lineups'!$C$2:$C$2000=$A31)*COUNTIFS('Team Lineups'!$K$2:$K$2000,'Team Lineups'!$K$2:$K$2000,'Team Lineups'!$C$2:$C$2000,R$1))</f>
        <v>1</v>
      </c>
      <c r="S31" cm="1">
        <f t="array" ref="S31">SUMPRODUCT(('Team Lineups'!$K$2:$K$2000&lt;&gt;"")*('Team Lineups'!$C$2:$C$2000=$A31)*COUNTIFS('Team Lineups'!$K$2:$K$2000,'Team Lineups'!$K$2:$K$2000,'Team Lineups'!$C$2:$C$2000,S$1))</f>
        <v>1</v>
      </c>
      <c r="T31" cm="1">
        <f t="array" ref="T31">SUMPRODUCT(('Team Lineups'!$K$2:$K$2000&lt;&gt;"")*('Team Lineups'!$C$2:$C$2000=$A31)*COUNTIFS('Team Lineups'!$K$2:$K$2000,'Team Lineups'!$K$2:$K$2000,'Team Lineups'!$C$2:$C$2000,T$1))</f>
        <v>2</v>
      </c>
      <c r="U31" cm="1">
        <f t="array" ref="U31">SUMPRODUCT(('Team Lineups'!$K$2:$K$2000&lt;&gt;"")*('Team Lineups'!$C$2:$C$2000=$A31)*COUNTIFS('Team Lineups'!$K$2:$K$2000,'Team Lineups'!$K$2:$K$2000,'Team Lineups'!$C$2:$C$2000,U$1))</f>
        <v>0</v>
      </c>
      <c r="V31" cm="1">
        <f t="array" ref="V31">SUMPRODUCT(('Team Lineups'!$K$2:$K$2000&lt;&gt;"")*('Team Lineups'!$C$2:$C$2000=$A31)*COUNTIFS('Team Lineups'!$K$2:$K$2000,'Team Lineups'!$K$2:$K$2000,'Team Lineups'!$C$2:$C$2000,V$1))</f>
        <v>0</v>
      </c>
      <c r="W31" cm="1">
        <f t="array" ref="W31">SUMPRODUCT(('Team Lineups'!$K$2:$K$2000&lt;&gt;"")*('Team Lineups'!$C$2:$C$2000=$A31)*COUNTIFS('Team Lineups'!$K$2:$K$2000,'Team Lineups'!$K$2:$K$2000,'Team Lineups'!$C$2:$C$2000,W$1))</f>
        <v>0</v>
      </c>
      <c r="X31" cm="1">
        <f t="array" ref="X31">SUMPRODUCT(('Team Lineups'!$K$2:$K$2000&lt;&gt;"")*('Team Lineups'!$C$2:$C$2000=$A31)*COUNTIFS('Team Lineups'!$K$2:$K$2000,'Team Lineups'!$K$2:$K$2000,'Team Lineups'!$C$2:$C$2000,X$1))</f>
        <v>0</v>
      </c>
      <c r="Y31" cm="1">
        <f t="array" ref="Y31">SUMPRODUCT(('Team Lineups'!$K$2:$K$2000&lt;&gt;"")*('Team Lineups'!$C$2:$C$2000=$A31)*COUNTIFS('Team Lineups'!$K$2:$K$2000,'Team Lineups'!$K$2:$K$2000,'Team Lineups'!$C$2:$C$2000,Y$1))</f>
        <v>0</v>
      </c>
      <c r="Z31" cm="1">
        <f t="array" ref="Z31">SUMPRODUCT(('Team Lineups'!$K$2:$K$2000&lt;&gt;"")*('Team Lineups'!$C$2:$C$2000=$A31)*COUNTIFS('Team Lineups'!$K$2:$K$2000,'Team Lineups'!$K$2:$K$2000,'Team Lineups'!$C$2:$C$2000,Z$1))</f>
        <v>0</v>
      </c>
      <c r="AA31" cm="1">
        <f t="array" ref="AA31">SUMPRODUCT(('Team Lineups'!$K$2:$K$2000&lt;&gt;"")*('Team Lineups'!$C$2:$C$2000=$A31)*COUNTIFS('Team Lineups'!$K$2:$K$2000,'Team Lineups'!$K$2:$K$2000,'Team Lineups'!$C$2:$C$2000,AA$1))</f>
        <v>2</v>
      </c>
      <c r="AB31" cm="1">
        <f t="array" ref="AB31">SUMPRODUCT(('Team Lineups'!$K$2:$K$2000&lt;&gt;"")*('Team Lineups'!$C$2:$C$2000=$A31)*COUNTIFS('Team Lineups'!$K$2:$K$2000,'Team Lineups'!$K$2:$K$2000,'Team Lineups'!$C$2:$C$2000,AB$1))</f>
        <v>2</v>
      </c>
      <c r="AC31" cm="1">
        <f t="array" ref="AC31">SUMPRODUCT(('Team Lineups'!$K$2:$K$2000&lt;&gt;"")*('Team Lineups'!$C$2:$C$2000=$A31)*COUNTIFS('Team Lineups'!$K$2:$K$2000,'Team Lineups'!$K$2:$K$2000,'Team Lineups'!$C$2:$C$2000,AC$1))</f>
        <v>0</v>
      </c>
      <c r="AD31" cm="1">
        <f t="array" ref="AD31">SUMPRODUCT(('Team Lineups'!$K$2:$K$2000&lt;&gt;"")*('Team Lineups'!$C$2:$C$2000=$A31)*COUNTIFS('Team Lineups'!$K$2:$K$2000,'Team Lineups'!$K$2:$K$2000,'Team Lineups'!$C$2:$C$2000,AD$1))</f>
        <v>1</v>
      </c>
      <c r="AE31" cm="1">
        <f t="array" ref="AE31">SUMPRODUCT(('Team Lineups'!$K$2:$K$2000&lt;&gt;"")*('Team Lineups'!$C$2:$C$2000=$A31)*COUNTIFS('Team Lineups'!$K$2:$K$2000,'Team Lineups'!$K$2:$K$2000,'Team Lineups'!$C$2:$C$2000,AE$1))</f>
        <v>7</v>
      </c>
      <c r="AF31" cm="1">
        <f t="array" ref="AF31">SUMPRODUCT(('Team Lineups'!$K$2:$K$2000&lt;&gt;"")*('Team Lineups'!$C$2:$C$2000=$A31)*COUNTIFS('Team Lineups'!$K$2:$K$2000,'Team Lineups'!$K$2:$K$2000,'Team Lineups'!$C$2:$C$2000,AF$1))</f>
        <v>0</v>
      </c>
      <c r="AG31" cm="1">
        <f t="array" ref="AG31">SUMPRODUCT(('Team Lineups'!$K$2:$K$2000&lt;&gt;"")*('Team Lineups'!$C$2:$C$2000=$A31)*COUNTIFS('Team Lineups'!$K$2:$K$2000,'Team Lineups'!$K$2:$K$2000,'Team Lineups'!$C$2:$C$2000,AG$1))</f>
        <v>0</v>
      </c>
      <c r="AH31" cm="1">
        <f t="array" ref="AH31">SUMPRODUCT(('Team Lineups'!$K$2:$K$2000&lt;&gt;"")*('Team Lineups'!$C$2:$C$2000=$A31)*COUNTIFS('Team Lineups'!$K$2:$K$2000,'Team Lineups'!$K$2:$K$2000,'Team Lineups'!$C$2:$C$2000,AH$1))</f>
        <v>0</v>
      </c>
      <c r="AI31" cm="1">
        <f t="array" ref="AI31">SUMPRODUCT(('Team Lineups'!$K$2:$K$2000&lt;&gt;"")*('Team Lineups'!$C$2:$C$2000=$A31)*COUNTIFS('Team Lineups'!$K$2:$K$2000,'Team Lineups'!$K$2:$K$2000,'Team Lineups'!$C$2:$C$2000,AI$1))</f>
        <v>2</v>
      </c>
      <c r="AJ31" cm="1">
        <f t="array" ref="AJ31">SUMPRODUCT(('Team Lineups'!$K$2:$K$2000&lt;&gt;"")*('Team Lineups'!$C$2:$C$2000=$A31)*COUNTIFS('Team Lineups'!$K$2:$K$2000,'Team Lineups'!$K$2:$K$2000,'Team Lineups'!$C$2:$C$2000,AJ$1))</f>
        <v>0</v>
      </c>
      <c r="AK31" cm="1">
        <f t="array" ref="AK31">SUMPRODUCT(('Team Lineups'!$K$2:$K$2000&lt;&gt;"")*('Team Lineups'!$C$2:$C$2000=$A31)*COUNTIFS('Team Lineups'!$K$2:$K$2000,'Team Lineups'!$K$2:$K$2000,'Team Lineups'!$C$2:$C$2000,AK$1))</f>
        <v>0</v>
      </c>
      <c r="AL31" cm="1">
        <f t="array" ref="AL31">SUMPRODUCT(('Team Lineups'!$K$2:$K$2000&lt;&gt;"")*('Team Lineups'!$C$2:$C$2000=$A31)*COUNTIFS('Team Lineups'!$K$2:$K$2000,'Team Lineups'!$K$2:$K$2000,'Team Lineups'!$C$2:$C$2000,AL$1))</f>
        <v>0</v>
      </c>
      <c r="AM31" cm="1">
        <f t="array" ref="AM31">SUMPRODUCT(('Team Lineups'!$K$2:$K$2000&lt;&gt;"")*('Team Lineups'!$C$2:$C$2000=$A31)*COUNTIFS('Team Lineups'!$K$2:$K$2000,'Team Lineups'!$K$2:$K$2000,'Team Lineups'!$C$2:$C$2000,AM$1))</f>
        <v>0</v>
      </c>
      <c r="AN31" cm="1">
        <f t="array" ref="AN31">SUMPRODUCT(('Team Lineups'!$K$2:$K$2000&lt;&gt;"")*('Team Lineups'!$C$2:$C$2000=$A31)*COUNTIFS('Team Lineups'!$K$2:$K$2000,'Team Lineups'!$K$2:$K$2000,'Team Lineups'!$C$2:$C$2000,AN$1))</f>
        <v>0</v>
      </c>
      <c r="AO31" cm="1">
        <f t="array" ref="AO31">SUMPRODUCT(('Team Lineups'!$K$2:$K$2000&lt;&gt;"")*('Team Lineups'!$C$2:$C$2000=$A31)*COUNTIFS('Team Lineups'!$K$2:$K$2000,'Team Lineups'!$K$2:$K$2000,'Team Lineups'!$C$2:$C$2000,AO$1))</f>
        <v>1</v>
      </c>
      <c r="AP31" cm="1">
        <f t="array" ref="AP31">SUMPRODUCT(('Team Lineups'!$K$2:$K$2000&lt;&gt;"")*('Team Lineups'!$C$2:$C$2000=$A31)*COUNTIFS('Team Lineups'!$K$2:$K$2000,'Team Lineups'!$K$2:$K$2000,'Team Lineups'!$C$2:$C$2000,AP$1))</f>
        <v>0</v>
      </c>
      <c r="AQ31" cm="1">
        <f t="array" ref="AQ31">SUMPRODUCT(('Team Lineups'!$K$2:$K$2000&lt;&gt;"")*('Team Lineups'!$C$2:$C$2000=$A31)*COUNTIFS('Team Lineups'!$K$2:$K$2000,'Team Lineups'!$K$2:$K$2000,'Team Lineups'!$C$2:$C$2000,AQ$1))</f>
        <v>1</v>
      </c>
      <c r="AR31" cm="1">
        <f t="array" ref="AR31">SUMPRODUCT(('Team Lineups'!$K$2:$K$2000&lt;&gt;"")*('Team Lineups'!$C$2:$C$2000=$A31)*COUNTIFS('Team Lineups'!$K$2:$K$2000,'Team Lineups'!$K$2:$K$2000,'Team Lineups'!$C$2:$C$2000,AR$1))</f>
        <v>0</v>
      </c>
      <c r="AS31" cm="1">
        <f t="array" ref="AS31">SUMPRODUCT(('Team Lineups'!$K$2:$K$2000&lt;&gt;"")*('Team Lineups'!$C$2:$C$2000=$A31)*COUNTIFS('Team Lineups'!$K$2:$K$2000,'Team Lineups'!$K$2:$K$2000,'Team Lineups'!$C$2:$C$2000,AS$1))</f>
        <v>0</v>
      </c>
      <c r="AT31" cm="1">
        <f t="array" ref="AT31">SUMPRODUCT(('Team Lineups'!$K$2:$K$2000&lt;&gt;"")*('Team Lineups'!$C$2:$C$2000=$A31)*COUNTIFS('Team Lineups'!$K$2:$K$2000,'Team Lineups'!$K$2:$K$2000,'Team Lineups'!$C$2:$C$2000,AT$1))</f>
        <v>0</v>
      </c>
      <c r="AU31" cm="1">
        <f t="array" ref="AU31">SUMPRODUCT(('Team Lineups'!$K$2:$K$2000&lt;&gt;"")*('Team Lineups'!$C$2:$C$2000=$A31)*COUNTIFS('Team Lineups'!$K$2:$K$2000,'Team Lineups'!$K$2:$K$2000,'Team Lineups'!$C$2:$C$2000,AU$1))</f>
        <v>0</v>
      </c>
      <c r="AV31" cm="1">
        <f t="array" ref="AV31">SUMPRODUCT(('Team Lineups'!$K$2:$K$2000&lt;&gt;"")*('Team Lineups'!$C$2:$C$2000=$A31)*COUNTIFS('Team Lineups'!$K$2:$K$2000,'Team Lineups'!$K$2:$K$2000,'Team Lineups'!$C$2:$C$2000,AV$1))</f>
        <v>0</v>
      </c>
    </row>
    <row r="32" spans="1:48" x14ac:dyDescent="0.35">
      <c r="A32" t="str">
        <v>Neil</v>
      </c>
      <c r="B32" cm="1">
        <f t="array" ref="B32">SUMPRODUCT(('Team Lineups'!$K$2:$K$2000&lt;&gt;"")*('Team Lineups'!$C$2:$C$2000=$A32)*COUNTIFS('Team Lineups'!$K$2:$K$2000,'Team Lineups'!$K$2:$K$2000,'Team Lineups'!$C$2:$C$2000,B$1))</f>
        <v>0</v>
      </c>
      <c r="C32" cm="1">
        <f t="array" ref="C32">SUMPRODUCT(('Team Lineups'!$K$2:$K$2000&lt;&gt;"")*('Team Lineups'!$C$2:$C$2000=$A32)*COUNTIFS('Team Lineups'!$K$2:$K$2000,'Team Lineups'!$K$2:$K$2000,'Team Lineups'!$C$2:$C$2000,C$1))</f>
        <v>0</v>
      </c>
      <c r="D32" cm="1">
        <f t="array" ref="D32">SUMPRODUCT(('Team Lineups'!$K$2:$K$2000&lt;&gt;"")*('Team Lineups'!$C$2:$C$2000=$A32)*COUNTIFS('Team Lineups'!$K$2:$K$2000,'Team Lineups'!$K$2:$K$2000,'Team Lineups'!$C$2:$C$2000,D$1))</f>
        <v>0</v>
      </c>
      <c r="E32" cm="1">
        <f t="array" ref="E32">SUMPRODUCT(('Team Lineups'!$K$2:$K$2000&lt;&gt;"")*('Team Lineups'!$C$2:$C$2000=$A32)*COUNTIFS('Team Lineups'!$K$2:$K$2000,'Team Lineups'!$K$2:$K$2000,'Team Lineups'!$C$2:$C$2000,E$1))</f>
        <v>0</v>
      </c>
      <c r="F32" cm="1">
        <f t="array" ref="F32">SUMPRODUCT(('Team Lineups'!$K$2:$K$2000&lt;&gt;"")*('Team Lineups'!$C$2:$C$2000=$A32)*COUNTIFS('Team Lineups'!$K$2:$K$2000,'Team Lineups'!$K$2:$K$2000,'Team Lineups'!$C$2:$C$2000,F$1))</f>
        <v>0</v>
      </c>
      <c r="G32" cm="1">
        <f t="array" ref="G32">SUMPRODUCT(('Team Lineups'!$K$2:$K$2000&lt;&gt;"")*('Team Lineups'!$C$2:$C$2000=$A32)*COUNTIFS('Team Lineups'!$K$2:$K$2000,'Team Lineups'!$K$2:$K$2000,'Team Lineups'!$C$2:$C$2000,G$1))</f>
        <v>1</v>
      </c>
      <c r="H32" cm="1">
        <f t="array" ref="H32">SUMPRODUCT(('Team Lineups'!$K$2:$K$2000&lt;&gt;"")*('Team Lineups'!$C$2:$C$2000=$A32)*COUNTIFS('Team Lineups'!$K$2:$K$2000,'Team Lineups'!$K$2:$K$2000,'Team Lineups'!$C$2:$C$2000,H$1))</f>
        <v>0</v>
      </c>
      <c r="I32" cm="1">
        <f t="array" ref="I32">SUMPRODUCT(('Team Lineups'!$K$2:$K$2000&lt;&gt;"")*('Team Lineups'!$C$2:$C$2000=$A32)*COUNTIFS('Team Lineups'!$K$2:$K$2000,'Team Lineups'!$K$2:$K$2000,'Team Lineups'!$C$2:$C$2000,I$1))</f>
        <v>0</v>
      </c>
      <c r="J32" cm="1">
        <f t="array" ref="J32">SUMPRODUCT(('Team Lineups'!$K$2:$K$2000&lt;&gt;"")*('Team Lineups'!$C$2:$C$2000=$A32)*COUNTIFS('Team Lineups'!$K$2:$K$2000,'Team Lineups'!$K$2:$K$2000,'Team Lineups'!$C$2:$C$2000,J$1))</f>
        <v>0</v>
      </c>
      <c r="K32" cm="1">
        <f t="array" ref="K32">SUMPRODUCT(('Team Lineups'!$K$2:$K$2000&lt;&gt;"")*('Team Lineups'!$C$2:$C$2000=$A32)*COUNTIFS('Team Lineups'!$K$2:$K$2000,'Team Lineups'!$K$2:$K$2000,'Team Lineups'!$C$2:$C$2000,K$1))</f>
        <v>0</v>
      </c>
      <c r="L32" cm="1">
        <f t="array" ref="L32">SUMPRODUCT(('Team Lineups'!$K$2:$K$2000&lt;&gt;"")*('Team Lineups'!$C$2:$C$2000=$A32)*COUNTIFS('Team Lineups'!$K$2:$K$2000,'Team Lineups'!$K$2:$K$2000,'Team Lineups'!$C$2:$C$2000,L$1))</f>
        <v>0</v>
      </c>
      <c r="M32" cm="1">
        <f t="array" ref="M32">SUMPRODUCT(('Team Lineups'!$K$2:$K$2000&lt;&gt;"")*('Team Lineups'!$C$2:$C$2000=$A32)*COUNTIFS('Team Lineups'!$K$2:$K$2000,'Team Lineups'!$K$2:$K$2000,'Team Lineups'!$C$2:$C$2000,M$1))</f>
        <v>1</v>
      </c>
      <c r="N32" cm="1">
        <f t="array" ref="N32">SUMPRODUCT(('Team Lineups'!$K$2:$K$2000&lt;&gt;"")*('Team Lineups'!$C$2:$C$2000=$A32)*COUNTIFS('Team Lineups'!$K$2:$K$2000,'Team Lineups'!$K$2:$K$2000,'Team Lineups'!$C$2:$C$2000,N$1))</f>
        <v>0</v>
      </c>
      <c r="O32" cm="1">
        <f t="array" ref="O32">SUMPRODUCT(('Team Lineups'!$K$2:$K$2000&lt;&gt;"")*('Team Lineups'!$C$2:$C$2000=$A32)*COUNTIFS('Team Lineups'!$K$2:$K$2000,'Team Lineups'!$K$2:$K$2000,'Team Lineups'!$C$2:$C$2000,O$1))</f>
        <v>0</v>
      </c>
      <c r="P32" cm="1">
        <f t="array" ref="P32">SUMPRODUCT(('Team Lineups'!$K$2:$K$2000&lt;&gt;"")*('Team Lineups'!$C$2:$C$2000=$A32)*COUNTIFS('Team Lineups'!$K$2:$K$2000,'Team Lineups'!$K$2:$K$2000,'Team Lineups'!$C$2:$C$2000,P$1))</f>
        <v>1</v>
      </c>
      <c r="Q32" cm="1">
        <f t="array" ref="Q32">SUMPRODUCT(('Team Lineups'!$K$2:$K$2000&lt;&gt;"")*('Team Lineups'!$C$2:$C$2000=$A32)*COUNTIFS('Team Lineups'!$K$2:$K$2000,'Team Lineups'!$K$2:$K$2000,'Team Lineups'!$C$2:$C$2000,Q$1))</f>
        <v>0</v>
      </c>
      <c r="R32" cm="1">
        <f t="array" ref="R32">SUMPRODUCT(('Team Lineups'!$K$2:$K$2000&lt;&gt;"")*('Team Lineups'!$C$2:$C$2000=$A32)*COUNTIFS('Team Lineups'!$K$2:$K$2000,'Team Lineups'!$K$2:$K$2000,'Team Lineups'!$C$2:$C$2000,R$1))</f>
        <v>0</v>
      </c>
      <c r="S32" cm="1">
        <f t="array" ref="S32">SUMPRODUCT(('Team Lineups'!$K$2:$K$2000&lt;&gt;"")*('Team Lineups'!$C$2:$C$2000=$A32)*COUNTIFS('Team Lineups'!$K$2:$K$2000,'Team Lineups'!$K$2:$K$2000,'Team Lineups'!$C$2:$C$2000,S$1))</f>
        <v>0</v>
      </c>
      <c r="T32" cm="1">
        <f t="array" ref="T32">SUMPRODUCT(('Team Lineups'!$K$2:$K$2000&lt;&gt;"")*('Team Lineups'!$C$2:$C$2000=$A32)*COUNTIFS('Team Lineups'!$K$2:$K$2000,'Team Lineups'!$K$2:$K$2000,'Team Lineups'!$C$2:$C$2000,T$1))</f>
        <v>0</v>
      </c>
      <c r="U32" cm="1">
        <f t="array" ref="U32">SUMPRODUCT(('Team Lineups'!$K$2:$K$2000&lt;&gt;"")*('Team Lineups'!$C$2:$C$2000=$A32)*COUNTIFS('Team Lineups'!$K$2:$K$2000,'Team Lineups'!$K$2:$K$2000,'Team Lineups'!$C$2:$C$2000,U$1))</f>
        <v>0</v>
      </c>
      <c r="V32" cm="1">
        <f t="array" ref="V32">SUMPRODUCT(('Team Lineups'!$K$2:$K$2000&lt;&gt;"")*('Team Lineups'!$C$2:$C$2000=$A32)*COUNTIFS('Team Lineups'!$K$2:$K$2000,'Team Lineups'!$K$2:$K$2000,'Team Lineups'!$C$2:$C$2000,V$1))</f>
        <v>0</v>
      </c>
      <c r="W32" cm="1">
        <f t="array" ref="W32">SUMPRODUCT(('Team Lineups'!$K$2:$K$2000&lt;&gt;"")*('Team Lineups'!$C$2:$C$2000=$A32)*COUNTIFS('Team Lineups'!$K$2:$K$2000,'Team Lineups'!$K$2:$K$2000,'Team Lineups'!$C$2:$C$2000,W$1))</f>
        <v>0</v>
      </c>
      <c r="X32" cm="1">
        <f t="array" ref="X32">SUMPRODUCT(('Team Lineups'!$K$2:$K$2000&lt;&gt;"")*('Team Lineups'!$C$2:$C$2000=$A32)*COUNTIFS('Team Lineups'!$K$2:$K$2000,'Team Lineups'!$K$2:$K$2000,'Team Lineups'!$C$2:$C$2000,X$1))</f>
        <v>0</v>
      </c>
      <c r="Y32" cm="1">
        <f t="array" ref="Y32">SUMPRODUCT(('Team Lineups'!$K$2:$K$2000&lt;&gt;"")*('Team Lineups'!$C$2:$C$2000=$A32)*COUNTIFS('Team Lineups'!$K$2:$K$2000,'Team Lineups'!$K$2:$K$2000,'Team Lineups'!$C$2:$C$2000,Y$1))</f>
        <v>0</v>
      </c>
      <c r="Z32" cm="1">
        <f t="array" ref="Z32">SUMPRODUCT(('Team Lineups'!$K$2:$K$2000&lt;&gt;"")*('Team Lineups'!$C$2:$C$2000=$A32)*COUNTIFS('Team Lineups'!$K$2:$K$2000,'Team Lineups'!$K$2:$K$2000,'Team Lineups'!$C$2:$C$2000,Z$1))</f>
        <v>1</v>
      </c>
      <c r="AA32" cm="1">
        <f t="array" ref="AA32">SUMPRODUCT(('Team Lineups'!$K$2:$K$2000&lt;&gt;"")*('Team Lineups'!$C$2:$C$2000=$A32)*COUNTIFS('Team Lineups'!$K$2:$K$2000,'Team Lineups'!$K$2:$K$2000,'Team Lineups'!$C$2:$C$2000,AA$1))</f>
        <v>0</v>
      </c>
      <c r="AB32" cm="1">
        <f t="array" ref="AB32">SUMPRODUCT(('Team Lineups'!$K$2:$K$2000&lt;&gt;"")*('Team Lineups'!$C$2:$C$2000=$A32)*COUNTIFS('Team Lineups'!$K$2:$K$2000,'Team Lineups'!$K$2:$K$2000,'Team Lineups'!$C$2:$C$2000,AB$1))</f>
        <v>0</v>
      </c>
      <c r="AC32" cm="1">
        <f t="array" ref="AC32">SUMPRODUCT(('Team Lineups'!$K$2:$K$2000&lt;&gt;"")*('Team Lineups'!$C$2:$C$2000=$A32)*COUNTIFS('Team Lineups'!$K$2:$K$2000,'Team Lineups'!$K$2:$K$2000,'Team Lineups'!$C$2:$C$2000,AC$1))</f>
        <v>0</v>
      </c>
      <c r="AD32" cm="1">
        <f t="array" ref="AD32">SUMPRODUCT(('Team Lineups'!$K$2:$K$2000&lt;&gt;"")*('Team Lineups'!$C$2:$C$2000=$A32)*COUNTIFS('Team Lineups'!$K$2:$K$2000,'Team Lineups'!$K$2:$K$2000,'Team Lineups'!$C$2:$C$2000,AD$1))</f>
        <v>0</v>
      </c>
      <c r="AE32" cm="1">
        <f t="array" ref="AE32">SUMPRODUCT(('Team Lineups'!$K$2:$K$2000&lt;&gt;"")*('Team Lineups'!$C$2:$C$2000=$A32)*COUNTIFS('Team Lineups'!$K$2:$K$2000,'Team Lineups'!$K$2:$K$2000,'Team Lineups'!$C$2:$C$2000,AE$1))</f>
        <v>0</v>
      </c>
      <c r="AF32" cm="1">
        <f t="array" ref="AF32">SUMPRODUCT(('Team Lineups'!$K$2:$K$2000&lt;&gt;"")*('Team Lineups'!$C$2:$C$2000=$A32)*COUNTIFS('Team Lineups'!$K$2:$K$2000,'Team Lineups'!$K$2:$K$2000,'Team Lineups'!$C$2:$C$2000,AF$1))</f>
        <v>1</v>
      </c>
      <c r="AG32" cm="1">
        <f t="array" ref="AG32">SUMPRODUCT(('Team Lineups'!$K$2:$K$2000&lt;&gt;"")*('Team Lineups'!$C$2:$C$2000=$A32)*COUNTIFS('Team Lineups'!$K$2:$K$2000,'Team Lineups'!$K$2:$K$2000,'Team Lineups'!$C$2:$C$2000,AG$1))</f>
        <v>0</v>
      </c>
      <c r="AH32" cm="1">
        <f t="array" ref="AH32">SUMPRODUCT(('Team Lineups'!$K$2:$K$2000&lt;&gt;"")*('Team Lineups'!$C$2:$C$2000=$A32)*COUNTIFS('Team Lineups'!$K$2:$K$2000,'Team Lineups'!$K$2:$K$2000,'Team Lineups'!$C$2:$C$2000,AH$1))</f>
        <v>0</v>
      </c>
      <c r="AI32" cm="1">
        <f t="array" ref="AI32">SUMPRODUCT(('Team Lineups'!$K$2:$K$2000&lt;&gt;"")*('Team Lineups'!$C$2:$C$2000=$A32)*COUNTIFS('Team Lineups'!$K$2:$K$2000,'Team Lineups'!$K$2:$K$2000,'Team Lineups'!$C$2:$C$2000,AI$1))</f>
        <v>0</v>
      </c>
      <c r="AJ32" cm="1">
        <f t="array" ref="AJ32">SUMPRODUCT(('Team Lineups'!$K$2:$K$2000&lt;&gt;"")*('Team Lineups'!$C$2:$C$2000=$A32)*COUNTIFS('Team Lineups'!$K$2:$K$2000,'Team Lineups'!$K$2:$K$2000,'Team Lineups'!$C$2:$C$2000,AJ$1))</f>
        <v>0</v>
      </c>
      <c r="AK32" cm="1">
        <f t="array" ref="AK32">SUMPRODUCT(('Team Lineups'!$K$2:$K$2000&lt;&gt;"")*('Team Lineups'!$C$2:$C$2000=$A32)*COUNTIFS('Team Lineups'!$K$2:$K$2000,'Team Lineups'!$K$2:$K$2000,'Team Lineups'!$C$2:$C$2000,AK$1))</f>
        <v>0</v>
      </c>
      <c r="AL32" cm="1">
        <f t="array" ref="AL32">SUMPRODUCT(('Team Lineups'!$K$2:$K$2000&lt;&gt;"")*('Team Lineups'!$C$2:$C$2000=$A32)*COUNTIFS('Team Lineups'!$K$2:$K$2000,'Team Lineups'!$K$2:$K$2000,'Team Lineups'!$C$2:$C$2000,AL$1))</f>
        <v>0</v>
      </c>
      <c r="AM32" cm="1">
        <f t="array" ref="AM32">SUMPRODUCT(('Team Lineups'!$K$2:$K$2000&lt;&gt;"")*('Team Lineups'!$C$2:$C$2000=$A32)*COUNTIFS('Team Lineups'!$K$2:$K$2000,'Team Lineups'!$K$2:$K$2000,'Team Lineups'!$C$2:$C$2000,AM$1))</f>
        <v>0</v>
      </c>
      <c r="AN32" cm="1">
        <f t="array" ref="AN32">SUMPRODUCT(('Team Lineups'!$K$2:$K$2000&lt;&gt;"")*('Team Lineups'!$C$2:$C$2000=$A32)*COUNTIFS('Team Lineups'!$K$2:$K$2000,'Team Lineups'!$K$2:$K$2000,'Team Lineups'!$C$2:$C$2000,AN$1))</f>
        <v>0</v>
      </c>
      <c r="AO32" cm="1">
        <f t="array" ref="AO32">SUMPRODUCT(('Team Lineups'!$K$2:$K$2000&lt;&gt;"")*('Team Lineups'!$C$2:$C$2000=$A32)*COUNTIFS('Team Lineups'!$K$2:$K$2000,'Team Lineups'!$K$2:$K$2000,'Team Lineups'!$C$2:$C$2000,AO$1))</f>
        <v>0</v>
      </c>
      <c r="AP32" cm="1">
        <f t="array" ref="AP32">SUMPRODUCT(('Team Lineups'!$K$2:$K$2000&lt;&gt;"")*('Team Lineups'!$C$2:$C$2000=$A32)*COUNTIFS('Team Lineups'!$K$2:$K$2000,'Team Lineups'!$K$2:$K$2000,'Team Lineups'!$C$2:$C$2000,AP$1))</f>
        <v>0</v>
      </c>
      <c r="AQ32" cm="1">
        <f t="array" ref="AQ32">SUMPRODUCT(('Team Lineups'!$K$2:$K$2000&lt;&gt;"")*('Team Lineups'!$C$2:$C$2000=$A32)*COUNTIFS('Team Lineups'!$K$2:$K$2000,'Team Lineups'!$K$2:$K$2000,'Team Lineups'!$C$2:$C$2000,AQ$1))</f>
        <v>0</v>
      </c>
      <c r="AR32" cm="1">
        <f t="array" ref="AR32">SUMPRODUCT(('Team Lineups'!$K$2:$K$2000&lt;&gt;"")*('Team Lineups'!$C$2:$C$2000=$A32)*COUNTIFS('Team Lineups'!$K$2:$K$2000,'Team Lineups'!$K$2:$K$2000,'Team Lineups'!$C$2:$C$2000,AR$1))</f>
        <v>0</v>
      </c>
      <c r="AS32" cm="1">
        <f t="array" ref="AS32">SUMPRODUCT(('Team Lineups'!$K$2:$K$2000&lt;&gt;"")*('Team Lineups'!$C$2:$C$2000=$A32)*COUNTIFS('Team Lineups'!$K$2:$K$2000,'Team Lineups'!$K$2:$K$2000,'Team Lineups'!$C$2:$C$2000,AS$1))</f>
        <v>0</v>
      </c>
      <c r="AT32" cm="1">
        <f t="array" ref="AT32">SUMPRODUCT(('Team Lineups'!$K$2:$K$2000&lt;&gt;"")*('Team Lineups'!$C$2:$C$2000=$A32)*COUNTIFS('Team Lineups'!$K$2:$K$2000,'Team Lineups'!$K$2:$K$2000,'Team Lineups'!$C$2:$C$2000,AT$1))</f>
        <v>0</v>
      </c>
      <c r="AU32" cm="1">
        <f t="array" ref="AU32">SUMPRODUCT(('Team Lineups'!$K$2:$K$2000&lt;&gt;"")*('Team Lineups'!$C$2:$C$2000=$A32)*COUNTIFS('Team Lineups'!$K$2:$K$2000,'Team Lineups'!$K$2:$K$2000,'Team Lineups'!$C$2:$C$2000,AU$1))</f>
        <v>0</v>
      </c>
      <c r="AV32" cm="1">
        <f t="array" ref="AV32">SUMPRODUCT(('Team Lineups'!$K$2:$K$2000&lt;&gt;"")*('Team Lineups'!$C$2:$C$2000=$A32)*COUNTIFS('Team Lineups'!$K$2:$K$2000,'Team Lineups'!$K$2:$K$2000,'Team Lineups'!$C$2:$C$2000,AV$1))</f>
        <v>0</v>
      </c>
    </row>
    <row r="33" spans="1:48" x14ac:dyDescent="0.35">
      <c r="A33" t="str">
        <v>Ray</v>
      </c>
      <c r="B33" cm="1">
        <f t="array" ref="B33">SUMPRODUCT(('Team Lineups'!$K$2:$K$2000&lt;&gt;"")*('Team Lineups'!$C$2:$C$2000=$A33)*COUNTIFS('Team Lineups'!$K$2:$K$2000,'Team Lineups'!$K$2:$K$2000,'Team Lineups'!$C$2:$C$2000,B$1))</f>
        <v>0</v>
      </c>
      <c r="C33" cm="1">
        <f t="array" ref="C33">SUMPRODUCT(('Team Lineups'!$K$2:$K$2000&lt;&gt;"")*('Team Lineups'!$C$2:$C$2000=$A33)*COUNTIFS('Team Lineups'!$K$2:$K$2000,'Team Lineups'!$K$2:$K$2000,'Team Lineups'!$C$2:$C$2000,C$1))</f>
        <v>2</v>
      </c>
      <c r="D33" cm="1">
        <f t="array" ref="D33">SUMPRODUCT(('Team Lineups'!$K$2:$K$2000&lt;&gt;"")*('Team Lineups'!$C$2:$C$2000=$A33)*COUNTIFS('Team Lineups'!$K$2:$K$2000,'Team Lineups'!$K$2:$K$2000,'Team Lineups'!$C$2:$C$2000,D$1))</f>
        <v>2</v>
      </c>
      <c r="E33" cm="1">
        <f t="array" ref="E33">SUMPRODUCT(('Team Lineups'!$K$2:$K$2000&lt;&gt;"")*('Team Lineups'!$C$2:$C$2000=$A33)*COUNTIFS('Team Lineups'!$K$2:$K$2000,'Team Lineups'!$K$2:$K$2000,'Team Lineups'!$C$2:$C$2000,E$1))</f>
        <v>3</v>
      </c>
      <c r="F33" cm="1">
        <f t="array" ref="F33">SUMPRODUCT(('Team Lineups'!$K$2:$K$2000&lt;&gt;"")*('Team Lineups'!$C$2:$C$2000=$A33)*COUNTIFS('Team Lineups'!$K$2:$K$2000,'Team Lineups'!$K$2:$K$2000,'Team Lineups'!$C$2:$C$2000,F$1))</f>
        <v>3</v>
      </c>
      <c r="G33" cm="1">
        <f t="array" ref="G33">SUMPRODUCT(('Team Lineups'!$K$2:$K$2000&lt;&gt;"")*('Team Lineups'!$C$2:$C$2000=$A33)*COUNTIFS('Team Lineups'!$K$2:$K$2000,'Team Lineups'!$K$2:$K$2000,'Team Lineups'!$C$2:$C$2000,G$1))</f>
        <v>2</v>
      </c>
      <c r="H33" cm="1">
        <f t="array" ref="H33">SUMPRODUCT(('Team Lineups'!$K$2:$K$2000&lt;&gt;"")*('Team Lineups'!$C$2:$C$2000=$A33)*COUNTIFS('Team Lineups'!$K$2:$K$2000,'Team Lineups'!$K$2:$K$2000,'Team Lineups'!$C$2:$C$2000,H$1))</f>
        <v>2</v>
      </c>
      <c r="I33" cm="1">
        <f t="array" ref="I33">SUMPRODUCT(('Team Lineups'!$K$2:$K$2000&lt;&gt;"")*('Team Lineups'!$C$2:$C$2000=$A33)*COUNTIFS('Team Lineups'!$K$2:$K$2000,'Team Lineups'!$K$2:$K$2000,'Team Lineups'!$C$2:$C$2000,I$1))</f>
        <v>0</v>
      </c>
      <c r="J33" cm="1">
        <f t="array" ref="J33">SUMPRODUCT(('Team Lineups'!$K$2:$K$2000&lt;&gt;"")*('Team Lineups'!$C$2:$C$2000=$A33)*COUNTIFS('Team Lineups'!$K$2:$K$2000,'Team Lineups'!$K$2:$K$2000,'Team Lineups'!$C$2:$C$2000,J$1))</f>
        <v>0</v>
      </c>
      <c r="K33" cm="1">
        <f t="array" ref="K33">SUMPRODUCT(('Team Lineups'!$K$2:$K$2000&lt;&gt;"")*('Team Lineups'!$C$2:$C$2000=$A33)*COUNTIFS('Team Lineups'!$K$2:$K$2000,'Team Lineups'!$K$2:$K$2000,'Team Lineups'!$C$2:$C$2000,K$1))</f>
        <v>0</v>
      </c>
      <c r="L33" cm="1">
        <f t="array" ref="L33">SUMPRODUCT(('Team Lineups'!$K$2:$K$2000&lt;&gt;"")*('Team Lineups'!$C$2:$C$2000=$A33)*COUNTIFS('Team Lineups'!$K$2:$K$2000,'Team Lineups'!$K$2:$K$2000,'Team Lineups'!$C$2:$C$2000,L$1))</f>
        <v>2</v>
      </c>
      <c r="M33" cm="1">
        <f t="array" ref="M33">SUMPRODUCT(('Team Lineups'!$K$2:$K$2000&lt;&gt;"")*('Team Lineups'!$C$2:$C$2000=$A33)*COUNTIFS('Team Lineups'!$K$2:$K$2000,'Team Lineups'!$K$2:$K$2000,'Team Lineups'!$C$2:$C$2000,M$1))</f>
        <v>2</v>
      </c>
      <c r="N33" cm="1">
        <f t="array" ref="N33">SUMPRODUCT(('Team Lineups'!$K$2:$K$2000&lt;&gt;"")*('Team Lineups'!$C$2:$C$2000=$A33)*COUNTIFS('Team Lineups'!$K$2:$K$2000,'Team Lineups'!$K$2:$K$2000,'Team Lineups'!$C$2:$C$2000,N$1))</f>
        <v>3</v>
      </c>
      <c r="O33" cm="1">
        <f t="array" ref="O33">SUMPRODUCT(('Team Lineups'!$K$2:$K$2000&lt;&gt;"")*('Team Lineups'!$C$2:$C$2000=$A33)*COUNTIFS('Team Lineups'!$K$2:$K$2000,'Team Lineups'!$K$2:$K$2000,'Team Lineups'!$C$2:$C$2000,O$1))</f>
        <v>1</v>
      </c>
      <c r="P33" cm="1">
        <f t="array" ref="P33">SUMPRODUCT(('Team Lineups'!$K$2:$K$2000&lt;&gt;"")*('Team Lineups'!$C$2:$C$2000=$A33)*COUNTIFS('Team Lineups'!$K$2:$K$2000,'Team Lineups'!$K$2:$K$2000,'Team Lineups'!$C$2:$C$2000,P$1))</f>
        <v>0</v>
      </c>
      <c r="Q33" cm="1">
        <f t="array" ref="Q33">SUMPRODUCT(('Team Lineups'!$K$2:$K$2000&lt;&gt;"")*('Team Lineups'!$C$2:$C$2000=$A33)*COUNTIFS('Team Lineups'!$K$2:$K$2000,'Team Lineups'!$K$2:$K$2000,'Team Lineups'!$C$2:$C$2000,Q$1))</f>
        <v>3</v>
      </c>
      <c r="R33" cm="1">
        <f t="array" ref="R33">SUMPRODUCT(('Team Lineups'!$K$2:$K$2000&lt;&gt;"")*('Team Lineups'!$C$2:$C$2000=$A33)*COUNTIFS('Team Lineups'!$K$2:$K$2000,'Team Lineups'!$K$2:$K$2000,'Team Lineups'!$C$2:$C$2000,R$1))</f>
        <v>0</v>
      </c>
      <c r="S33" cm="1">
        <f t="array" ref="S33">SUMPRODUCT(('Team Lineups'!$K$2:$K$2000&lt;&gt;"")*('Team Lineups'!$C$2:$C$2000=$A33)*COUNTIFS('Team Lineups'!$K$2:$K$2000,'Team Lineups'!$K$2:$K$2000,'Team Lineups'!$C$2:$C$2000,S$1))</f>
        <v>4</v>
      </c>
      <c r="T33" cm="1">
        <f t="array" ref="T33">SUMPRODUCT(('Team Lineups'!$K$2:$K$2000&lt;&gt;"")*('Team Lineups'!$C$2:$C$2000=$A33)*COUNTIFS('Team Lineups'!$K$2:$K$2000,'Team Lineups'!$K$2:$K$2000,'Team Lineups'!$C$2:$C$2000,T$1))</f>
        <v>0</v>
      </c>
      <c r="U33" cm="1">
        <f t="array" ref="U33">SUMPRODUCT(('Team Lineups'!$K$2:$K$2000&lt;&gt;"")*('Team Lineups'!$C$2:$C$2000=$A33)*COUNTIFS('Team Lineups'!$K$2:$K$2000,'Team Lineups'!$K$2:$K$2000,'Team Lineups'!$C$2:$C$2000,U$1))</f>
        <v>0</v>
      </c>
      <c r="V33" cm="1">
        <f t="array" ref="V33">SUMPRODUCT(('Team Lineups'!$K$2:$K$2000&lt;&gt;"")*('Team Lineups'!$C$2:$C$2000=$A33)*COUNTIFS('Team Lineups'!$K$2:$K$2000,'Team Lineups'!$K$2:$K$2000,'Team Lineups'!$C$2:$C$2000,V$1))</f>
        <v>0</v>
      </c>
      <c r="W33" cm="1">
        <f t="array" ref="W33">SUMPRODUCT(('Team Lineups'!$K$2:$K$2000&lt;&gt;"")*('Team Lineups'!$C$2:$C$2000=$A33)*COUNTIFS('Team Lineups'!$K$2:$K$2000,'Team Lineups'!$K$2:$K$2000,'Team Lineups'!$C$2:$C$2000,W$1))</f>
        <v>0</v>
      </c>
      <c r="X33" cm="1">
        <f t="array" ref="X33">SUMPRODUCT(('Team Lineups'!$K$2:$K$2000&lt;&gt;"")*('Team Lineups'!$C$2:$C$2000=$A33)*COUNTIFS('Team Lineups'!$K$2:$K$2000,'Team Lineups'!$K$2:$K$2000,'Team Lineups'!$C$2:$C$2000,X$1))</f>
        <v>0</v>
      </c>
      <c r="Y33" cm="1">
        <f t="array" ref="Y33">SUMPRODUCT(('Team Lineups'!$K$2:$K$2000&lt;&gt;"")*('Team Lineups'!$C$2:$C$2000=$A33)*COUNTIFS('Team Lineups'!$K$2:$K$2000,'Team Lineups'!$K$2:$K$2000,'Team Lineups'!$C$2:$C$2000,Y$1))</f>
        <v>0</v>
      </c>
      <c r="Z33" cm="1">
        <f t="array" ref="Z33">SUMPRODUCT(('Team Lineups'!$K$2:$K$2000&lt;&gt;"")*('Team Lineups'!$C$2:$C$2000=$A33)*COUNTIFS('Team Lineups'!$K$2:$K$2000,'Team Lineups'!$K$2:$K$2000,'Team Lineups'!$C$2:$C$2000,Z$1))</f>
        <v>1</v>
      </c>
      <c r="AA33" cm="1">
        <f t="array" ref="AA33">SUMPRODUCT(('Team Lineups'!$K$2:$K$2000&lt;&gt;"")*('Team Lineups'!$C$2:$C$2000=$A33)*COUNTIFS('Team Lineups'!$K$2:$K$2000,'Team Lineups'!$K$2:$K$2000,'Team Lineups'!$C$2:$C$2000,AA$1))</f>
        <v>2</v>
      </c>
      <c r="AB33" cm="1">
        <f t="array" ref="AB33">SUMPRODUCT(('Team Lineups'!$K$2:$K$2000&lt;&gt;"")*('Team Lineups'!$C$2:$C$2000=$A33)*COUNTIFS('Team Lineups'!$K$2:$K$2000,'Team Lineups'!$K$2:$K$2000,'Team Lineups'!$C$2:$C$2000,AB$1))</f>
        <v>0</v>
      </c>
      <c r="AC33" cm="1">
        <f t="array" ref="AC33">SUMPRODUCT(('Team Lineups'!$K$2:$K$2000&lt;&gt;"")*('Team Lineups'!$C$2:$C$2000=$A33)*COUNTIFS('Team Lineups'!$K$2:$K$2000,'Team Lineups'!$K$2:$K$2000,'Team Lineups'!$C$2:$C$2000,AC$1))</f>
        <v>0</v>
      </c>
      <c r="AD33" cm="1">
        <f t="array" ref="AD33">SUMPRODUCT(('Team Lineups'!$K$2:$K$2000&lt;&gt;"")*('Team Lineups'!$C$2:$C$2000=$A33)*COUNTIFS('Team Lineups'!$K$2:$K$2000,'Team Lineups'!$K$2:$K$2000,'Team Lineups'!$C$2:$C$2000,AD$1))</f>
        <v>1</v>
      </c>
      <c r="AE33" cm="1">
        <f t="array" ref="AE33">SUMPRODUCT(('Team Lineups'!$K$2:$K$2000&lt;&gt;"")*('Team Lineups'!$C$2:$C$2000=$A33)*COUNTIFS('Team Lineups'!$K$2:$K$2000,'Team Lineups'!$K$2:$K$2000,'Team Lineups'!$C$2:$C$2000,AE$1))</f>
        <v>0</v>
      </c>
      <c r="AF33" cm="1">
        <f t="array" ref="AF33">SUMPRODUCT(('Team Lineups'!$K$2:$K$2000&lt;&gt;"")*('Team Lineups'!$C$2:$C$2000=$A33)*COUNTIFS('Team Lineups'!$K$2:$K$2000,'Team Lineups'!$K$2:$K$2000,'Team Lineups'!$C$2:$C$2000,AF$1))</f>
        <v>0</v>
      </c>
      <c r="AG33" cm="1">
        <f t="array" ref="AG33">SUMPRODUCT(('Team Lineups'!$K$2:$K$2000&lt;&gt;"")*('Team Lineups'!$C$2:$C$2000=$A33)*COUNTIFS('Team Lineups'!$K$2:$K$2000,'Team Lineups'!$K$2:$K$2000,'Team Lineups'!$C$2:$C$2000,AG$1))</f>
        <v>10</v>
      </c>
      <c r="AH33" cm="1">
        <f t="array" ref="AH33">SUMPRODUCT(('Team Lineups'!$K$2:$K$2000&lt;&gt;"")*('Team Lineups'!$C$2:$C$2000=$A33)*COUNTIFS('Team Lineups'!$K$2:$K$2000,'Team Lineups'!$K$2:$K$2000,'Team Lineups'!$C$2:$C$2000,AH$1))</f>
        <v>3</v>
      </c>
      <c r="AI33" cm="1">
        <f t="array" ref="AI33">SUMPRODUCT(('Team Lineups'!$K$2:$K$2000&lt;&gt;"")*('Team Lineups'!$C$2:$C$2000=$A33)*COUNTIFS('Team Lineups'!$K$2:$K$2000,'Team Lineups'!$K$2:$K$2000,'Team Lineups'!$C$2:$C$2000,AI$1))</f>
        <v>0</v>
      </c>
      <c r="AJ33" cm="1">
        <f t="array" ref="AJ33">SUMPRODUCT(('Team Lineups'!$K$2:$K$2000&lt;&gt;"")*('Team Lineups'!$C$2:$C$2000=$A33)*COUNTIFS('Team Lineups'!$K$2:$K$2000,'Team Lineups'!$K$2:$K$2000,'Team Lineups'!$C$2:$C$2000,AJ$1))</f>
        <v>2</v>
      </c>
      <c r="AK33" cm="1">
        <f t="array" ref="AK33">SUMPRODUCT(('Team Lineups'!$K$2:$K$2000&lt;&gt;"")*('Team Lineups'!$C$2:$C$2000=$A33)*COUNTIFS('Team Lineups'!$K$2:$K$2000,'Team Lineups'!$K$2:$K$2000,'Team Lineups'!$C$2:$C$2000,AK$1))</f>
        <v>0</v>
      </c>
      <c r="AL33" cm="1">
        <f t="array" ref="AL33">SUMPRODUCT(('Team Lineups'!$K$2:$K$2000&lt;&gt;"")*('Team Lineups'!$C$2:$C$2000=$A33)*COUNTIFS('Team Lineups'!$K$2:$K$2000,'Team Lineups'!$K$2:$K$2000,'Team Lineups'!$C$2:$C$2000,AL$1))</f>
        <v>0</v>
      </c>
      <c r="AM33" cm="1">
        <f t="array" ref="AM33">SUMPRODUCT(('Team Lineups'!$K$2:$K$2000&lt;&gt;"")*('Team Lineups'!$C$2:$C$2000=$A33)*COUNTIFS('Team Lineups'!$K$2:$K$2000,'Team Lineups'!$K$2:$K$2000,'Team Lineups'!$C$2:$C$2000,AM$1))</f>
        <v>0</v>
      </c>
      <c r="AN33" cm="1">
        <f t="array" ref="AN33">SUMPRODUCT(('Team Lineups'!$K$2:$K$2000&lt;&gt;"")*('Team Lineups'!$C$2:$C$2000=$A33)*COUNTIFS('Team Lineups'!$K$2:$K$2000,'Team Lineups'!$K$2:$K$2000,'Team Lineups'!$C$2:$C$2000,AN$1))</f>
        <v>1</v>
      </c>
      <c r="AO33" cm="1">
        <f t="array" ref="AO33">SUMPRODUCT(('Team Lineups'!$K$2:$K$2000&lt;&gt;"")*('Team Lineups'!$C$2:$C$2000=$A33)*COUNTIFS('Team Lineups'!$K$2:$K$2000,'Team Lineups'!$K$2:$K$2000,'Team Lineups'!$C$2:$C$2000,AO$1))</f>
        <v>1</v>
      </c>
      <c r="AP33" cm="1">
        <f t="array" ref="AP33">SUMPRODUCT(('Team Lineups'!$K$2:$K$2000&lt;&gt;"")*('Team Lineups'!$C$2:$C$2000=$A33)*COUNTIFS('Team Lineups'!$K$2:$K$2000,'Team Lineups'!$K$2:$K$2000,'Team Lineups'!$C$2:$C$2000,AP$1))</f>
        <v>4</v>
      </c>
      <c r="AQ33" cm="1">
        <f t="array" ref="AQ33">SUMPRODUCT(('Team Lineups'!$K$2:$K$2000&lt;&gt;"")*('Team Lineups'!$C$2:$C$2000=$A33)*COUNTIFS('Team Lineups'!$K$2:$K$2000,'Team Lineups'!$K$2:$K$2000,'Team Lineups'!$C$2:$C$2000,AQ$1))</f>
        <v>0</v>
      </c>
      <c r="AR33" cm="1">
        <f t="array" ref="AR33">SUMPRODUCT(('Team Lineups'!$K$2:$K$2000&lt;&gt;"")*('Team Lineups'!$C$2:$C$2000=$A33)*COUNTIFS('Team Lineups'!$K$2:$K$2000,'Team Lineups'!$K$2:$K$2000,'Team Lineups'!$C$2:$C$2000,AR$1))</f>
        <v>1</v>
      </c>
      <c r="AS33" cm="1">
        <f t="array" ref="AS33">SUMPRODUCT(('Team Lineups'!$K$2:$K$2000&lt;&gt;"")*('Team Lineups'!$C$2:$C$2000=$A33)*COUNTIFS('Team Lineups'!$K$2:$K$2000,'Team Lineups'!$K$2:$K$2000,'Team Lineups'!$C$2:$C$2000,AS$1))</f>
        <v>0</v>
      </c>
      <c r="AT33" cm="1">
        <f t="array" ref="AT33">SUMPRODUCT(('Team Lineups'!$K$2:$K$2000&lt;&gt;"")*('Team Lineups'!$C$2:$C$2000=$A33)*COUNTIFS('Team Lineups'!$K$2:$K$2000,'Team Lineups'!$K$2:$K$2000,'Team Lineups'!$C$2:$C$2000,AT$1))</f>
        <v>0</v>
      </c>
      <c r="AU33" cm="1">
        <f t="array" ref="AU33">SUMPRODUCT(('Team Lineups'!$K$2:$K$2000&lt;&gt;"")*('Team Lineups'!$C$2:$C$2000=$A33)*COUNTIFS('Team Lineups'!$K$2:$K$2000,'Team Lineups'!$K$2:$K$2000,'Team Lineups'!$C$2:$C$2000,AU$1))</f>
        <v>0</v>
      </c>
      <c r="AV33" cm="1">
        <f t="array" ref="AV33">SUMPRODUCT(('Team Lineups'!$K$2:$K$2000&lt;&gt;"")*('Team Lineups'!$C$2:$C$2000=$A33)*COUNTIFS('Team Lineups'!$K$2:$K$2000,'Team Lineups'!$K$2:$K$2000,'Team Lineups'!$C$2:$C$2000,AV$1))</f>
        <v>0</v>
      </c>
    </row>
    <row r="34" spans="1:48" x14ac:dyDescent="0.35">
      <c r="A34" t="str">
        <v>Ray's son</v>
      </c>
      <c r="B34" cm="1">
        <f t="array" ref="B34">SUMPRODUCT(('Team Lineups'!$K$2:$K$2000&lt;&gt;"")*('Team Lineups'!$C$2:$C$2000=$A34)*COUNTIFS('Team Lineups'!$K$2:$K$2000,'Team Lineups'!$K$2:$K$2000,'Team Lineups'!$C$2:$C$2000,B$1))</f>
        <v>0</v>
      </c>
      <c r="C34" cm="1">
        <f t="array" ref="C34">SUMPRODUCT(('Team Lineups'!$K$2:$K$2000&lt;&gt;"")*('Team Lineups'!$C$2:$C$2000=$A34)*COUNTIFS('Team Lineups'!$K$2:$K$2000,'Team Lineups'!$K$2:$K$2000,'Team Lineups'!$C$2:$C$2000,C$1))</f>
        <v>0</v>
      </c>
      <c r="D34" cm="1">
        <f t="array" ref="D34">SUMPRODUCT(('Team Lineups'!$K$2:$K$2000&lt;&gt;"")*('Team Lineups'!$C$2:$C$2000=$A34)*COUNTIFS('Team Lineups'!$K$2:$K$2000,'Team Lineups'!$K$2:$K$2000,'Team Lineups'!$C$2:$C$2000,D$1))</f>
        <v>0</v>
      </c>
      <c r="E34" cm="1">
        <f t="array" ref="E34">SUMPRODUCT(('Team Lineups'!$K$2:$K$2000&lt;&gt;"")*('Team Lineups'!$C$2:$C$2000=$A34)*COUNTIFS('Team Lineups'!$K$2:$K$2000,'Team Lineups'!$K$2:$K$2000,'Team Lineups'!$C$2:$C$2000,E$1))</f>
        <v>0</v>
      </c>
      <c r="F34" cm="1">
        <f t="array" ref="F34">SUMPRODUCT(('Team Lineups'!$K$2:$K$2000&lt;&gt;"")*('Team Lineups'!$C$2:$C$2000=$A34)*COUNTIFS('Team Lineups'!$K$2:$K$2000,'Team Lineups'!$K$2:$K$2000,'Team Lineups'!$C$2:$C$2000,F$1))</f>
        <v>0</v>
      </c>
      <c r="G34" cm="1">
        <f t="array" ref="G34">SUMPRODUCT(('Team Lineups'!$K$2:$K$2000&lt;&gt;"")*('Team Lineups'!$C$2:$C$2000=$A34)*COUNTIFS('Team Lineups'!$K$2:$K$2000,'Team Lineups'!$K$2:$K$2000,'Team Lineups'!$C$2:$C$2000,G$1))</f>
        <v>1</v>
      </c>
      <c r="H34" cm="1">
        <f t="array" ref="H34">SUMPRODUCT(('Team Lineups'!$K$2:$K$2000&lt;&gt;"")*('Team Lineups'!$C$2:$C$2000=$A34)*COUNTIFS('Team Lineups'!$K$2:$K$2000,'Team Lineups'!$K$2:$K$2000,'Team Lineups'!$C$2:$C$2000,H$1))</f>
        <v>0</v>
      </c>
      <c r="I34" cm="1">
        <f t="array" ref="I34">SUMPRODUCT(('Team Lineups'!$K$2:$K$2000&lt;&gt;"")*('Team Lineups'!$C$2:$C$2000=$A34)*COUNTIFS('Team Lineups'!$K$2:$K$2000,'Team Lineups'!$K$2:$K$2000,'Team Lineups'!$C$2:$C$2000,I$1))</f>
        <v>0</v>
      </c>
      <c r="J34" cm="1">
        <f t="array" ref="J34">SUMPRODUCT(('Team Lineups'!$K$2:$K$2000&lt;&gt;"")*('Team Lineups'!$C$2:$C$2000=$A34)*COUNTIFS('Team Lineups'!$K$2:$K$2000,'Team Lineups'!$K$2:$K$2000,'Team Lineups'!$C$2:$C$2000,J$1))</f>
        <v>0</v>
      </c>
      <c r="K34" cm="1">
        <f t="array" ref="K34">SUMPRODUCT(('Team Lineups'!$K$2:$K$2000&lt;&gt;"")*('Team Lineups'!$C$2:$C$2000=$A34)*COUNTIFS('Team Lineups'!$K$2:$K$2000,'Team Lineups'!$K$2:$K$2000,'Team Lineups'!$C$2:$C$2000,K$1))</f>
        <v>0</v>
      </c>
      <c r="L34" cm="1">
        <f t="array" ref="L34">SUMPRODUCT(('Team Lineups'!$K$2:$K$2000&lt;&gt;"")*('Team Lineups'!$C$2:$C$2000=$A34)*COUNTIFS('Team Lineups'!$K$2:$K$2000,'Team Lineups'!$K$2:$K$2000,'Team Lineups'!$C$2:$C$2000,L$1))</f>
        <v>2</v>
      </c>
      <c r="M34" cm="1">
        <f t="array" ref="M34">SUMPRODUCT(('Team Lineups'!$K$2:$K$2000&lt;&gt;"")*('Team Lineups'!$C$2:$C$2000=$A34)*COUNTIFS('Team Lineups'!$K$2:$K$2000,'Team Lineups'!$K$2:$K$2000,'Team Lineups'!$C$2:$C$2000,M$1))</f>
        <v>2</v>
      </c>
      <c r="N34" cm="1">
        <f t="array" ref="N34">SUMPRODUCT(('Team Lineups'!$K$2:$K$2000&lt;&gt;"")*('Team Lineups'!$C$2:$C$2000=$A34)*COUNTIFS('Team Lineups'!$K$2:$K$2000,'Team Lineups'!$K$2:$K$2000,'Team Lineups'!$C$2:$C$2000,N$1))</f>
        <v>0</v>
      </c>
      <c r="O34" cm="1">
        <f t="array" ref="O34">SUMPRODUCT(('Team Lineups'!$K$2:$K$2000&lt;&gt;"")*('Team Lineups'!$C$2:$C$2000=$A34)*COUNTIFS('Team Lineups'!$K$2:$K$2000,'Team Lineups'!$K$2:$K$2000,'Team Lineups'!$C$2:$C$2000,O$1))</f>
        <v>0</v>
      </c>
      <c r="P34" cm="1">
        <f t="array" ref="P34">SUMPRODUCT(('Team Lineups'!$K$2:$K$2000&lt;&gt;"")*('Team Lineups'!$C$2:$C$2000=$A34)*COUNTIFS('Team Lineups'!$K$2:$K$2000,'Team Lineups'!$K$2:$K$2000,'Team Lineups'!$C$2:$C$2000,P$1))</f>
        <v>0</v>
      </c>
      <c r="Q34" cm="1">
        <f t="array" ref="Q34">SUMPRODUCT(('Team Lineups'!$K$2:$K$2000&lt;&gt;"")*('Team Lineups'!$C$2:$C$2000=$A34)*COUNTIFS('Team Lineups'!$K$2:$K$2000,'Team Lineups'!$K$2:$K$2000,'Team Lineups'!$C$2:$C$2000,Q$1))</f>
        <v>0</v>
      </c>
      <c r="R34" cm="1">
        <f t="array" ref="R34">SUMPRODUCT(('Team Lineups'!$K$2:$K$2000&lt;&gt;"")*('Team Lineups'!$C$2:$C$2000=$A34)*COUNTIFS('Team Lineups'!$K$2:$K$2000,'Team Lineups'!$K$2:$K$2000,'Team Lineups'!$C$2:$C$2000,R$1))</f>
        <v>0</v>
      </c>
      <c r="S34" cm="1">
        <f t="array" ref="S34">SUMPRODUCT(('Team Lineups'!$K$2:$K$2000&lt;&gt;"")*('Team Lineups'!$C$2:$C$2000=$A34)*COUNTIFS('Team Lineups'!$K$2:$K$2000,'Team Lineups'!$K$2:$K$2000,'Team Lineups'!$C$2:$C$2000,S$1))</f>
        <v>2</v>
      </c>
      <c r="T34" cm="1">
        <f t="array" ref="T34">SUMPRODUCT(('Team Lineups'!$K$2:$K$2000&lt;&gt;"")*('Team Lineups'!$C$2:$C$2000=$A34)*COUNTIFS('Team Lineups'!$K$2:$K$2000,'Team Lineups'!$K$2:$K$2000,'Team Lineups'!$C$2:$C$2000,T$1))</f>
        <v>0</v>
      </c>
      <c r="U34" cm="1">
        <f t="array" ref="U34">SUMPRODUCT(('Team Lineups'!$K$2:$K$2000&lt;&gt;"")*('Team Lineups'!$C$2:$C$2000=$A34)*COUNTIFS('Team Lineups'!$K$2:$K$2000,'Team Lineups'!$K$2:$K$2000,'Team Lineups'!$C$2:$C$2000,U$1))</f>
        <v>0</v>
      </c>
      <c r="V34" cm="1">
        <f t="array" ref="V34">SUMPRODUCT(('Team Lineups'!$K$2:$K$2000&lt;&gt;"")*('Team Lineups'!$C$2:$C$2000=$A34)*COUNTIFS('Team Lineups'!$K$2:$K$2000,'Team Lineups'!$K$2:$K$2000,'Team Lineups'!$C$2:$C$2000,V$1))</f>
        <v>0</v>
      </c>
      <c r="W34" cm="1">
        <f t="array" ref="W34">SUMPRODUCT(('Team Lineups'!$K$2:$K$2000&lt;&gt;"")*('Team Lineups'!$C$2:$C$2000=$A34)*COUNTIFS('Team Lineups'!$K$2:$K$2000,'Team Lineups'!$K$2:$K$2000,'Team Lineups'!$C$2:$C$2000,W$1))</f>
        <v>0</v>
      </c>
      <c r="X34" cm="1">
        <f t="array" ref="X34">SUMPRODUCT(('Team Lineups'!$K$2:$K$2000&lt;&gt;"")*('Team Lineups'!$C$2:$C$2000=$A34)*COUNTIFS('Team Lineups'!$K$2:$K$2000,'Team Lineups'!$K$2:$K$2000,'Team Lineups'!$C$2:$C$2000,X$1))</f>
        <v>0</v>
      </c>
      <c r="Y34" cm="1">
        <f t="array" ref="Y34">SUMPRODUCT(('Team Lineups'!$K$2:$K$2000&lt;&gt;"")*('Team Lineups'!$C$2:$C$2000=$A34)*COUNTIFS('Team Lineups'!$K$2:$K$2000,'Team Lineups'!$K$2:$K$2000,'Team Lineups'!$C$2:$C$2000,Y$1))</f>
        <v>0</v>
      </c>
      <c r="Z34" cm="1">
        <f t="array" ref="Z34">SUMPRODUCT(('Team Lineups'!$K$2:$K$2000&lt;&gt;"")*('Team Lineups'!$C$2:$C$2000=$A34)*COUNTIFS('Team Lineups'!$K$2:$K$2000,'Team Lineups'!$K$2:$K$2000,'Team Lineups'!$C$2:$C$2000,Z$1))</f>
        <v>0</v>
      </c>
      <c r="AA34" cm="1">
        <f t="array" ref="AA34">SUMPRODUCT(('Team Lineups'!$K$2:$K$2000&lt;&gt;"")*('Team Lineups'!$C$2:$C$2000=$A34)*COUNTIFS('Team Lineups'!$K$2:$K$2000,'Team Lineups'!$K$2:$K$2000,'Team Lineups'!$C$2:$C$2000,AA$1))</f>
        <v>0</v>
      </c>
      <c r="AB34" cm="1">
        <f t="array" ref="AB34">SUMPRODUCT(('Team Lineups'!$K$2:$K$2000&lt;&gt;"")*('Team Lineups'!$C$2:$C$2000=$A34)*COUNTIFS('Team Lineups'!$K$2:$K$2000,'Team Lineups'!$K$2:$K$2000,'Team Lineups'!$C$2:$C$2000,AB$1))</f>
        <v>0</v>
      </c>
      <c r="AC34" cm="1">
        <f t="array" ref="AC34">SUMPRODUCT(('Team Lineups'!$K$2:$K$2000&lt;&gt;"")*('Team Lineups'!$C$2:$C$2000=$A34)*COUNTIFS('Team Lineups'!$K$2:$K$2000,'Team Lineups'!$K$2:$K$2000,'Team Lineups'!$C$2:$C$2000,AC$1))</f>
        <v>0</v>
      </c>
      <c r="AD34" cm="1">
        <f t="array" ref="AD34">SUMPRODUCT(('Team Lineups'!$K$2:$K$2000&lt;&gt;"")*('Team Lineups'!$C$2:$C$2000=$A34)*COUNTIFS('Team Lineups'!$K$2:$K$2000,'Team Lineups'!$K$2:$K$2000,'Team Lineups'!$C$2:$C$2000,AD$1))</f>
        <v>1</v>
      </c>
      <c r="AE34" cm="1">
        <f t="array" ref="AE34">SUMPRODUCT(('Team Lineups'!$K$2:$K$2000&lt;&gt;"")*('Team Lineups'!$C$2:$C$2000=$A34)*COUNTIFS('Team Lineups'!$K$2:$K$2000,'Team Lineups'!$K$2:$K$2000,'Team Lineups'!$C$2:$C$2000,AE$1))</f>
        <v>0</v>
      </c>
      <c r="AF34" cm="1">
        <f t="array" ref="AF34">SUMPRODUCT(('Team Lineups'!$K$2:$K$2000&lt;&gt;"")*('Team Lineups'!$C$2:$C$2000=$A34)*COUNTIFS('Team Lineups'!$K$2:$K$2000,'Team Lineups'!$K$2:$K$2000,'Team Lineups'!$C$2:$C$2000,AF$1))</f>
        <v>0</v>
      </c>
      <c r="AG34" cm="1">
        <f t="array" ref="AG34">SUMPRODUCT(('Team Lineups'!$K$2:$K$2000&lt;&gt;"")*('Team Lineups'!$C$2:$C$2000=$A34)*COUNTIFS('Team Lineups'!$K$2:$K$2000,'Team Lineups'!$K$2:$K$2000,'Team Lineups'!$C$2:$C$2000,AG$1))</f>
        <v>3</v>
      </c>
      <c r="AH34" cm="1">
        <f t="array" ref="AH34">SUMPRODUCT(('Team Lineups'!$K$2:$K$2000&lt;&gt;"")*('Team Lineups'!$C$2:$C$2000=$A34)*COUNTIFS('Team Lineups'!$K$2:$K$2000,'Team Lineups'!$K$2:$K$2000,'Team Lineups'!$C$2:$C$2000,AH$1))</f>
        <v>3</v>
      </c>
      <c r="AI34" cm="1">
        <f t="array" ref="AI34">SUMPRODUCT(('Team Lineups'!$K$2:$K$2000&lt;&gt;"")*('Team Lineups'!$C$2:$C$2000=$A34)*COUNTIFS('Team Lineups'!$K$2:$K$2000,'Team Lineups'!$K$2:$K$2000,'Team Lineups'!$C$2:$C$2000,AI$1))</f>
        <v>0</v>
      </c>
      <c r="AJ34" cm="1">
        <f t="array" ref="AJ34">SUMPRODUCT(('Team Lineups'!$K$2:$K$2000&lt;&gt;"")*('Team Lineups'!$C$2:$C$2000=$A34)*COUNTIFS('Team Lineups'!$K$2:$K$2000,'Team Lineups'!$K$2:$K$2000,'Team Lineups'!$C$2:$C$2000,AJ$1))</f>
        <v>0</v>
      </c>
      <c r="AK34" cm="1">
        <f t="array" ref="AK34">SUMPRODUCT(('Team Lineups'!$K$2:$K$2000&lt;&gt;"")*('Team Lineups'!$C$2:$C$2000=$A34)*COUNTIFS('Team Lineups'!$K$2:$K$2000,'Team Lineups'!$K$2:$K$2000,'Team Lineups'!$C$2:$C$2000,AK$1))</f>
        <v>0</v>
      </c>
      <c r="AL34" cm="1">
        <f t="array" ref="AL34">SUMPRODUCT(('Team Lineups'!$K$2:$K$2000&lt;&gt;"")*('Team Lineups'!$C$2:$C$2000=$A34)*COUNTIFS('Team Lineups'!$K$2:$K$2000,'Team Lineups'!$K$2:$K$2000,'Team Lineups'!$C$2:$C$2000,AL$1))</f>
        <v>0</v>
      </c>
      <c r="AM34" cm="1">
        <f t="array" ref="AM34">SUMPRODUCT(('Team Lineups'!$K$2:$K$2000&lt;&gt;"")*('Team Lineups'!$C$2:$C$2000=$A34)*COUNTIFS('Team Lineups'!$K$2:$K$2000,'Team Lineups'!$K$2:$K$2000,'Team Lineups'!$C$2:$C$2000,AM$1))</f>
        <v>0</v>
      </c>
      <c r="AN34" cm="1">
        <f t="array" ref="AN34">SUMPRODUCT(('Team Lineups'!$K$2:$K$2000&lt;&gt;"")*('Team Lineups'!$C$2:$C$2000=$A34)*COUNTIFS('Team Lineups'!$K$2:$K$2000,'Team Lineups'!$K$2:$K$2000,'Team Lineups'!$C$2:$C$2000,AN$1))</f>
        <v>0</v>
      </c>
      <c r="AO34" cm="1">
        <f t="array" ref="AO34">SUMPRODUCT(('Team Lineups'!$K$2:$K$2000&lt;&gt;"")*('Team Lineups'!$C$2:$C$2000=$A34)*COUNTIFS('Team Lineups'!$K$2:$K$2000,'Team Lineups'!$K$2:$K$2000,'Team Lineups'!$C$2:$C$2000,AO$1))</f>
        <v>0</v>
      </c>
      <c r="AP34" cm="1">
        <f t="array" ref="AP34">SUMPRODUCT(('Team Lineups'!$K$2:$K$2000&lt;&gt;"")*('Team Lineups'!$C$2:$C$2000=$A34)*COUNTIFS('Team Lineups'!$K$2:$K$2000,'Team Lineups'!$K$2:$K$2000,'Team Lineups'!$C$2:$C$2000,AP$1))</f>
        <v>0</v>
      </c>
      <c r="AQ34" cm="1">
        <f t="array" ref="AQ34">SUMPRODUCT(('Team Lineups'!$K$2:$K$2000&lt;&gt;"")*('Team Lineups'!$C$2:$C$2000=$A34)*COUNTIFS('Team Lineups'!$K$2:$K$2000,'Team Lineups'!$K$2:$K$2000,'Team Lineups'!$C$2:$C$2000,AQ$1))</f>
        <v>0</v>
      </c>
      <c r="AR34" cm="1">
        <f t="array" ref="AR34">SUMPRODUCT(('Team Lineups'!$K$2:$K$2000&lt;&gt;"")*('Team Lineups'!$C$2:$C$2000=$A34)*COUNTIFS('Team Lineups'!$K$2:$K$2000,'Team Lineups'!$K$2:$K$2000,'Team Lineups'!$C$2:$C$2000,AR$1))</f>
        <v>1</v>
      </c>
      <c r="AS34" cm="1">
        <f t="array" ref="AS34">SUMPRODUCT(('Team Lineups'!$K$2:$K$2000&lt;&gt;"")*('Team Lineups'!$C$2:$C$2000=$A34)*COUNTIFS('Team Lineups'!$K$2:$K$2000,'Team Lineups'!$K$2:$K$2000,'Team Lineups'!$C$2:$C$2000,AS$1))</f>
        <v>0</v>
      </c>
      <c r="AT34" cm="1">
        <f t="array" ref="AT34">SUMPRODUCT(('Team Lineups'!$K$2:$K$2000&lt;&gt;"")*('Team Lineups'!$C$2:$C$2000=$A34)*COUNTIFS('Team Lineups'!$K$2:$K$2000,'Team Lineups'!$K$2:$K$2000,'Team Lineups'!$C$2:$C$2000,AT$1))</f>
        <v>0</v>
      </c>
      <c r="AU34" cm="1">
        <f t="array" ref="AU34">SUMPRODUCT(('Team Lineups'!$K$2:$K$2000&lt;&gt;"")*('Team Lineups'!$C$2:$C$2000=$A34)*COUNTIFS('Team Lineups'!$K$2:$K$2000,'Team Lineups'!$K$2:$K$2000,'Team Lineups'!$C$2:$C$2000,AU$1))</f>
        <v>0</v>
      </c>
      <c r="AV34" cm="1">
        <f t="array" ref="AV34">SUMPRODUCT(('Team Lineups'!$K$2:$K$2000&lt;&gt;"")*('Team Lineups'!$C$2:$C$2000=$A34)*COUNTIFS('Team Lineups'!$K$2:$K$2000,'Team Lineups'!$K$2:$K$2000,'Team Lineups'!$C$2:$C$2000,AV$1))</f>
        <v>0</v>
      </c>
    </row>
    <row r="35" spans="1:48" x14ac:dyDescent="0.35">
      <c r="A35" t="str">
        <v>Aspuri</v>
      </c>
      <c r="B35" cm="1">
        <f t="array" ref="B35">SUMPRODUCT(('Team Lineups'!$K$2:$K$2000&lt;&gt;"")*('Team Lineups'!$C$2:$C$2000=$A35)*COUNTIFS('Team Lineups'!$K$2:$K$2000,'Team Lineups'!$K$2:$K$2000,'Team Lineups'!$C$2:$C$2000,B$1))</f>
        <v>0</v>
      </c>
      <c r="C35" cm="1">
        <f t="array" ref="C35">SUMPRODUCT(('Team Lineups'!$K$2:$K$2000&lt;&gt;"")*('Team Lineups'!$C$2:$C$2000=$A35)*COUNTIFS('Team Lineups'!$K$2:$K$2000,'Team Lineups'!$K$2:$K$2000,'Team Lineups'!$C$2:$C$2000,C$1))</f>
        <v>0</v>
      </c>
      <c r="D35" cm="1">
        <f t="array" ref="D35">SUMPRODUCT(('Team Lineups'!$K$2:$K$2000&lt;&gt;"")*('Team Lineups'!$C$2:$C$2000=$A35)*COUNTIFS('Team Lineups'!$K$2:$K$2000,'Team Lineups'!$K$2:$K$2000,'Team Lineups'!$C$2:$C$2000,D$1))</f>
        <v>0</v>
      </c>
      <c r="E35" cm="1">
        <f t="array" ref="E35">SUMPRODUCT(('Team Lineups'!$K$2:$K$2000&lt;&gt;"")*('Team Lineups'!$C$2:$C$2000=$A35)*COUNTIFS('Team Lineups'!$K$2:$K$2000,'Team Lineups'!$K$2:$K$2000,'Team Lineups'!$C$2:$C$2000,E$1))</f>
        <v>0</v>
      </c>
      <c r="F35" cm="1">
        <f t="array" ref="F35">SUMPRODUCT(('Team Lineups'!$K$2:$K$2000&lt;&gt;"")*('Team Lineups'!$C$2:$C$2000=$A35)*COUNTIFS('Team Lineups'!$K$2:$K$2000,'Team Lineups'!$K$2:$K$2000,'Team Lineups'!$C$2:$C$2000,F$1))</f>
        <v>0</v>
      </c>
      <c r="G35" cm="1">
        <f t="array" ref="G35">SUMPRODUCT(('Team Lineups'!$K$2:$K$2000&lt;&gt;"")*('Team Lineups'!$C$2:$C$2000=$A35)*COUNTIFS('Team Lineups'!$K$2:$K$2000,'Team Lineups'!$K$2:$K$2000,'Team Lineups'!$C$2:$C$2000,G$1))</f>
        <v>0</v>
      </c>
      <c r="H35" cm="1">
        <f t="array" ref="H35">SUMPRODUCT(('Team Lineups'!$K$2:$K$2000&lt;&gt;"")*('Team Lineups'!$C$2:$C$2000=$A35)*COUNTIFS('Team Lineups'!$K$2:$K$2000,'Team Lineups'!$K$2:$K$2000,'Team Lineups'!$C$2:$C$2000,H$1))</f>
        <v>2</v>
      </c>
      <c r="I35" cm="1">
        <f t="array" ref="I35">SUMPRODUCT(('Team Lineups'!$K$2:$K$2000&lt;&gt;"")*('Team Lineups'!$C$2:$C$2000=$A35)*COUNTIFS('Team Lineups'!$K$2:$K$2000,'Team Lineups'!$K$2:$K$2000,'Team Lineups'!$C$2:$C$2000,I$1))</f>
        <v>0</v>
      </c>
      <c r="J35" cm="1">
        <f t="array" ref="J35">SUMPRODUCT(('Team Lineups'!$K$2:$K$2000&lt;&gt;"")*('Team Lineups'!$C$2:$C$2000=$A35)*COUNTIFS('Team Lineups'!$K$2:$K$2000,'Team Lineups'!$K$2:$K$2000,'Team Lineups'!$C$2:$C$2000,J$1))</f>
        <v>0</v>
      </c>
      <c r="K35" cm="1">
        <f t="array" ref="K35">SUMPRODUCT(('Team Lineups'!$K$2:$K$2000&lt;&gt;"")*('Team Lineups'!$C$2:$C$2000=$A35)*COUNTIFS('Team Lineups'!$K$2:$K$2000,'Team Lineups'!$K$2:$K$2000,'Team Lineups'!$C$2:$C$2000,K$1))</f>
        <v>0</v>
      </c>
      <c r="L35" cm="1">
        <f t="array" ref="L35">SUMPRODUCT(('Team Lineups'!$K$2:$K$2000&lt;&gt;"")*('Team Lineups'!$C$2:$C$2000=$A35)*COUNTIFS('Team Lineups'!$K$2:$K$2000,'Team Lineups'!$K$2:$K$2000,'Team Lineups'!$C$2:$C$2000,L$1))</f>
        <v>0</v>
      </c>
      <c r="M35" cm="1">
        <f t="array" ref="M35">SUMPRODUCT(('Team Lineups'!$K$2:$K$2000&lt;&gt;"")*('Team Lineups'!$C$2:$C$2000=$A35)*COUNTIFS('Team Lineups'!$K$2:$K$2000,'Team Lineups'!$K$2:$K$2000,'Team Lineups'!$C$2:$C$2000,M$1))</f>
        <v>0</v>
      </c>
      <c r="N35" cm="1">
        <f t="array" ref="N35">SUMPRODUCT(('Team Lineups'!$K$2:$K$2000&lt;&gt;"")*('Team Lineups'!$C$2:$C$2000=$A35)*COUNTIFS('Team Lineups'!$K$2:$K$2000,'Team Lineups'!$K$2:$K$2000,'Team Lineups'!$C$2:$C$2000,N$1))</f>
        <v>0</v>
      </c>
      <c r="O35" cm="1">
        <f t="array" ref="O35">SUMPRODUCT(('Team Lineups'!$K$2:$K$2000&lt;&gt;"")*('Team Lineups'!$C$2:$C$2000=$A35)*COUNTIFS('Team Lineups'!$K$2:$K$2000,'Team Lineups'!$K$2:$K$2000,'Team Lineups'!$C$2:$C$2000,O$1))</f>
        <v>0</v>
      </c>
      <c r="P35" cm="1">
        <f t="array" ref="P35">SUMPRODUCT(('Team Lineups'!$K$2:$K$2000&lt;&gt;"")*('Team Lineups'!$C$2:$C$2000=$A35)*COUNTIFS('Team Lineups'!$K$2:$K$2000,'Team Lineups'!$K$2:$K$2000,'Team Lineups'!$C$2:$C$2000,P$1))</f>
        <v>0</v>
      </c>
      <c r="Q35" cm="1">
        <f t="array" ref="Q35">SUMPRODUCT(('Team Lineups'!$K$2:$K$2000&lt;&gt;"")*('Team Lineups'!$C$2:$C$2000=$A35)*COUNTIFS('Team Lineups'!$K$2:$K$2000,'Team Lineups'!$K$2:$K$2000,'Team Lineups'!$C$2:$C$2000,Q$1))</f>
        <v>2</v>
      </c>
      <c r="R35" cm="1">
        <f t="array" ref="R35">SUMPRODUCT(('Team Lineups'!$K$2:$K$2000&lt;&gt;"")*('Team Lineups'!$C$2:$C$2000=$A35)*COUNTIFS('Team Lineups'!$K$2:$K$2000,'Team Lineups'!$K$2:$K$2000,'Team Lineups'!$C$2:$C$2000,R$1))</f>
        <v>0</v>
      </c>
      <c r="S35" cm="1">
        <f t="array" ref="S35">SUMPRODUCT(('Team Lineups'!$K$2:$K$2000&lt;&gt;"")*('Team Lineups'!$C$2:$C$2000=$A35)*COUNTIFS('Team Lineups'!$K$2:$K$2000,'Team Lineups'!$K$2:$K$2000,'Team Lineups'!$C$2:$C$2000,S$1))</f>
        <v>0</v>
      </c>
      <c r="T35" cm="1">
        <f t="array" ref="T35">SUMPRODUCT(('Team Lineups'!$K$2:$K$2000&lt;&gt;"")*('Team Lineups'!$C$2:$C$2000=$A35)*COUNTIFS('Team Lineups'!$K$2:$K$2000,'Team Lineups'!$K$2:$K$2000,'Team Lineups'!$C$2:$C$2000,T$1))</f>
        <v>0</v>
      </c>
      <c r="U35" cm="1">
        <f t="array" ref="U35">SUMPRODUCT(('Team Lineups'!$K$2:$K$2000&lt;&gt;"")*('Team Lineups'!$C$2:$C$2000=$A35)*COUNTIFS('Team Lineups'!$K$2:$K$2000,'Team Lineups'!$K$2:$K$2000,'Team Lineups'!$C$2:$C$2000,U$1))</f>
        <v>0</v>
      </c>
      <c r="V35" cm="1">
        <f t="array" ref="V35">SUMPRODUCT(('Team Lineups'!$K$2:$K$2000&lt;&gt;"")*('Team Lineups'!$C$2:$C$2000=$A35)*COUNTIFS('Team Lineups'!$K$2:$K$2000,'Team Lineups'!$K$2:$K$2000,'Team Lineups'!$C$2:$C$2000,V$1))</f>
        <v>0</v>
      </c>
      <c r="W35" cm="1">
        <f t="array" ref="W35">SUMPRODUCT(('Team Lineups'!$K$2:$K$2000&lt;&gt;"")*('Team Lineups'!$C$2:$C$2000=$A35)*COUNTIFS('Team Lineups'!$K$2:$K$2000,'Team Lineups'!$K$2:$K$2000,'Team Lineups'!$C$2:$C$2000,W$1))</f>
        <v>0</v>
      </c>
      <c r="X35" cm="1">
        <f t="array" ref="X35">SUMPRODUCT(('Team Lineups'!$K$2:$K$2000&lt;&gt;"")*('Team Lineups'!$C$2:$C$2000=$A35)*COUNTIFS('Team Lineups'!$K$2:$K$2000,'Team Lineups'!$K$2:$K$2000,'Team Lineups'!$C$2:$C$2000,X$1))</f>
        <v>0</v>
      </c>
      <c r="Y35" cm="1">
        <f t="array" ref="Y35">SUMPRODUCT(('Team Lineups'!$K$2:$K$2000&lt;&gt;"")*('Team Lineups'!$C$2:$C$2000=$A35)*COUNTIFS('Team Lineups'!$K$2:$K$2000,'Team Lineups'!$K$2:$K$2000,'Team Lineups'!$C$2:$C$2000,Y$1))</f>
        <v>0</v>
      </c>
      <c r="Z35" cm="1">
        <f t="array" ref="Z35">SUMPRODUCT(('Team Lineups'!$K$2:$K$2000&lt;&gt;"")*('Team Lineups'!$C$2:$C$2000=$A35)*COUNTIFS('Team Lineups'!$K$2:$K$2000,'Team Lineups'!$K$2:$K$2000,'Team Lineups'!$C$2:$C$2000,Z$1))</f>
        <v>0</v>
      </c>
      <c r="AA35" cm="1">
        <f t="array" ref="AA35">SUMPRODUCT(('Team Lineups'!$K$2:$K$2000&lt;&gt;"")*('Team Lineups'!$C$2:$C$2000=$A35)*COUNTIFS('Team Lineups'!$K$2:$K$2000,'Team Lineups'!$K$2:$K$2000,'Team Lineups'!$C$2:$C$2000,AA$1))</f>
        <v>0</v>
      </c>
      <c r="AB35" cm="1">
        <f t="array" ref="AB35">SUMPRODUCT(('Team Lineups'!$K$2:$K$2000&lt;&gt;"")*('Team Lineups'!$C$2:$C$2000=$A35)*COUNTIFS('Team Lineups'!$K$2:$K$2000,'Team Lineups'!$K$2:$K$2000,'Team Lineups'!$C$2:$C$2000,AB$1))</f>
        <v>2</v>
      </c>
      <c r="AC35" cm="1">
        <f t="array" ref="AC35">SUMPRODUCT(('Team Lineups'!$K$2:$K$2000&lt;&gt;"")*('Team Lineups'!$C$2:$C$2000=$A35)*COUNTIFS('Team Lineups'!$K$2:$K$2000,'Team Lineups'!$K$2:$K$2000,'Team Lineups'!$C$2:$C$2000,AC$1))</f>
        <v>0</v>
      </c>
      <c r="AD35" cm="1">
        <f t="array" ref="AD35">SUMPRODUCT(('Team Lineups'!$K$2:$K$2000&lt;&gt;"")*('Team Lineups'!$C$2:$C$2000=$A35)*COUNTIFS('Team Lineups'!$K$2:$K$2000,'Team Lineups'!$K$2:$K$2000,'Team Lineups'!$C$2:$C$2000,AD$1))</f>
        <v>0</v>
      </c>
      <c r="AE35" cm="1">
        <f t="array" ref="AE35">SUMPRODUCT(('Team Lineups'!$K$2:$K$2000&lt;&gt;"")*('Team Lineups'!$C$2:$C$2000=$A35)*COUNTIFS('Team Lineups'!$K$2:$K$2000,'Team Lineups'!$K$2:$K$2000,'Team Lineups'!$C$2:$C$2000,AE$1))</f>
        <v>2</v>
      </c>
      <c r="AF35" cm="1">
        <f t="array" ref="AF35">SUMPRODUCT(('Team Lineups'!$K$2:$K$2000&lt;&gt;"")*('Team Lineups'!$C$2:$C$2000=$A35)*COUNTIFS('Team Lineups'!$K$2:$K$2000,'Team Lineups'!$K$2:$K$2000,'Team Lineups'!$C$2:$C$2000,AF$1))</f>
        <v>0</v>
      </c>
      <c r="AG35" cm="1">
        <f t="array" ref="AG35">SUMPRODUCT(('Team Lineups'!$K$2:$K$2000&lt;&gt;"")*('Team Lineups'!$C$2:$C$2000=$A35)*COUNTIFS('Team Lineups'!$K$2:$K$2000,'Team Lineups'!$K$2:$K$2000,'Team Lineups'!$C$2:$C$2000,AG$1))</f>
        <v>0</v>
      </c>
      <c r="AH35" cm="1">
        <f t="array" ref="AH35">SUMPRODUCT(('Team Lineups'!$K$2:$K$2000&lt;&gt;"")*('Team Lineups'!$C$2:$C$2000=$A35)*COUNTIFS('Team Lineups'!$K$2:$K$2000,'Team Lineups'!$K$2:$K$2000,'Team Lineups'!$C$2:$C$2000,AH$1))</f>
        <v>0</v>
      </c>
      <c r="AI35" cm="1">
        <f t="array" ref="AI35">SUMPRODUCT(('Team Lineups'!$K$2:$K$2000&lt;&gt;"")*('Team Lineups'!$C$2:$C$2000=$A35)*COUNTIFS('Team Lineups'!$K$2:$K$2000,'Team Lineups'!$K$2:$K$2000,'Team Lineups'!$C$2:$C$2000,AI$1))</f>
        <v>2</v>
      </c>
      <c r="AJ35" cm="1">
        <f t="array" ref="AJ35">SUMPRODUCT(('Team Lineups'!$K$2:$K$2000&lt;&gt;"")*('Team Lineups'!$C$2:$C$2000=$A35)*COUNTIFS('Team Lineups'!$K$2:$K$2000,'Team Lineups'!$K$2:$K$2000,'Team Lineups'!$C$2:$C$2000,AJ$1))</f>
        <v>0</v>
      </c>
      <c r="AK35" cm="1">
        <f t="array" ref="AK35">SUMPRODUCT(('Team Lineups'!$K$2:$K$2000&lt;&gt;"")*('Team Lineups'!$C$2:$C$2000=$A35)*COUNTIFS('Team Lineups'!$K$2:$K$2000,'Team Lineups'!$K$2:$K$2000,'Team Lineups'!$C$2:$C$2000,AK$1))</f>
        <v>0</v>
      </c>
      <c r="AL35" cm="1">
        <f t="array" ref="AL35">SUMPRODUCT(('Team Lineups'!$K$2:$K$2000&lt;&gt;"")*('Team Lineups'!$C$2:$C$2000=$A35)*COUNTIFS('Team Lineups'!$K$2:$K$2000,'Team Lineups'!$K$2:$K$2000,'Team Lineups'!$C$2:$C$2000,AL$1))</f>
        <v>0</v>
      </c>
      <c r="AM35" cm="1">
        <f t="array" ref="AM35">SUMPRODUCT(('Team Lineups'!$K$2:$K$2000&lt;&gt;"")*('Team Lineups'!$C$2:$C$2000=$A35)*COUNTIFS('Team Lineups'!$K$2:$K$2000,'Team Lineups'!$K$2:$K$2000,'Team Lineups'!$C$2:$C$2000,AM$1))</f>
        <v>0</v>
      </c>
      <c r="AN35" cm="1">
        <f t="array" ref="AN35">SUMPRODUCT(('Team Lineups'!$K$2:$K$2000&lt;&gt;"")*('Team Lineups'!$C$2:$C$2000=$A35)*COUNTIFS('Team Lineups'!$K$2:$K$2000,'Team Lineups'!$K$2:$K$2000,'Team Lineups'!$C$2:$C$2000,AN$1))</f>
        <v>0</v>
      </c>
      <c r="AO35" cm="1">
        <f t="array" ref="AO35">SUMPRODUCT(('Team Lineups'!$K$2:$K$2000&lt;&gt;"")*('Team Lineups'!$C$2:$C$2000=$A35)*COUNTIFS('Team Lineups'!$K$2:$K$2000,'Team Lineups'!$K$2:$K$2000,'Team Lineups'!$C$2:$C$2000,AO$1))</f>
        <v>0</v>
      </c>
      <c r="AP35" cm="1">
        <f t="array" ref="AP35">SUMPRODUCT(('Team Lineups'!$K$2:$K$2000&lt;&gt;"")*('Team Lineups'!$C$2:$C$2000=$A35)*COUNTIFS('Team Lineups'!$K$2:$K$2000,'Team Lineups'!$K$2:$K$2000,'Team Lineups'!$C$2:$C$2000,AP$1))</f>
        <v>0</v>
      </c>
      <c r="AQ35" cm="1">
        <f t="array" ref="AQ35">SUMPRODUCT(('Team Lineups'!$K$2:$K$2000&lt;&gt;"")*('Team Lineups'!$C$2:$C$2000=$A35)*COUNTIFS('Team Lineups'!$K$2:$K$2000,'Team Lineups'!$K$2:$K$2000,'Team Lineups'!$C$2:$C$2000,AQ$1))</f>
        <v>0</v>
      </c>
      <c r="AR35" cm="1">
        <f t="array" ref="AR35">SUMPRODUCT(('Team Lineups'!$K$2:$K$2000&lt;&gt;"")*('Team Lineups'!$C$2:$C$2000=$A35)*COUNTIFS('Team Lineups'!$K$2:$K$2000,'Team Lineups'!$K$2:$K$2000,'Team Lineups'!$C$2:$C$2000,AR$1))</f>
        <v>0</v>
      </c>
      <c r="AS35" cm="1">
        <f t="array" ref="AS35">SUMPRODUCT(('Team Lineups'!$K$2:$K$2000&lt;&gt;"")*('Team Lineups'!$C$2:$C$2000=$A35)*COUNTIFS('Team Lineups'!$K$2:$K$2000,'Team Lineups'!$K$2:$K$2000,'Team Lineups'!$C$2:$C$2000,AS$1))</f>
        <v>0</v>
      </c>
      <c r="AT35" cm="1">
        <f t="array" ref="AT35">SUMPRODUCT(('Team Lineups'!$K$2:$K$2000&lt;&gt;"")*('Team Lineups'!$C$2:$C$2000=$A35)*COUNTIFS('Team Lineups'!$K$2:$K$2000,'Team Lineups'!$K$2:$K$2000,'Team Lineups'!$C$2:$C$2000,AT$1))</f>
        <v>0</v>
      </c>
      <c r="AU35" cm="1">
        <f t="array" ref="AU35">SUMPRODUCT(('Team Lineups'!$K$2:$K$2000&lt;&gt;"")*('Team Lineups'!$C$2:$C$2000=$A35)*COUNTIFS('Team Lineups'!$K$2:$K$2000,'Team Lineups'!$K$2:$K$2000,'Team Lineups'!$C$2:$C$2000,AU$1))</f>
        <v>0</v>
      </c>
      <c r="AV35" cm="1">
        <f t="array" ref="AV35">SUMPRODUCT(('Team Lineups'!$K$2:$K$2000&lt;&gt;"")*('Team Lineups'!$C$2:$C$2000=$A35)*COUNTIFS('Team Lineups'!$K$2:$K$2000,'Team Lineups'!$K$2:$K$2000,'Team Lineups'!$C$2:$C$2000,AV$1))</f>
        <v>0</v>
      </c>
    </row>
    <row r="36" spans="1:48" x14ac:dyDescent="0.35">
      <c r="A36" t="str">
        <v>Chad</v>
      </c>
      <c r="B36" cm="1">
        <f t="array" ref="B36">SUMPRODUCT(('Team Lineups'!$K$2:$K$2000&lt;&gt;"")*('Team Lineups'!$C$2:$C$2000=$A36)*COUNTIFS('Team Lineups'!$K$2:$K$2000,'Team Lineups'!$K$2:$K$2000,'Team Lineups'!$C$2:$C$2000,B$1))</f>
        <v>7</v>
      </c>
      <c r="C36" cm="1">
        <f t="array" ref="C36">SUMPRODUCT(('Team Lineups'!$K$2:$K$2000&lt;&gt;"")*('Team Lineups'!$C$2:$C$2000=$A36)*COUNTIFS('Team Lineups'!$K$2:$K$2000,'Team Lineups'!$K$2:$K$2000,'Team Lineups'!$C$2:$C$2000,C$1))</f>
        <v>0</v>
      </c>
      <c r="D36" cm="1">
        <f t="array" ref="D36">SUMPRODUCT(('Team Lineups'!$K$2:$K$2000&lt;&gt;"")*('Team Lineups'!$C$2:$C$2000=$A36)*COUNTIFS('Team Lineups'!$K$2:$K$2000,'Team Lineups'!$K$2:$K$2000,'Team Lineups'!$C$2:$C$2000,D$1))</f>
        <v>4</v>
      </c>
      <c r="E36" cm="1">
        <f t="array" ref="E36">SUMPRODUCT(('Team Lineups'!$K$2:$K$2000&lt;&gt;"")*('Team Lineups'!$C$2:$C$2000=$A36)*COUNTIFS('Team Lineups'!$K$2:$K$2000,'Team Lineups'!$K$2:$K$2000,'Team Lineups'!$C$2:$C$2000,E$1))</f>
        <v>2</v>
      </c>
      <c r="F36" cm="1">
        <f t="array" ref="F36">SUMPRODUCT(('Team Lineups'!$K$2:$K$2000&lt;&gt;"")*('Team Lineups'!$C$2:$C$2000=$A36)*COUNTIFS('Team Lineups'!$K$2:$K$2000,'Team Lineups'!$K$2:$K$2000,'Team Lineups'!$C$2:$C$2000,F$1))</f>
        <v>5</v>
      </c>
      <c r="G36" cm="1">
        <f t="array" ref="G36">SUMPRODUCT(('Team Lineups'!$K$2:$K$2000&lt;&gt;"")*('Team Lineups'!$C$2:$C$2000=$A36)*COUNTIFS('Team Lineups'!$K$2:$K$2000,'Team Lineups'!$K$2:$K$2000,'Team Lineups'!$C$2:$C$2000,G$1))</f>
        <v>3</v>
      </c>
      <c r="H36" cm="1">
        <f t="array" ref="H36">SUMPRODUCT(('Team Lineups'!$K$2:$K$2000&lt;&gt;"")*('Team Lineups'!$C$2:$C$2000=$A36)*COUNTIFS('Team Lineups'!$K$2:$K$2000,'Team Lineups'!$K$2:$K$2000,'Team Lineups'!$C$2:$C$2000,H$1))</f>
        <v>3</v>
      </c>
      <c r="I36" cm="1">
        <f t="array" ref="I36">SUMPRODUCT(('Team Lineups'!$K$2:$K$2000&lt;&gt;"")*('Team Lineups'!$C$2:$C$2000=$A36)*COUNTIFS('Team Lineups'!$K$2:$K$2000,'Team Lineups'!$K$2:$K$2000,'Team Lineups'!$C$2:$C$2000,I$1))</f>
        <v>7</v>
      </c>
      <c r="J36" cm="1">
        <f t="array" ref="J36">SUMPRODUCT(('Team Lineups'!$K$2:$K$2000&lt;&gt;"")*('Team Lineups'!$C$2:$C$2000=$A36)*COUNTIFS('Team Lineups'!$K$2:$K$2000,'Team Lineups'!$K$2:$K$2000,'Team Lineups'!$C$2:$C$2000,J$1))</f>
        <v>0</v>
      </c>
      <c r="K36" cm="1">
        <f t="array" ref="K36">SUMPRODUCT(('Team Lineups'!$K$2:$K$2000&lt;&gt;"")*('Team Lineups'!$C$2:$C$2000=$A36)*COUNTIFS('Team Lineups'!$K$2:$K$2000,'Team Lineups'!$K$2:$K$2000,'Team Lineups'!$C$2:$C$2000,K$1))</f>
        <v>0</v>
      </c>
      <c r="L36" cm="1">
        <f t="array" ref="L36">SUMPRODUCT(('Team Lineups'!$K$2:$K$2000&lt;&gt;"")*('Team Lineups'!$C$2:$C$2000=$A36)*COUNTIFS('Team Lineups'!$K$2:$K$2000,'Team Lineups'!$K$2:$K$2000,'Team Lineups'!$C$2:$C$2000,L$1))</f>
        <v>5</v>
      </c>
      <c r="M36" cm="1">
        <f t="array" ref="M36">SUMPRODUCT(('Team Lineups'!$K$2:$K$2000&lt;&gt;"")*('Team Lineups'!$C$2:$C$2000=$A36)*COUNTIFS('Team Lineups'!$K$2:$K$2000,'Team Lineups'!$K$2:$K$2000,'Team Lineups'!$C$2:$C$2000,M$1))</f>
        <v>2</v>
      </c>
      <c r="N36" cm="1">
        <f t="array" ref="N36">SUMPRODUCT(('Team Lineups'!$K$2:$K$2000&lt;&gt;"")*('Team Lineups'!$C$2:$C$2000=$A36)*COUNTIFS('Team Lineups'!$K$2:$K$2000,'Team Lineups'!$K$2:$K$2000,'Team Lineups'!$C$2:$C$2000,N$1))</f>
        <v>6</v>
      </c>
      <c r="O36" cm="1">
        <f t="array" ref="O36">SUMPRODUCT(('Team Lineups'!$K$2:$K$2000&lt;&gt;"")*('Team Lineups'!$C$2:$C$2000=$A36)*COUNTIFS('Team Lineups'!$K$2:$K$2000,'Team Lineups'!$K$2:$K$2000,'Team Lineups'!$C$2:$C$2000,O$1))</f>
        <v>2</v>
      </c>
      <c r="P36" cm="1">
        <f t="array" ref="P36">SUMPRODUCT(('Team Lineups'!$K$2:$K$2000&lt;&gt;"")*('Team Lineups'!$C$2:$C$2000=$A36)*COUNTIFS('Team Lineups'!$K$2:$K$2000,'Team Lineups'!$K$2:$K$2000,'Team Lineups'!$C$2:$C$2000,P$1))</f>
        <v>0</v>
      </c>
      <c r="Q36" cm="1">
        <f t="array" ref="Q36">SUMPRODUCT(('Team Lineups'!$K$2:$K$2000&lt;&gt;"")*('Team Lineups'!$C$2:$C$2000=$A36)*COUNTIFS('Team Lineups'!$K$2:$K$2000,'Team Lineups'!$K$2:$K$2000,'Team Lineups'!$C$2:$C$2000,Q$1))</f>
        <v>5</v>
      </c>
      <c r="R36" cm="1">
        <f t="array" ref="R36">SUMPRODUCT(('Team Lineups'!$K$2:$K$2000&lt;&gt;"")*('Team Lineups'!$C$2:$C$2000=$A36)*COUNTIFS('Team Lineups'!$K$2:$K$2000,'Team Lineups'!$K$2:$K$2000,'Team Lineups'!$C$2:$C$2000,R$1))</f>
        <v>3</v>
      </c>
      <c r="S36" cm="1">
        <f t="array" ref="S36">SUMPRODUCT(('Team Lineups'!$K$2:$K$2000&lt;&gt;"")*('Team Lineups'!$C$2:$C$2000=$A36)*COUNTIFS('Team Lineups'!$K$2:$K$2000,'Team Lineups'!$K$2:$K$2000,'Team Lineups'!$C$2:$C$2000,S$1))</f>
        <v>0</v>
      </c>
      <c r="T36" cm="1">
        <f t="array" ref="T36">SUMPRODUCT(('Team Lineups'!$K$2:$K$2000&lt;&gt;"")*('Team Lineups'!$C$2:$C$2000=$A36)*COUNTIFS('Team Lineups'!$K$2:$K$2000,'Team Lineups'!$K$2:$K$2000,'Team Lineups'!$C$2:$C$2000,T$1))</f>
        <v>2</v>
      </c>
      <c r="U36" cm="1">
        <f t="array" ref="U36">SUMPRODUCT(('Team Lineups'!$K$2:$K$2000&lt;&gt;"")*('Team Lineups'!$C$2:$C$2000=$A36)*COUNTIFS('Team Lineups'!$K$2:$K$2000,'Team Lineups'!$K$2:$K$2000,'Team Lineups'!$C$2:$C$2000,U$1))</f>
        <v>0</v>
      </c>
      <c r="V36" cm="1">
        <f t="array" ref="V36">SUMPRODUCT(('Team Lineups'!$K$2:$K$2000&lt;&gt;"")*('Team Lineups'!$C$2:$C$2000=$A36)*COUNTIFS('Team Lineups'!$K$2:$K$2000,'Team Lineups'!$K$2:$K$2000,'Team Lineups'!$C$2:$C$2000,V$1))</f>
        <v>0</v>
      </c>
      <c r="W36" cm="1">
        <f t="array" ref="W36">SUMPRODUCT(('Team Lineups'!$K$2:$K$2000&lt;&gt;"")*('Team Lineups'!$C$2:$C$2000=$A36)*COUNTIFS('Team Lineups'!$K$2:$K$2000,'Team Lineups'!$K$2:$K$2000,'Team Lineups'!$C$2:$C$2000,W$1))</f>
        <v>0</v>
      </c>
      <c r="X36" cm="1">
        <f t="array" ref="X36">SUMPRODUCT(('Team Lineups'!$K$2:$K$2000&lt;&gt;"")*('Team Lineups'!$C$2:$C$2000=$A36)*COUNTIFS('Team Lineups'!$K$2:$K$2000,'Team Lineups'!$K$2:$K$2000,'Team Lineups'!$C$2:$C$2000,X$1))</f>
        <v>0</v>
      </c>
      <c r="Y36" cm="1">
        <f t="array" ref="Y36">SUMPRODUCT(('Team Lineups'!$K$2:$K$2000&lt;&gt;"")*('Team Lineups'!$C$2:$C$2000=$A36)*COUNTIFS('Team Lineups'!$K$2:$K$2000,'Team Lineups'!$K$2:$K$2000,'Team Lineups'!$C$2:$C$2000,Y$1))</f>
        <v>0</v>
      </c>
      <c r="Z36" cm="1">
        <f t="array" ref="Z36">SUMPRODUCT(('Team Lineups'!$K$2:$K$2000&lt;&gt;"")*('Team Lineups'!$C$2:$C$2000=$A36)*COUNTIFS('Team Lineups'!$K$2:$K$2000,'Team Lineups'!$K$2:$K$2000,'Team Lineups'!$C$2:$C$2000,Z$1))</f>
        <v>0</v>
      </c>
      <c r="AA36" cm="1">
        <f t="array" ref="AA36">SUMPRODUCT(('Team Lineups'!$K$2:$K$2000&lt;&gt;"")*('Team Lineups'!$C$2:$C$2000=$A36)*COUNTIFS('Team Lineups'!$K$2:$K$2000,'Team Lineups'!$K$2:$K$2000,'Team Lineups'!$C$2:$C$2000,AA$1))</f>
        <v>8</v>
      </c>
      <c r="AB36" cm="1">
        <f t="array" ref="AB36">SUMPRODUCT(('Team Lineups'!$K$2:$K$2000&lt;&gt;"")*('Team Lineups'!$C$2:$C$2000=$A36)*COUNTIFS('Team Lineups'!$K$2:$K$2000,'Team Lineups'!$K$2:$K$2000,'Team Lineups'!$C$2:$C$2000,AB$1))</f>
        <v>3</v>
      </c>
      <c r="AC36" cm="1">
        <f t="array" ref="AC36">SUMPRODUCT(('Team Lineups'!$K$2:$K$2000&lt;&gt;"")*('Team Lineups'!$C$2:$C$2000=$A36)*COUNTIFS('Team Lineups'!$K$2:$K$2000,'Team Lineups'!$K$2:$K$2000,'Team Lineups'!$C$2:$C$2000,AC$1))</f>
        <v>0</v>
      </c>
      <c r="AD36" cm="1">
        <f t="array" ref="AD36">SUMPRODUCT(('Team Lineups'!$K$2:$K$2000&lt;&gt;"")*('Team Lineups'!$C$2:$C$2000=$A36)*COUNTIFS('Team Lineups'!$K$2:$K$2000,'Team Lineups'!$K$2:$K$2000,'Team Lineups'!$C$2:$C$2000,AD$1))</f>
        <v>2</v>
      </c>
      <c r="AE36" cm="1">
        <f t="array" ref="AE36">SUMPRODUCT(('Team Lineups'!$K$2:$K$2000&lt;&gt;"")*('Team Lineups'!$C$2:$C$2000=$A36)*COUNTIFS('Team Lineups'!$K$2:$K$2000,'Team Lineups'!$K$2:$K$2000,'Team Lineups'!$C$2:$C$2000,AE$1))</f>
        <v>0</v>
      </c>
      <c r="AF36" cm="1">
        <f t="array" ref="AF36">SUMPRODUCT(('Team Lineups'!$K$2:$K$2000&lt;&gt;"")*('Team Lineups'!$C$2:$C$2000=$A36)*COUNTIFS('Team Lineups'!$K$2:$K$2000,'Team Lineups'!$K$2:$K$2000,'Team Lineups'!$C$2:$C$2000,AF$1))</f>
        <v>0</v>
      </c>
      <c r="AG36" cm="1">
        <f t="array" ref="AG36">SUMPRODUCT(('Team Lineups'!$K$2:$K$2000&lt;&gt;"")*('Team Lineups'!$C$2:$C$2000=$A36)*COUNTIFS('Team Lineups'!$K$2:$K$2000,'Team Lineups'!$K$2:$K$2000,'Team Lineups'!$C$2:$C$2000,AG$1))</f>
        <v>2</v>
      </c>
      <c r="AH36" cm="1">
        <f t="array" ref="AH36">SUMPRODUCT(('Team Lineups'!$K$2:$K$2000&lt;&gt;"")*('Team Lineups'!$C$2:$C$2000=$A36)*COUNTIFS('Team Lineups'!$K$2:$K$2000,'Team Lineups'!$K$2:$K$2000,'Team Lineups'!$C$2:$C$2000,AH$1))</f>
        <v>0</v>
      </c>
      <c r="AI36" cm="1">
        <f t="array" ref="AI36">SUMPRODUCT(('Team Lineups'!$K$2:$K$2000&lt;&gt;"")*('Team Lineups'!$C$2:$C$2000=$A36)*COUNTIFS('Team Lineups'!$K$2:$K$2000,'Team Lineups'!$K$2:$K$2000,'Team Lineups'!$C$2:$C$2000,AI$1))</f>
        <v>0</v>
      </c>
      <c r="AJ36" cm="1">
        <f t="array" ref="AJ36">SUMPRODUCT(('Team Lineups'!$K$2:$K$2000&lt;&gt;"")*('Team Lineups'!$C$2:$C$2000=$A36)*COUNTIFS('Team Lineups'!$K$2:$K$2000,'Team Lineups'!$K$2:$K$2000,'Team Lineups'!$C$2:$C$2000,AJ$1))</f>
        <v>17</v>
      </c>
      <c r="AK36" cm="1">
        <f t="array" ref="AK36">SUMPRODUCT(('Team Lineups'!$K$2:$K$2000&lt;&gt;"")*('Team Lineups'!$C$2:$C$2000=$A36)*COUNTIFS('Team Lineups'!$K$2:$K$2000,'Team Lineups'!$K$2:$K$2000,'Team Lineups'!$C$2:$C$2000,AK$1))</f>
        <v>0</v>
      </c>
      <c r="AL36" cm="1">
        <f t="array" ref="AL36">SUMPRODUCT(('Team Lineups'!$K$2:$K$2000&lt;&gt;"")*('Team Lineups'!$C$2:$C$2000=$A36)*COUNTIFS('Team Lineups'!$K$2:$K$2000,'Team Lineups'!$K$2:$K$2000,'Team Lineups'!$C$2:$C$2000,AL$1))</f>
        <v>1</v>
      </c>
      <c r="AM36" cm="1">
        <f t="array" ref="AM36">SUMPRODUCT(('Team Lineups'!$K$2:$K$2000&lt;&gt;"")*('Team Lineups'!$C$2:$C$2000=$A36)*COUNTIFS('Team Lineups'!$K$2:$K$2000,'Team Lineups'!$K$2:$K$2000,'Team Lineups'!$C$2:$C$2000,AM$1))</f>
        <v>0</v>
      </c>
      <c r="AN36" cm="1">
        <f t="array" ref="AN36">SUMPRODUCT(('Team Lineups'!$K$2:$K$2000&lt;&gt;"")*('Team Lineups'!$C$2:$C$2000=$A36)*COUNTIFS('Team Lineups'!$K$2:$K$2000,'Team Lineups'!$K$2:$K$2000,'Team Lineups'!$C$2:$C$2000,AN$1))</f>
        <v>3</v>
      </c>
      <c r="AO36" cm="1">
        <f t="array" ref="AO36">SUMPRODUCT(('Team Lineups'!$K$2:$K$2000&lt;&gt;"")*('Team Lineups'!$C$2:$C$2000=$A36)*COUNTIFS('Team Lineups'!$K$2:$K$2000,'Team Lineups'!$K$2:$K$2000,'Team Lineups'!$C$2:$C$2000,AO$1))</f>
        <v>3</v>
      </c>
      <c r="AP36" cm="1">
        <f t="array" ref="AP36">SUMPRODUCT(('Team Lineups'!$K$2:$K$2000&lt;&gt;"")*('Team Lineups'!$C$2:$C$2000=$A36)*COUNTIFS('Team Lineups'!$K$2:$K$2000,'Team Lineups'!$K$2:$K$2000,'Team Lineups'!$C$2:$C$2000,AP$1))</f>
        <v>3</v>
      </c>
      <c r="AQ36" cm="1">
        <f t="array" ref="AQ36">SUMPRODUCT(('Team Lineups'!$K$2:$K$2000&lt;&gt;"")*('Team Lineups'!$C$2:$C$2000=$A36)*COUNTIFS('Team Lineups'!$K$2:$K$2000,'Team Lineups'!$K$2:$K$2000,'Team Lineups'!$C$2:$C$2000,AQ$1))</f>
        <v>1</v>
      </c>
      <c r="AR36" cm="1">
        <f t="array" ref="AR36">SUMPRODUCT(('Team Lineups'!$K$2:$K$2000&lt;&gt;"")*('Team Lineups'!$C$2:$C$2000=$A36)*COUNTIFS('Team Lineups'!$K$2:$K$2000,'Team Lineups'!$K$2:$K$2000,'Team Lineups'!$C$2:$C$2000,AR$1))</f>
        <v>0</v>
      </c>
      <c r="AS36" cm="1">
        <f t="array" ref="AS36">SUMPRODUCT(('Team Lineups'!$K$2:$K$2000&lt;&gt;"")*('Team Lineups'!$C$2:$C$2000=$A36)*COUNTIFS('Team Lineups'!$K$2:$K$2000,'Team Lineups'!$K$2:$K$2000,'Team Lineups'!$C$2:$C$2000,AS$1))</f>
        <v>1</v>
      </c>
      <c r="AT36" cm="1">
        <f t="array" ref="AT36">SUMPRODUCT(('Team Lineups'!$K$2:$K$2000&lt;&gt;"")*('Team Lineups'!$C$2:$C$2000=$A36)*COUNTIFS('Team Lineups'!$K$2:$K$2000,'Team Lineups'!$K$2:$K$2000,'Team Lineups'!$C$2:$C$2000,AT$1))</f>
        <v>0</v>
      </c>
      <c r="AU36" cm="1">
        <f t="array" ref="AU36">SUMPRODUCT(('Team Lineups'!$K$2:$K$2000&lt;&gt;"")*('Team Lineups'!$C$2:$C$2000=$A36)*COUNTIFS('Team Lineups'!$K$2:$K$2000,'Team Lineups'!$K$2:$K$2000,'Team Lineups'!$C$2:$C$2000,AU$1))</f>
        <v>1</v>
      </c>
      <c r="AV36" cm="1">
        <f t="array" ref="AV36">SUMPRODUCT(('Team Lineups'!$K$2:$K$2000&lt;&gt;"")*('Team Lineups'!$C$2:$C$2000=$A36)*COUNTIFS('Team Lineups'!$K$2:$K$2000,'Team Lineups'!$K$2:$K$2000,'Team Lineups'!$C$2:$C$2000,AV$1))</f>
        <v>0</v>
      </c>
    </row>
    <row r="37" spans="1:48" x14ac:dyDescent="0.35">
      <c r="A37" t="str">
        <v>Math</v>
      </c>
      <c r="B37" cm="1">
        <f t="array" ref="B37">SUMPRODUCT(('Team Lineups'!$K$2:$K$2000&lt;&gt;"")*('Team Lineups'!$C$2:$C$2000=$A37)*COUNTIFS('Team Lineups'!$K$2:$K$2000,'Team Lineups'!$K$2:$K$2000,'Team Lineups'!$C$2:$C$2000,B$1))</f>
        <v>0</v>
      </c>
      <c r="C37" cm="1">
        <f t="array" ref="C37">SUMPRODUCT(('Team Lineups'!$K$2:$K$2000&lt;&gt;"")*('Team Lineups'!$C$2:$C$2000=$A37)*COUNTIFS('Team Lineups'!$K$2:$K$2000,'Team Lineups'!$K$2:$K$2000,'Team Lineups'!$C$2:$C$2000,C$1))</f>
        <v>0</v>
      </c>
      <c r="D37" cm="1">
        <f t="array" ref="D37">SUMPRODUCT(('Team Lineups'!$K$2:$K$2000&lt;&gt;"")*('Team Lineups'!$C$2:$C$2000=$A37)*COUNTIFS('Team Lineups'!$K$2:$K$2000,'Team Lineups'!$K$2:$K$2000,'Team Lineups'!$C$2:$C$2000,D$1))</f>
        <v>0</v>
      </c>
      <c r="E37" cm="1">
        <f t="array" ref="E37">SUMPRODUCT(('Team Lineups'!$K$2:$K$2000&lt;&gt;"")*('Team Lineups'!$C$2:$C$2000=$A37)*COUNTIFS('Team Lineups'!$K$2:$K$2000,'Team Lineups'!$K$2:$K$2000,'Team Lineups'!$C$2:$C$2000,E$1))</f>
        <v>3</v>
      </c>
      <c r="F37" cm="1">
        <f t="array" ref="F37">SUMPRODUCT(('Team Lineups'!$K$2:$K$2000&lt;&gt;"")*('Team Lineups'!$C$2:$C$2000=$A37)*COUNTIFS('Team Lineups'!$K$2:$K$2000,'Team Lineups'!$K$2:$K$2000,'Team Lineups'!$C$2:$C$2000,F$1))</f>
        <v>0</v>
      </c>
      <c r="G37" cm="1">
        <f t="array" ref="G37">SUMPRODUCT(('Team Lineups'!$K$2:$K$2000&lt;&gt;"")*('Team Lineups'!$C$2:$C$2000=$A37)*COUNTIFS('Team Lineups'!$K$2:$K$2000,'Team Lineups'!$K$2:$K$2000,'Team Lineups'!$C$2:$C$2000,G$1))</f>
        <v>4</v>
      </c>
      <c r="H37" cm="1">
        <f t="array" ref="H37">SUMPRODUCT(('Team Lineups'!$K$2:$K$2000&lt;&gt;"")*('Team Lineups'!$C$2:$C$2000=$A37)*COUNTIFS('Team Lineups'!$K$2:$K$2000,'Team Lineups'!$K$2:$K$2000,'Team Lineups'!$C$2:$C$2000,H$1))</f>
        <v>0</v>
      </c>
      <c r="I37" cm="1">
        <f t="array" ref="I37">SUMPRODUCT(('Team Lineups'!$K$2:$K$2000&lt;&gt;"")*('Team Lineups'!$C$2:$C$2000=$A37)*COUNTIFS('Team Lineups'!$K$2:$K$2000,'Team Lineups'!$K$2:$K$2000,'Team Lineups'!$C$2:$C$2000,I$1))</f>
        <v>1</v>
      </c>
      <c r="J37" cm="1">
        <f t="array" ref="J37">SUMPRODUCT(('Team Lineups'!$K$2:$K$2000&lt;&gt;"")*('Team Lineups'!$C$2:$C$2000=$A37)*COUNTIFS('Team Lineups'!$K$2:$K$2000,'Team Lineups'!$K$2:$K$2000,'Team Lineups'!$C$2:$C$2000,J$1))</f>
        <v>0</v>
      </c>
      <c r="K37" cm="1">
        <f t="array" ref="K37">SUMPRODUCT(('Team Lineups'!$K$2:$K$2000&lt;&gt;"")*('Team Lineups'!$C$2:$C$2000=$A37)*COUNTIFS('Team Lineups'!$K$2:$K$2000,'Team Lineups'!$K$2:$K$2000,'Team Lineups'!$C$2:$C$2000,K$1))</f>
        <v>0</v>
      </c>
      <c r="L37" cm="1">
        <f t="array" ref="L37">SUMPRODUCT(('Team Lineups'!$K$2:$K$2000&lt;&gt;"")*('Team Lineups'!$C$2:$C$2000=$A37)*COUNTIFS('Team Lineups'!$K$2:$K$2000,'Team Lineups'!$K$2:$K$2000,'Team Lineups'!$C$2:$C$2000,L$1))</f>
        <v>1</v>
      </c>
      <c r="M37" cm="1">
        <f t="array" ref="M37">SUMPRODUCT(('Team Lineups'!$K$2:$K$2000&lt;&gt;"")*('Team Lineups'!$C$2:$C$2000=$A37)*COUNTIFS('Team Lineups'!$K$2:$K$2000,'Team Lineups'!$K$2:$K$2000,'Team Lineups'!$C$2:$C$2000,M$1))</f>
        <v>1</v>
      </c>
      <c r="N37" cm="1">
        <f t="array" ref="N37">SUMPRODUCT(('Team Lineups'!$K$2:$K$2000&lt;&gt;"")*('Team Lineups'!$C$2:$C$2000=$A37)*COUNTIFS('Team Lineups'!$K$2:$K$2000,'Team Lineups'!$K$2:$K$2000,'Team Lineups'!$C$2:$C$2000,N$1))</f>
        <v>0</v>
      </c>
      <c r="O37" cm="1">
        <f t="array" ref="O37">SUMPRODUCT(('Team Lineups'!$K$2:$K$2000&lt;&gt;"")*('Team Lineups'!$C$2:$C$2000=$A37)*COUNTIFS('Team Lineups'!$K$2:$K$2000,'Team Lineups'!$K$2:$K$2000,'Team Lineups'!$C$2:$C$2000,O$1))</f>
        <v>0</v>
      </c>
      <c r="P37" cm="1">
        <f t="array" ref="P37">SUMPRODUCT(('Team Lineups'!$K$2:$K$2000&lt;&gt;"")*('Team Lineups'!$C$2:$C$2000=$A37)*COUNTIFS('Team Lineups'!$K$2:$K$2000,'Team Lineups'!$K$2:$K$2000,'Team Lineups'!$C$2:$C$2000,P$1))</f>
        <v>0</v>
      </c>
      <c r="Q37" cm="1">
        <f t="array" ref="Q37">SUMPRODUCT(('Team Lineups'!$K$2:$K$2000&lt;&gt;"")*('Team Lineups'!$C$2:$C$2000=$A37)*COUNTIFS('Team Lineups'!$K$2:$K$2000,'Team Lineups'!$K$2:$K$2000,'Team Lineups'!$C$2:$C$2000,Q$1))</f>
        <v>0</v>
      </c>
      <c r="R37" cm="1">
        <f t="array" ref="R37">SUMPRODUCT(('Team Lineups'!$K$2:$K$2000&lt;&gt;"")*('Team Lineups'!$C$2:$C$2000=$A37)*COUNTIFS('Team Lineups'!$K$2:$K$2000,'Team Lineups'!$K$2:$K$2000,'Team Lineups'!$C$2:$C$2000,R$1))</f>
        <v>2</v>
      </c>
      <c r="S37" cm="1">
        <f t="array" ref="S37">SUMPRODUCT(('Team Lineups'!$K$2:$K$2000&lt;&gt;"")*('Team Lineups'!$C$2:$C$2000=$A37)*COUNTIFS('Team Lineups'!$K$2:$K$2000,'Team Lineups'!$K$2:$K$2000,'Team Lineups'!$C$2:$C$2000,S$1))</f>
        <v>0</v>
      </c>
      <c r="T37" cm="1">
        <f t="array" ref="T37">SUMPRODUCT(('Team Lineups'!$K$2:$K$2000&lt;&gt;"")*('Team Lineups'!$C$2:$C$2000=$A37)*COUNTIFS('Team Lineups'!$K$2:$K$2000,'Team Lineups'!$K$2:$K$2000,'Team Lineups'!$C$2:$C$2000,T$1))</f>
        <v>1</v>
      </c>
      <c r="U37" cm="1">
        <f t="array" ref="U37">SUMPRODUCT(('Team Lineups'!$K$2:$K$2000&lt;&gt;"")*('Team Lineups'!$C$2:$C$2000=$A37)*COUNTIFS('Team Lineups'!$K$2:$K$2000,'Team Lineups'!$K$2:$K$2000,'Team Lineups'!$C$2:$C$2000,U$1))</f>
        <v>0</v>
      </c>
      <c r="V37" cm="1">
        <f t="array" ref="V37">SUMPRODUCT(('Team Lineups'!$K$2:$K$2000&lt;&gt;"")*('Team Lineups'!$C$2:$C$2000=$A37)*COUNTIFS('Team Lineups'!$K$2:$K$2000,'Team Lineups'!$K$2:$K$2000,'Team Lineups'!$C$2:$C$2000,V$1))</f>
        <v>0</v>
      </c>
      <c r="W37" cm="1">
        <f t="array" ref="W37">SUMPRODUCT(('Team Lineups'!$K$2:$K$2000&lt;&gt;"")*('Team Lineups'!$C$2:$C$2000=$A37)*COUNTIFS('Team Lineups'!$K$2:$K$2000,'Team Lineups'!$K$2:$K$2000,'Team Lineups'!$C$2:$C$2000,W$1))</f>
        <v>0</v>
      </c>
      <c r="X37" cm="1">
        <f t="array" ref="X37">SUMPRODUCT(('Team Lineups'!$K$2:$K$2000&lt;&gt;"")*('Team Lineups'!$C$2:$C$2000=$A37)*COUNTIFS('Team Lineups'!$K$2:$K$2000,'Team Lineups'!$K$2:$K$2000,'Team Lineups'!$C$2:$C$2000,X$1))</f>
        <v>0</v>
      </c>
      <c r="Y37" cm="1">
        <f t="array" ref="Y37">SUMPRODUCT(('Team Lineups'!$K$2:$K$2000&lt;&gt;"")*('Team Lineups'!$C$2:$C$2000=$A37)*COUNTIFS('Team Lineups'!$K$2:$K$2000,'Team Lineups'!$K$2:$K$2000,'Team Lineups'!$C$2:$C$2000,Y$1))</f>
        <v>0</v>
      </c>
      <c r="Z37" cm="1">
        <f t="array" ref="Z37">SUMPRODUCT(('Team Lineups'!$K$2:$K$2000&lt;&gt;"")*('Team Lineups'!$C$2:$C$2000=$A37)*COUNTIFS('Team Lineups'!$K$2:$K$2000,'Team Lineups'!$K$2:$K$2000,'Team Lineups'!$C$2:$C$2000,Z$1))</f>
        <v>1</v>
      </c>
      <c r="AA37" cm="1">
        <f t="array" ref="AA37">SUMPRODUCT(('Team Lineups'!$K$2:$K$2000&lt;&gt;"")*('Team Lineups'!$C$2:$C$2000=$A37)*COUNTIFS('Team Lineups'!$K$2:$K$2000,'Team Lineups'!$K$2:$K$2000,'Team Lineups'!$C$2:$C$2000,AA$1))</f>
        <v>1</v>
      </c>
      <c r="AB37" cm="1">
        <f t="array" ref="AB37">SUMPRODUCT(('Team Lineups'!$K$2:$K$2000&lt;&gt;"")*('Team Lineups'!$C$2:$C$2000=$A37)*COUNTIFS('Team Lineups'!$K$2:$K$2000,'Team Lineups'!$K$2:$K$2000,'Team Lineups'!$C$2:$C$2000,AB$1))</f>
        <v>1</v>
      </c>
      <c r="AC37" cm="1">
        <f t="array" ref="AC37">SUMPRODUCT(('Team Lineups'!$K$2:$K$2000&lt;&gt;"")*('Team Lineups'!$C$2:$C$2000=$A37)*COUNTIFS('Team Lineups'!$K$2:$K$2000,'Team Lineups'!$K$2:$K$2000,'Team Lineups'!$C$2:$C$2000,AC$1))</f>
        <v>0</v>
      </c>
      <c r="AD37" cm="1">
        <f t="array" ref="AD37">SUMPRODUCT(('Team Lineups'!$K$2:$K$2000&lt;&gt;"")*('Team Lineups'!$C$2:$C$2000=$A37)*COUNTIFS('Team Lineups'!$K$2:$K$2000,'Team Lineups'!$K$2:$K$2000,'Team Lineups'!$C$2:$C$2000,AD$1))</f>
        <v>1</v>
      </c>
      <c r="AE37" cm="1">
        <f t="array" ref="AE37">SUMPRODUCT(('Team Lineups'!$K$2:$K$2000&lt;&gt;"")*('Team Lineups'!$C$2:$C$2000=$A37)*COUNTIFS('Team Lineups'!$K$2:$K$2000,'Team Lineups'!$K$2:$K$2000,'Team Lineups'!$C$2:$C$2000,AE$1))</f>
        <v>0</v>
      </c>
      <c r="AF37" cm="1">
        <f t="array" ref="AF37">SUMPRODUCT(('Team Lineups'!$K$2:$K$2000&lt;&gt;"")*('Team Lineups'!$C$2:$C$2000=$A37)*COUNTIFS('Team Lineups'!$K$2:$K$2000,'Team Lineups'!$K$2:$K$2000,'Team Lineups'!$C$2:$C$2000,AF$1))</f>
        <v>0</v>
      </c>
      <c r="AG37" cm="1">
        <f t="array" ref="AG37">SUMPRODUCT(('Team Lineups'!$K$2:$K$2000&lt;&gt;"")*('Team Lineups'!$C$2:$C$2000=$A37)*COUNTIFS('Team Lineups'!$K$2:$K$2000,'Team Lineups'!$K$2:$K$2000,'Team Lineups'!$C$2:$C$2000,AG$1))</f>
        <v>0</v>
      </c>
      <c r="AH37" cm="1">
        <f t="array" ref="AH37">SUMPRODUCT(('Team Lineups'!$K$2:$K$2000&lt;&gt;"")*('Team Lineups'!$C$2:$C$2000=$A37)*COUNTIFS('Team Lineups'!$K$2:$K$2000,'Team Lineups'!$K$2:$K$2000,'Team Lineups'!$C$2:$C$2000,AH$1))</f>
        <v>0</v>
      </c>
      <c r="AI37" cm="1">
        <f t="array" ref="AI37">SUMPRODUCT(('Team Lineups'!$K$2:$K$2000&lt;&gt;"")*('Team Lineups'!$C$2:$C$2000=$A37)*COUNTIFS('Team Lineups'!$K$2:$K$2000,'Team Lineups'!$K$2:$K$2000,'Team Lineups'!$C$2:$C$2000,AI$1))</f>
        <v>0</v>
      </c>
      <c r="AJ37" cm="1">
        <f t="array" ref="AJ37">SUMPRODUCT(('Team Lineups'!$K$2:$K$2000&lt;&gt;"")*('Team Lineups'!$C$2:$C$2000=$A37)*COUNTIFS('Team Lineups'!$K$2:$K$2000,'Team Lineups'!$K$2:$K$2000,'Team Lineups'!$C$2:$C$2000,AJ$1))</f>
        <v>0</v>
      </c>
      <c r="AK37" cm="1">
        <f t="array" ref="AK37">SUMPRODUCT(('Team Lineups'!$K$2:$K$2000&lt;&gt;"")*('Team Lineups'!$C$2:$C$2000=$A37)*COUNTIFS('Team Lineups'!$K$2:$K$2000,'Team Lineups'!$K$2:$K$2000,'Team Lineups'!$C$2:$C$2000,AK$1))</f>
        <v>5</v>
      </c>
      <c r="AL37" cm="1">
        <f t="array" ref="AL37">SUMPRODUCT(('Team Lineups'!$K$2:$K$2000&lt;&gt;"")*('Team Lineups'!$C$2:$C$2000=$A37)*COUNTIFS('Team Lineups'!$K$2:$K$2000,'Team Lineups'!$K$2:$K$2000,'Team Lineups'!$C$2:$C$2000,AL$1))</f>
        <v>2</v>
      </c>
      <c r="AM37" cm="1">
        <f t="array" ref="AM37">SUMPRODUCT(('Team Lineups'!$K$2:$K$2000&lt;&gt;"")*('Team Lineups'!$C$2:$C$2000=$A37)*COUNTIFS('Team Lineups'!$K$2:$K$2000,'Team Lineups'!$K$2:$K$2000,'Team Lineups'!$C$2:$C$2000,AM$1))</f>
        <v>1</v>
      </c>
      <c r="AN37" cm="1">
        <f t="array" ref="AN37">SUMPRODUCT(('Team Lineups'!$K$2:$K$2000&lt;&gt;"")*('Team Lineups'!$C$2:$C$2000=$A37)*COUNTIFS('Team Lineups'!$K$2:$K$2000,'Team Lineups'!$K$2:$K$2000,'Team Lineups'!$C$2:$C$2000,AN$1))</f>
        <v>1</v>
      </c>
      <c r="AO37" cm="1">
        <f t="array" ref="AO37">SUMPRODUCT(('Team Lineups'!$K$2:$K$2000&lt;&gt;"")*('Team Lineups'!$C$2:$C$2000=$A37)*COUNTIFS('Team Lineups'!$K$2:$K$2000,'Team Lineups'!$K$2:$K$2000,'Team Lineups'!$C$2:$C$2000,AO$1))</f>
        <v>0</v>
      </c>
      <c r="AP37" cm="1">
        <f t="array" ref="AP37">SUMPRODUCT(('Team Lineups'!$K$2:$K$2000&lt;&gt;"")*('Team Lineups'!$C$2:$C$2000=$A37)*COUNTIFS('Team Lineups'!$K$2:$K$2000,'Team Lineups'!$K$2:$K$2000,'Team Lineups'!$C$2:$C$2000,AP$1))</f>
        <v>0</v>
      </c>
      <c r="AQ37" cm="1">
        <f t="array" ref="AQ37">SUMPRODUCT(('Team Lineups'!$K$2:$K$2000&lt;&gt;"")*('Team Lineups'!$C$2:$C$2000=$A37)*COUNTIFS('Team Lineups'!$K$2:$K$2000,'Team Lineups'!$K$2:$K$2000,'Team Lineups'!$C$2:$C$2000,AQ$1))</f>
        <v>0</v>
      </c>
      <c r="AR37" cm="1">
        <f t="array" ref="AR37">SUMPRODUCT(('Team Lineups'!$K$2:$K$2000&lt;&gt;"")*('Team Lineups'!$C$2:$C$2000=$A37)*COUNTIFS('Team Lineups'!$K$2:$K$2000,'Team Lineups'!$K$2:$K$2000,'Team Lineups'!$C$2:$C$2000,AR$1))</f>
        <v>0</v>
      </c>
      <c r="AS37" cm="1">
        <f t="array" ref="AS37">SUMPRODUCT(('Team Lineups'!$K$2:$K$2000&lt;&gt;"")*('Team Lineups'!$C$2:$C$2000=$A37)*COUNTIFS('Team Lineups'!$K$2:$K$2000,'Team Lineups'!$K$2:$K$2000,'Team Lineups'!$C$2:$C$2000,AS$1))</f>
        <v>0</v>
      </c>
      <c r="AT37" cm="1">
        <f t="array" ref="AT37">SUMPRODUCT(('Team Lineups'!$K$2:$K$2000&lt;&gt;"")*('Team Lineups'!$C$2:$C$2000=$A37)*COUNTIFS('Team Lineups'!$K$2:$K$2000,'Team Lineups'!$K$2:$K$2000,'Team Lineups'!$C$2:$C$2000,AT$1))</f>
        <v>0</v>
      </c>
      <c r="AU37" cm="1">
        <f t="array" ref="AU37">SUMPRODUCT(('Team Lineups'!$K$2:$K$2000&lt;&gt;"")*('Team Lineups'!$C$2:$C$2000=$A37)*COUNTIFS('Team Lineups'!$K$2:$K$2000,'Team Lineups'!$K$2:$K$2000,'Team Lineups'!$C$2:$C$2000,AU$1))</f>
        <v>0</v>
      </c>
      <c r="AV37" cm="1">
        <f t="array" ref="AV37">SUMPRODUCT(('Team Lineups'!$K$2:$K$2000&lt;&gt;"")*('Team Lineups'!$C$2:$C$2000=$A37)*COUNTIFS('Team Lineups'!$K$2:$K$2000,'Team Lineups'!$K$2:$K$2000,'Team Lineups'!$C$2:$C$2000,AV$1))</f>
        <v>0</v>
      </c>
    </row>
    <row r="38" spans="1:48" x14ac:dyDescent="0.35">
      <c r="A38" t="str">
        <v>Elliot</v>
      </c>
      <c r="B38" cm="1">
        <f t="array" ref="B38">SUMPRODUCT(('Team Lineups'!$K$2:$K$2000&lt;&gt;"")*('Team Lineups'!$C$2:$C$2000=$A38)*COUNTIFS('Team Lineups'!$K$2:$K$2000,'Team Lineups'!$K$2:$K$2000,'Team Lineups'!$C$2:$C$2000,B$1))</f>
        <v>2</v>
      </c>
      <c r="C38" cm="1">
        <f t="array" ref="C38">SUMPRODUCT(('Team Lineups'!$K$2:$K$2000&lt;&gt;"")*('Team Lineups'!$C$2:$C$2000=$A38)*COUNTIFS('Team Lineups'!$K$2:$K$2000,'Team Lineups'!$K$2:$K$2000,'Team Lineups'!$C$2:$C$2000,C$1))</f>
        <v>1</v>
      </c>
      <c r="D38" cm="1">
        <f t="array" ref="D38">SUMPRODUCT(('Team Lineups'!$K$2:$K$2000&lt;&gt;"")*('Team Lineups'!$C$2:$C$2000=$A38)*COUNTIFS('Team Lineups'!$K$2:$K$2000,'Team Lineups'!$K$2:$K$2000,'Team Lineups'!$C$2:$C$2000,D$1))</f>
        <v>4</v>
      </c>
      <c r="E38" cm="1">
        <f t="array" ref="E38">SUMPRODUCT(('Team Lineups'!$K$2:$K$2000&lt;&gt;"")*('Team Lineups'!$C$2:$C$2000=$A38)*COUNTIFS('Team Lineups'!$K$2:$K$2000,'Team Lineups'!$K$2:$K$2000,'Team Lineups'!$C$2:$C$2000,E$1))</f>
        <v>7</v>
      </c>
      <c r="F38" cm="1">
        <f t="array" ref="F38">SUMPRODUCT(('Team Lineups'!$K$2:$K$2000&lt;&gt;"")*('Team Lineups'!$C$2:$C$2000=$A38)*COUNTIFS('Team Lineups'!$K$2:$K$2000,'Team Lineups'!$K$2:$K$2000,'Team Lineups'!$C$2:$C$2000,F$1))</f>
        <v>3</v>
      </c>
      <c r="G38" cm="1">
        <f t="array" ref="G38">SUMPRODUCT(('Team Lineups'!$K$2:$K$2000&lt;&gt;"")*('Team Lineups'!$C$2:$C$2000=$A38)*COUNTIFS('Team Lineups'!$K$2:$K$2000,'Team Lineups'!$K$2:$K$2000,'Team Lineups'!$C$2:$C$2000,G$1))</f>
        <v>6</v>
      </c>
      <c r="H38" cm="1">
        <f t="array" ref="H38">SUMPRODUCT(('Team Lineups'!$K$2:$K$2000&lt;&gt;"")*('Team Lineups'!$C$2:$C$2000=$A38)*COUNTIFS('Team Lineups'!$K$2:$K$2000,'Team Lineups'!$K$2:$K$2000,'Team Lineups'!$C$2:$C$2000,H$1))</f>
        <v>2</v>
      </c>
      <c r="I38" cm="1">
        <f t="array" ref="I38">SUMPRODUCT(('Team Lineups'!$K$2:$K$2000&lt;&gt;"")*('Team Lineups'!$C$2:$C$2000=$A38)*COUNTIFS('Team Lineups'!$K$2:$K$2000,'Team Lineups'!$K$2:$K$2000,'Team Lineups'!$C$2:$C$2000,I$1))</f>
        <v>3</v>
      </c>
      <c r="J38" cm="1">
        <f t="array" ref="J38">SUMPRODUCT(('Team Lineups'!$K$2:$K$2000&lt;&gt;"")*('Team Lineups'!$C$2:$C$2000=$A38)*COUNTIFS('Team Lineups'!$K$2:$K$2000,'Team Lineups'!$K$2:$K$2000,'Team Lineups'!$C$2:$C$2000,J$1))</f>
        <v>0</v>
      </c>
      <c r="K38" cm="1">
        <f t="array" ref="K38">SUMPRODUCT(('Team Lineups'!$K$2:$K$2000&lt;&gt;"")*('Team Lineups'!$C$2:$C$2000=$A38)*COUNTIFS('Team Lineups'!$K$2:$K$2000,'Team Lineups'!$K$2:$K$2000,'Team Lineups'!$C$2:$C$2000,K$1))</f>
        <v>0</v>
      </c>
      <c r="L38" cm="1">
        <f t="array" ref="L38">SUMPRODUCT(('Team Lineups'!$K$2:$K$2000&lt;&gt;"")*('Team Lineups'!$C$2:$C$2000=$A38)*COUNTIFS('Team Lineups'!$K$2:$K$2000,'Team Lineups'!$K$2:$K$2000,'Team Lineups'!$C$2:$C$2000,L$1))</f>
        <v>0</v>
      </c>
      <c r="M38" cm="1">
        <f t="array" ref="M38">SUMPRODUCT(('Team Lineups'!$K$2:$K$2000&lt;&gt;"")*('Team Lineups'!$C$2:$C$2000=$A38)*COUNTIFS('Team Lineups'!$K$2:$K$2000,'Team Lineups'!$K$2:$K$2000,'Team Lineups'!$C$2:$C$2000,M$1))</f>
        <v>5</v>
      </c>
      <c r="N38" cm="1">
        <f t="array" ref="N38">SUMPRODUCT(('Team Lineups'!$K$2:$K$2000&lt;&gt;"")*('Team Lineups'!$C$2:$C$2000=$A38)*COUNTIFS('Team Lineups'!$K$2:$K$2000,'Team Lineups'!$K$2:$K$2000,'Team Lineups'!$C$2:$C$2000,N$1))</f>
        <v>2</v>
      </c>
      <c r="O38" cm="1">
        <f t="array" ref="O38">SUMPRODUCT(('Team Lineups'!$K$2:$K$2000&lt;&gt;"")*('Team Lineups'!$C$2:$C$2000=$A38)*COUNTIFS('Team Lineups'!$K$2:$K$2000,'Team Lineups'!$K$2:$K$2000,'Team Lineups'!$C$2:$C$2000,O$1))</f>
        <v>1</v>
      </c>
      <c r="P38" cm="1">
        <f t="array" ref="P38">SUMPRODUCT(('Team Lineups'!$K$2:$K$2000&lt;&gt;"")*('Team Lineups'!$C$2:$C$2000=$A38)*COUNTIFS('Team Lineups'!$K$2:$K$2000,'Team Lineups'!$K$2:$K$2000,'Team Lineups'!$C$2:$C$2000,P$1))</f>
        <v>0</v>
      </c>
      <c r="Q38" cm="1">
        <f t="array" ref="Q38">SUMPRODUCT(('Team Lineups'!$K$2:$K$2000&lt;&gt;"")*('Team Lineups'!$C$2:$C$2000=$A38)*COUNTIFS('Team Lineups'!$K$2:$K$2000,'Team Lineups'!$K$2:$K$2000,'Team Lineups'!$C$2:$C$2000,Q$1))</f>
        <v>4</v>
      </c>
      <c r="R38" cm="1">
        <f t="array" ref="R38">SUMPRODUCT(('Team Lineups'!$K$2:$K$2000&lt;&gt;"")*('Team Lineups'!$C$2:$C$2000=$A38)*COUNTIFS('Team Lineups'!$K$2:$K$2000,'Team Lineups'!$K$2:$K$2000,'Team Lineups'!$C$2:$C$2000,R$1))</f>
        <v>8</v>
      </c>
      <c r="S38" cm="1">
        <f t="array" ref="S38">SUMPRODUCT(('Team Lineups'!$K$2:$K$2000&lt;&gt;"")*('Team Lineups'!$C$2:$C$2000=$A38)*COUNTIFS('Team Lineups'!$K$2:$K$2000,'Team Lineups'!$K$2:$K$2000,'Team Lineups'!$C$2:$C$2000,S$1))</f>
        <v>1</v>
      </c>
      <c r="T38" cm="1">
        <f t="array" ref="T38">SUMPRODUCT(('Team Lineups'!$K$2:$K$2000&lt;&gt;"")*('Team Lineups'!$C$2:$C$2000=$A38)*COUNTIFS('Team Lineups'!$K$2:$K$2000,'Team Lineups'!$K$2:$K$2000,'Team Lineups'!$C$2:$C$2000,T$1))</f>
        <v>2</v>
      </c>
      <c r="U38" cm="1">
        <f t="array" ref="U38">SUMPRODUCT(('Team Lineups'!$K$2:$K$2000&lt;&gt;"")*('Team Lineups'!$C$2:$C$2000=$A38)*COUNTIFS('Team Lineups'!$K$2:$K$2000,'Team Lineups'!$K$2:$K$2000,'Team Lineups'!$C$2:$C$2000,U$1))</f>
        <v>0</v>
      </c>
      <c r="V38" cm="1">
        <f t="array" ref="V38">SUMPRODUCT(('Team Lineups'!$K$2:$K$2000&lt;&gt;"")*('Team Lineups'!$C$2:$C$2000=$A38)*COUNTIFS('Team Lineups'!$K$2:$K$2000,'Team Lineups'!$K$2:$K$2000,'Team Lineups'!$C$2:$C$2000,V$1))</f>
        <v>0</v>
      </c>
      <c r="W38" cm="1">
        <f t="array" ref="W38">SUMPRODUCT(('Team Lineups'!$K$2:$K$2000&lt;&gt;"")*('Team Lineups'!$C$2:$C$2000=$A38)*COUNTIFS('Team Lineups'!$K$2:$K$2000,'Team Lineups'!$K$2:$K$2000,'Team Lineups'!$C$2:$C$2000,W$1))</f>
        <v>1</v>
      </c>
      <c r="X38" cm="1">
        <f t="array" ref="X38">SUMPRODUCT(('Team Lineups'!$K$2:$K$2000&lt;&gt;"")*('Team Lineups'!$C$2:$C$2000=$A38)*COUNTIFS('Team Lineups'!$K$2:$K$2000,'Team Lineups'!$K$2:$K$2000,'Team Lineups'!$C$2:$C$2000,X$1))</f>
        <v>0</v>
      </c>
      <c r="Y38" cm="1">
        <f t="array" ref="Y38">SUMPRODUCT(('Team Lineups'!$K$2:$K$2000&lt;&gt;"")*('Team Lineups'!$C$2:$C$2000=$A38)*COUNTIFS('Team Lineups'!$K$2:$K$2000,'Team Lineups'!$K$2:$K$2000,'Team Lineups'!$C$2:$C$2000,Y$1))</f>
        <v>0</v>
      </c>
      <c r="Z38" cm="1">
        <f t="array" ref="Z38">SUMPRODUCT(('Team Lineups'!$K$2:$K$2000&lt;&gt;"")*('Team Lineups'!$C$2:$C$2000=$A38)*COUNTIFS('Team Lineups'!$K$2:$K$2000,'Team Lineups'!$K$2:$K$2000,'Team Lineups'!$C$2:$C$2000,Z$1))</f>
        <v>4</v>
      </c>
      <c r="AA38" cm="1">
        <f t="array" ref="AA38">SUMPRODUCT(('Team Lineups'!$K$2:$K$2000&lt;&gt;"")*('Team Lineups'!$C$2:$C$2000=$A38)*COUNTIFS('Team Lineups'!$K$2:$K$2000,'Team Lineups'!$K$2:$K$2000,'Team Lineups'!$C$2:$C$2000,AA$1))</f>
        <v>4</v>
      </c>
      <c r="AB38" cm="1">
        <f t="array" ref="AB38">SUMPRODUCT(('Team Lineups'!$K$2:$K$2000&lt;&gt;"")*('Team Lineups'!$C$2:$C$2000=$A38)*COUNTIFS('Team Lineups'!$K$2:$K$2000,'Team Lineups'!$K$2:$K$2000,'Team Lineups'!$C$2:$C$2000,AB$1))</f>
        <v>6</v>
      </c>
      <c r="AC38" cm="1">
        <f t="array" ref="AC38">SUMPRODUCT(('Team Lineups'!$K$2:$K$2000&lt;&gt;"")*('Team Lineups'!$C$2:$C$2000=$A38)*COUNTIFS('Team Lineups'!$K$2:$K$2000,'Team Lineups'!$K$2:$K$2000,'Team Lineups'!$C$2:$C$2000,AC$1))</f>
        <v>0</v>
      </c>
      <c r="AD38" cm="1">
        <f t="array" ref="AD38">SUMPRODUCT(('Team Lineups'!$K$2:$K$2000&lt;&gt;"")*('Team Lineups'!$C$2:$C$2000=$A38)*COUNTIFS('Team Lineups'!$K$2:$K$2000,'Team Lineups'!$K$2:$K$2000,'Team Lineups'!$C$2:$C$2000,AD$1))</f>
        <v>4</v>
      </c>
      <c r="AE38" cm="1">
        <f t="array" ref="AE38">SUMPRODUCT(('Team Lineups'!$K$2:$K$2000&lt;&gt;"")*('Team Lineups'!$C$2:$C$2000=$A38)*COUNTIFS('Team Lineups'!$K$2:$K$2000,'Team Lineups'!$K$2:$K$2000,'Team Lineups'!$C$2:$C$2000,AE$1))</f>
        <v>0</v>
      </c>
      <c r="AF38" cm="1">
        <f t="array" ref="AF38">SUMPRODUCT(('Team Lineups'!$K$2:$K$2000&lt;&gt;"")*('Team Lineups'!$C$2:$C$2000=$A38)*COUNTIFS('Team Lineups'!$K$2:$K$2000,'Team Lineups'!$K$2:$K$2000,'Team Lineups'!$C$2:$C$2000,AF$1))</f>
        <v>0</v>
      </c>
      <c r="AG38" cm="1">
        <f t="array" ref="AG38">SUMPRODUCT(('Team Lineups'!$K$2:$K$2000&lt;&gt;"")*('Team Lineups'!$C$2:$C$2000=$A38)*COUNTIFS('Team Lineups'!$K$2:$K$2000,'Team Lineups'!$K$2:$K$2000,'Team Lineups'!$C$2:$C$2000,AG$1))</f>
        <v>0</v>
      </c>
      <c r="AH38" cm="1">
        <f t="array" ref="AH38">SUMPRODUCT(('Team Lineups'!$K$2:$K$2000&lt;&gt;"")*('Team Lineups'!$C$2:$C$2000=$A38)*COUNTIFS('Team Lineups'!$K$2:$K$2000,'Team Lineups'!$K$2:$K$2000,'Team Lineups'!$C$2:$C$2000,AH$1))</f>
        <v>0</v>
      </c>
      <c r="AI38" cm="1">
        <f t="array" ref="AI38">SUMPRODUCT(('Team Lineups'!$K$2:$K$2000&lt;&gt;"")*('Team Lineups'!$C$2:$C$2000=$A38)*COUNTIFS('Team Lineups'!$K$2:$K$2000,'Team Lineups'!$K$2:$K$2000,'Team Lineups'!$C$2:$C$2000,AI$1))</f>
        <v>0</v>
      </c>
      <c r="AJ38" cm="1">
        <f t="array" ref="AJ38">SUMPRODUCT(('Team Lineups'!$K$2:$K$2000&lt;&gt;"")*('Team Lineups'!$C$2:$C$2000=$A38)*COUNTIFS('Team Lineups'!$K$2:$K$2000,'Team Lineups'!$K$2:$K$2000,'Team Lineups'!$C$2:$C$2000,AJ$1))</f>
        <v>1</v>
      </c>
      <c r="AK38" cm="1">
        <f t="array" ref="AK38">SUMPRODUCT(('Team Lineups'!$K$2:$K$2000&lt;&gt;"")*('Team Lineups'!$C$2:$C$2000=$A38)*COUNTIFS('Team Lineups'!$K$2:$K$2000,'Team Lineups'!$K$2:$K$2000,'Team Lineups'!$C$2:$C$2000,AK$1))</f>
        <v>2</v>
      </c>
      <c r="AL38" cm="1">
        <f t="array" ref="AL38">SUMPRODUCT(('Team Lineups'!$K$2:$K$2000&lt;&gt;"")*('Team Lineups'!$C$2:$C$2000=$A38)*COUNTIFS('Team Lineups'!$K$2:$K$2000,'Team Lineups'!$K$2:$K$2000,'Team Lineups'!$C$2:$C$2000,AL$1))</f>
        <v>18</v>
      </c>
      <c r="AM38" cm="1">
        <f t="array" ref="AM38">SUMPRODUCT(('Team Lineups'!$K$2:$K$2000&lt;&gt;"")*('Team Lineups'!$C$2:$C$2000=$A38)*COUNTIFS('Team Lineups'!$K$2:$K$2000,'Team Lineups'!$K$2:$K$2000,'Team Lineups'!$C$2:$C$2000,AM$1))</f>
        <v>0</v>
      </c>
      <c r="AN38" cm="1">
        <f t="array" ref="AN38">SUMPRODUCT(('Team Lineups'!$K$2:$K$2000&lt;&gt;"")*('Team Lineups'!$C$2:$C$2000=$A38)*COUNTIFS('Team Lineups'!$K$2:$K$2000,'Team Lineups'!$K$2:$K$2000,'Team Lineups'!$C$2:$C$2000,AN$1))</f>
        <v>4</v>
      </c>
      <c r="AO38" cm="1">
        <f t="array" ref="AO38">SUMPRODUCT(('Team Lineups'!$K$2:$K$2000&lt;&gt;"")*('Team Lineups'!$C$2:$C$2000=$A38)*COUNTIFS('Team Lineups'!$K$2:$K$2000,'Team Lineups'!$K$2:$K$2000,'Team Lineups'!$C$2:$C$2000,AO$1))</f>
        <v>1</v>
      </c>
      <c r="AP38" cm="1">
        <f t="array" ref="AP38">SUMPRODUCT(('Team Lineups'!$K$2:$K$2000&lt;&gt;"")*('Team Lineups'!$C$2:$C$2000=$A38)*COUNTIFS('Team Lineups'!$K$2:$K$2000,'Team Lineups'!$K$2:$K$2000,'Team Lineups'!$C$2:$C$2000,AP$1))</f>
        <v>5</v>
      </c>
      <c r="AQ38" cm="1">
        <f t="array" ref="AQ38">SUMPRODUCT(('Team Lineups'!$K$2:$K$2000&lt;&gt;"")*('Team Lineups'!$C$2:$C$2000=$A38)*COUNTIFS('Team Lineups'!$K$2:$K$2000,'Team Lineups'!$K$2:$K$2000,'Team Lineups'!$C$2:$C$2000,AQ$1))</f>
        <v>3</v>
      </c>
      <c r="AR38" cm="1">
        <f t="array" ref="AR38">SUMPRODUCT(('Team Lineups'!$K$2:$K$2000&lt;&gt;"")*('Team Lineups'!$C$2:$C$2000=$A38)*COUNTIFS('Team Lineups'!$K$2:$K$2000,'Team Lineups'!$K$2:$K$2000,'Team Lineups'!$C$2:$C$2000,AR$1))</f>
        <v>0</v>
      </c>
      <c r="AS38" cm="1">
        <f t="array" ref="AS38">SUMPRODUCT(('Team Lineups'!$K$2:$K$2000&lt;&gt;"")*('Team Lineups'!$C$2:$C$2000=$A38)*COUNTIFS('Team Lineups'!$K$2:$K$2000,'Team Lineups'!$K$2:$K$2000,'Team Lineups'!$C$2:$C$2000,AS$1))</f>
        <v>0</v>
      </c>
      <c r="AT38" cm="1">
        <f t="array" ref="AT38">SUMPRODUCT(('Team Lineups'!$K$2:$K$2000&lt;&gt;"")*('Team Lineups'!$C$2:$C$2000=$A38)*COUNTIFS('Team Lineups'!$K$2:$K$2000,'Team Lineups'!$K$2:$K$2000,'Team Lineups'!$C$2:$C$2000,AT$1))</f>
        <v>0</v>
      </c>
      <c r="AU38" cm="1">
        <f t="array" ref="AU38">SUMPRODUCT(('Team Lineups'!$K$2:$K$2000&lt;&gt;"")*('Team Lineups'!$C$2:$C$2000=$A38)*COUNTIFS('Team Lineups'!$K$2:$K$2000,'Team Lineups'!$K$2:$K$2000,'Team Lineups'!$C$2:$C$2000,AU$1))</f>
        <v>0</v>
      </c>
      <c r="AV38" cm="1">
        <f t="array" ref="AV38">SUMPRODUCT(('Team Lineups'!$K$2:$K$2000&lt;&gt;"")*('Team Lineups'!$C$2:$C$2000=$A38)*COUNTIFS('Team Lineups'!$K$2:$K$2000,'Team Lineups'!$K$2:$K$2000,'Team Lineups'!$C$2:$C$2000,AV$1))</f>
        <v>1</v>
      </c>
    </row>
    <row r="39" spans="1:48" x14ac:dyDescent="0.35">
      <c r="A39" t="str">
        <v>Aaron</v>
      </c>
      <c r="B39" cm="1">
        <f t="array" ref="B39">SUMPRODUCT(('Team Lineups'!$K$2:$K$2000&lt;&gt;"")*('Team Lineups'!$C$2:$C$2000=$A39)*COUNTIFS('Team Lineups'!$K$2:$K$2000,'Team Lineups'!$K$2:$K$2000,'Team Lineups'!$C$2:$C$2000,B$1))</f>
        <v>0</v>
      </c>
      <c r="C39" cm="1">
        <f t="array" ref="C39">SUMPRODUCT(('Team Lineups'!$K$2:$K$2000&lt;&gt;"")*('Team Lineups'!$C$2:$C$2000=$A39)*COUNTIFS('Team Lineups'!$K$2:$K$2000,'Team Lineups'!$K$2:$K$2000,'Team Lineups'!$C$2:$C$2000,C$1))</f>
        <v>0</v>
      </c>
      <c r="D39" cm="1">
        <f t="array" ref="D39">SUMPRODUCT(('Team Lineups'!$K$2:$K$2000&lt;&gt;"")*('Team Lineups'!$C$2:$C$2000=$A39)*COUNTIFS('Team Lineups'!$K$2:$K$2000,'Team Lineups'!$K$2:$K$2000,'Team Lineups'!$C$2:$C$2000,D$1))</f>
        <v>0</v>
      </c>
      <c r="E39" cm="1">
        <f t="array" ref="E39">SUMPRODUCT(('Team Lineups'!$K$2:$K$2000&lt;&gt;"")*('Team Lineups'!$C$2:$C$2000=$A39)*COUNTIFS('Team Lineups'!$K$2:$K$2000,'Team Lineups'!$K$2:$K$2000,'Team Lineups'!$C$2:$C$2000,E$1))</f>
        <v>1</v>
      </c>
      <c r="F39" cm="1">
        <f t="array" ref="F39">SUMPRODUCT(('Team Lineups'!$K$2:$K$2000&lt;&gt;"")*('Team Lineups'!$C$2:$C$2000=$A39)*COUNTIFS('Team Lineups'!$K$2:$K$2000,'Team Lineups'!$K$2:$K$2000,'Team Lineups'!$C$2:$C$2000,F$1))</f>
        <v>0</v>
      </c>
      <c r="G39" cm="1">
        <f t="array" ref="G39">SUMPRODUCT(('Team Lineups'!$K$2:$K$2000&lt;&gt;"")*('Team Lineups'!$C$2:$C$2000=$A39)*COUNTIFS('Team Lineups'!$K$2:$K$2000,'Team Lineups'!$K$2:$K$2000,'Team Lineups'!$C$2:$C$2000,G$1))</f>
        <v>2</v>
      </c>
      <c r="H39" cm="1">
        <f t="array" ref="H39">SUMPRODUCT(('Team Lineups'!$K$2:$K$2000&lt;&gt;"")*('Team Lineups'!$C$2:$C$2000=$A39)*COUNTIFS('Team Lineups'!$K$2:$K$2000,'Team Lineups'!$K$2:$K$2000,'Team Lineups'!$C$2:$C$2000,H$1))</f>
        <v>0</v>
      </c>
      <c r="I39" cm="1">
        <f t="array" ref="I39">SUMPRODUCT(('Team Lineups'!$K$2:$K$2000&lt;&gt;"")*('Team Lineups'!$C$2:$C$2000=$A39)*COUNTIFS('Team Lineups'!$K$2:$K$2000,'Team Lineups'!$K$2:$K$2000,'Team Lineups'!$C$2:$C$2000,I$1))</f>
        <v>0</v>
      </c>
      <c r="J39" cm="1">
        <f t="array" ref="J39">SUMPRODUCT(('Team Lineups'!$K$2:$K$2000&lt;&gt;"")*('Team Lineups'!$C$2:$C$2000=$A39)*COUNTIFS('Team Lineups'!$K$2:$K$2000,'Team Lineups'!$K$2:$K$2000,'Team Lineups'!$C$2:$C$2000,J$1))</f>
        <v>0</v>
      </c>
      <c r="K39" cm="1">
        <f t="array" ref="K39">SUMPRODUCT(('Team Lineups'!$K$2:$K$2000&lt;&gt;"")*('Team Lineups'!$C$2:$C$2000=$A39)*COUNTIFS('Team Lineups'!$K$2:$K$2000,'Team Lineups'!$K$2:$K$2000,'Team Lineups'!$C$2:$C$2000,K$1))</f>
        <v>0</v>
      </c>
      <c r="L39" cm="1">
        <f t="array" ref="L39">SUMPRODUCT(('Team Lineups'!$K$2:$K$2000&lt;&gt;"")*('Team Lineups'!$C$2:$C$2000=$A39)*COUNTIFS('Team Lineups'!$K$2:$K$2000,'Team Lineups'!$K$2:$K$2000,'Team Lineups'!$C$2:$C$2000,L$1))</f>
        <v>0</v>
      </c>
      <c r="M39" cm="1">
        <f t="array" ref="M39">SUMPRODUCT(('Team Lineups'!$K$2:$K$2000&lt;&gt;"")*('Team Lineups'!$C$2:$C$2000=$A39)*COUNTIFS('Team Lineups'!$K$2:$K$2000,'Team Lineups'!$K$2:$K$2000,'Team Lineups'!$C$2:$C$2000,M$1))</f>
        <v>0</v>
      </c>
      <c r="N39" cm="1">
        <f t="array" ref="N39">SUMPRODUCT(('Team Lineups'!$K$2:$K$2000&lt;&gt;"")*('Team Lineups'!$C$2:$C$2000=$A39)*COUNTIFS('Team Lineups'!$K$2:$K$2000,'Team Lineups'!$K$2:$K$2000,'Team Lineups'!$C$2:$C$2000,N$1))</f>
        <v>0</v>
      </c>
      <c r="O39" cm="1">
        <f t="array" ref="O39">SUMPRODUCT(('Team Lineups'!$K$2:$K$2000&lt;&gt;"")*('Team Lineups'!$C$2:$C$2000=$A39)*COUNTIFS('Team Lineups'!$K$2:$K$2000,'Team Lineups'!$K$2:$K$2000,'Team Lineups'!$C$2:$C$2000,O$1))</f>
        <v>0</v>
      </c>
      <c r="P39" cm="1">
        <f t="array" ref="P39">SUMPRODUCT(('Team Lineups'!$K$2:$K$2000&lt;&gt;"")*('Team Lineups'!$C$2:$C$2000=$A39)*COUNTIFS('Team Lineups'!$K$2:$K$2000,'Team Lineups'!$K$2:$K$2000,'Team Lineups'!$C$2:$C$2000,P$1))</f>
        <v>0</v>
      </c>
      <c r="Q39" cm="1">
        <f t="array" ref="Q39">SUMPRODUCT(('Team Lineups'!$K$2:$K$2000&lt;&gt;"")*('Team Lineups'!$C$2:$C$2000=$A39)*COUNTIFS('Team Lineups'!$K$2:$K$2000,'Team Lineups'!$K$2:$K$2000,'Team Lineups'!$C$2:$C$2000,Q$1))</f>
        <v>1</v>
      </c>
      <c r="R39" cm="1">
        <f t="array" ref="R39">SUMPRODUCT(('Team Lineups'!$K$2:$K$2000&lt;&gt;"")*('Team Lineups'!$C$2:$C$2000=$A39)*COUNTIFS('Team Lineups'!$K$2:$K$2000,'Team Lineups'!$K$2:$K$2000,'Team Lineups'!$C$2:$C$2000,R$1))</f>
        <v>0</v>
      </c>
      <c r="S39" cm="1">
        <f t="array" ref="S39">SUMPRODUCT(('Team Lineups'!$K$2:$K$2000&lt;&gt;"")*('Team Lineups'!$C$2:$C$2000=$A39)*COUNTIFS('Team Lineups'!$K$2:$K$2000,'Team Lineups'!$K$2:$K$2000,'Team Lineups'!$C$2:$C$2000,S$1))</f>
        <v>0</v>
      </c>
      <c r="T39" cm="1">
        <f t="array" ref="T39">SUMPRODUCT(('Team Lineups'!$K$2:$K$2000&lt;&gt;"")*('Team Lineups'!$C$2:$C$2000=$A39)*COUNTIFS('Team Lineups'!$K$2:$K$2000,'Team Lineups'!$K$2:$K$2000,'Team Lineups'!$C$2:$C$2000,T$1))</f>
        <v>0</v>
      </c>
      <c r="U39" cm="1">
        <f t="array" ref="U39">SUMPRODUCT(('Team Lineups'!$K$2:$K$2000&lt;&gt;"")*('Team Lineups'!$C$2:$C$2000=$A39)*COUNTIFS('Team Lineups'!$K$2:$K$2000,'Team Lineups'!$K$2:$K$2000,'Team Lineups'!$C$2:$C$2000,U$1))</f>
        <v>0</v>
      </c>
      <c r="V39" cm="1">
        <f t="array" ref="V39">SUMPRODUCT(('Team Lineups'!$K$2:$K$2000&lt;&gt;"")*('Team Lineups'!$C$2:$C$2000=$A39)*COUNTIFS('Team Lineups'!$K$2:$K$2000,'Team Lineups'!$K$2:$K$2000,'Team Lineups'!$C$2:$C$2000,V$1))</f>
        <v>0</v>
      </c>
      <c r="W39" cm="1">
        <f t="array" ref="W39">SUMPRODUCT(('Team Lineups'!$K$2:$K$2000&lt;&gt;"")*('Team Lineups'!$C$2:$C$2000=$A39)*COUNTIFS('Team Lineups'!$K$2:$K$2000,'Team Lineups'!$K$2:$K$2000,'Team Lineups'!$C$2:$C$2000,W$1))</f>
        <v>0</v>
      </c>
      <c r="X39" cm="1">
        <f t="array" ref="X39">SUMPRODUCT(('Team Lineups'!$K$2:$K$2000&lt;&gt;"")*('Team Lineups'!$C$2:$C$2000=$A39)*COUNTIFS('Team Lineups'!$K$2:$K$2000,'Team Lineups'!$K$2:$K$2000,'Team Lineups'!$C$2:$C$2000,X$1))</f>
        <v>0</v>
      </c>
      <c r="Y39" cm="1">
        <f t="array" ref="Y39">SUMPRODUCT(('Team Lineups'!$K$2:$K$2000&lt;&gt;"")*('Team Lineups'!$C$2:$C$2000=$A39)*COUNTIFS('Team Lineups'!$K$2:$K$2000,'Team Lineups'!$K$2:$K$2000,'Team Lineups'!$C$2:$C$2000,Y$1))</f>
        <v>0</v>
      </c>
      <c r="Z39" cm="1">
        <f t="array" ref="Z39">SUMPRODUCT(('Team Lineups'!$K$2:$K$2000&lt;&gt;"")*('Team Lineups'!$C$2:$C$2000=$A39)*COUNTIFS('Team Lineups'!$K$2:$K$2000,'Team Lineups'!$K$2:$K$2000,'Team Lineups'!$C$2:$C$2000,Z$1))</f>
        <v>1</v>
      </c>
      <c r="AA39" cm="1">
        <f t="array" ref="AA39">SUMPRODUCT(('Team Lineups'!$K$2:$K$2000&lt;&gt;"")*('Team Lineups'!$C$2:$C$2000=$A39)*COUNTIFS('Team Lineups'!$K$2:$K$2000,'Team Lineups'!$K$2:$K$2000,'Team Lineups'!$C$2:$C$2000,AA$1))</f>
        <v>1</v>
      </c>
      <c r="AB39" cm="1">
        <f t="array" ref="AB39">SUMPRODUCT(('Team Lineups'!$K$2:$K$2000&lt;&gt;"")*('Team Lineups'!$C$2:$C$2000=$A39)*COUNTIFS('Team Lineups'!$K$2:$K$2000,'Team Lineups'!$K$2:$K$2000,'Team Lineups'!$C$2:$C$2000,AB$1))</f>
        <v>0</v>
      </c>
      <c r="AC39" cm="1">
        <f t="array" ref="AC39">SUMPRODUCT(('Team Lineups'!$K$2:$K$2000&lt;&gt;"")*('Team Lineups'!$C$2:$C$2000=$A39)*COUNTIFS('Team Lineups'!$K$2:$K$2000,'Team Lineups'!$K$2:$K$2000,'Team Lineups'!$C$2:$C$2000,AC$1))</f>
        <v>0</v>
      </c>
      <c r="AD39" cm="1">
        <f t="array" ref="AD39">SUMPRODUCT(('Team Lineups'!$K$2:$K$2000&lt;&gt;"")*('Team Lineups'!$C$2:$C$2000=$A39)*COUNTIFS('Team Lineups'!$K$2:$K$2000,'Team Lineups'!$K$2:$K$2000,'Team Lineups'!$C$2:$C$2000,AD$1))</f>
        <v>0</v>
      </c>
      <c r="AE39" cm="1">
        <f t="array" ref="AE39">SUMPRODUCT(('Team Lineups'!$K$2:$K$2000&lt;&gt;"")*('Team Lineups'!$C$2:$C$2000=$A39)*COUNTIFS('Team Lineups'!$K$2:$K$2000,'Team Lineups'!$K$2:$K$2000,'Team Lineups'!$C$2:$C$2000,AE$1))</f>
        <v>0</v>
      </c>
      <c r="AF39" cm="1">
        <f t="array" ref="AF39">SUMPRODUCT(('Team Lineups'!$K$2:$K$2000&lt;&gt;"")*('Team Lineups'!$C$2:$C$2000=$A39)*COUNTIFS('Team Lineups'!$K$2:$K$2000,'Team Lineups'!$K$2:$K$2000,'Team Lineups'!$C$2:$C$2000,AF$1))</f>
        <v>0</v>
      </c>
      <c r="AG39" cm="1">
        <f t="array" ref="AG39">SUMPRODUCT(('Team Lineups'!$K$2:$K$2000&lt;&gt;"")*('Team Lineups'!$C$2:$C$2000=$A39)*COUNTIFS('Team Lineups'!$K$2:$K$2000,'Team Lineups'!$K$2:$K$2000,'Team Lineups'!$C$2:$C$2000,AG$1))</f>
        <v>0</v>
      </c>
      <c r="AH39" cm="1">
        <f t="array" ref="AH39">SUMPRODUCT(('Team Lineups'!$K$2:$K$2000&lt;&gt;"")*('Team Lineups'!$C$2:$C$2000=$A39)*COUNTIFS('Team Lineups'!$K$2:$K$2000,'Team Lineups'!$K$2:$K$2000,'Team Lineups'!$C$2:$C$2000,AH$1))</f>
        <v>0</v>
      </c>
      <c r="AI39" cm="1">
        <f t="array" ref="AI39">SUMPRODUCT(('Team Lineups'!$K$2:$K$2000&lt;&gt;"")*('Team Lineups'!$C$2:$C$2000=$A39)*COUNTIFS('Team Lineups'!$K$2:$K$2000,'Team Lineups'!$K$2:$K$2000,'Team Lineups'!$C$2:$C$2000,AI$1))</f>
        <v>0</v>
      </c>
      <c r="AJ39" cm="1">
        <f t="array" ref="AJ39">SUMPRODUCT(('Team Lineups'!$K$2:$K$2000&lt;&gt;"")*('Team Lineups'!$C$2:$C$2000=$A39)*COUNTIFS('Team Lineups'!$K$2:$K$2000,'Team Lineups'!$K$2:$K$2000,'Team Lineups'!$C$2:$C$2000,AJ$1))</f>
        <v>0</v>
      </c>
      <c r="AK39" cm="1">
        <f t="array" ref="AK39">SUMPRODUCT(('Team Lineups'!$K$2:$K$2000&lt;&gt;"")*('Team Lineups'!$C$2:$C$2000=$A39)*COUNTIFS('Team Lineups'!$K$2:$K$2000,'Team Lineups'!$K$2:$K$2000,'Team Lineups'!$C$2:$C$2000,AK$1))</f>
        <v>1</v>
      </c>
      <c r="AL39" cm="1">
        <f t="array" ref="AL39">SUMPRODUCT(('Team Lineups'!$K$2:$K$2000&lt;&gt;"")*('Team Lineups'!$C$2:$C$2000=$A39)*COUNTIFS('Team Lineups'!$K$2:$K$2000,'Team Lineups'!$K$2:$K$2000,'Team Lineups'!$C$2:$C$2000,AL$1))</f>
        <v>0</v>
      </c>
      <c r="AM39" cm="1">
        <f t="array" ref="AM39">SUMPRODUCT(('Team Lineups'!$K$2:$K$2000&lt;&gt;"")*('Team Lineups'!$C$2:$C$2000=$A39)*COUNTIFS('Team Lineups'!$K$2:$K$2000,'Team Lineups'!$K$2:$K$2000,'Team Lineups'!$C$2:$C$2000,AM$1))</f>
        <v>2</v>
      </c>
      <c r="AN39" cm="1">
        <f t="array" ref="AN39">SUMPRODUCT(('Team Lineups'!$K$2:$K$2000&lt;&gt;"")*('Team Lineups'!$C$2:$C$2000=$A39)*COUNTIFS('Team Lineups'!$K$2:$K$2000,'Team Lineups'!$K$2:$K$2000,'Team Lineups'!$C$2:$C$2000,AN$1))</f>
        <v>0</v>
      </c>
      <c r="AO39" cm="1">
        <f t="array" ref="AO39">SUMPRODUCT(('Team Lineups'!$K$2:$K$2000&lt;&gt;"")*('Team Lineups'!$C$2:$C$2000=$A39)*COUNTIFS('Team Lineups'!$K$2:$K$2000,'Team Lineups'!$K$2:$K$2000,'Team Lineups'!$C$2:$C$2000,AO$1))</f>
        <v>1</v>
      </c>
      <c r="AP39" cm="1">
        <f t="array" ref="AP39">SUMPRODUCT(('Team Lineups'!$K$2:$K$2000&lt;&gt;"")*('Team Lineups'!$C$2:$C$2000=$A39)*COUNTIFS('Team Lineups'!$K$2:$K$2000,'Team Lineups'!$K$2:$K$2000,'Team Lineups'!$C$2:$C$2000,AP$1))</f>
        <v>0</v>
      </c>
      <c r="AQ39" cm="1">
        <f t="array" ref="AQ39">SUMPRODUCT(('Team Lineups'!$K$2:$K$2000&lt;&gt;"")*('Team Lineups'!$C$2:$C$2000=$A39)*COUNTIFS('Team Lineups'!$K$2:$K$2000,'Team Lineups'!$K$2:$K$2000,'Team Lineups'!$C$2:$C$2000,AQ$1))</f>
        <v>0</v>
      </c>
      <c r="AR39" cm="1">
        <f t="array" ref="AR39">SUMPRODUCT(('Team Lineups'!$K$2:$K$2000&lt;&gt;"")*('Team Lineups'!$C$2:$C$2000=$A39)*COUNTIFS('Team Lineups'!$K$2:$K$2000,'Team Lineups'!$K$2:$K$2000,'Team Lineups'!$C$2:$C$2000,AR$1))</f>
        <v>0</v>
      </c>
      <c r="AS39" cm="1">
        <f t="array" ref="AS39">SUMPRODUCT(('Team Lineups'!$K$2:$K$2000&lt;&gt;"")*('Team Lineups'!$C$2:$C$2000=$A39)*COUNTIFS('Team Lineups'!$K$2:$K$2000,'Team Lineups'!$K$2:$K$2000,'Team Lineups'!$C$2:$C$2000,AS$1))</f>
        <v>0</v>
      </c>
      <c r="AT39" cm="1">
        <f t="array" ref="AT39">SUMPRODUCT(('Team Lineups'!$K$2:$K$2000&lt;&gt;"")*('Team Lineups'!$C$2:$C$2000=$A39)*COUNTIFS('Team Lineups'!$K$2:$K$2000,'Team Lineups'!$K$2:$K$2000,'Team Lineups'!$C$2:$C$2000,AT$1))</f>
        <v>0</v>
      </c>
      <c r="AU39" cm="1">
        <f t="array" ref="AU39">SUMPRODUCT(('Team Lineups'!$K$2:$K$2000&lt;&gt;"")*('Team Lineups'!$C$2:$C$2000=$A39)*COUNTIFS('Team Lineups'!$K$2:$K$2000,'Team Lineups'!$K$2:$K$2000,'Team Lineups'!$C$2:$C$2000,AU$1))</f>
        <v>0</v>
      </c>
      <c r="AV39" cm="1">
        <f t="array" ref="AV39">SUMPRODUCT(('Team Lineups'!$K$2:$K$2000&lt;&gt;"")*('Team Lineups'!$C$2:$C$2000=$A39)*COUNTIFS('Team Lineups'!$K$2:$K$2000,'Team Lineups'!$K$2:$K$2000,'Team Lineups'!$C$2:$C$2000,AV$1))</f>
        <v>0</v>
      </c>
    </row>
    <row r="40" spans="1:48" x14ac:dyDescent="0.35">
      <c r="A40" t="str">
        <v>Gabriele</v>
      </c>
      <c r="B40" cm="1">
        <f t="array" ref="B40">SUMPRODUCT(('Team Lineups'!$K$2:$K$2000&lt;&gt;"")*('Team Lineups'!$C$2:$C$2000=$A40)*COUNTIFS('Team Lineups'!$K$2:$K$2000,'Team Lineups'!$K$2:$K$2000,'Team Lineups'!$C$2:$C$2000,B$1))</f>
        <v>2</v>
      </c>
      <c r="C40" cm="1">
        <f t="array" ref="C40">SUMPRODUCT(('Team Lineups'!$K$2:$K$2000&lt;&gt;"")*('Team Lineups'!$C$2:$C$2000=$A40)*COUNTIFS('Team Lineups'!$K$2:$K$2000,'Team Lineups'!$K$2:$K$2000,'Team Lineups'!$C$2:$C$2000,C$1))</f>
        <v>0</v>
      </c>
      <c r="D40" cm="1">
        <f t="array" ref="D40">SUMPRODUCT(('Team Lineups'!$K$2:$K$2000&lt;&gt;"")*('Team Lineups'!$C$2:$C$2000=$A40)*COUNTIFS('Team Lineups'!$K$2:$K$2000,'Team Lineups'!$K$2:$K$2000,'Team Lineups'!$C$2:$C$2000,D$1))</f>
        <v>2</v>
      </c>
      <c r="E40" cm="1">
        <f t="array" ref="E40">SUMPRODUCT(('Team Lineups'!$K$2:$K$2000&lt;&gt;"")*('Team Lineups'!$C$2:$C$2000=$A40)*COUNTIFS('Team Lineups'!$K$2:$K$2000,'Team Lineups'!$K$2:$K$2000,'Team Lineups'!$C$2:$C$2000,E$1))</f>
        <v>2</v>
      </c>
      <c r="F40" cm="1">
        <f t="array" ref="F40">SUMPRODUCT(('Team Lineups'!$K$2:$K$2000&lt;&gt;"")*('Team Lineups'!$C$2:$C$2000=$A40)*COUNTIFS('Team Lineups'!$K$2:$K$2000,'Team Lineups'!$K$2:$K$2000,'Team Lineups'!$C$2:$C$2000,F$1))</f>
        <v>4</v>
      </c>
      <c r="G40" cm="1">
        <f t="array" ref="G40">SUMPRODUCT(('Team Lineups'!$K$2:$K$2000&lt;&gt;"")*('Team Lineups'!$C$2:$C$2000=$A40)*COUNTIFS('Team Lineups'!$K$2:$K$2000,'Team Lineups'!$K$2:$K$2000,'Team Lineups'!$C$2:$C$2000,G$1))</f>
        <v>2</v>
      </c>
      <c r="H40" cm="1">
        <f t="array" ref="H40">SUMPRODUCT(('Team Lineups'!$K$2:$K$2000&lt;&gt;"")*('Team Lineups'!$C$2:$C$2000=$A40)*COUNTIFS('Team Lineups'!$K$2:$K$2000,'Team Lineups'!$K$2:$K$2000,'Team Lineups'!$C$2:$C$2000,H$1))</f>
        <v>0</v>
      </c>
      <c r="I40" cm="1">
        <f t="array" ref="I40">SUMPRODUCT(('Team Lineups'!$K$2:$K$2000&lt;&gt;"")*('Team Lineups'!$C$2:$C$2000=$A40)*COUNTIFS('Team Lineups'!$K$2:$K$2000,'Team Lineups'!$K$2:$K$2000,'Team Lineups'!$C$2:$C$2000,I$1))</f>
        <v>3</v>
      </c>
      <c r="J40" cm="1">
        <f t="array" ref="J40">SUMPRODUCT(('Team Lineups'!$K$2:$K$2000&lt;&gt;"")*('Team Lineups'!$C$2:$C$2000=$A40)*COUNTIFS('Team Lineups'!$K$2:$K$2000,'Team Lineups'!$K$2:$K$2000,'Team Lineups'!$C$2:$C$2000,J$1))</f>
        <v>0</v>
      </c>
      <c r="K40" cm="1">
        <f t="array" ref="K40">SUMPRODUCT(('Team Lineups'!$K$2:$K$2000&lt;&gt;"")*('Team Lineups'!$C$2:$C$2000=$A40)*COUNTIFS('Team Lineups'!$K$2:$K$2000,'Team Lineups'!$K$2:$K$2000,'Team Lineups'!$C$2:$C$2000,K$1))</f>
        <v>0</v>
      </c>
      <c r="L40" cm="1">
        <f t="array" ref="L40">SUMPRODUCT(('Team Lineups'!$K$2:$K$2000&lt;&gt;"")*('Team Lineups'!$C$2:$C$2000=$A40)*COUNTIFS('Team Lineups'!$K$2:$K$2000,'Team Lineups'!$K$2:$K$2000,'Team Lineups'!$C$2:$C$2000,L$1))</f>
        <v>2</v>
      </c>
      <c r="M40" cm="1">
        <f t="array" ref="M40">SUMPRODUCT(('Team Lineups'!$K$2:$K$2000&lt;&gt;"")*('Team Lineups'!$C$2:$C$2000=$A40)*COUNTIFS('Team Lineups'!$K$2:$K$2000,'Team Lineups'!$K$2:$K$2000,'Team Lineups'!$C$2:$C$2000,M$1))</f>
        <v>2</v>
      </c>
      <c r="N40" cm="1">
        <f t="array" ref="N40">SUMPRODUCT(('Team Lineups'!$K$2:$K$2000&lt;&gt;"")*('Team Lineups'!$C$2:$C$2000=$A40)*COUNTIFS('Team Lineups'!$K$2:$K$2000,'Team Lineups'!$K$2:$K$2000,'Team Lineups'!$C$2:$C$2000,N$1))</f>
        <v>1</v>
      </c>
      <c r="O40" cm="1">
        <f t="array" ref="O40">SUMPRODUCT(('Team Lineups'!$K$2:$K$2000&lt;&gt;"")*('Team Lineups'!$C$2:$C$2000=$A40)*COUNTIFS('Team Lineups'!$K$2:$K$2000,'Team Lineups'!$K$2:$K$2000,'Team Lineups'!$C$2:$C$2000,O$1))</f>
        <v>0</v>
      </c>
      <c r="P40" cm="1">
        <f t="array" ref="P40">SUMPRODUCT(('Team Lineups'!$K$2:$K$2000&lt;&gt;"")*('Team Lineups'!$C$2:$C$2000=$A40)*COUNTIFS('Team Lineups'!$K$2:$K$2000,'Team Lineups'!$K$2:$K$2000,'Team Lineups'!$C$2:$C$2000,P$1))</f>
        <v>0</v>
      </c>
      <c r="Q40" cm="1">
        <f t="array" ref="Q40">SUMPRODUCT(('Team Lineups'!$K$2:$K$2000&lt;&gt;"")*('Team Lineups'!$C$2:$C$2000=$A40)*COUNTIFS('Team Lineups'!$K$2:$K$2000,'Team Lineups'!$K$2:$K$2000,'Team Lineups'!$C$2:$C$2000,Q$1))</f>
        <v>2</v>
      </c>
      <c r="R40" cm="1">
        <f t="array" ref="R40">SUMPRODUCT(('Team Lineups'!$K$2:$K$2000&lt;&gt;"")*('Team Lineups'!$C$2:$C$2000=$A40)*COUNTIFS('Team Lineups'!$K$2:$K$2000,'Team Lineups'!$K$2:$K$2000,'Team Lineups'!$C$2:$C$2000,R$1))</f>
        <v>1</v>
      </c>
      <c r="S40" cm="1">
        <f t="array" ref="S40">SUMPRODUCT(('Team Lineups'!$K$2:$K$2000&lt;&gt;"")*('Team Lineups'!$C$2:$C$2000=$A40)*COUNTIFS('Team Lineups'!$K$2:$K$2000,'Team Lineups'!$K$2:$K$2000,'Team Lineups'!$C$2:$C$2000,S$1))</f>
        <v>2</v>
      </c>
      <c r="T40" cm="1">
        <f t="array" ref="T40">SUMPRODUCT(('Team Lineups'!$K$2:$K$2000&lt;&gt;"")*('Team Lineups'!$C$2:$C$2000=$A40)*COUNTIFS('Team Lineups'!$K$2:$K$2000,'Team Lineups'!$K$2:$K$2000,'Team Lineups'!$C$2:$C$2000,T$1))</f>
        <v>0</v>
      </c>
      <c r="U40" cm="1">
        <f t="array" ref="U40">SUMPRODUCT(('Team Lineups'!$K$2:$K$2000&lt;&gt;"")*('Team Lineups'!$C$2:$C$2000=$A40)*COUNTIFS('Team Lineups'!$K$2:$K$2000,'Team Lineups'!$K$2:$K$2000,'Team Lineups'!$C$2:$C$2000,U$1))</f>
        <v>0</v>
      </c>
      <c r="V40" cm="1">
        <f t="array" ref="V40">SUMPRODUCT(('Team Lineups'!$K$2:$K$2000&lt;&gt;"")*('Team Lineups'!$C$2:$C$2000=$A40)*COUNTIFS('Team Lineups'!$K$2:$K$2000,'Team Lineups'!$K$2:$K$2000,'Team Lineups'!$C$2:$C$2000,V$1))</f>
        <v>0</v>
      </c>
      <c r="W40" cm="1">
        <f t="array" ref="W40">SUMPRODUCT(('Team Lineups'!$K$2:$K$2000&lt;&gt;"")*('Team Lineups'!$C$2:$C$2000=$A40)*COUNTIFS('Team Lineups'!$K$2:$K$2000,'Team Lineups'!$K$2:$K$2000,'Team Lineups'!$C$2:$C$2000,W$1))</f>
        <v>0</v>
      </c>
      <c r="X40" cm="1">
        <f t="array" ref="X40">SUMPRODUCT(('Team Lineups'!$K$2:$K$2000&lt;&gt;"")*('Team Lineups'!$C$2:$C$2000=$A40)*COUNTIFS('Team Lineups'!$K$2:$K$2000,'Team Lineups'!$K$2:$K$2000,'Team Lineups'!$C$2:$C$2000,X$1))</f>
        <v>0</v>
      </c>
      <c r="Y40" cm="1">
        <f t="array" ref="Y40">SUMPRODUCT(('Team Lineups'!$K$2:$K$2000&lt;&gt;"")*('Team Lineups'!$C$2:$C$2000=$A40)*COUNTIFS('Team Lineups'!$K$2:$K$2000,'Team Lineups'!$K$2:$K$2000,'Team Lineups'!$C$2:$C$2000,Y$1))</f>
        <v>0</v>
      </c>
      <c r="Z40" cm="1">
        <f t="array" ref="Z40">SUMPRODUCT(('Team Lineups'!$K$2:$K$2000&lt;&gt;"")*('Team Lineups'!$C$2:$C$2000=$A40)*COUNTIFS('Team Lineups'!$K$2:$K$2000,'Team Lineups'!$K$2:$K$2000,'Team Lineups'!$C$2:$C$2000,Z$1))</f>
        <v>1</v>
      </c>
      <c r="AA40" cm="1">
        <f t="array" ref="AA40">SUMPRODUCT(('Team Lineups'!$K$2:$K$2000&lt;&gt;"")*('Team Lineups'!$C$2:$C$2000=$A40)*COUNTIFS('Team Lineups'!$K$2:$K$2000,'Team Lineups'!$K$2:$K$2000,'Team Lineups'!$C$2:$C$2000,AA$1))</f>
        <v>2</v>
      </c>
      <c r="AB40" cm="1">
        <f t="array" ref="AB40">SUMPRODUCT(('Team Lineups'!$K$2:$K$2000&lt;&gt;"")*('Team Lineups'!$C$2:$C$2000=$A40)*COUNTIFS('Team Lineups'!$K$2:$K$2000,'Team Lineups'!$K$2:$K$2000,'Team Lineups'!$C$2:$C$2000,AB$1))</f>
        <v>2</v>
      </c>
      <c r="AC40" cm="1">
        <f t="array" ref="AC40">SUMPRODUCT(('Team Lineups'!$K$2:$K$2000&lt;&gt;"")*('Team Lineups'!$C$2:$C$2000=$A40)*COUNTIFS('Team Lineups'!$K$2:$K$2000,'Team Lineups'!$K$2:$K$2000,'Team Lineups'!$C$2:$C$2000,AC$1))</f>
        <v>0</v>
      </c>
      <c r="AD40" cm="1">
        <f t="array" ref="AD40">SUMPRODUCT(('Team Lineups'!$K$2:$K$2000&lt;&gt;"")*('Team Lineups'!$C$2:$C$2000=$A40)*COUNTIFS('Team Lineups'!$K$2:$K$2000,'Team Lineups'!$K$2:$K$2000,'Team Lineups'!$C$2:$C$2000,AD$1))</f>
        <v>1</v>
      </c>
      <c r="AE40" cm="1">
        <f t="array" ref="AE40">SUMPRODUCT(('Team Lineups'!$K$2:$K$2000&lt;&gt;"")*('Team Lineups'!$C$2:$C$2000=$A40)*COUNTIFS('Team Lineups'!$K$2:$K$2000,'Team Lineups'!$K$2:$K$2000,'Team Lineups'!$C$2:$C$2000,AE$1))</f>
        <v>0</v>
      </c>
      <c r="AF40" cm="1">
        <f t="array" ref="AF40">SUMPRODUCT(('Team Lineups'!$K$2:$K$2000&lt;&gt;"")*('Team Lineups'!$C$2:$C$2000=$A40)*COUNTIFS('Team Lineups'!$K$2:$K$2000,'Team Lineups'!$K$2:$K$2000,'Team Lineups'!$C$2:$C$2000,AF$1))</f>
        <v>0</v>
      </c>
      <c r="AG40" cm="1">
        <f t="array" ref="AG40">SUMPRODUCT(('Team Lineups'!$K$2:$K$2000&lt;&gt;"")*('Team Lineups'!$C$2:$C$2000=$A40)*COUNTIFS('Team Lineups'!$K$2:$K$2000,'Team Lineups'!$K$2:$K$2000,'Team Lineups'!$C$2:$C$2000,AG$1))</f>
        <v>1</v>
      </c>
      <c r="AH40" cm="1">
        <f t="array" ref="AH40">SUMPRODUCT(('Team Lineups'!$K$2:$K$2000&lt;&gt;"")*('Team Lineups'!$C$2:$C$2000=$A40)*COUNTIFS('Team Lineups'!$K$2:$K$2000,'Team Lineups'!$K$2:$K$2000,'Team Lineups'!$C$2:$C$2000,AH$1))</f>
        <v>0</v>
      </c>
      <c r="AI40" cm="1">
        <f t="array" ref="AI40">SUMPRODUCT(('Team Lineups'!$K$2:$K$2000&lt;&gt;"")*('Team Lineups'!$C$2:$C$2000=$A40)*COUNTIFS('Team Lineups'!$K$2:$K$2000,'Team Lineups'!$K$2:$K$2000,'Team Lineups'!$C$2:$C$2000,AI$1))</f>
        <v>0</v>
      </c>
      <c r="AJ40" cm="1">
        <f t="array" ref="AJ40">SUMPRODUCT(('Team Lineups'!$K$2:$K$2000&lt;&gt;"")*('Team Lineups'!$C$2:$C$2000=$A40)*COUNTIFS('Team Lineups'!$K$2:$K$2000,'Team Lineups'!$K$2:$K$2000,'Team Lineups'!$C$2:$C$2000,AJ$1))</f>
        <v>3</v>
      </c>
      <c r="AK40" cm="1">
        <f t="array" ref="AK40">SUMPRODUCT(('Team Lineups'!$K$2:$K$2000&lt;&gt;"")*('Team Lineups'!$C$2:$C$2000=$A40)*COUNTIFS('Team Lineups'!$K$2:$K$2000,'Team Lineups'!$K$2:$K$2000,'Team Lineups'!$C$2:$C$2000,AK$1))</f>
        <v>1</v>
      </c>
      <c r="AL40" cm="1">
        <f t="array" ref="AL40">SUMPRODUCT(('Team Lineups'!$K$2:$K$2000&lt;&gt;"")*('Team Lineups'!$C$2:$C$2000=$A40)*COUNTIFS('Team Lineups'!$K$2:$K$2000,'Team Lineups'!$K$2:$K$2000,'Team Lineups'!$C$2:$C$2000,AL$1))</f>
        <v>4</v>
      </c>
      <c r="AM40" cm="1">
        <f t="array" ref="AM40">SUMPRODUCT(('Team Lineups'!$K$2:$K$2000&lt;&gt;"")*('Team Lineups'!$C$2:$C$2000=$A40)*COUNTIFS('Team Lineups'!$K$2:$K$2000,'Team Lineups'!$K$2:$K$2000,'Team Lineups'!$C$2:$C$2000,AM$1))</f>
        <v>0</v>
      </c>
      <c r="AN40" cm="1">
        <f t="array" ref="AN40">SUMPRODUCT(('Team Lineups'!$K$2:$K$2000&lt;&gt;"")*('Team Lineups'!$C$2:$C$2000=$A40)*COUNTIFS('Team Lineups'!$K$2:$K$2000,'Team Lineups'!$K$2:$K$2000,'Team Lineups'!$C$2:$C$2000,AN$1))</f>
        <v>9</v>
      </c>
      <c r="AO40" cm="1">
        <f t="array" ref="AO40">SUMPRODUCT(('Team Lineups'!$K$2:$K$2000&lt;&gt;"")*('Team Lineups'!$C$2:$C$2000=$A40)*COUNTIFS('Team Lineups'!$K$2:$K$2000,'Team Lineups'!$K$2:$K$2000,'Team Lineups'!$C$2:$C$2000,AO$1))</f>
        <v>1</v>
      </c>
      <c r="AP40" cm="1">
        <f t="array" ref="AP40">SUMPRODUCT(('Team Lineups'!$K$2:$K$2000&lt;&gt;"")*('Team Lineups'!$C$2:$C$2000=$A40)*COUNTIFS('Team Lineups'!$K$2:$K$2000,'Team Lineups'!$K$2:$K$2000,'Team Lineups'!$C$2:$C$2000,AP$1))</f>
        <v>3</v>
      </c>
      <c r="AQ40" cm="1">
        <f t="array" ref="AQ40">SUMPRODUCT(('Team Lineups'!$K$2:$K$2000&lt;&gt;"")*('Team Lineups'!$C$2:$C$2000=$A40)*COUNTIFS('Team Lineups'!$K$2:$K$2000,'Team Lineups'!$K$2:$K$2000,'Team Lineups'!$C$2:$C$2000,AQ$1))</f>
        <v>0</v>
      </c>
      <c r="AR40" cm="1">
        <f t="array" ref="AR40">SUMPRODUCT(('Team Lineups'!$K$2:$K$2000&lt;&gt;"")*('Team Lineups'!$C$2:$C$2000=$A40)*COUNTIFS('Team Lineups'!$K$2:$K$2000,'Team Lineups'!$K$2:$K$2000,'Team Lineups'!$C$2:$C$2000,AR$1))</f>
        <v>0</v>
      </c>
      <c r="AS40" cm="1">
        <f t="array" ref="AS40">SUMPRODUCT(('Team Lineups'!$K$2:$K$2000&lt;&gt;"")*('Team Lineups'!$C$2:$C$2000=$A40)*COUNTIFS('Team Lineups'!$K$2:$K$2000,'Team Lineups'!$K$2:$K$2000,'Team Lineups'!$C$2:$C$2000,AS$1))</f>
        <v>0</v>
      </c>
      <c r="AT40" cm="1">
        <f t="array" ref="AT40">SUMPRODUCT(('Team Lineups'!$K$2:$K$2000&lt;&gt;"")*('Team Lineups'!$C$2:$C$2000=$A40)*COUNTIFS('Team Lineups'!$K$2:$K$2000,'Team Lineups'!$K$2:$K$2000,'Team Lineups'!$C$2:$C$2000,AT$1))</f>
        <v>0</v>
      </c>
      <c r="AU40" cm="1">
        <f t="array" ref="AU40">SUMPRODUCT(('Team Lineups'!$K$2:$K$2000&lt;&gt;"")*('Team Lineups'!$C$2:$C$2000=$A40)*COUNTIFS('Team Lineups'!$K$2:$K$2000,'Team Lineups'!$K$2:$K$2000,'Team Lineups'!$C$2:$C$2000,AU$1))</f>
        <v>0</v>
      </c>
      <c r="AV40" cm="1">
        <f t="array" ref="AV40">SUMPRODUCT(('Team Lineups'!$K$2:$K$2000&lt;&gt;"")*('Team Lineups'!$C$2:$C$2000=$A40)*COUNTIFS('Team Lineups'!$K$2:$K$2000,'Team Lineups'!$K$2:$K$2000,'Team Lineups'!$C$2:$C$2000,AV$1))</f>
        <v>0</v>
      </c>
    </row>
    <row r="41" spans="1:48" x14ac:dyDescent="0.35">
      <c r="A41" t="str">
        <v>Sam</v>
      </c>
      <c r="B41" cm="1">
        <f t="array" ref="B41">SUMPRODUCT(('Team Lineups'!$K$2:$K$2000&lt;&gt;"")*('Team Lineups'!$C$2:$C$2000=$A41)*COUNTIFS('Team Lineups'!$K$2:$K$2000,'Team Lineups'!$K$2:$K$2000,'Team Lineups'!$C$2:$C$2000,B$1))</f>
        <v>0</v>
      </c>
      <c r="C41" cm="1">
        <f t="array" ref="C41">SUMPRODUCT(('Team Lineups'!$K$2:$K$2000&lt;&gt;"")*('Team Lineups'!$C$2:$C$2000=$A41)*COUNTIFS('Team Lineups'!$K$2:$K$2000,'Team Lineups'!$K$2:$K$2000,'Team Lineups'!$C$2:$C$2000,C$1))</f>
        <v>0</v>
      </c>
      <c r="D41" cm="1">
        <f t="array" ref="D41">SUMPRODUCT(('Team Lineups'!$K$2:$K$2000&lt;&gt;"")*('Team Lineups'!$C$2:$C$2000=$A41)*COUNTIFS('Team Lineups'!$K$2:$K$2000,'Team Lineups'!$K$2:$K$2000,'Team Lineups'!$C$2:$C$2000,D$1))</f>
        <v>0</v>
      </c>
      <c r="E41" cm="1">
        <f t="array" ref="E41">SUMPRODUCT(('Team Lineups'!$K$2:$K$2000&lt;&gt;"")*('Team Lineups'!$C$2:$C$2000=$A41)*COUNTIFS('Team Lineups'!$K$2:$K$2000,'Team Lineups'!$K$2:$K$2000,'Team Lineups'!$C$2:$C$2000,E$1))</f>
        <v>0</v>
      </c>
      <c r="F41" cm="1">
        <f t="array" ref="F41">SUMPRODUCT(('Team Lineups'!$K$2:$K$2000&lt;&gt;"")*('Team Lineups'!$C$2:$C$2000=$A41)*COUNTIFS('Team Lineups'!$K$2:$K$2000,'Team Lineups'!$K$2:$K$2000,'Team Lineups'!$C$2:$C$2000,F$1))</f>
        <v>1</v>
      </c>
      <c r="G41" cm="1">
        <f t="array" ref="G41">SUMPRODUCT(('Team Lineups'!$K$2:$K$2000&lt;&gt;"")*('Team Lineups'!$C$2:$C$2000=$A41)*COUNTIFS('Team Lineups'!$K$2:$K$2000,'Team Lineups'!$K$2:$K$2000,'Team Lineups'!$C$2:$C$2000,G$1))</f>
        <v>4</v>
      </c>
      <c r="H41" cm="1">
        <f t="array" ref="H41">SUMPRODUCT(('Team Lineups'!$K$2:$K$2000&lt;&gt;"")*('Team Lineups'!$C$2:$C$2000=$A41)*COUNTIFS('Team Lineups'!$K$2:$K$2000,'Team Lineups'!$K$2:$K$2000,'Team Lineups'!$C$2:$C$2000,H$1))</f>
        <v>1</v>
      </c>
      <c r="I41" cm="1">
        <f t="array" ref="I41">SUMPRODUCT(('Team Lineups'!$K$2:$K$2000&lt;&gt;"")*('Team Lineups'!$C$2:$C$2000=$A41)*COUNTIFS('Team Lineups'!$K$2:$K$2000,'Team Lineups'!$K$2:$K$2000,'Team Lineups'!$C$2:$C$2000,I$1))</f>
        <v>2</v>
      </c>
      <c r="J41" cm="1">
        <f t="array" ref="J41">SUMPRODUCT(('Team Lineups'!$K$2:$K$2000&lt;&gt;"")*('Team Lineups'!$C$2:$C$2000=$A41)*COUNTIFS('Team Lineups'!$K$2:$K$2000,'Team Lineups'!$K$2:$K$2000,'Team Lineups'!$C$2:$C$2000,J$1))</f>
        <v>0</v>
      </c>
      <c r="K41" cm="1">
        <f t="array" ref="K41">SUMPRODUCT(('Team Lineups'!$K$2:$K$2000&lt;&gt;"")*('Team Lineups'!$C$2:$C$2000=$A41)*COUNTIFS('Team Lineups'!$K$2:$K$2000,'Team Lineups'!$K$2:$K$2000,'Team Lineups'!$C$2:$C$2000,K$1))</f>
        <v>0</v>
      </c>
      <c r="L41" cm="1">
        <f t="array" ref="L41">SUMPRODUCT(('Team Lineups'!$K$2:$K$2000&lt;&gt;"")*('Team Lineups'!$C$2:$C$2000=$A41)*COUNTIFS('Team Lineups'!$K$2:$K$2000,'Team Lineups'!$K$2:$K$2000,'Team Lineups'!$C$2:$C$2000,L$1))</f>
        <v>3</v>
      </c>
      <c r="M41" cm="1">
        <f t="array" ref="M41">SUMPRODUCT(('Team Lineups'!$K$2:$K$2000&lt;&gt;"")*('Team Lineups'!$C$2:$C$2000=$A41)*COUNTIFS('Team Lineups'!$K$2:$K$2000,'Team Lineups'!$K$2:$K$2000,'Team Lineups'!$C$2:$C$2000,M$1))</f>
        <v>0</v>
      </c>
      <c r="N41" cm="1">
        <f t="array" ref="N41">SUMPRODUCT(('Team Lineups'!$K$2:$K$2000&lt;&gt;"")*('Team Lineups'!$C$2:$C$2000=$A41)*COUNTIFS('Team Lineups'!$K$2:$K$2000,'Team Lineups'!$K$2:$K$2000,'Team Lineups'!$C$2:$C$2000,N$1))</f>
        <v>3</v>
      </c>
      <c r="O41" cm="1">
        <f t="array" ref="O41">SUMPRODUCT(('Team Lineups'!$K$2:$K$2000&lt;&gt;"")*('Team Lineups'!$C$2:$C$2000=$A41)*COUNTIFS('Team Lineups'!$K$2:$K$2000,'Team Lineups'!$K$2:$K$2000,'Team Lineups'!$C$2:$C$2000,O$1))</f>
        <v>1</v>
      </c>
      <c r="P41" cm="1">
        <f t="array" ref="P41">SUMPRODUCT(('Team Lineups'!$K$2:$K$2000&lt;&gt;"")*('Team Lineups'!$C$2:$C$2000=$A41)*COUNTIFS('Team Lineups'!$K$2:$K$2000,'Team Lineups'!$K$2:$K$2000,'Team Lineups'!$C$2:$C$2000,P$1))</f>
        <v>0</v>
      </c>
      <c r="Q41" cm="1">
        <f t="array" ref="Q41">SUMPRODUCT(('Team Lineups'!$K$2:$K$2000&lt;&gt;"")*('Team Lineups'!$C$2:$C$2000=$A41)*COUNTIFS('Team Lineups'!$K$2:$K$2000,'Team Lineups'!$K$2:$K$2000,'Team Lineups'!$C$2:$C$2000,Q$1))</f>
        <v>4</v>
      </c>
      <c r="R41" cm="1">
        <f t="array" ref="R41">SUMPRODUCT(('Team Lineups'!$K$2:$K$2000&lt;&gt;"")*('Team Lineups'!$C$2:$C$2000=$A41)*COUNTIFS('Team Lineups'!$K$2:$K$2000,'Team Lineups'!$K$2:$K$2000,'Team Lineups'!$C$2:$C$2000,R$1))</f>
        <v>0</v>
      </c>
      <c r="S41" cm="1">
        <f t="array" ref="S41">SUMPRODUCT(('Team Lineups'!$K$2:$K$2000&lt;&gt;"")*('Team Lineups'!$C$2:$C$2000=$A41)*COUNTIFS('Team Lineups'!$K$2:$K$2000,'Team Lineups'!$K$2:$K$2000,'Team Lineups'!$C$2:$C$2000,S$1))</f>
        <v>0</v>
      </c>
      <c r="T41" cm="1">
        <f t="array" ref="T41">SUMPRODUCT(('Team Lineups'!$K$2:$K$2000&lt;&gt;"")*('Team Lineups'!$C$2:$C$2000=$A41)*COUNTIFS('Team Lineups'!$K$2:$K$2000,'Team Lineups'!$K$2:$K$2000,'Team Lineups'!$C$2:$C$2000,T$1))</f>
        <v>1</v>
      </c>
      <c r="U41" cm="1">
        <f t="array" ref="U41">SUMPRODUCT(('Team Lineups'!$K$2:$K$2000&lt;&gt;"")*('Team Lineups'!$C$2:$C$2000=$A41)*COUNTIFS('Team Lineups'!$K$2:$K$2000,'Team Lineups'!$K$2:$K$2000,'Team Lineups'!$C$2:$C$2000,U$1))</f>
        <v>0</v>
      </c>
      <c r="V41" cm="1">
        <f t="array" ref="V41">SUMPRODUCT(('Team Lineups'!$K$2:$K$2000&lt;&gt;"")*('Team Lineups'!$C$2:$C$2000=$A41)*COUNTIFS('Team Lineups'!$K$2:$K$2000,'Team Lineups'!$K$2:$K$2000,'Team Lineups'!$C$2:$C$2000,V$1))</f>
        <v>0</v>
      </c>
      <c r="W41" cm="1">
        <f t="array" ref="W41">SUMPRODUCT(('Team Lineups'!$K$2:$K$2000&lt;&gt;"")*('Team Lineups'!$C$2:$C$2000=$A41)*COUNTIFS('Team Lineups'!$K$2:$K$2000,'Team Lineups'!$K$2:$K$2000,'Team Lineups'!$C$2:$C$2000,W$1))</f>
        <v>1</v>
      </c>
      <c r="X41" cm="1">
        <f t="array" ref="X41">SUMPRODUCT(('Team Lineups'!$K$2:$K$2000&lt;&gt;"")*('Team Lineups'!$C$2:$C$2000=$A41)*COUNTIFS('Team Lineups'!$K$2:$K$2000,'Team Lineups'!$K$2:$K$2000,'Team Lineups'!$C$2:$C$2000,X$1))</f>
        <v>0</v>
      </c>
      <c r="Y41" cm="1">
        <f t="array" ref="Y41">SUMPRODUCT(('Team Lineups'!$K$2:$K$2000&lt;&gt;"")*('Team Lineups'!$C$2:$C$2000=$A41)*COUNTIFS('Team Lineups'!$K$2:$K$2000,'Team Lineups'!$K$2:$K$2000,'Team Lineups'!$C$2:$C$2000,Y$1))</f>
        <v>0</v>
      </c>
      <c r="Z41" cm="1">
        <f t="array" ref="Z41">SUMPRODUCT(('Team Lineups'!$K$2:$K$2000&lt;&gt;"")*('Team Lineups'!$C$2:$C$2000=$A41)*COUNTIFS('Team Lineups'!$K$2:$K$2000,'Team Lineups'!$K$2:$K$2000,'Team Lineups'!$C$2:$C$2000,Z$1))</f>
        <v>0</v>
      </c>
      <c r="AA41" cm="1">
        <f t="array" ref="AA41">SUMPRODUCT(('Team Lineups'!$K$2:$K$2000&lt;&gt;"")*('Team Lineups'!$C$2:$C$2000=$A41)*COUNTIFS('Team Lineups'!$K$2:$K$2000,'Team Lineups'!$K$2:$K$2000,'Team Lineups'!$C$2:$C$2000,AA$1))</f>
        <v>3</v>
      </c>
      <c r="AB41" cm="1">
        <f t="array" ref="AB41">SUMPRODUCT(('Team Lineups'!$K$2:$K$2000&lt;&gt;"")*('Team Lineups'!$C$2:$C$2000=$A41)*COUNTIFS('Team Lineups'!$K$2:$K$2000,'Team Lineups'!$K$2:$K$2000,'Team Lineups'!$C$2:$C$2000,AB$1))</f>
        <v>1</v>
      </c>
      <c r="AC41" cm="1">
        <f t="array" ref="AC41">SUMPRODUCT(('Team Lineups'!$K$2:$K$2000&lt;&gt;"")*('Team Lineups'!$C$2:$C$2000=$A41)*COUNTIFS('Team Lineups'!$K$2:$K$2000,'Team Lineups'!$K$2:$K$2000,'Team Lineups'!$C$2:$C$2000,AC$1))</f>
        <v>0</v>
      </c>
      <c r="AD41" cm="1">
        <f t="array" ref="AD41">SUMPRODUCT(('Team Lineups'!$K$2:$K$2000&lt;&gt;"")*('Team Lineups'!$C$2:$C$2000=$A41)*COUNTIFS('Team Lineups'!$K$2:$K$2000,'Team Lineups'!$K$2:$K$2000,'Team Lineups'!$C$2:$C$2000,AD$1))</f>
        <v>2</v>
      </c>
      <c r="AE41" cm="1">
        <f t="array" ref="AE41">SUMPRODUCT(('Team Lineups'!$K$2:$K$2000&lt;&gt;"")*('Team Lineups'!$C$2:$C$2000=$A41)*COUNTIFS('Team Lineups'!$K$2:$K$2000,'Team Lineups'!$K$2:$K$2000,'Team Lineups'!$C$2:$C$2000,AE$1))</f>
        <v>1</v>
      </c>
      <c r="AF41" cm="1">
        <f t="array" ref="AF41">SUMPRODUCT(('Team Lineups'!$K$2:$K$2000&lt;&gt;"")*('Team Lineups'!$C$2:$C$2000=$A41)*COUNTIFS('Team Lineups'!$K$2:$K$2000,'Team Lineups'!$K$2:$K$2000,'Team Lineups'!$C$2:$C$2000,AF$1))</f>
        <v>0</v>
      </c>
      <c r="AG41" cm="1">
        <f t="array" ref="AG41">SUMPRODUCT(('Team Lineups'!$K$2:$K$2000&lt;&gt;"")*('Team Lineups'!$C$2:$C$2000=$A41)*COUNTIFS('Team Lineups'!$K$2:$K$2000,'Team Lineups'!$K$2:$K$2000,'Team Lineups'!$C$2:$C$2000,AG$1))</f>
        <v>1</v>
      </c>
      <c r="AH41" cm="1">
        <f t="array" ref="AH41">SUMPRODUCT(('Team Lineups'!$K$2:$K$2000&lt;&gt;"")*('Team Lineups'!$C$2:$C$2000=$A41)*COUNTIFS('Team Lineups'!$K$2:$K$2000,'Team Lineups'!$K$2:$K$2000,'Team Lineups'!$C$2:$C$2000,AH$1))</f>
        <v>0</v>
      </c>
      <c r="AI41" cm="1">
        <f t="array" ref="AI41">SUMPRODUCT(('Team Lineups'!$K$2:$K$2000&lt;&gt;"")*('Team Lineups'!$C$2:$C$2000=$A41)*COUNTIFS('Team Lineups'!$K$2:$K$2000,'Team Lineups'!$K$2:$K$2000,'Team Lineups'!$C$2:$C$2000,AI$1))</f>
        <v>0</v>
      </c>
      <c r="AJ41" cm="1">
        <f t="array" ref="AJ41">SUMPRODUCT(('Team Lineups'!$K$2:$K$2000&lt;&gt;"")*('Team Lineups'!$C$2:$C$2000=$A41)*COUNTIFS('Team Lineups'!$K$2:$K$2000,'Team Lineups'!$K$2:$K$2000,'Team Lineups'!$C$2:$C$2000,AJ$1))</f>
        <v>3</v>
      </c>
      <c r="AK41" cm="1">
        <f t="array" ref="AK41">SUMPRODUCT(('Team Lineups'!$K$2:$K$2000&lt;&gt;"")*('Team Lineups'!$C$2:$C$2000=$A41)*COUNTIFS('Team Lineups'!$K$2:$K$2000,'Team Lineups'!$K$2:$K$2000,'Team Lineups'!$C$2:$C$2000,AK$1))</f>
        <v>0</v>
      </c>
      <c r="AL41" cm="1">
        <f t="array" ref="AL41">SUMPRODUCT(('Team Lineups'!$K$2:$K$2000&lt;&gt;"")*('Team Lineups'!$C$2:$C$2000=$A41)*COUNTIFS('Team Lineups'!$K$2:$K$2000,'Team Lineups'!$K$2:$K$2000,'Team Lineups'!$C$2:$C$2000,AL$1))</f>
        <v>1</v>
      </c>
      <c r="AM41" cm="1">
        <f t="array" ref="AM41">SUMPRODUCT(('Team Lineups'!$K$2:$K$2000&lt;&gt;"")*('Team Lineups'!$C$2:$C$2000=$A41)*COUNTIFS('Team Lineups'!$K$2:$K$2000,'Team Lineups'!$K$2:$K$2000,'Team Lineups'!$C$2:$C$2000,AM$1))</f>
        <v>1</v>
      </c>
      <c r="AN41" cm="1">
        <f t="array" ref="AN41">SUMPRODUCT(('Team Lineups'!$K$2:$K$2000&lt;&gt;"")*('Team Lineups'!$C$2:$C$2000=$A41)*COUNTIFS('Team Lineups'!$K$2:$K$2000,'Team Lineups'!$K$2:$K$2000,'Team Lineups'!$C$2:$C$2000,AN$1))</f>
        <v>1</v>
      </c>
      <c r="AO41" cm="1">
        <f t="array" ref="AO41">SUMPRODUCT(('Team Lineups'!$K$2:$K$2000&lt;&gt;"")*('Team Lineups'!$C$2:$C$2000=$A41)*COUNTIFS('Team Lineups'!$K$2:$K$2000,'Team Lineups'!$K$2:$K$2000,'Team Lineups'!$C$2:$C$2000,AO$1))</f>
        <v>8</v>
      </c>
      <c r="AP41" cm="1">
        <f t="array" ref="AP41">SUMPRODUCT(('Team Lineups'!$K$2:$K$2000&lt;&gt;"")*('Team Lineups'!$C$2:$C$2000=$A41)*COUNTIFS('Team Lineups'!$K$2:$K$2000,'Team Lineups'!$K$2:$K$2000,'Team Lineups'!$C$2:$C$2000,AP$1))</f>
        <v>2</v>
      </c>
      <c r="AQ41" cm="1">
        <f t="array" ref="AQ41">SUMPRODUCT(('Team Lineups'!$K$2:$K$2000&lt;&gt;"")*('Team Lineups'!$C$2:$C$2000=$A41)*COUNTIFS('Team Lineups'!$K$2:$K$2000,'Team Lineups'!$K$2:$K$2000,'Team Lineups'!$C$2:$C$2000,AQ$1))</f>
        <v>1</v>
      </c>
      <c r="AR41" cm="1">
        <f t="array" ref="AR41">SUMPRODUCT(('Team Lineups'!$K$2:$K$2000&lt;&gt;"")*('Team Lineups'!$C$2:$C$2000=$A41)*COUNTIFS('Team Lineups'!$K$2:$K$2000,'Team Lineups'!$K$2:$K$2000,'Team Lineups'!$C$2:$C$2000,AR$1))</f>
        <v>0</v>
      </c>
      <c r="AS41" cm="1">
        <f t="array" ref="AS41">SUMPRODUCT(('Team Lineups'!$K$2:$K$2000&lt;&gt;"")*('Team Lineups'!$C$2:$C$2000=$A41)*COUNTIFS('Team Lineups'!$K$2:$K$2000,'Team Lineups'!$K$2:$K$2000,'Team Lineups'!$C$2:$C$2000,AS$1))</f>
        <v>0</v>
      </c>
      <c r="AT41" cm="1">
        <f t="array" ref="AT41">SUMPRODUCT(('Team Lineups'!$K$2:$K$2000&lt;&gt;"")*('Team Lineups'!$C$2:$C$2000=$A41)*COUNTIFS('Team Lineups'!$K$2:$K$2000,'Team Lineups'!$K$2:$K$2000,'Team Lineups'!$C$2:$C$2000,AT$1))</f>
        <v>1</v>
      </c>
      <c r="AU41" cm="1">
        <f t="array" ref="AU41">SUMPRODUCT(('Team Lineups'!$K$2:$K$2000&lt;&gt;"")*('Team Lineups'!$C$2:$C$2000=$A41)*COUNTIFS('Team Lineups'!$K$2:$K$2000,'Team Lineups'!$K$2:$K$2000,'Team Lineups'!$C$2:$C$2000,AU$1))</f>
        <v>1</v>
      </c>
      <c r="AV41" cm="1">
        <f t="array" ref="AV41">SUMPRODUCT(('Team Lineups'!$K$2:$K$2000&lt;&gt;"")*('Team Lineups'!$C$2:$C$2000=$A41)*COUNTIFS('Team Lineups'!$K$2:$K$2000,'Team Lineups'!$K$2:$K$2000,'Team Lineups'!$C$2:$C$2000,AV$1))</f>
        <v>0</v>
      </c>
    </row>
    <row r="42" spans="1:48" x14ac:dyDescent="0.35">
      <c r="A42" t="str">
        <v>Lorenzo Colini</v>
      </c>
      <c r="B42" cm="1">
        <f t="array" ref="B42">SUMPRODUCT(('Team Lineups'!$K$2:$K$2000&lt;&gt;"")*('Team Lineups'!$C$2:$C$2000=$A42)*COUNTIFS('Team Lineups'!$K$2:$K$2000,'Team Lineups'!$K$2:$K$2000,'Team Lineups'!$C$2:$C$2000,B$1))</f>
        <v>1</v>
      </c>
      <c r="C42" cm="1">
        <f t="array" ref="C42">SUMPRODUCT(('Team Lineups'!$K$2:$K$2000&lt;&gt;"")*('Team Lineups'!$C$2:$C$2000=$A42)*COUNTIFS('Team Lineups'!$K$2:$K$2000,'Team Lineups'!$K$2:$K$2000,'Team Lineups'!$C$2:$C$2000,C$1))</f>
        <v>0</v>
      </c>
      <c r="D42" cm="1">
        <f t="array" ref="D42">SUMPRODUCT(('Team Lineups'!$K$2:$K$2000&lt;&gt;"")*('Team Lineups'!$C$2:$C$2000=$A42)*COUNTIFS('Team Lineups'!$K$2:$K$2000,'Team Lineups'!$K$2:$K$2000,'Team Lineups'!$C$2:$C$2000,D$1))</f>
        <v>2</v>
      </c>
      <c r="E42" cm="1">
        <f t="array" ref="E42">SUMPRODUCT(('Team Lineups'!$K$2:$K$2000&lt;&gt;"")*('Team Lineups'!$C$2:$C$2000=$A42)*COUNTIFS('Team Lineups'!$K$2:$K$2000,'Team Lineups'!$K$2:$K$2000,'Team Lineups'!$C$2:$C$2000,E$1))</f>
        <v>3</v>
      </c>
      <c r="F42" cm="1">
        <f t="array" ref="F42">SUMPRODUCT(('Team Lineups'!$K$2:$K$2000&lt;&gt;"")*('Team Lineups'!$C$2:$C$2000=$A42)*COUNTIFS('Team Lineups'!$K$2:$K$2000,'Team Lineups'!$K$2:$K$2000,'Team Lineups'!$C$2:$C$2000,F$1))</f>
        <v>3</v>
      </c>
      <c r="G42" cm="1">
        <f t="array" ref="G42">SUMPRODUCT(('Team Lineups'!$K$2:$K$2000&lt;&gt;"")*('Team Lineups'!$C$2:$C$2000=$A42)*COUNTIFS('Team Lineups'!$K$2:$K$2000,'Team Lineups'!$K$2:$K$2000,'Team Lineups'!$C$2:$C$2000,G$1))</f>
        <v>3</v>
      </c>
      <c r="H42" cm="1">
        <f t="array" ref="H42">SUMPRODUCT(('Team Lineups'!$K$2:$K$2000&lt;&gt;"")*('Team Lineups'!$C$2:$C$2000=$A42)*COUNTIFS('Team Lineups'!$K$2:$K$2000,'Team Lineups'!$K$2:$K$2000,'Team Lineups'!$C$2:$C$2000,H$1))</f>
        <v>2</v>
      </c>
      <c r="I42" cm="1">
        <f t="array" ref="I42">SUMPRODUCT(('Team Lineups'!$K$2:$K$2000&lt;&gt;"")*('Team Lineups'!$C$2:$C$2000=$A42)*COUNTIFS('Team Lineups'!$K$2:$K$2000,'Team Lineups'!$K$2:$K$2000,'Team Lineups'!$C$2:$C$2000,I$1))</f>
        <v>0</v>
      </c>
      <c r="J42" cm="1">
        <f t="array" ref="J42">SUMPRODUCT(('Team Lineups'!$K$2:$K$2000&lt;&gt;"")*('Team Lineups'!$C$2:$C$2000=$A42)*COUNTIFS('Team Lineups'!$K$2:$K$2000,'Team Lineups'!$K$2:$K$2000,'Team Lineups'!$C$2:$C$2000,J$1))</f>
        <v>0</v>
      </c>
      <c r="K42" cm="1">
        <f t="array" ref="K42">SUMPRODUCT(('Team Lineups'!$K$2:$K$2000&lt;&gt;"")*('Team Lineups'!$C$2:$C$2000=$A42)*COUNTIFS('Team Lineups'!$K$2:$K$2000,'Team Lineups'!$K$2:$K$2000,'Team Lineups'!$C$2:$C$2000,K$1))</f>
        <v>0</v>
      </c>
      <c r="L42" cm="1">
        <f t="array" ref="L42">SUMPRODUCT(('Team Lineups'!$K$2:$K$2000&lt;&gt;"")*('Team Lineups'!$C$2:$C$2000=$A42)*COUNTIFS('Team Lineups'!$K$2:$K$2000,'Team Lineups'!$K$2:$K$2000,'Team Lineups'!$C$2:$C$2000,L$1))</f>
        <v>1</v>
      </c>
      <c r="M42" cm="1">
        <f t="array" ref="M42">SUMPRODUCT(('Team Lineups'!$K$2:$K$2000&lt;&gt;"")*('Team Lineups'!$C$2:$C$2000=$A42)*COUNTIFS('Team Lineups'!$K$2:$K$2000,'Team Lineups'!$K$2:$K$2000,'Team Lineups'!$C$2:$C$2000,M$1))</f>
        <v>3</v>
      </c>
      <c r="N42" cm="1">
        <f t="array" ref="N42">SUMPRODUCT(('Team Lineups'!$K$2:$K$2000&lt;&gt;"")*('Team Lineups'!$C$2:$C$2000=$A42)*COUNTIFS('Team Lineups'!$K$2:$K$2000,'Team Lineups'!$K$2:$K$2000,'Team Lineups'!$C$2:$C$2000,N$1))</f>
        <v>4</v>
      </c>
      <c r="O42" cm="1">
        <f t="array" ref="O42">SUMPRODUCT(('Team Lineups'!$K$2:$K$2000&lt;&gt;"")*('Team Lineups'!$C$2:$C$2000=$A42)*COUNTIFS('Team Lineups'!$K$2:$K$2000,'Team Lineups'!$K$2:$K$2000,'Team Lineups'!$C$2:$C$2000,O$1))</f>
        <v>0</v>
      </c>
      <c r="P42" cm="1">
        <f t="array" ref="P42">SUMPRODUCT(('Team Lineups'!$K$2:$K$2000&lt;&gt;"")*('Team Lineups'!$C$2:$C$2000=$A42)*COUNTIFS('Team Lineups'!$K$2:$K$2000,'Team Lineups'!$K$2:$K$2000,'Team Lineups'!$C$2:$C$2000,P$1))</f>
        <v>0</v>
      </c>
      <c r="Q42" cm="1">
        <f t="array" ref="Q42">SUMPRODUCT(('Team Lineups'!$K$2:$K$2000&lt;&gt;"")*('Team Lineups'!$C$2:$C$2000=$A42)*COUNTIFS('Team Lineups'!$K$2:$K$2000,'Team Lineups'!$K$2:$K$2000,'Team Lineups'!$C$2:$C$2000,Q$1))</f>
        <v>2</v>
      </c>
      <c r="R42" cm="1">
        <f t="array" ref="R42">SUMPRODUCT(('Team Lineups'!$K$2:$K$2000&lt;&gt;"")*('Team Lineups'!$C$2:$C$2000=$A42)*COUNTIFS('Team Lineups'!$K$2:$K$2000,'Team Lineups'!$K$2:$K$2000,'Team Lineups'!$C$2:$C$2000,R$1))</f>
        <v>1</v>
      </c>
      <c r="S42" cm="1">
        <f t="array" ref="S42">SUMPRODUCT(('Team Lineups'!$K$2:$K$2000&lt;&gt;"")*('Team Lineups'!$C$2:$C$2000=$A42)*COUNTIFS('Team Lineups'!$K$2:$K$2000,'Team Lineups'!$K$2:$K$2000,'Team Lineups'!$C$2:$C$2000,S$1))</f>
        <v>1</v>
      </c>
      <c r="T42" cm="1">
        <f t="array" ref="T42">SUMPRODUCT(('Team Lineups'!$K$2:$K$2000&lt;&gt;"")*('Team Lineups'!$C$2:$C$2000=$A42)*COUNTIFS('Team Lineups'!$K$2:$K$2000,'Team Lineups'!$K$2:$K$2000,'Team Lineups'!$C$2:$C$2000,T$1))</f>
        <v>1</v>
      </c>
      <c r="U42" cm="1">
        <f t="array" ref="U42">SUMPRODUCT(('Team Lineups'!$K$2:$K$2000&lt;&gt;"")*('Team Lineups'!$C$2:$C$2000=$A42)*COUNTIFS('Team Lineups'!$K$2:$K$2000,'Team Lineups'!$K$2:$K$2000,'Team Lineups'!$C$2:$C$2000,U$1))</f>
        <v>0</v>
      </c>
      <c r="V42" cm="1">
        <f t="array" ref="V42">SUMPRODUCT(('Team Lineups'!$K$2:$K$2000&lt;&gt;"")*('Team Lineups'!$C$2:$C$2000=$A42)*COUNTIFS('Team Lineups'!$K$2:$K$2000,'Team Lineups'!$K$2:$K$2000,'Team Lineups'!$C$2:$C$2000,V$1))</f>
        <v>0</v>
      </c>
      <c r="W42" cm="1">
        <f t="array" ref="W42">SUMPRODUCT(('Team Lineups'!$K$2:$K$2000&lt;&gt;"")*('Team Lineups'!$C$2:$C$2000=$A42)*COUNTIFS('Team Lineups'!$K$2:$K$2000,'Team Lineups'!$K$2:$K$2000,'Team Lineups'!$C$2:$C$2000,W$1))</f>
        <v>1</v>
      </c>
      <c r="X42" cm="1">
        <f t="array" ref="X42">SUMPRODUCT(('Team Lineups'!$K$2:$K$2000&lt;&gt;"")*('Team Lineups'!$C$2:$C$2000=$A42)*COUNTIFS('Team Lineups'!$K$2:$K$2000,'Team Lineups'!$K$2:$K$2000,'Team Lineups'!$C$2:$C$2000,X$1))</f>
        <v>0</v>
      </c>
      <c r="Y42" cm="1">
        <f t="array" ref="Y42">SUMPRODUCT(('Team Lineups'!$K$2:$K$2000&lt;&gt;"")*('Team Lineups'!$C$2:$C$2000=$A42)*COUNTIFS('Team Lineups'!$K$2:$K$2000,'Team Lineups'!$K$2:$K$2000,'Team Lineups'!$C$2:$C$2000,Y$1))</f>
        <v>0</v>
      </c>
      <c r="Z42" cm="1">
        <f t="array" ref="Z42">SUMPRODUCT(('Team Lineups'!$K$2:$K$2000&lt;&gt;"")*('Team Lineups'!$C$2:$C$2000=$A42)*COUNTIFS('Team Lineups'!$K$2:$K$2000,'Team Lineups'!$K$2:$K$2000,'Team Lineups'!$C$2:$C$2000,Z$1))</f>
        <v>0</v>
      </c>
      <c r="AA42" cm="1">
        <f t="array" ref="AA42">SUMPRODUCT(('Team Lineups'!$K$2:$K$2000&lt;&gt;"")*('Team Lineups'!$C$2:$C$2000=$A42)*COUNTIFS('Team Lineups'!$K$2:$K$2000,'Team Lineups'!$K$2:$K$2000,'Team Lineups'!$C$2:$C$2000,AA$1))</f>
        <v>2</v>
      </c>
      <c r="AB42" cm="1">
        <f t="array" ref="AB42">SUMPRODUCT(('Team Lineups'!$K$2:$K$2000&lt;&gt;"")*('Team Lineups'!$C$2:$C$2000=$A42)*COUNTIFS('Team Lineups'!$K$2:$K$2000,'Team Lineups'!$K$2:$K$2000,'Team Lineups'!$C$2:$C$2000,AB$1))</f>
        <v>1</v>
      </c>
      <c r="AC42" cm="1">
        <f t="array" ref="AC42">SUMPRODUCT(('Team Lineups'!$K$2:$K$2000&lt;&gt;"")*('Team Lineups'!$C$2:$C$2000=$A42)*COUNTIFS('Team Lineups'!$K$2:$K$2000,'Team Lineups'!$K$2:$K$2000,'Team Lineups'!$C$2:$C$2000,AC$1))</f>
        <v>0</v>
      </c>
      <c r="AD42" cm="1">
        <f t="array" ref="AD42">SUMPRODUCT(('Team Lineups'!$K$2:$K$2000&lt;&gt;"")*('Team Lineups'!$C$2:$C$2000=$A42)*COUNTIFS('Team Lineups'!$K$2:$K$2000,'Team Lineups'!$K$2:$K$2000,'Team Lineups'!$C$2:$C$2000,AD$1))</f>
        <v>3</v>
      </c>
      <c r="AE42" cm="1">
        <f t="array" ref="AE42">SUMPRODUCT(('Team Lineups'!$K$2:$K$2000&lt;&gt;"")*('Team Lineups'!$C$2:$C$2000=$A42)*COUNTIFS('Team Lineups'!$K$2:$K$2000,'Team Lineups'!$K$2:$K$2000,'Team Lineups'!$C$2:$C$2000,AE$1))</f>
        <v>0</v>
      </c>
      <c r="AF42" cm="1">
        <f t="array" ref="AF42">SUMPRODUCT(('Team Lineups'!$K$2:$K$2000&lt;&gt;"")*('Team Lineups'!$C$2:$C$2000=$A42)*COUNTIFS('Team Lineups'!$K$2:$K$2000,'Team Lineups'!$K$2:$K$2000,'Team Lineups'!$C$2:$C$2000,AF$1))</f>
        <v>0</v>
      </c>
      <c r="AG42" cm="1">
        <f t="array" ref="AG42">SUMPRODUCT(('Team Lineups'!$K$2:$K$2000&lt;&gt;"")*('Team Lineups'!$C$2:$C$2000=$A42)*COUNTIFS('Team Lineups'!$K$2:$K$2000,'Team Lineups'!$K$2:$K$2000,'Team Lineups'!$C$2:$C$2000,AG$1))</f>
        <v>4</v>
      </c>
      <c r="AH42" cm="1">
        <f t="array" ref="AH42">SUMPRODUCT(('Team Lineups'!$K$2:$K$2000&lt;&gt;"")*('Team Lineups'!$C$2:$C$2000=$A42)*COUNTIFS('Team Lineups'!$K$2:$K$2000,'Team Lineups'!$K$2:$K$2000,'Team Lineups'!$C$2:$C$2000,AH$1))</f>
        <v>0</v>
      </c>
      <c r="AI42" cm="1">
        <f t="array" ref="AI42">SUMPRODUCT(('Team Lineups'!$K$2:$K$2000&lt;&gt;"")*('Team Lineups'!$C$2:$C$2000=$A42)*COUNTIFS('Team Lineups'!$K$2:$K$2000,'Team Lineups'!$K$2:$K$2000,'Team Lineups'!$C$2:$C$2000,AI$1))</f>
        <v>0</v>
      </c>
      <c r="AJ42" cm="1">
        <f t="array" ref="AJ42">SUMPRODUCT(('Team Lineups'!$K$2:$K$2000&lt;&gt;"")*('Team Lineups'!$C$2:$C$2000=$A42)*COUNTIFS('Team Lineups'!$K$2:$K$2000,'Team Lineups'!$K$2:$K$2000,'Team Lineups'!$C$2:$C$2000,AJ$1))</f>
        <v>3</v>
      </c>
      <c r="AK42" cm="1">
        <f t="array" ref="AK42">SUMPRODUCT(('Team Lineups'!$K$2:$K$2000&lt;&gt;"")*('Team Lineups'!$C$2:$C$2000=$A42)*COUNTIFS('Team Lineups'!$K$2:$K$2000,'Team Lineups'!$K$2:$K$2000,'Team Lineups'!$C$2:$C$2000,AK$1))</f>
        <v>0</v>
      </c>
      <c r="AL42" cm="1">
        <f t="array" ref="AL42">SUMPRODUCT(('Team Lineups'!$K$2:$K$2000&lt;&gt;"")*('Team Lineups'!$C$2:$C$2000=$A42)*COUNTIFS('Team Lineups'!$K$2:$K$2000,'Team Lineups'!$K$2:$K$2000,'Team Lineups'!$C$2:$C$2000,AL$1))</f>
        <v>5</v>
      </c>
      <c r="AM42" cm="1">
        <f t="array" ref="AM42">SUMPRODUCT(('Team Lineups'!$K$2:$K$2000&lt;&gt;"")*('Team Lineups'!$C$2:$C$2000=$A42)*COUNTIFS('Team Lineups'!$K$2:$K$2000,'Team Lineups'!$K$2:$K$2000,'Team Lineups'!$C$2:$C$2000,AM$1))</f>
        <v>0</v>
      </c>
      <c r="AN42" cm="1">
        <f t="array" ref="AN42">SUMPRODUCT(('Team Lineups'!$K$2:$K$2000&lt;&gt;"")*('Team Lineups'!$C$2:$C$2000=$A42)*COUNTIFS('Team Lineups'!$K$2:$K$2000,'Team Lineups'!$K$2:$K$2000,'Team Lineups'!$C$2:$C$2000,AN$1))</f>
        <v>3</v>
      </c>
      <c r="AO42" cm="1">
        <f t="array" ref="AO42">SUMPRODUCT(('Team Lineups'!$K$2:$K$2000&lt;&gt;"")*('Team Lineups'!$C$2:$C$2000=$A42)*COUNTIFS('Team Lineups'!$K$2:$K$2000,'Team Lineups'!$K$2:$K$2000,'Team Lineups'!$C$2:$C$2000,AO$1))</f>
        <v>2</v>
      </c>
      <c r="AP42" cm="1">
        <f t="array" ref="AP42">SUMPRODUCT(('Team Lineups'!$K$2:$K$2000&lt;&gt;"")*('Team Lineups'!$C$2:$C$2000=$A42)*COUNTIFS('Team Lineups'!$K$2:$K$2000,'Team Lineups'!$K$2:$K$2000,'Team Lineups'!$C$2:$C$2000,AP$1))</f>
        <v>10</v>
      </c>
      <c r="AQ42" cm="1">
        <f t="array" ref="AQ42">SUMPRODUCT(('Team Lineups'!$K$2:$K$2000&lt;&gt;"")*('Team Lineups'!$C$2:$C$2000=$A42)*COUNTIFS('Team Lineups'!$K$2:$K$2000,'Team Lineups'!$K$2:$K$2000,'Team Lineups'!$C$2:$C$2000,AQ$1))</f>
        <v>1</v>
      </c>
      <c r="AR42" cm="1">
        <f t="array" ref="AR42">SUMPRODUCT(('Team Lineups'!$K$2:$K$2000&lt;&gt;"")*('Team Lineups'!$C$2:$C$2000=$A42)*COUNTIFS('Team Lineups'!$K$2:$K$2000,'Team Lineups'!$K$2:$K$2000,'Team Lineups'!$C$2:$C$2000,AR$1))</f>
        <v>0</v>
      </c>
      <c r="AS42" cm="1">
        <f t="array" ref="AS42">SUMPRODUCT(('Team Lineups'!$K$2:$K$2000&lt;&gt;"")*('Team Lineups'!$C$2:$C$2000=$A42)*COUNTIFS('Team Lineups'!$K$2:$K$2000,'Team Lineups'!$K$2:$K$2000,'Team Lineups'!$C$2:$C$2000,AS$1))</f>
        <v>0</v>
      </c>
      <c r="AT42" cm="1">
        <f t="array" ref="AT42">SUMPRODUCT(('Team Lineups'!$K$2:$K$2000&lt;&gt;"")*('Team Lineups'!$C$2:$C$2000=$A42)*COUNTIFS('Team Lineups'!$K$2:$K$2000,'Team Lineups'!$K$2:$K$2000,'Team Lineups'!$C$2:$C$2000,AT$1))</f>
        <v>0</v>
      </c>
      <c r="AU42" cm="1">
        <f t="array" ref="AU42">SUMPRODUCT(('Team Lineups'!$K$2:$K$2000&lt;&gt;"")*('Team Lineups'!$C$2:$C$2000=$A42)*COUNTIFS('Team Lineups'!$K$2:$K$2000,'Team Lineups'!$K$2:$K$2000,'Team Lineups'!$C$2:$C$2000,AU$1))</f>
        <v>0</v>
      </c>
      <c r="AV42" cm="1">
        <f t="array" ref="AV42">SUMPRODUCT(('Team Lineups'!$K$2:$K$2000&lt;&gt;"")*('Team Lineups'!$C$2:$C$2000=$A42)*COUNTIFS('Team Lineups'!$K$2:$K$2000,'Team Lineups'!$K$2:$K$2000,'Team Lineups'!$C$2:$C$2000,AV$1))</f>
        <v>1</v>
      </c>
    </row>
    <row r="43" spans="1:48" x14ac:dyDescent="0.35">
      <c r="A43" t="str">
        <v>Martyson</v>
      </c>
      <c r="B43" cm="1">
        <f t="array" ref="B43">SUMPRODUCT(('Team Lineups'!$K$2:$K$2000&lt;&gt;"")*('Team Lineups'!$C$2:$C$2000=$A43)*COUNTIFS('Team Lineups'!$K$2:$K$2000,'Team Lineups'!$K$2:$K$2000,'Team Lineups'!$C$2:$C$2000,B$1))</f>
        <v>0</v>
      </c>
      <c r="C43" cm="1">
        <f t="array" ref="C43">SUMPRODUCT(('Team Lineups'!$K$2:$K$2000&lt;&gt;"")*('Team Lineups'!$C$2:$C$2000=$A43)*COUNTIFS('Team Lineups'!$K$2:$K$2000,'Team Lineups'!$K$2:$K$2000,'Team Lineups'!$C$2:$C$2000,C$1))</f>
        <v>0</v>
      </c>
      <c r="D43" cm="1">
        <f t="array" ref="D43">SUMPRODUCT(('Team Lineups'!$K$2:$K$2000&lt;&gt;"")*('Team Lineups'!$C$2:$C$2000=$A43)*COUNTIFS('Team Lineups'!$K$2:$K$2000,'Team Lineups'!$K$2:$K$2000,'Team Lineups'!$C$2:$C$2000,D$1))</f>
        <v>1</v>
      </c>
      <c r="E43" cm="1">
        <f t="array" ref="E43">SUMPRODUCT(('Team Lineups'!$K$2:$K$2000&lt;&gt;"")*('Team Lineups'!$C$2:$C$2000=$A43)*COUNTIFS('Team Lineups'!$K$2:$K$2000,'Team Lineups'!$K$2:$K$2000,'Team Lineups'!$C$2:$C$2000,E$1))</f>
        <v>2</v>
      </c>
      <c r="F43" cm="1">
        <f t="array" ref="F43">SUMPRODUCT(('Team Lineups'!$K$2:$K$2000&lt;&gt;"")*('Team Lineups'!$C$2:$C$2000=$A43)*COUNTIFS('Team Lineups'!$K$2:$K$2000,'Team Lineups'!$K$2:$K$2000,'Team Lineups'!$C$2:$C$2000,F$1))</f>
        <v>2</v>
      </c>
      <c r="G43" cm="1">
        <f t="array" ref="G43">SUMPRODUCT(('Team Lineups'!$K$2:$K$2000&lt;&gt;"")*('Team Lineups'!$C$2:$C$2000=$A43)*COUNTIFS('Team Lineups'!$K$2:$K$2000,'Team Lineups'!$K$2:$K$2000,'Team Lineups'!$C$2:$C$2000,G$1))</f>
        <v>1</v>
      </c>
      <c r="H43" cm="1">
        <f t="array" ref="H43">SUMPRODUCT(('Team Lineups'!$K$2:$K$2000&lt;&gt;"")*('Team Lineups'!$C$2:$C$2000=$A43)*COUNTIFS('Team Lineups'!$K$2:$K$2000,'Team Lineups'!$K$2:$K$2000,'Team Lineups'!$C$2:$C$2000,H$1))</f>
        <v>1</v>
      </c>
      <c r="I43" cm="1">
        <f t="array" ref="I43">SUMPRODUCT(('Team Lineups'!$K$2:$K$2000&lt;&gt;"")*('Team Lineups'!$C$2:$C$2000=$A43)*COUNTIFS('Team Lineups'!$K$2:$K$2000,'Team Lineups'!$K$2:$K$2000,'Team Lineups'!$C$2:$C$2000,I$1))</f>
        <v>2</v>
      </c>
      <c r="J43" cm="1">
        <f t="array" ref="J43">SUMPRODUCT(('Team Lineups'!$K$2:$K$2000&lt;&gt;"")*('Team Lineups'!$C$2:$C$2000=$A43)*COUNTIFS('Team Lineups'!$K$2:$K$2000,'Team Lineups'!$K$2:$K$2000,'Team Lineups'!$C$2:$C$2000,J$1))</f>
        <v>0</v>
      </c>
      <c r="K43" cm="1">
        <f t="array" ref="K43">SUMPRODUCT(('Team Lineups'!$K$2:$K$2000&lt;&gt;"")*('Team Lineups'!$C$2:$C$2000=$A43)*COUNTIFS('Team Lineups'!$K$2:$K$2000,'Team Lineups'!$K$2:$K$2000,'Team Lineups'!$C$2:$C$2000,K$1))</f>
        <v>0</v>
      </c>
      <c r="L43" cm="1">
        <f t="array" ref="L43">SUMPRODUCT(('Team Lineups'!$K$2:$K$2000&lt;&gt;"")*('Team Lineups'!$C$2:$C$2000=$A43)*COUNTIFS('Team Lineups'!$K$2:$K$2000,'Team Lineups'!$K$2:$K$2000,'Team Lineups'!$C$2:$C$2000,L$1))</f>
        <v>2</v>
      </c>
      <c r="M43" cm="1">
        <f t="array" ref="M43">SUMPRODUCT(('Team Lineups'!$K$2:$K$2000&lt;&gt;"")*('Team Lineups'!$C$2:$C$2000=$A43)*COUNTIFS('Team Lineups'!$K$2:$K$2000,'Team Lineups'!$K$2:$K$2000,'Team Lineups'!$C$2:$C$2000,M$1))</f>
        <v>1</v>
      </c>
      <c r="N43" cm="1">
        <f t="array" ref="N43">SUMPRODUCT(('Team Lineups'!$K$2:$K$2000&lt;&gt;"")*('Team Lineups'!$C$2:$C$2000=$A43)*COUNTIFS('Team Lineups'!$K$2:$K$2000,'Team Lineups'!$K$2:$K$2000,'Team Lineups'!$C$2:$C$2000,N$1))</f>
        <v>1</v>
      </c>
      <c r="O43" cm="1">
        <f t="array" ref="O43">SUMPRODUCT(('Team Lineups'!$K$2:$K$2000&lt;&gt;"")*('Team Lineups'!$C$2:$C$2000=$A43)*COUNTIFS('Team Lineups'!$K$2:$K$2000,'Team Lineups'!$K$2:$K$2000,'Team Lineups'!$C$2:$C$2000,O$1))</f>
        <v>0</v>
      </c>
      <c r="P43" cm="1">
        <f t="array" ref="P43">SUMPRODUCT(('Team Lineups'!$K$2:$K$2000&lt;&gt;"")*('Team Lineups'!$C$2:$C$2000=$A43)*COUNTIFS('Team Lineups'!$K$2:$K$2000,'Team Lineups'!$K$2:$K$2000,'Team Lineups'!$C$2:$C$2000,P$1))</f>
        <v>0</v>
      </c>
      <c r="Q43" cm="1">
        <f t="array" ref="Q43">SUMPRODUCT(('Team Lineups'!$K$2:$K$2000&lt;&gt;"")*('Team Lineups'!$C$2:$C$2000=$A43)*COUNTIFS('Team Lineups'!$K$2:$K$2000,'Team Lineups'!$K$2:$K$2000,'Team Lineups'!$C$2:$C$2000,Q$1))</f>
        <v>2</v>
      </c>
      <c r="R43" cm="1">
        <f t="array" ref="R43">SUMPRODUCT(('Team Lineups'!$K$2:$K$2000&lt;&gt;"")*('Team Lineups'!$C$2:$C$2000=$A43)*COUNTIFS('Team Lineups'!$K$2:$K$2000,'Team Lineups'!$K$2:$K$2000,'Team Lineups'!$C$2:$C$2000,R$1))</f>
        <v>0</v>
      </c>
      <c r="S43" cm="1">
        <f t="array" ref="S43">SUMPRODUCT(('Team Lineups'!$K$2:$K$2000&lt;&gt;"")*('Team Lineups'!$C$2:$C$2000=$A43)*COUNTIFS('Team Lineups'!$K$2:$K$2000,'Team Lineups'!$K$2:$K$2000,'Team Lineups'!$C$2:$C$2000,S$1))</f>
        <v>0</v>
      </c>
      <c r="T43" cm="1">
        <f t="array" ref="T43">SUMPRODUCT(('Team Lineups'!$K$2:$K$2000&lt;&gt;"")*('Team Lineups'!$C$2:$C$2000=$A43)*COUNTIFS('Team Lineups'!$K$2:$K$2000,'Team Lineups'!$K$2:$K$2000,'Team Lineups'!$C$2:$C$2000,T$1))</f>
        <v>0</v>
      </c>
      <c r="U43" cm="1">
        <f t="array" ref="U43">SUMPRODUCT(('Team Lineups'!$K$2:$K$2000&lt;&gt;"")*('Team Lineups'!$C$2:$C$2000=$A43)*COUNTIFS('Team Lineups'!$K$2:$K$2000,'Team Lineups'!$K$2:$K$2000,'Team Lineups'!$C$2:$C$2000,U$1))</f>
        <v>0</v>
      </c>
      <c r="V43" cm="1">
        <f t="array" ref="V43">SUMPRODUCT(('Team Lineups'!$K$2:$K$2000&lt;&gt;"")*('Team Lineups'!$C$2:$C$2000=$A43)*COUNTIFS('Team Lineups'!$K$2:$K$2000,'Team Lineups'!$K$2:$K$2000,'Team Lineups'!$C$2:$C$2000,V$1))</f>
        <v>0</v>
      </c>
      <c r="W43" cm="1">
        <f t="array" ref="W43">SUMPRODUCT(('Team Lineups'!$K$2:$K$2000&lt;&gt;"")*('Team Lineups'!$C$2:$C$2000=$A43)*COUNTIFS('Team Lineups'!$K$2:$K$2000,'Team Lineups'!$K$2:$K$2000,'Team Lineups'!$C$2:$C$2000,W$1))</f>
        <v>0</v>
      </c>
      <c r="X43" cm="1">
        <f t="array" ref="X43">SUMPRODUCT(('Team Lineups'!$K$2:$K$2000&lt;&gt;"")*('Team Lineups'!$C$2:$C$2000=$A43)*COUNTIFS('Team Lineups'!$K$2:$K$2000,'Team Lineups'!$K$2:$K$2000,'Team Lineups'!$C$2:$C$2000,X$1))</f>
        <v>0</v>
      </c>
      <c r="Y43" cm="1">
        <f t="array" ref="Y43">SUMPRODUCT(('Team Lineups'!$K$2:$K$2000&lt;&gt;"")*('Team Lineups'!$C$2:$C$2000=$A43)*COUNTIFS('Team Lineups'!$K$2:$K$2000,'Team Lineups'!$K$2:$K$2000,'Team Lineups'!$C$2:$C$2000,Y$1))</f>
        <v>0</v>
      </c>
      <c r="Z43" cm="1">
        <f t="array" ref="Z43">SUMPRODUCT(('Team Lineups'!$K$2:$K$2000&lt;&gt;"")*('Team Lineups'!$C$2:$C$2000=$A43)*COUNTIFS('Team Lineups'!$K$2:$K$2000,'Team Lineups'!$K$2:$K$2000,'Team Lineups'!$C$2:$C$2000,Z$1))</f>
        <v>0</v>
      </c>
      <c r="AA43" cm="1">
        <f t="array" ref="AA43">SUMPRODUCT(('Team Lineups'!$K$2:$K$2000&lt;&gt;"")*('Team Lineups'!$C$2:$C$2000=$A43)*COUNTIFS('Team Lineups'!$K$2:$K$2000,'Team Lineups'!$K$2:$K$2000,'Team Lineups'!$C$2:$C$2000,AA$1))</f>
        <v>1</v>
      </c>
      <c r="AB43" cm="1">
        <f t="array" ref="AB43">SUMPRODUCT(('Team Lineups'!$K$2:$K$2000&lt;&gt;"")*('Team Lineups'!$C$2:$C$2000=$A43)*COUNTIFS('Team Lineups'!$K$2:$K$2000,'Team Lineups'!$K$2:$K$2000,'Team Lineups'!$C$2:$C$2000,AB$1))</f>
        <v>1</v>
      </c>
      <c r="AC43" cm="1">
        <f t="array" ref="AC43">SUMPRODUCT(('Team Lineups'!$K$2:$K$2000&lt;&gt;"")*('Team Lineups'!$C$2:$C$2000=$A43)*COUNTIFS('Team Lineups'!$K$2:$K$2000,'Team Lineups'!$K$2:$K$2000,'Team Lineups'!$C$2:$C$2000,AC$1))</f>
        <v>0</v>
      </c>
      <c r="AD43" cm="1">
        <f t="array" ref="AD43">SUMPRODUCT(('Team Lineups'!$K$2:$K$2000&lt;&gt;"")*('Team Lineups'!$C$2:$C$2000=$A43)*COUNTIFS('Team Lineups'!$K$2:$K$2000,'Team Lineups'!$K$2:$K$2000,'Team Lineups'!$C$2:$C$2000,AD$1))</f>
        <v>1</v>
      </c>
      <c r="AE43" cm="1">
        <f t="array" ref="AE43">SUMPRODUCT(('Team Lineups'!$K$2:$K$2000&lt;&gt;"")*('Team Lineups'!$C$2:$C$2000=$A43)*COUNTIFS('Team Lineups'!$K$2:$K$2000,'Team Lineups'!$K$2:$K$2000,'Team Lineups'!$C$2:$C$2000,AE$1))</f>
        <v>1</v>
      </c>
      <c r="AF43" cm="1">
        <f t="array" ref="AF43">SUMPRODUCT(('Team Lineups'!$K$2:$K$2000&lt;&gt;"")*('Team Lineups'!$C$2:$C$2000=$A43)*COUNTIFS('Team Lineups'!$K$2:$K$2000,'Team Lineups'!$K$2:$K$2000,'Team Lineups'!$C$2:$C$2000,AF$1))</f>
        <v>0</v>
      </c>
      <c r="AG43" cm="1">
        <f t="array" ref="AG43">SUMPRODUCT(('Team Lineups'!$K$2:$K$2000&lt;&gt;"")*('Team Lineups'!$C$2:$C$2000=$A43)*COUNTIFS('Team Lineups'!$K$2:$K$2000,'Team Lineups'!$K$2:$K$2000,'Team Lineups'!$C$2:$C$2000,AG$1))</f>
        <v>0</v>
      </c>
      <c r="AH43" cm="1">
        <f t="array" ref="AH43">SUMPRODUCT(('Team Lineups'!$K$2:$K$2000&lt;&gt;"")*('Team Lineups'!$C$2:$C$2000=$A43)*COUNTIFS('Team Lineups'!$K$2:$K$2000,'Team Lineups'!$K$2:$K$2000,'Team Lineups'!$C$2:$C$2000,AH$1))</f>
        <v>0</v>
      </c>
      <c r="AI43" cm="1">
        <f t="array" ref="AI43">SUMPRODUCT(('Team Lineups'!$K$2:$K$2000&lt;&gt;"")*('Team Lineups'!$C$2:$C$2000=$A43)*COUNTIFS('Team Lineups'!$K$2:$K$2000,'Team Lineups'!$K$2:$K$2000,'Team Lineups'!$C$2:$C$2000,AI$1))</f>
        <v>0</v>
      </c>
      <c r="AJ43" cm="1">
        <f t="array" ref="AJ43">SUMPRODUCT(('Team Lineups'!$K$2:$K$2000&lt;&gt;"")*('Team Lineups'!$C$2:$C$2000=$A43)*COUNTIFS('Team Lineups'!$K$2:$K$2000,'Team Lineups'!$K$2:$K$2000,'Team Lineups'!$C$2:$C$2000,AJ$1))</f>
        <v>1</v>
      </c>
      <c r="AK43" cm="1">
        <f t="array" ref="AK43">SUMPRODUCT(('Team Lineups'!$K$2:$K$2000&lt;&gt;"")*('Team Lineups'!$C$2:$C$2000=$A43)*COUNTIFS('Team Lineups'!$K$2:$K$2000,'Team Lineups'!$K$2:$K$2000,'Team Lineups'!$C$2:$C$2000,AK$1))</f>
        <v>0</v>
      </c>
      <c r="AL43" cm="1">
        <f t="array" ref="AL43">SUMPRODUCT(('Team Lineups'!$K$2:$K$2000&lt;&gt;"")*('Team Lineups'!$C$2:$C$2000=$A43)*COUNTIFS('Team Lineups'!$K$2:$K$2000,'Team Lineups'!$K$2:$K$2000,'Team Lineups'!$C$2:$C$2000,AL$1))</f>
        <v>3</v>
      </c>
      <c r="AM43" cm="1">
        <f t="array" ref="AM43">SUMPRODUCT(('Team Lineups'!$K$2:$K$2000&lt;&gt;"")*('Team Lineups'!$C$2:$C$2000=$A43)*COUNTIFS('Team Lineups'!$K$2:$K$2000,'Team Lineups'!$K$2:$K$2000,'Team Lineups'!$C$2:$C$2000,AM$1))</f>
        <v>0</v>
      </c>
      <c r="AN43" cm="1">
        <f t="array" ref="AN43">SUMPRODUCT(('Team Lineups'!$K$2:$K$2000&lt;&gt;"")*('Team Lineups'!$C$2:$C$2000=$A43)*COUNTIFS('Team Lineups'!$K$2:$K$2000,'Team Lineups'!$K$2:$K$2000,'Team Lineups'!$C$2:$C$2000,AN$1))</f>
        <v>0</v>
      </c>
      <c r="AO43" cm="1">
        <f t="array" ref="AO43">SUMPRODUCT(('Team Lineups'!$K$2:$K$2000&lt;&gt;"")*('Team Lineups'!$C$2:$C$2000=$A43)*COUNTIFS('Team Lineups'!$K$2:$K$2000,'Team Lineups'!$K$2:$K$2000,'Team Lineups'!$C$2:$C$2000,AO$1))</f>
        <v>1</v>
      </c>
      <c r="AP43" cm="1">
        <f t="array" ref="AP43">SUMPRODUCT(('Team Lineups'!$K$2:$K$2000&lt;&gt;"")*('Team Lineups'!$C$2:$C$2000=$A43)*COUNTIFS('Team Lineups'!$K$2:$K$2000,'Team Lineups'!$K$2:$K$2000,'Team Lineups'!$C$2:$C$2000,AP$1))</f>
        <v>1</v>
      </c>
      <c r="AQ43" cm="1">
        <f t="array" ref="AQ43">SUMPRODUCT(('Team Lineups'!$K$2:$K$2000&lt;&gt;"")*('Team Lineups'!$C$2:$C$2000=$A43)*COUNTIFS('Team Lineups'!$K$2:$K$2000,'Team Lineups'!$K$2:$K$2000,'Team Lineups'!$C$2:$C$2000,AQ$1))</f>
        <v>5</v>
      </c>
      <c r="AR43" cm="1">
        <f t="array" ref="AR43">SUMPRODUCT(('Team Lineups'!$K$2:$K$2000&lt;&gt;"")*('Team Lineups'!$C$2:$C$2000=$A43)*COUNTIFS('Team Lineups'!$K$2:$K$2000,'Team Lineups'!$K$2:$K$2000,'Team Lineups'!$C$2:$C$2000,AR$1))</f>
        <v>0</v>
      </c>
      <c r="AS43" cm="1">
        <f t="array" ref="AS43">SUMPRODUCT(('Team Lineups'!$K$2:$K$2000&lt;&gt;"")*('Team Lineups'!$C$2:$C$2000=$A43)*COUNTIFS('Team Lineups'!$K$2:$K$2000,'Team Lineups'!$K$2:$K$2000,'Team Lineups'!$C$2:$C$2000,AS$1))</f>
        <v>0</v>
      </c>
      <c r="AT43" cm="1">
        <f t="array" ref="AT43">SUMPRODUCT(('Team Lineups'!$K$2:$K$2000&lt;&gt;"")*('Team Lineups'!$C$2:$C$2000=$A43)*COUNTIFS('Team Lineups'!$K$2:$K$2000,'Team Lineups'!$K$2:$K$2000,'Team Lineups'!$C$2:$C$2000,AT$1))</f>
        <v>0</v>
      </c>
      <c r="AU43" cm="1">
        <f t="array" ref="AU43">SUMPRODUCT(('Team Lineups'!$K$2:$K$2000&lt;&gt;"")*('Team Lineups'!$C$2:$C$2000=$A43)*COUNTIFS('Team Lineups'!$K$2:$K$2000,'Team Lineups'!$K$2:$K$2000,'Team Lineups'!$C$2:$C$2000,AU$1))</f>
        <v>0</v>
      </c>
      <c r="AV43" cm="1">
        <f t="array" ref="AV43">SUMPRODUCT(('Team Lineups'!$K$2:$K$2000&lt;&gt;"")*('Team Lineups'!$C$2:$C$2000=$A43)*COUNTIFS('Team Lineups'!$K$2:$K$2000,'Team Lineups'!$K$2:$K$2000,'Team Lineups'!$C$2:$C$2000,AV$1))</f>
        <v>1</v>
      </c>
    </row>
    <row r="44" spans="1:48" x14ac:dyDescent="0.35">
      <c r="A44" t="str">
        <v>David</v>
      </c>
      <c r="B44" cm="1">
        <f t="array" ref="B44">SUMPRODUCT(('Team Lineups'!$K$2:$K$2000&lt;&gt;"")*('Team Lineups'!$C$2:$C$2000=$A44)*COUNTIFS('Team Lineups'!$K$2:$K$2000,'Team Lineups'!$K$2:$K$2000,'Team Lineups'!$C$2:$C$2000,B$1))</f>
        <v>0</v>
      </c>
      <c r="C44" cm="1">
        <f t="array" ref="C44">SUMPRODUCT(('Team Lineups'!$K$2:$K$2000&lt;&gt;"")*('Team Lineups'!$C$2:$C$2000=$A44)*COUNTIFS('Team Lineups'!$K$2:$K$2000,'Team Lineups'!$K$2:$K$2000,'Team Lineups'!$C$2:$C$2000,C$1))</f>
        <v>0</v>
      </c>
      <c r="D44" cm="1">
        <f t="array" ref="D44">SUMPRODUCT(('Team Lineups'!$K$2:$K$2000&lt;&gt;"")*('Team Lineups'!$C$2:$C$2000=$A44)*COUNTIFS('Team Lineups'!$K$2:$K$2000,'Team Lineups'!$K$2:$K$2000,'Team Lineups'!$C$2:$C$2000,D$1))</f>
        <v>0</v>
      </c>
      <c r="E44" cm="1">
        <f t="array" ref="E44">SUMPRODUCT(('Team Lineups'!$K$2:$K$2000&lt;&gt;"")*('Team Lineups'!$C$2:$C$2000=$A44)*COUNTIFS('Team Lineups'!$K$2:$K$2000,'Team Lineups'!$K$2:$K$2000,'Team Lineups'!$C$2:$C$2000,E$1))</f>
        <v>0</v>
      </c>
      <c r="F44" cm="1">
        <f t="array" ref="F44">SUMPRODUCT(('Team Lineups'!$K$2:$K$2000&lt;&gt;"")*('Team Lineups'!$C$2:$C$2000=$A44)*COUNTIFS('Team Lineups'!$K$2:$K$2000,'Team Lineups'!$K$2:$K$2000,'Team Lineups'!$C$2:$C$2000,F$1))</f>
        <v>0</v>
      </c>
      <c r="G44" cm="1">
        <f t="array" ref="G44">SUMPRODUCT(('Team Lineups'!$K$2:$K$2000&lt;&gt;"")*('Team Lineups'!$C$2:$C$2000=$A44)*COUNTIFS('Team Lineups'!$K$2:$K$2000,'Team Lineups'!$K$2:$K$2000,'Team Lineups'!$C$2:$C$2000,G$1))</f>
        <v>1</v>
      </c>
      <c r="H44" cm="1">
        <f t="array" ref="H44">SUMPRODUCT(('Team Lineups'!$K$2:$K$2000&lt;&gt;"")*('Team Lineups'!$C$2:$C$2000=$A44)*COUNTIFS('Team Lineups'!$K$2:$K$2000,'Team Lineups'!$K$2:$K$2000,'Team Lineups'!$C$2:$C$2000,H$1))</f>
        <v>0</v>
      </c>
      <c r="I44" cm="1">
        <f t="array" ref="I44">SUMPRODUCT(('Team Lineups'!$K$2:$K$2000&lt;&gt;"")*('Team Lineups'!$C$2:$C$2000=$A44)*COUNTIFS('Team Lineups'!$K$2:$K$2000,'Team Lineups'!$K$2:$K$2000,'Team Lineups'!$C$2:$C$2000,I$1))</f>
        <v>0</v>
      </c>
      <c r="J44" cm="1">
        <f t="array" ref="J44">SUMPRODUCT(('Team Lineups'!$K$2:$K$2000&lt;&gt;"")*('Team Lineups'!$C$2:$C$2000=$A44)*COUNTIFS('Team Lineups'!$K$2:$K$2000,'Team Lineups'!$K$2:$K$2000,'Team Lineups'!$C$2:$C$2000,J$1))</f>
        <v>0</v>
      </c>
      <c r="K44" cm="1">
        <f t="array" ref="K44">SUMPRODUCT(('Team Lineups'!$K$2:$K$2000&lt;&gt;"")*('Team Lineups'!$C$2:$C$2000=$A44)*COUNTIFS('Team Lineups'!$K$2:$K$2000,'Team Lineups'!$K$2:$K$2000,'Team Lineups'!$C$2:$C$2000,K$1))</f>
        <v>0</v>
      </c>
      <c r="L44" cm="1">
        <f t="array" ref="L44">SUMPRODUCT(('Team Lineups'!$K$2:$K$2000&lt;&gt;"")*('Team Lineups'!$C$2:$C$2000=$A44)*COUNTIFS('Team Lineups'!$K$2:$K$2000,'Team Lineups'!$K$2:$K$2000,'Team Lineups'!$C$2:$C$2000,L$1))</f>
        <v>0</v>
      </c>
      <c r="M44" cm="1">
        <f t="array" ref="M44">SUMPRODUCT(('Team Lineups'!$K$2:$K$2000&lt;&gt;"")*('Team Lineups'!$C$2:$C$2000=$A44)*COUNTIFS('Team Lineups'!$K$2:$K$2000,'Team Lineups'!$K$2:$K$2000,'Team Lineups'!$C$2:$C$2000,M$1))</f>
        <v>0</v>
      </c>
      <c r="N44" cm="1">
        <f t="array" ref="N44">SUMPRODUCT(('Team Lineups'!$K$2:$K$2000&lt;&gt;"")*('Team Lineups'!$C$2:$C$2000=$A44)*COUNTIFS('Team Lineups'!$K$2:$K$2000,'Team Lineups'!$K$2:$K$2000,'Team Lineups'!$C$2:$C$2000,N$1))</f>
        <v>0</v>
      </c>
      <c r="O44" cm="1">
        <f t="array" ref="O44">SUMPRODUCT(('Team Lineups'!$K$2:$K$2000&lt;&gt;"")*('Team Lineups'!$C$2:$C$2000=$A44)*COUNTIFS('Team Lineups'!$K$2:$K$2000,'Team Lineups'!$K$2:$K$2000,'Team Lineups'!$C$2:$C$2000,O$1))</f>
        <v>0</v>
      </c>
      <c r="P44" cm="1">
        <f t="array" ref="P44">SUMPRODUCT(('Team Lineups'!$K$2:$K$2000&lt;&gt;"")*('Team Lineups'!$C$2:$C$2000=$A44)*COUNTIFS('Team Lineups'!$K$2:$K$2000,'Team Lineups'!$K$2:$K$2000,'Team Lineups'!$C$2:$C$2000,P$1))</f>
        <v>0</v>
      </c>
      <c r="Q44" cm="1">
        <f t="array" ref="Q44">SUMPRODUCT(('Team Lineups'!$K$2:$K$2000&lt;&gt;"")*('Team Lineups'!$C$2:$C$2000=$A44)*COUNTIFS('Team Lineups'!$K$2:$K$2000,'Team Lineups'!$K$2:$K$2000,'Team Lineups'!$C$2:$C$2000,Q$1))</f>
        <v>0</v>
      </c>
      <c r="R44" cm="1">
        <f t="array" ref="R44">SUMPRODUCT(('Team Lineups'!$K$2:$K$2000&lt;&gt;"")*('Team Lineups'!$C$2:$C$2000=$A44)*COUNTIFS('Team Lineups'!$K$2:$K$2000,'Team Lineups'!$K$2:$K$2000,'Team Lineups'!$C$2:$C$2000,R$1))</f>
        <v>0</v>
      </c>
      <c r="S44" cm="1">
        <f t="array" ref="S44">SUMPRODUCT(('Team Lineups'!$K$2:$K$2000&lt;&gt;"")*('Team Lineups'!$C$2:$C$2000=$A44)*COUNTIFS('Team Lineups'!$K$2:$K$2000,'Team Lineups'!$K$2:$K$2000,'Team Lineups'!$C$2:$C$2000,S$1))</f>
        <v>0</v>
      </c>
      <c r="T44" cm="1">
        <f t="array" ref="T44">SUMPRODUCT(('Team Lineups'!$K$2:$K$2000&lt;&gt;"")*('Team Lineups'!$C$2:$C$2000=$A44)*COUNTIFS('Team Lineups'!$K$2:$K$2000,'Team Lineups'!$K$2:$K$2000,'Team Lineups'!$C$2:$C$2000,T$1))</f>
        <v>0</v>
      </c>
      <c r="U44" cm="1">
        <f t="array" ref="U44">SUMPRODUCT(('Team Lineups'!$K$2:$K$2000&lt;&gt;"")*('Team Lineups'!$C$2:$C$2000=$A44)*COUNTIFS('Team Lineups'!$K$2:$K$2000,'Team Lineups'!$K$2:$K$2000,'Team Lineups'!$C$2:$C$2000,U$1))</f>
        <v>0</v>
      </c>
      <c r="V44" cm="1">
        <f t="array" ref="V44">SUMPRODUCT(('Team Lineups'!$K$2:$K$2000&lt;&gt;"")*('Team Lineups'!$C$2:$C$2000=$A44)*COUNTIFS('Team Lineups'!$K$2:$K$2000,'Team Lineups'!$K$2:$K$2000,'Team Lineups'!$C$2:$C$2000,V$1))</f>
        <v>0</v>
      </c>
      <c r="W44" cm="1">
        <f t="array" ref="W44">SUMPRODUCT(('Team Lineups'!$K$2:$K$2000&lt;&gt;"")*('Team Lineups'!$C$2:$C$2000=$A44)*COUNTIFS('Team Lineups'!$K$2:$K$2000,'Team Lineups'!$K$2:$K$2000,'Team Lineups'!$C$2:$C$2000,W$1))</f>
        <v>0</v>
      </c>
      <c r="X44" cm="1">
        <f t="array" ref="X44">SUMPRODUCT(('Team Lineups'!$K$2:$K$2000&lt;&gt;"")*('Team Lineups'!$C$2:$C$2000=$A44)*COUNTIFS('Team Lineups'!$K$2:$K$2000,'Team Lineups'!$K$2:$K$2000,'Team Lineups'!$C$2:$C$2000,X$1))</f>
        <v>0</v>
      </c>
      <c r="Y44" cm="1">
        <f t="array" ref="Y44">SUMPRODUCT(('Team Lineups'!$K$2:$K$2000&lt;&gt;"")*('Team Lineups'!$C$2:$C$2000=$A44)*COUNTIFS('Team Lineups'!$K$2:$K$2000,'Team Lineups'!$K$2:$K$2000,'Team Lineups'!$C$2:$C$2000,Y$1))</f>
        <v>0</v>
      </c>
      <c r="Z44" cm="1">
        <f t="array" ref="Z44">SUMPRODUCT(('Team Lineups'!$K$2:$K$2000&lt;&gt;"")*('Team Lineups'!$C$2:$C$2000=$A44)*COUNTIFS('Team Lineups'!$K$2:$K$2000,'Team Lineups'!$K$2:$K$2000,'Team Lineups'!$C$2:$C$2000,Z$1))</f>
        <v>0</v>
      </c>
      <c r="AA44" cm="1">
        <f t="array" ref="AA44">SUMPRODUCT(('Team Lineups'!$K$2:$K$2000&lt;&gt;"")*('Team Lineups'!$C$2:$C$2000=$A44)*COUNTIFS('Team Lineups'!$K$2:$K$2000,'Team Lineups'!$K$2:$K$2000,'Team Lineups'!$C$2:$C$2000,AA$1))</f>
        <v>0</v>
      </c>
      <c r="AB44" cm="1">
        <f t="array" ref="AB44">SUMPRODUCT(('Team Lineups'!$K$2:$K$2000&lt;&gt;"")*('Team Lineups'!$C$2:$C$2000=$A44)*COUNTIFS('Team Lineups'!$K$2:$K$2000,'Team Lineups'!$K$2:$K$2000,'Team Lineups'!$C$2:$C$2000,AB$1))</f>
        <v>0</v>
      </c>
      <c r="AC44" cm="1">
        <f t="array" ref="AC44">SUMPRODUCT(('Team Lineups'!$K$2:$K$2000&lt;&gt;"")*('Team Lineups'!$C$2:$C$2000=$A44)*COUNTIFS('Team Lineups'!$K$2:$K$2000,'Team Lineups'!$K$2:$K$2000,'Team Lineups'!$C$2:$C$2000,AC$1))</f>
        <v>0</v>
      </c>
      <c r="AD44" cm="1">
        <f t="array" ref="AD44">SUMPRODUCT(('Team Lineups'!$K$2:$K$2000&lt;&gt;"")*('Team Lineups'!$C$2:$C$2000=$A44)*COUNTIFS('Team Lineups'!$K$2:$K$2000,'Team Lineups'!$K$2:$K$2000,'Team Lineups'!$C$2:$C$2000,AD$1))</f>
        <v>1</v>
      </c>
      <c r="AE44" cm="1">
        <f t="array" ref="AE44">SUMPRODUCT(('Team Lineups'!$K$2:$K$2000&lt;&gt;"")*('Team Lineups'!$C$2:$C$2000=$A44)*COUNTIFS('Team Lineups'!$K$2:$K$2000,'Team Lineups'!$K$2:$K$2000,'Team Lineups'!$C$2:$C$2000,AE$1))</f>
        <v>0</v>
      </c>
      <c r="AF44" cm="1">
        <f t="array" ref="AF44">SUMPRODUCT(('Team Lineups'!$K$2:$K$2000&lt;&gt;"")*('Team Lineups'!$C$2:$C$2000=$A44)*COUNTIFS('Team Lineups'!$K$2:$K$2000,'Team Lineups'!$K$2:$K$2000,'Team Lineups'!$C$2:$C$2000,AF$1))</f>
        <v>0</v>
      </c>
      <c r="AG44" cm="1">
        <f t="array" ref="AG44">SUMPRODUCT(('Team Lineups'!$K$2:$K$2000&lt;&gt;"")*('Team Lineups'!$C$2:$C$2000=$A44)*COUNTIFS('Team Lineups'!$K$2:$K$2000,'Team Lineups'!$K$2:$K$2000,'Team Lineups'!$C$2:$C$2000,AG$1))</f>
        <v>1</v>
      </c>
      <c r="AH44" cm="1">
        <f t="array" ref="AH44">SUMPRODUCT(('Team Lineups'!$K$2:$K$2000&lt;&gt;"")*('Team Lineups'!$C$2:$C$2000=$A44)*COUNTIFS('Team Lineups'!$K$2:$K$2000,'Team Lineups'!$K$2:$K$2000,'Team Lineups'!$C$2:$C$2000,AH$1))</f>
        <v>1</v>
      </c>
      <c r="AI44" cm="1">
        <f t="array" ref="AI44">SUMPRODUCT(('Team Lineups'!$K$2:$K$2000&lt;&gt;"")*('Team Lineups'!$C$2:$C$2000=$A44)*COUNTIFS('Team Lineups'!$K$2:$K$2000,'Team Lineups'!$K$2:$K$2000,'Team Lineups'!$C$2:$C$2000,AI$1))</f>
        <v>0</v>
      </c>
      <c r="AJ44" cm="1">
        <f t="array" ref="AJ44">SUMPRODUCT(('Team Lineups'!$K$2:$K$2000&lt;&gt;"")*('Team Lineups'!$C$2:$C$2000=$A44)*COUNTIFS('Team Lineups'!$K$2:$K$2000,'Team Lineups'!$K$2:$K$2000,'Team Lineups'!$C$2:$C$2000,AJ$1))</f>
        <v>0</v>
      </c>
      <c r="AK44" cm="1">
        <f t="array" ref="AK44">SUMPRODUCT(('Team Lineups'!$K$2:$K$2000&lt;&gt;"")*('Team Lineups'!$C$2:$C$2000=$A44)*COUNTIFS('Team Lineups'!$K$2:$K$2000,'Team Lineups'!$K$2:$K$2000,'Team Lineups'!$C$2:$C$2000,AK$1))</f>
        <v>0</v>
      </c>
      <c r="AL44" cm="1">
        <f t="array" ref="AL44">SUMPRODUCT(('Team Lineups'!$K$2:$K$2000&lt;&gt;"")*('Team Lineups'!$C$2:$C$2000=$A44)*COUNTIFS('Team Lineups'!$K$2:$K$2000,'Team Lineups'!$K$2:$K$2000,'Team Lineups'!$C$2:$C$2000,AL$1))</f>
        <v>0</v>
      </c>
      <c r="AM44" cm="1">
        <f t="array" ref="AM44">SUMPRODUCT(('Team Lineups'!$K$2:$K$2000&lt;&gt;"")*('Team Lineups'!$C$2:$C$2000=$A44)*COUNTIFS('Team Lineups'!$K$2:$K$2000,'Team Lineups'!$K$2:$K$2000,'Team Lineups'!$C$2:$C$2000,AM$1))</f>
        <v>0</v>
      </c>
      <c r="AN44" cm="1">
        <f t="array" ref="AN44">SUMPRODUCT(('Team Lineups'!$K$2:$K$2000&lt;&gt;"")*('Team Lineups'!$C$2:$C$2000=$A44)*COUNTIFS('Team Lineups'!$K$2:$K$2000,'Team Lineups'!$K$2:$K$2000,'Team Lineups'!$C$2:$C$2000,AN$1))</f>
        <v>0</v>
      </c>
      <c r="AO44" cm="1">
        <f t="array" ref="AO44">SUMPRODUCT(('Team Lineups'!$K$2:$K$2000&lt;&gt;"")*('Team Lineups'!$C$2:$C$2000=$A44)*COUNTIFS('Team Lineups'!$K$2:$K$2000,'Team Lineups'!$K$2:$K$2000,'Team Lineups'!$C$2:$C$2000,AO$1))</f>
        <v>0</v>
      </c>
      <c r="AP44" cm="1">
        <f t="array" ref="AP44">SUMPRODUCT(('Team Lineups'!$K$2:$K$2000&lt;&gt;"")*('Team Lineups'!$C$2:$C$2000=$A44)*COUNTIFS('Team Lineups'!$K$2:$K$2000,'Team Lineups'!$K$2:$K$2000,'Team Lineups'!$C$2:$C$2000,AP$1))</f>
        <v>0</v>
      </c>
      <c r="AQ44" cm="1">
        <f t="array" ref="AQ44">SUMPRODUCT(('Team Lineups'!$K$2:$K$2000&lt;&gt;"")*('Team Lineups'!$C$2:$C$2000=$A44)*COUNTIFS('Team Lineups'!$K$2:$K$2000,'Team Lineups'!$K$2:$K$2000,'Team Lineups'!$C$2:$C$2000,AQ$1))</f>
        <v>0</v>
      </c>
      <c r="AR44" cm="1">
        <f t="array" ref="AR44">SUMPRODUCT(('Team Lineups'!$K$2:$K$2000&lt;&gt;"")*('Team Lineups'!$C$2:$C$2000=$A44)*COUNTIFS('Team Lineups'!$K$2:$K$2000,'Team Lineups'!$K$2:$K$2000,'Team Lineups'!$C$2:$C$2000,AR$1))</f>
        <v>1</v>
      </c>
      <c r="AS44" cm="1">
        <f t="array" ref="AS44">SUMPRODUCT(('Team Lineups'!$K$2:$K$2000&lt;&gt;"")*('Team Lineups'!$C$2:$C$2000=$A44)*COUNTIFS('Team Lineups'!$K$2:$K$2000,'Team Lineups'!$K$2:$K$2000,'Team Lineups'!$C$2:$C$2000,AS$1))</f>
        <v>0</v>
      </c>
      <c r="AT44" cm="1">
        <f t="array" ref="AT44">SUMPRODUCT(('Team Lineups'!$K$2:$K$2000&lt;&gt;"")*('Team Lineups'!$C$2:$C$2000=$A44)*COUNTIFS('Team Lineups'!$K$2:$K$2000,'Team Lineups'!$K$2:$K$2000,'Team Lineups'!$C$2:$C$2000,AT$1))</f>
        <v>0</v>
      </c>
      <c r="AU44" cm="1">
        <f t="array" ref="AU44">SUMPRODUCT(('Team Lineups'!$K$2:$K$2000&lt;&gt;"")*('Team Lineups'!$C$2:$C$2000=$A44)*COUNTIFS('Team Lineups'!$K$2:$K$2000,'Team Lineups'!$K$2:$K$2000,'Team Lineups'!$C$2:$C$2000,AU$1))</f>
        <v>0</v>
      </c>
      <c r="AV44" cm="1">
        <f t="array" ref="AV44">SUMPRODUCT(('Team Lineups'!$K$2:$K$2000&lt;&gt;"")*('Team Lineups'!$C$2:$C$2000=$A44)*COUNTIFS('Team Lineups'!$K$2:$K$2000,'Team Lineups'!$K$2:$K$2000,'Team Lineups'!$C$2:$C$2000,AV$1))</f>
        <v>0</v>
      </c>
    </row>
    <row r="45" spans="1:48" x14ac:dyDescent="0.35">
      <c r="A45" t="str">
        <v>Turi</v>
      </c>
      <c r="B45" cm="1">
        <f t="array" ref="B45">SUMPRODUCT(('Team Lineups'!$K$2:$K$2000&lt;&gt;"")*('Team Lineups'!$C$2:$C$2000=$A45)*COUNTIFS('Team Lineups'!$K$2:$K$2000,'Team Lineups'!$K$2:$K$2000,'Team Lineups'!$C$2:$C$2000,B$1))</f>
        <v>1</v>
      </c>
      <c r="C45" cm="1">
        <f t="array" ref="C45">SUMPRODUCT(('Team Lineups'!$K$2:$K$2000&lt;&gt;"")*('Team Lineups'!$C$2:$C$2000=$A45)*COUNTIFS('Team Lineups'!$K$2:$K$2000,'Team Lineups'!$K$2:$K$2000,'Team Lineups'!$C$2:$C$2000,C$1))</f>
        <v>0</v>
      </c>
      <c r="D45" cm="1">
        <f t="array" ref="D45">SUMPRODUCT(('Team Lineups'!$K$2:$K$2000&lt;&gt;"")*('Team Lineups'!$C$2:$C$2000=$A45)*COUNTIFS('Team Lineups'!$K$2:$K$2000,'Team Lineups'!$K$2:$K$2000,'Team Lineups'!$C$2:$C$2000,D$1))</f>
        <v>0</v>
      </c>
      <c r="E45" cm="1">
        <f t="array" ref="E45">SUMPRODUCT(('Team Lineups'!$K$2:$K$2000&lt;&gt;"")*('Team Lineups'!$C$2:$C$2000=$A45)*COUNTIFS('Team Lineups'!$K$2:$K$2000,'Team Lineups'!$K$2:$K$2000,'Team Lineups'!$C$2:$C$2000,E$1))</f>
        <v>0</v>
      </c>
      <c r="F45" cm="1">
        <f t="array" ref="F45">SUMPRODUCT(('Team Lineups'!$K$2:$K$2000&lt;&gt;"")*('Team Lineups'!$C$2:$C$2000=$A45)*COUNTIFS('Team Lineups'!$K$2:$K$2000,'Team Lineups'!$K$2:$K$2000,'Team Lineups'!$C$2:$C$2000,F$1))</f>
        <v>0</v>
      </c>
      <c r="G45" cm="1">
        <f t="array" ref="G45">SUMPRODUCT(('Team Lineups'!$K$2:$K$2000&lt;&gt;"")*('Team Lineups'!$C$2:$C$2000=$A45)*COUNTIFS('Team Lineups'!$K$2:$K$2000,'Team Lineups'!$K$2:$K$2000,'Team Lineups'!$C$2:$C$2000,G$1))</f>
        <v>0</v>
      </c>
      <c r="H45" cm="1">
        <f t="array" ref="H45">SUMPRODUCT(('Team Lineups'!$K$2:$K$2000&lt;&gt;"")*('Team Lineups'!$C$2:$C$2000=$A45)*COUNTIFS('Team Lineups'!$K$2:$K$2000,'Team Lineups'!$K$2:$K$2000,'Team Lineups'!$C$2:$C$2000,H$1))</f>
        <v>0</v>
      </c>
      <c r="I45" cm="1">
        <f t="array" ref="I45">SUMPRODUCT(('Team Lineups'!$K$2:$K$2000&lt;&gt;"")*('Team Lineups'!$C$2:$C$2000=$A45)*COUNTIFS('Team Lineups'!$K$2:$K$2000,'Team Lineups'!$K$2:$K$2000,'Team Lineups'!$C$2:$C$2000,I$1))</f>
        <v>0</v>
      </c>
      <c r="J45" cm="1">
        <f t="array" ref="J45">SUMPRODUCT(('Team Lineups'!$K$2:$K$2000&lt;&gt;"")*('Team Lineups'!$C$2:$C$2000=$A45)*COUNTIFS('Team Lineups'!$K$2:$K$2000,'Team Lineups'!$K$2:$K$2000,'Team Lineups'!$C$2:$C$2000,J$1))</f>
        <v>0</v>
      </c>
      <c r="K45" cm="1">
        <f t="array" ref="K45">SUMPRODUCT(('Team Lineups'!$K$2:$K$2000&lt;&gt;"")*('Team Lineups'!$C$2:$C$2000=$A45)*COUNTIFS('Team Lineups'!$K$2:$K$2000,'Team Lineups'!$K$2:$K$2000,'Team Lineups'!$C$2:$C$2000,K$1))</f>
        <v>0</v>
      </c>
      <c r="L45" cm="1">
        <f t="array" ref="L45">SUMPRODUCT(('Team Lineups'!$K$2:$K$2000&lt;&gt;"")*('Team Lineups'!$C$2:$C$2000=$A45)*COUNTIFS('Team Lineups'!$K$2:$K$2000,'Team Lineups'!$K$2:$K$2000,'Team Lineups'!$C$2:$C$2000,L$1))</f>
        <v>1</v>
      </c>
      <c r="M45" cm="1">
        <f t="array" ref="M45">SUMPRODUCT(('Team Lineups'!$K$2:$K$2000&lt;&gt;"")*('Team Lineups'!$C$2:$C$2000=$A45)*COUNTIFS('Team Lineups'!$K$2:$K$2000,'Team Lineups'!$K$2:$K$2000,'Team Lineups'!$C$2:$C$2000,M$1))</f>
        <v>0</v>
      </c>
      <c r="N45" cm="1">
        <f t="array" ref="N45">SUMPRODUCT(('Team Lineups'!$K$2:$K$2000&lt;&gt;"")*('Team Lineups'!$C$2:$C$2000=$A45)*COUNTIFS('Team Lineups'!$K$2:$K$2000,'Team Lineups'!$K$2:$K$2000,'Team Lineups'!$C$2:$C$2000,N$1))</f>
        <v>0</v>
      </c>
      <c r="O45" cm="1">
        <f t="array" ref="O45">SUMPRODUCT(('Team Lineups'!$K$2:$K$2000&lt;&gt;"")*('Team Lineups'!$C$2:$C$2000=$A45)*COUNTIFS('Team Lineups'!$K$2:$K$2000,'Team Lineups'!$K$2:$K$2000,'Team Lineups'!$C$2:$C$2000,O$1))</f>
        <v>0</v>
      </c>
      <c r="P45" cm="1">
        <f t="array" ref="P45">SUMPRODUCT(('Team Lineups'!$K$2:$K$2000&lt;&gt;"")*('Team Lineups'!$C$2:$C$2000=$A45)*COUNTIFS('Team Lineups'!$K$2:$K$2000,'Team Lineups'!$K$2:$K$2000,'Team Lineups'!$C$2:$C$2000,P$1))</f>
        <v>0</v>
      </c>
      <c r="Q45" cm="1">
        <f t="array" ref="Q45">SUMPRODUCT(('Team Lineups'!$K$2:$K$2000&lt;&gt;"")*('Team Lineups'!$C$2:$C$2000=$A45)*COUNTIFS('Team Lineups'!$K$2:$K$2000,'Team Lineups'!$K$2:$K$2000,'Team Lineups'!$C$2:$C$2000,Q$1))</f>
        <v>1</v>
      </c>
      <c r="R45" cm="1">
        <f t="array" ref="R45">SUMPRODUCT(('Team Lineups'!$K$2:$K$2000&lt;&gt;"")*('Team Lineups'!$C$2:$C$2000=$A45)*COUNTIFS('Team Lineups'!$K$2:$K$2000,'Team Lineups'!$K$2:$K$2000,'Team Lineups'!$C$2:$C$2000,R$1))</f>
        <v>1</v>
      </c>
      <c r="S45" cm="1">
        <f t="array" ref="S45">SUMPRODUCT(('Team Lineups'!$K$2:$K$2000&lt;&gt;"")*('Team Lineups'!$C$2:$C$2000=$A45)*COUNTIFS('Team Lineups'!$K$2:$K$2000,'Team Lineups'!$K$2:$K$2000,'Team Lineups'!$C$2:$C$2000,S$1))</f>
        <v>0</v>
      </c>
      <c r="T45" cm="1">
        <f t="array" ref="T45">SUMPRODUCT(('Team Lineups'!$K$2:$K$2000&lt;&gt;"")*('Team Lineups'!$C$2:$C$2000=$A45)*COUNTIFS('Team Lineups'!$K$2:$K$2000,'Team Lineups'!$K$2:$K$2000,'Team Lineups'!$C$2:$C$2000,T$1))</f>
        <v>0</v>
      </c>
      <c r="U45" cm="1">
        <f t="array" ref="U45">SUMPRODUCT(('Team Lineups'!$K$2:$K$2000&lt;&gt;"")*('Team Lineups'!$C$2:$C$2000=$A45)*COUNTIFS('Team Lineups'!$K$2:$K$2000,'Team Lineups'!$K$2:$K$2000,'Team Lineups'!$C$2:$C$2000,U$1))</f>
        <v>0</v>
      </c>
      <c r="V45" cm="1">
        <f t="array" ref="V45">SUMPRODUCT(('Team Lineups'!$K$2:$K$2000&lt;&gt;"")*('Team Lineups'!$C$2:$C$2000=$A45)*COUNTIFS('Team Lineups'!$K$2:$K$2000,'Team Lineups'!$K$2:$K$2000,'Team Lineups'!$C$2:$C$2000,V$1))</f>
        <v>0</v>
      </c>
      <c r="W45" cm="1">
        <f t="array" ref="W45">SUMPRODUCT(('Team Lineups'!$K$2:$K$2000&lt;&gt;"")*('Team Lineups'!$C$2:$C$2000=$A45)*COUNTIFS('Team Lineups'!$K$2:$K$2000,'Team Lineups'!$K$2:$K$2000,'Team Lineups'!$C$2:$C$2000,W$1))</f>
        <v>0</v>
      </c>
      <c r="X45" cm="1">
        <f t="array" ref="X45">SUMPRODUCT(('Team Lineups'!$K$2:$K$2000&lt;&gt;"")*('Team Lineups'!$C$2:$C$2000=$A45)*COUNTIFS('Team Lineups'!$K$2:$K$2000,'Team Lineups'!$K$2:$K$2000,'Team Lineups'!$C$2:$C$2000,X$1))</f>
        <v>0</v>
      </c>
      <c r="Y45" cm="1">
        <f t="array" ref="Y45">SUMPRODUCT(('Team Lineups'!$K$2:$K$2000&lt;&gt;"")*('Team Lineups'!$C$2:$C$2000=$A45)*COUNTIFS('Team Lineups'!$K$2:$K$2000,'Team Lineups'!$K$2:$K$2000,'Team Lineups'!$C$2:$C$2000,Y$1))</f>
        <v>0</v>
      </c>
      <c r="Z45" cm="1">
        <f t="array" ref="Z45">SUMPRODUCT(('Team Lineups'!$K$2:$K$2000&lt;&gt;"")*('Team Lineups'!$C$2:$C$2000=$A45)*COUNTIFS('Team Lineups'!$K$2:$K$2000,'Team Lineups'!$K$2:$K$2000,'Team Lineups'!$C$2:$C$2000,Z$1))</f>
        <v>0</v>
      </c>
      <c r="AA45" cm="1">
        <f t="array" ref="AA45">SUMPRODUCT(('Team Lineups'!$K$2:$K$2000&lt;&gt;"")*('Team Lineups'!$C$2:$C$2000=$A45)*COUNTIFS('Team Lineups'!$K$2:$K$2000,'Team Lineups'!$K$2:$K$2000,'Team Lineups'!$C$2:$C$2000,AA$1))</f>
        <v>0</v>
      </c>
      <c r="AB45" cm="1">
        <f t="array" ref="AB45">SUMPRODUCT(('Team Lineups'!$K$2:$K$2000&lt;&gt;"")*('Team Lineups'!$C$2:$C$2000=$A45)*COUNTIFS('Team Lineups'!$K$2:$K$2000,'Team Lineups'!$K$2:$K$2000,'Team Lineups'!$C$2:$C$2000,AB$1))</f>
        <v>0</v>
      </c>
      <c r="AC45" cm="1">
        <f t="array" ref="AC45">SUMPRODUCT(('Team Lineups'!$K$2:$K$2000&lt;&gt;"")*('Team Lineups'!$C$2:$C$2000=$A45)*COUNTIFS('Team Lineups'!$K$2:$K$2000,'Team Lineups'!$K$2:$K$2000,'Team Lineups'!$C$2:$C$2000,AC$1))</f>
        <v>0</v>
      </c>
      <c r="AD45" cm="1">
        <f t="array" ref="AD45">SUMPRODUCT(('Team Lineups'!$K$2:$K$2000&lt;&gt;"")*('Team Lineups'!$C$2:$C$2000=$A45)*COUNTIFS('Team Lineups'!$K$2:$K$2000,'Team Lineups'!$K$2:$K$2000,'Team Lineups'!$C$2:$C$2000,AD$1))</f>
        <v>0</v>
      </c>
      <c r="AE45" cm="1">
        <f t="array" ref="AE45">SUMPRODUCT(('Team Lineups'!$K$2:$K$2000&lt;&gt;"")*('Team Lineups'!$C$2:$C$2000=$A45)*COUNTIFS('Team Lineups'!$K$2:$K$2000,'Team Lineups'!$K$2:$K$2000,'Team Lineups'!$C$2:$C$2000,AE$1))</f>
        <v>0</v>
      </c>
      <c r="AF45" cm="1">
        <f t="array" ref="AF45">SUMPRODUCT(('Team Lineups'!$K$2:$K$2000&lt;&gt;"")*('Team Lineups'!$C$2:$C$2000=$A45)*COUNTIFS('Team Lineups'!$K$2:$K$2000,'Team Lineups'!$K$2:$K$2000,'Team Lineups'!$C$2:$C$2000,AF$1))</f>
        <v>0</v>
      </c>
      <c r="AG45" cm="1">
        <f t="array" ref="AG45">SUMPRODUCT(('Team Lineups'!$K$2:$K$2000&lt;&gt;"")*('Team Lineups'!$C$2:$C$2000=$A45)*COUNTIFS('Team Lineups'!$K$2:$K$2000,'Team Lineups'!$K$2:$K$2000,'Team Lineups'!$C$2:$C$2000,AG$1))</f>
        <v>0</v>
      </c>
      <c r="AH45" cm="1">
        <f t="array" ref="AH45">SUMPRODUCT(('Team Lineups'!$K$2:$K$2000&lt;&gt;"")*('Team Lineups'!$C$2:$C$2000=$A45)*COUNTIFS('Team Lineups'!$K$2:$K$2000,'Team Lineups'!$K$2:$K$2000,'Team Lineups'!$C$2:$C$2000,AH$1))</f>
        <v>0</v>
      </c>
      <c r="AI45" cm="1">
        <f t="array" ref="AI45">SUMPRODUCT(('Team Lineups'!$K$2:$K$2000&lt;&gt;"")*('Team Lineups'!$C$2:$C$2000=$A45)*COUNTIFS('Team Lineups'!$K$2:$K$2000,'Team Lineups'!$K$2:$K$2000,'Team Lineups'!$C$2:$C$2000,AI$1))</f>
        <v>0</v>
      </c>
      <c r="AJ45" cm="1">
        <f t="array" ref="AJ45">SUMPRODUCT(('Team Lineups'!$K$2:$K$2000&lt;&gt;"")*('Team Lineups'!$C$2:$C$2000=$A45)*COUNTIFS('Team Lineups'!$K$2:$K$2000,'Team Lineups'!$K$2:$K$2000,'Team Lineups'!$C$2:$C$2000,AJ$1))</f>
        <v>1</v>
      </c>
      <c r="AK45" cm="1">
        <f t="array" ref="AK45">SUMPRODUCT(('Team Lineups'!$K$2:$K$2000&lt;&gt;"")*('Team Lineups'!$C$2:$C$2000=$A45)*COUNTIFS('Team Lineups'!$K$2:$K$2000,'Team Lineups'!$K$2:$K$2000,'Team Lineups'!$C$2:$C$2000,AK$1))</f>
        <v>0</v>
      </c>
      <c r="AL45" cm="1">
        <f t="array" ref="AL45">SUMPRODUCT(('Team Lineups'!$K$2:$K$2000&lt;&gt;"")*('Team Lineups'!$C$2:$C$2000=$A45)*COUNTIFS('Team Lineups'!$K$2:$K$2000,'Team Lineups'!$K$2:$K$2000,'Team Lineups'!$C$2:$C$2000,AL$1))</f>
        <v>0</v>
      </c>
      <c r="AM45" cm="1">
        <f t="array" ref="AM45">SUMPRODUCT(('Team Lineups'!$K$2:$K$2000&lt;&gt;"")*('Team Lineups'!$C$2:$C$2000=$A45)*COUNTIFS('Team Lineups'!$K$2:$K$2000,'Team Lineups'!$K$2:$K$2000,'Team Lineups'!$C$2:$C$2000,AM$1))</f>
        <v>0</v>
      </c>
      <c r="AN45" cm="1">
        <f t="array" ref="AN45">SUMPRODUCT(('Team Lineups'!$K$2:$K$2000&lt;&gt;"")*('Team Lineups'!$C$2:$C$2000=$A45)*COUNTIFS('Team Lineups'!$K$2:$K$2000,'Team Lineups'!$K$2:$K$2000,'Team Lineups'!$C$2:$C$2000,AN$1))</f>
        <v>0</v>
      </c>
      <c r="AO45" cm="1">
        <f t="array" ref="AO45">SUMPRODUCT(('Team Lineups'!$K$2:$K$2000&lt;&gt;"")*('Team Lineups'!$C$2:$C$2000=$A45)*COUNTIFS('Team Lineups'!$K$2:$K$2000,'Team Lineups'!$K$2:$K$2000,'Team Lineups'!$C$2:$C$2000,AO$1))</f>
        <v>0</v>
      </c>
      <c r="AP45" cm="1">
        <f t="array" ref="AP45">SUMPRODUCT(('Team Lineups'!$K$2:$K$2000&lt;&gt;"")*('Team Lineups'!$C$2:$C$2000=$A45)*COUNTIFS('Team Lineups'!$K$2:$K$2000,'Team Lineups'!$K$2:$K$2000,'Team Lineups'!$C$2:$C$2000,AP$1))</f>
        <v>0</v>
      </c>
      <c r="AQ45" cm="1">
        <f t="array" ref="AQ45">SUMPRODUCT(('Team Lineups'!$K$2:$K$2000&lt;&gt;"")*('Team Lineups'!$C$2:$C$2000=$A45)*COUNTIFS('Team Lineups'!$K$2:$K$2000,'Team Lineups'!$K$2:$K$2000,'Team Lineups'!$C$2:$C$2000,AQ$1))</f>
        <v>0</v>
      </c>
      <c r="AR45" cm="1">
        <f t="array" ref="AR45">SUMPRODUCT(('Team Lineups'!$K$2:$K$2000&lt;&gt;"")*('Team Lineups'!$C$2:$C$2000=$A45)*COUNTIFS('Team Lineups'!$K$2:$K$2000,'Team Lineups'!$K$2:$K$2000,'Team Lineups'!$C$2:$C$2000,AR$1))</f>
        <v>0</v>
      </c>
      <c r="AS45" cm="1">
        <f t="array" ref="AS45">SUMPRODUCT(('Team Lineups'!$K$2:$K$2000&lt;&gt;"")*('Team Lineups'!$C$2:$C$2000=$A45)*COUNTIFS('Team Lineups'!$K$2:$K$2000,'Team Lineups'!$K$2:$K$2000,'Team Lineups'!$C$2:$C$2000,AS$1))</f>
        <v>1</v>
      </c>
      <c r="AT45" cm="1">
        <f t="array" ref="AT45">SUMPRODUCT(('Team Lineups'!$K$2:$K$2000&lt;&gt;"")*('Team Lineups'!$C$2:$C$2000=$A45)*COUNTIFS('Team Lineups'!$K$2:$K$2000,'Team Lineups'!$K$2:$K$2000,'Team Lineups'!$C$2:$C$2000,AT$1))</f>
        <v>0</v>
      </c>
      <c r="AU45" cm="1">
        <f t="array" ref="AU45">SUMPRODUCT(('Team Lineups'!$K$2:$K$2000&lt;&gt;"")*('Team Lineups'!$C$2:$C$2000=$A45)*COUNTIFS('Team Lineups'!$K$2:$K$2000,'Team Lineups'!$K$2:$K$2000,'Team Lineups'!$C$2:$C$2000,AU$1))</f>
        <v>0</v>
      </c>
      <c r="AV45" cm="1">
        <f t="array" ref="AV45">SUMPRODUCT(('Team Lineups'!$K$2:$K$2000&lt;&gt;"")*('Team Lineups'!$C$2:$C$2000=$A45)*COUNTIFS('Team Lineups'!$K$2:$K$2000,'Team Lineups'!$K$2:$K$2000,'Team Lineups'!$C$2:$C$2000,AV$1))</f>
        <v>0</v>
      </c>
    </row>
    <row r="46" spans="1:48" x14ac:dyDescent="0.35">
      <c r="A46" t="str">
        <v>Nadim</v>
      </c>
      <c r="B46" cm="1">
        <f t="array" ref="B46">SUMPRODUCT(('Team Lineups'!$K$2:$K$2000&lt;&gt;"")*('Team Lineups'!$C$2:$C$2000=$A46)*COUNTIFS('Team Lineups'!$K$2:$K$2000,'Team Lineups'!$K$2:$K$2000,'Team Lineups'!$C$2:$C$2000,B$1))</f>
        <v>0</v>
      </c>
      <c r="C46" cm="1">
        <f t="array" ref="C46">SUMPRODUCT(('Team Lineups'!$K$2:$K$2000&lt;&gt;"")*('Team Lineups'!$C$2:$C$2000=$A46)*COUNTIFS('Team Lineups'!$K$2:$K$2000,'Team Lineups'!$K$2:$K$2000,'Team Lineups'!$C$2:$C$2000,C$1))</f>
        <v>0</v>
      </c>
      <c r="D46" cm="1">
        <f t="array" ref="D46">SUMPRODUCT(('Team Lineups'!$K$2:$K$2000&lt;&gt;"")*('Team Lineups'!$C$2:$C$2000=$A46)*COUNTIFS('Team Lineups'!$K$2:$K$2000,'Team Lineups'!$K$2:$K$2000,'Team Lineups'!$C$2:$C$2000,D$1))</f>
        <v>0</v>
      </c>
      <c r="E46" cm="1">
        <f t="array" ref="E46">SUMPRODUCT(('Team Lineups'!$K$2:$K$2000&lt;&gt;"")*('Team Lineups'!$C$2:$C$2000=$A46)*COUNTIFS('Team Lineups'!$K$2:$K$2000,'Team Lineups'!$K$2:$K$2000,'Team Lineups'!$C$2:$C$2000,E$1))</f>
        <v>0</v>
      </c>
      <c r="F46" cm="1">
        <f t="array" ref="F46">SUMPRODUCT(('Team Lineups'!$K$2:$K$2000&lt;&gt;"")*('Team Lineups'!$C$2:$C$2000=$A46)*COUNTIFS('Team Lineups'!$K$2:$K$2000,'Team Lineups'!$K$2:$K$2000,'Team Lineups'!$C$2:$C$2000,F$1))</f>
        <v>0</v>
      </c>
      <c r="G46" cm="1">
        <f t="array" ref="G46">SUMPRODUCT(('Team Lineups'!$K$2:$K$2000&lt;&gt;"")*('Team Lineups'!$C$2:$C$2000=$A46)*COUNTIFS('Team Lineups'!$K$2:$K$2000,'Team Lineups'!$K$2:$K$2000,'Team Lineups'!$C$2:$C$2000,G$1))</f>
        <v>0</v>
      </c>
      <c r="H46" cm="1">
        <f t="array" ref="H46">SUMPRODUCT(('Team Lineups'!$K$2:$K$2000&lt;&gt;"")*('Team Lineups'!$C$2:$C$2000=$A46)*COUNTIFS('Team Lineups'!$K$2:$K$2000,'Team Lineups'!$K$2:$K$2000,'Team Lineups'!$C$2:$C$2000,H$1))</f>
        <v>1</v>
      </c>
      <c r="I46" cm="1">
        <f t="array" ref="I46">SUMPRODUCT(('Team Lineups'!$K$2:$K$2000&lt;&gt;"")*('Team Lineups'!$C$2:$C$2000=$A46)*COUNTIFS('Team Lineups'!$K$2:$K$2000,'Team Lineups'!$K$2:$K$2000,'Team Lineups'!$C$2:$C$2000,I$1))</f>
        <v>0</v>
      </c>
      <c r="J46" cm="1">
        <f t="array" ref="J46">SUMPRODUCT(('Team Lineups'!$K$2:$K$2000&lt;&gt;"")*('Team Lineups'!$C$2:$C$2000=$A46)*COUNTIFS('Team Lineups'!$K$2:$K$2000,'Team Lineups'!$K$2:$K$2000,'Team Lineups'!$C$2:$C$2000,J$1))</f>
        <v>0</v>
      </c>
      <c r="K46" cm="1">
        <f t="array" ref="K46">SUMPRODUCT(('Team Lineups'!$K$2:$K$2000&lt;&gt;"")*('Team Lineups'!$C$2:$C$2000=$A46)*COUNTIFS('Team Lineups'!$K$2:$K$2000,'Team Lineups'!$K$2:$K$2000,'Team Lineups'!$C$2:$C$2000,K$1))</f>
        <v>0</v>
      </c>
      <c r="L46" cm="1">
        <f t="array" ref="L46">SUMPRODUCT(('Team Lineups'!$K$2:$K$2000&lt;&gt;"")*('Team Lineups'!$C$2:$C$2000=$A46)*COUNTIFS('Team Lineups'!$K$2:$K$2000,'Team Lineups'!$K$2:$K$2000,'Team Lineups'!$C$2:$C$2000,L$1))</f>
        <v>0</v>
      </c>
      <c r="M46" cm="1">
        <f t="array" ref="M46">SUMPRODUCT(('Team Lineups'!$K$2:$K$2000&lt;&gt;"")*('Team Lineups'!$C$2:$C$2000=$A46)*COUNTIFS('Team Lineups'!$K$2:$K$2000,'Team Lineups'!$K$2:$K$2000,'Team Lineups'!$C$2:$C$2000,M$1))</f>
        <v>0</v>
      </c>
      <c r="N46" cm="1">
        <f t="array" ref="N46">SUMPRODUCT(('Team Lineups'!$K$2:$K$2000&lt;&gt;"")*('Team Lineups'!$C$2:$C$2000=$A46)*COUNTIFS('Team Lineups'!$K$2:$K$2000,'Team Lineups'!$K$2:$K$2000,'Team Lineups'!$C$2:$C$2000,N$1))</f>
        <v>0</v>
      </c>
      <c r="O46" cm="1">
        <f t="array" ref="O46">SUMPRODUCT(('Team Lineups'!$K$2:$K$2000&lt;&gt;"")*('Team Lineups'!$C$2:$C$2000=$A46)*COUNTIFS('Team Lineups'!$K$2:$K$2000,'Team Lineups'!$K$2:$K$2000,'Team Lineups'!$C$2:$C$2000,O$1))</f>
        <v>0</v>
      </c>
      <c r="P46" cm="1">
        <f t="array" ref="P46">SUMPRODUCT(('Team Lineups'!$K$2:$K$2000&lt;&gt;"")*('Team Lineups'!$C$2:$C$2000=$A46)*COUNTIFS('Team Lineups'!$K$2:$K$2000,'Team Lineups'!$K$2:$K$2000,'Team Lineups'!$C$2:$C$2000,P$1))</f>
        <v>0</v>
      </c>
      <c r="Q46" cm="1">
        <f t="array" ref="Q46">SUMPRODUCT(('Team Lineups'!$K$2:$K$2000&lt;&gt;"")*('Team Lineups'!$C$2:$C$2000=$A46)*COUNTIFS('Team Lineups'!$K$2:$K$2000,'Team Lineups'!$K$2:$K$2000,'Team Lineups'!$C$2:$C$2000,Q$1))</f>
        <v>0</v>
      </c>
      <c r="R46" cm="1">
        <f t="array" ref="R46">SUMPRODUCT(('Team Lineups'!$K$2:$K$2000&lt;&gt;"")*('Team Lineups'!$C$2:$C$2000=$A46)*COUNTIFS('Team Lineups'!$K$2:$K$2000,'Team Lineups'!$K$2:$K$2000,'Team Lineups'!$C$2:$C$2000,R$1))</f>
        <v>0</v>
      </c>
      <c r="S46" cm="1">
        <f t="array" ref="S46">SUMPRODUCT(('Team Lineups'!$K$2:$K$2000&lt;&gt;"")*('Team Lineups'!$C$2:$C$2000=$A46)*COUNTIFS('Team Lineups'!$K$2:$K$2000,'Team Lineups'!$K$2:$K$2000,'Team Lineups'!$C$2:$C$2000,S$1))</f>
        <v>0</v>
      </c>
      <c r="T46" cm="1">
        <f t="array" ref="T46">SUMPRODUCT(('Team Lineups'!$K$2:$K$2000&lt;&gt;"")*('Team Lineups'!$C$2:$C$2000=$A46)*COUNTIFS('Team Lineups'!$K$2:$K$2000,'Team Lineups'!$K$2:$K$2000,'Team Lineups'!$C$2:$C$2000,T$1))</f>
        <v>0</v>
      </c>
      <c r="U46" cm="1">
        <f t="array" ref="U46">SUMPRODUCT(('Team Lineups'!$K$2:$K$2000&lt;&gt;"")*('Team Lineups'!$C$2:$C$2000=$A46)*COUNTIFS('Team Lineups'!$K$2:$K$2000,'Team Lineups'!$K$2:$K$2000,'Team Lineups'!$C$2:$C$2000,U$1))</f>
        <v>0</v>
      </c>
      <c r="V46" cm="1">
        <f t="array" ref="V46">SUMPRODUCT(('Team Lineups'!$K$2:$K$2000&lt;&gt;"")*('Team Lineups'!$C$2:$C$2000=$A46)*COUNTIFS('Team Lineups'!$K$2:$K$2000,'Team Lineups'!$K$2:$K$2000,'Team Lineups'!$C$2:$C$2000,V$1))</f>
        <v>0</v>
      </c>
      <c r="W46" cm="1">
        <f t="array" ref="W46">SUMPRODUCT(('Team Lineups'!$K$2:$K$2000&lt;&gt;"")*('Team Lineups'!$C$2:$C$2000=$A46)*COUNTIFS('Team Lineups'!$K$2:$K$2000,'Team Lineups'!$K$2:$K$2000,'Team Lineups'!$C$2:$C$2000,W$1))</f>
        <v>0</v>
      </c>
      <c r="X46" cm="1">
        <f t="array" ref="X46">SUMPRODUCT(('Team Lineups'!$K$2:$K$2000&lt;&gt;"")*('Team Lineups'!$C$2:$C$2000=$A46)*COUNTIFS('Team Lineups'!$K$2:$K$2000,'Team Lineups'!$K$2:$K$2000,'Team Lineups'!$C$2:$C$2000,X$1))</f>
        <v>0</v>
      </c>
      <c r="Y46" cm="1">
        <f t="array" ref="Y46">SUMPRODUCT(('Team Lineups'!$K$2:$K$2000&lt;&gt;"")*('Team Lineups'!$C$2:$C$2000=$A46)*COUNTIFS('Team Lineups'!$K$2:$K$2000,'Team Lineups'!$K$2:$K$2000,'Team Lineups'!$C$2:$C$2000,Y$1))</f>
        <v>0</v>
      </c>
      <c r="Z46" cm="1">
        <f t="array" ref="Z46">SUMPRODUCT(('Team Lineups'!$K$2:$K$2000&lt;&gt;"")*('Team Lineups'!$C$2:$C$2000=$A46)*COUNTIFS('Team Lineups'!$K$2:$K$2000,'Team Lineups'!$K$2:$K$2000,'Team Lineups'!$C$2:$C$2000,Z$1))</f>
        <v>0</v>
      </c>
      <c r="AA46" cm="1">
        <f t="array" ref="AA46">SUMPRODUCT(('Team Lineups'!$K$2:$K$2000&lt;&gt;"")*('Team Lineups'!$C$2:$C$2000=$A46)*COUNTIFS('Team Lineups'!$K$2:$K$2000,'Team Lineups'!$K$2:$K$2000,'Team Lineups'!$C$2:$C$2000,AA$1))</f>
        <v>0</v>
      </c>
      <c r="AB46" cm="1">
        <f t="array" ref="AB46">SUMPRODUCT(('Team Lineups'!$K$2:$K$2000&lt;&gt;"")*('Team Lineups'!$C$2:$C$2000=$A46)*COUNTIFS('Team Lineups'!$K$2:$K$2000,'Team Lineups'!$K$2:$K$2000,'Team Lineups'!$C$2:$C$2000,AB$1))</f>
        <v>1</v>
      </c>
      <c r="AC46" cm="1">
        <f t="array" ref="AC46">SUMPRODUCT(('Team Lineups'!$K$2:$K$2000&lt;&gt;"")*('Team Lineups'!$C$2:$C$2000=$A46)*COUNTIFS('Team Lineups'!$K$2:$K$2000,'Team Lineups'!$K$2:$K$2000,'Team Lineups'!$C$2:$C$2000,AC$1))</f>
        <v>0</v>
      </c>
      <c r="AD46" cm="1">
        <f t="array" ref="AD46">SUMPRODUCT(('Team Lineups'!$K$2:$K$2000&lt;&gt;"")*('Team Lineups'!$C$2:$C$2000=$A46)*COUNTIFS('Team Lineups'!$K$2:$K$2000,'Team Lineups'!$K$2:$K$2000,'Team Lineups'!$C$2:$C$2000,AD$1))</f>
        <v>0</v>
      </c>
      <c r="AE46" cm="1">
        <f t="array" ref="AE46">SUMPRODUCT(('Team Lineups'!$K$2:$K$2000&lt;&gt;"")*('Team Lineups'!$C$2:$C$2000=$A46)*COUNTIFS('Team Lineups'!$K$2:$K$2000,'Team Lineups'!$K$2:$K$2000,'Team Lineups'!$C$2:$C$2000,AE$1))</f>
        <v>0</v>
      </c>
      <c r="AF46" cm="1">
        <f t="array" ref="AF46">SUMPRODUCT(('Team Lineups'!$K$2:$K$2000&lt;&gt;"")*('Team Lineups'!$C$2:$C$2000=$A46)*COUNTIFS('Team Lineups'!$K$2:$K$2000,'Team Lineups'!$K$2:$K$2000,'Team Lineups'!$C$2:$C$2000,AF$1))</f>
        <v>0</v>
      </c>
      <c r="AG46" cm="1">
        <f t="array" ref="AG46">SUMPRODUCT(('Team Lineups'!$K$2:$K$2000&lt;&gt;"")*('Team Lineups'!$C$2:$C$2000=$A46)*COUNTIFS('Team Lineups'!$K$2:$K$2000,'Team Lineups'!$K$2:$K$2000,'Team Lineups'!$C$2:$C$2000,AG$1))</f>
        <v>0</v>
      </c>
      <c r="AH46" cm="1">
        <f t="array" ref="AH46">SUMPRODUCT(('Team Lineups'!$K$2:$K$2000&lt;&gt;"")*('Team Lineups'!$C$2:$C$2000=$A46)*COUNTIFS('Team Lineups'!$K$2:$K$2000,'Team Lineups'!$K$2:$K$2000,'Team Lineups'!$C$2:$C$2000,AH$1))</f>
        <v>0</v>
      </c>
      <c r="AI46" cm="1">
        <f t="array" ref="AI46">SUMPRODUCT(('Team Lineups'!$K$2:$K$2000&lt;&gt;"")*('Team Lineups'!$C$2:$C$2000=$A46)*COUNTIFS('Team Lineups'!$K$2:$K$2000,'Team Lineups'!$K$2:$K$2000,'Team Lineups'!$C$2:$C$2000,AI$1))</f>
        <v>0</v>
      </c>
      <c r="AJ46" cm="1">
        <f t="array" ref="AJ46">SUMPRODUCT(('Team Lineups'!$K$2:$K$2000&lt;&gt;"")*('Team Lineups'!$C$2:$C$2000=$A46)*COUNTIFS('Team Lineups'!$K$2:$K$2000,'Team Lineups'!$K$2:$K$2000,'Team Lineups'!$C$2:$C$2000,AJ$1))</f>
        <v>0</v>
      </c>
      <c r="AK46" cm="1">
        <f t="array" ref="AK46">SUMPRODUCT(('Team Lineups'!$K$2:$K$2000&lt;&gt;"")*('Team Lineups'!$C$2:$C$2000=$A46)*COUNTIFS('Team Lineups'!$K$2:$K$2000,'Team Lineups'!$K$2:$K$2000,'Team Lineups'!$C$2:$C$2000,AK$1))</f>
        <v>0</v>
      </c>
      <c r="AL46" cm="1">
        <f t="array" ref="AL46">SUMPRODUCT(('Team Lineups'!$K$2:$K$2000&lt;&gt;"")*('Team Lineups'!$C$2:$C$2000=$A46)*COUNTIFS('Team Lineups'!$K$2:$K$2000,'Team Lineups'!$K$2:$K$2000,'Team Lineups'!$C$2:$C$2000,AL$1))</f>
        <v>0</v>
      </c>
      <c r="AM46" cm="1">
        <f t="array" ref="AM46">SUMPRODUCT(('Team Lineups'!$K$2:$K$2000&lt;&gt;"")*('Team Lineups'!$C$2:$C$2000=$A46)*COUNTIFS('Team Lineups'!$K$2:$K$2000,'Team Lineups'!$K$2:$K$2000,'Team Lineups'!$C$2:$C$2000,AM$1))</f>
        <v>0</v>
      </c>
      <c r="AN46" cm="1">
        <f t="array" ref="AN46">SUMPRODUCT(('Team Lineups'!$K$2:$K$2000&lt;&gt;"")*('Team Lineups'!$C$2:$C$2000=$A46)*COUNTIFS('Team Lineups'!$K$2:$K$2000,'Team Lineups'!$K$2:$K$2000,'Team Lineups'!$C$2:$C$2000,AN$1))</f>
        <v>0</v>
      </c>
      <c r="AO46" cm="1">
        <f t="array" ref="AO46">SUMPRODUCT(('Team Lineups'!$K$2:$K$2000&lt;&gt;"")*('Team Lineups'!$C$2:$C$2000=$A46)*COUNTIFS('Team Lineups'!$K$2:$K$2000,'Team Lineups'!$K$2:$K$2000,'Team Lineups'!$C$2:$C$2000,AO$1))</f>
        <v>1</v>
      </c>
      <c r="AP46" cm="1">
        <f t="array" ref="AP46">SUMPRODUCT(('Team Lineups'!$K$2:$K$2000&lt;&gt;"")*('Team Lineups'!$C$2:$C$2000=$A46)*COUNTIFS('Team Lineups'!$K$2:$K$2000,'Team Lineups'!$K$2:$K$2000,'Team Lineups'!$C$2:$C$2000,AP$1))</f>
        <v>0</v>
      </c>
      <c r="AQ46" cm="1">
        <f t="array" ref="AQ46">SUMPRODUCT(('Team Lineups'!$K$2:$K$2000&lt;&gt;"")*('Team Lineups'!$C$2:$C$2000=$A46)*COUNTIFS('Team Lineups'!$K$2:$K$2000,'Team Lineups'!$K$2:$K$2000,'Team Lineups'!$C$2:$C$2000,AQ$1))</f>
        <v>0</v>
      </c>
      <c r="AR46" cm="1">
        <f t="array" ref="AR46">SUMPRODUCT(('Team Lineups'!$K$2:$K$2000&lt;&gt;"")*('Team Lineups'!$C$2:$C$2000=$A46)*COUNTIFS('Team Lineups'!$K$2:$K$2000,'Team Lineups'!$K$2:$K$2000,'Team Lineups'!$C$2:$C$2000,AR$1))</f>
        <v>0</v>
      </c>
      <c r="AS46" cm="1">
        <f t="array" ref="AS46">SUMPRODUCT(('Team Lineups'!$K$2:$K$2000&lt;&gt;"")*('Team Lineups'!$C$2:$C$2000=$A46)*COUNTIFS('Team Lineups'!$K$2:$K$2000,'Team Lineups'!$K$2:$K$2000,'Team Lineups'!$C$2:$C$2000,AS$1))</f>
        <v>0</v>
      </c>
      <c r="AT46" cm="1">
        <f t="array" ref="AT46">SUMPRODUCT(('Team Lineups'!$K$2:$K$2000&lt;&gt;"")*('Team Lineups'!$C$2:$C$2000=$A46)*COUNTIFS('Team Lineups'!$K$2:$K$2000,'Team Lineups'!$K$2:$K$2000,'Team Lineups'!$C$2:$C$2000,AT$1))</f>
        <v>1</v>
      </c>
      <c r="AU46" cm="1">
        <f t="array" ref="AU46">SUMPRODUCT(('Team Lineups'!$K$2:$K$2000&lt;&gt;"")*('Team Lineups'!$C$2:$C$2000=$A46)*COUNTIFS('Team Lineups'!$K$2:$K$2000,'Team Lineups'!$K$2:$K$2000,'Team Lineups'!$C$2:$C$2000,AU$1))</f>
        <v>1</v>
      </c>
      <c r="AV46" cm="1">
        <f t="array" ref="AV46">SUMPRODUCT(('Team Lineups'!$K$2:$K$2000&lt;&gt;"")*('Team Lineups'!$C$2:$C$2000=$A46)*COUNTIFS('Team Lineups'!$K$2:$K$2000,'Team Lineups'!$K$2:$K$2000,'Team Lineups'!$C$2:$C$2000,AV$1))</f>
        <v>0</v>
      </c>
    </row>
    <row r="47" spans="1:48" x14ac:dyDescent="0.35">
      <c r="A47" t="str">
        <v>Edison</v>
      </c>
      <c r="B47" cm="1">
        <f t="array" ref="B47">SUMPRODUCT(('Team Lineups'!$K$2:$K$2000&lt;&gt;"")*('Team Lineups'!$C$2:$C$2000=$A47)*COUNTIFS('Team Lineups'!$K$2:$K$2000,'Team Lineups'!$K$2:$K$2000,'Team Lineups'!$C$2:$C$2000,B$1))</f>
        <v>1</v>
      </c>
      <c r="C47" cm="1">
        <f t="array" ref="C47">SUMPRODUCT(('Team Lineups'!$K$2:$K$2000&lt;&gt;"")*('Team Lineups'!$C$2:$C$2000=$A47)*COUNTIFS('Team Lineups'!$K$2:$K$2000,'Team Lineups'!$K$2:$K$2000,'Team Lineups'!$C$2:$C$2000,C$1))</f>
        <v>0</v>
      </c>
      <c r="D47" cm="1">
        <f t="array" ref="D47">SUMPRODUCT(('Team Lineups'!$K$2:$K$2000&lt;&gt;"")*('Team Lineups'!$C$2:$C$2000=$A47)*COUNTIFS('Team Lineups'!$K$2:$K$2000,'Team Lineups'!$K$2:$K$2000,'Team Lineups'!$C$2:$C$2000,D$1))</f>
        <v>1</v>
      </c>
      <c r="E47" cm="1">
        <f t="array" ref="E47">SUMPRODUCT(('Team Lineups'!$K$2:$K$2000&lt;&gt;"")*('Team Lineups'!$C$2:$C$2000=$A47)*COUNTIFS('Team Lineups'!$K$2:$K$2000,'Team Lineups'!$K$2:$K$2000,'Team Lineups'!$C$2:$C$2000,E$1))</f>
        <v>0</v>
      </c>
      <c r="F47" cm="1">
        <f t="array" ref="F47">SUMPRODUCT(('Team Lineups'!$K$2:$K$2000&lt;&gt;"")*('Team Lineups'!$C$2:$C$2000=$A47)*COUNTIFS('Team Lineups'!$K$2:$K$2000,'Team Lineups'!$K$2:$K$2000,'Team Lineups'!$C$2:$C$2000,F$1))</f>
        <v>0</v>
      </c>
      <c r="G47" cm="1">
        <f t="array" ref="G47">SUMPRODUCT(('Team Lineups'!$K$2:$K$2000&lt;&gt;"")*('Team Lineups'!$C$2:$C$2000=$A47)*COUNTIFS('Team Lineups'!$K$2:$K$2000,'Team Lineups'!$K$2:$K$2000,'Team Lineups'!$C$2:$C$2000,G$1))</f>
        <v>1</v>
      </c>
      <c r="H47" cm="1">
        <f t="array" ref="H47">SUMPRODUCT(('Team Lineups'!$K$2:$K$2000&lt;&gt;"")*('Team Lineups'!$C$2:$C$2000=$A47)*COUNTIFS('Team Lineups'!$K$2:$K$2000,'Team Lineups'!$K$2:$K$2000,'Team Lineups'!$C$2:$C$2000,H$1))</f>
        <v>1</v>
      </c>
      <c r="I47" cm="1">
        <f t="array" ref="I47">SUMPRODUCT(('Team Lineups'!$K$2:$K$2000&lt;&gt;"")*('Team Lineups'!$C$2:$C$2000=$A47)*COUNTIFS('Team Lineups'!$K$2:$K$2000,'Team Lineups'!$K$2:$K$2000,'Team Lineups'!$C$2:$C$2000,I$1))</f>
        <v>0</v>
      </c>
      <c r="J47" cm="1">
        <f t="array" ref="J47">SUMPRODUCT(('Team Lineups'!$K$2:$K$2000&lt;&gt;"")*('Team Lineups'!$C$2:$C$2000=$A47)*COUNTIFS('Team Lineups'!$K$2:$K$2000,'Team Lineups'!$K$2:$K$2000,'Team Lineups'!$C$2:$C$2000,J$1))</f>
        <v>0</v>
      </c>
      <c r="K47" cm="1">
        <f t="array" ref="K47">SUMPRODUCT(('Team Lineups'!$K$2:$K$2000&lt;&gt;"")*('Team Lineups'!$C$2:$C$2000=$A47)*COUNTIFS('Team Lineups'!$K$2:$K$2000,'Team Lineups'!$K$2:$K$2000,'Team Lineups'!$C$2:$C$2000,K$1))</f>
        <v>0</v>
      </c>
      <c r="L47" cm="1">
        <f t="array" ref="L47">SUMPRODUCT(('Team Lineups'!$K$2:$K$2000&lt;&gt;"")*('Team Lineups'!$C$2:$C$2000=$A47)*COUNTIFS('Team Lineups'!$K$2:$K$2000,'Team Lineups'!$K$2:$K$2000,'Team Lineups'!$C$2:$C$2000,L$1))</f>
        <v>0</v>
      </c>
      <c r="M47" cm="1">
        <f t="array" ref="M47">SUMPRODUCT(('Team Lineups'!$K$2:$K$2000&lt;&gt;"")*('Team Lineups'!$C$2:$C$2000=$A47)*COUNTIFS('Team Lineups'!$K$2:$K$2000,'Team Lineups'!$K$2:$K$2000,'Team Lineups'!$C$2:$C$2000,M$1))</f>
        <v>0</v>
      </c>
      <c r="N47" cm="1">
        <f t="array" ref="N47">SUMPRODUCT(('Team Lineups'!$K$2:$K$2000&lt;&gt;"")*('Team Lineups'!$C$2:$C$2000=$A47)*COUNTIFS('Team Lineups'!$K$2:$K$2000,'Team Lineups'!$K$2:$K$2000,'Team Lineups'!$C$2:$C$2000,N$1))</f>
        <v>0</v>
      </c>
      <c r="O47" cm="1">
        <f t="array" ref="O47">SUMPRODUCT(('Team Lineups'!$K$2:$K$2000&lt;&gt;"")*('Team Lineups'!$C$2:$C$2000=$A47)*COUNTIFS('Team Lineups'!$K$2:$K$2000,'Team Lineups'!$K$2:$K$2000,'Team Lineups'!$C$2:$C$2000,O$1))</f>
        <v>1</v>
      </c>
      <c r="P47" cm="1">
        <f t="array" ref="P47">SUMPRODUCT(('Team Lineups'!$K$2:$K$2000&lt;&gt;"")*('Team Lineups'!$C$2:$C$2000=$A47)*COUNTIFS('Team Lineups'!$K$2:$K$2000,'Team Lineups'!$K$2:$K$2000,'Team Lineups'!$C$2:$C$2000,P$1))</f>
        <v>0</v>
      </c>
      <c r="Q47" cm="1">
        <f t="array" ref="Q47">SUMPRODUCT(('Team Lineups'!$K$2:$K$2000&lt;&gt;"")*('Team Lineups'!$C$2:$C$2000=$A47)*COUNTIFS('Team Lineups'!$K$2:$K$2000,'Team Lineups'!$K$2:$K$2000,'Team Lineups'!$C$2:$C$2000,Q$1))</f>
        <v>0</v>
      </c>
      <c r="R47" cm="1">
        <f t="array" ref="R47">SUMPRODUCT(('Team Lineups'!$K$2:$K$2000&lt;&gt;"")*('Team Lineups'!$C$2:$C$2000=$A47)*COUNTIFS('Team Lineups'!$K$2:$K$2000,'Team Lineups'!$K$2:$K$2000,'Team Lineups'!$C$2:$C$2000,R$1))</f>
        <v>0</v>
      </c>
      <c r="S47" cm="1">
        <f t="array" ref="S47">SUMPRODUCT(('Team Lineups'!$K$2:$K$2000&lt;&gt;"")*('Team Lineups'!$C$2:$C$2000=$A47)*COUNTIFS('Team Lineups'!$K$2:$K$2000,'Team Lineups'!$K$2:$K$2000,'Team Lineups'!$C$2:$C$2000,S$1))</f>
        <v>0</v>
      </c>
      <c r="T47" cm="1">
        <f t="array" ref="T47">SUMPRODUCT(('Team Lineups'!$K$2:$K$2000&lt;&gt;"")*('Team Lineups'!$C$2:$C$2000=$A47)*COUNTIFS('Team Lineups'!$K$2:$K$2000,'Team Lineups'!$K$2:$K$2000,'Team Lineups'!$C$2:$C$2000,T$1))</f>
        <v>0</v>
      </c>
      <c r="U47" cm="1">
        <f t="array" ref="U47">SUMPRODUCT(('Team Lineups'!$K$2:$K$2000&lt;&gt;"")*('Team Lineups'!$C$2:$C$2000=$A47)*COUNTIFS('Team Lineups'!$K$2:$K$2000,'Team Lineups'!$K$2:$K$2000,'Team Lineups'!$C$2:$C$2000,U$1))</f>
        <v>0</v>
      </c>
      <c r="V47" cm="1">
        <f t="array" ref="V47">SUMPRODUCT(('Team Lineups'!$K$2:$K$2000&lt;&gt;"")*('Team Lineups'!$C$2:$C$2000=$A47)*COUNTIFS('Team Lineups'!$K$2:$K$2000,'Team Lineups'!$K$2:$K$2000,'Team Lineups'!$C$2:$C$2000,V$1))</f>
        <v>0</v>
      </c>
      <c r="W47" cm="1">
        <f t="array" ref="W47">SUMPRODUCT(('Team Lineups'!$K$2:$K$2000&lt;&gt;"")*('Team Lineups'!$C$2:$C$2000=$A47)*COUNTIFS('Team Lineups'!$K$2:$K$2000,'Team Lineups'!$K$2:$K$2000,'Team Lineups'!$C$2:$C$2000,W$1))</f>
        <v>0</v>
      </c>
      <c r="X47" cm="1">
        <f t="array" ref="X47">SUMPRODUCT(('Team Lineups'!$K$2:$K$2000&lt;&gt;"")*('Team Lineups'!$C$2:$C$2000=$A47)*COUNTIFS('Team Lineups'!$K$2:$K$2000,'Team Lineups'!$K$2:$K$2000,'Team Lineups'!$C$2:$C$2000,X$1))</f>
        <v>0</v>
      </c>
      <c r="Y47" cm="1">
        <f t="array" ref="Y47">SUMPRODUCT(('Team Lineups'!$K$2:$K$2000&lt;&gt;"")*('Team Lineups'!$C$2:$C$2000=$A47)*COUNTIFS('Team Lineups'!$K$2:$K$2000,'Team Lineups'!$K$2:$K$2000,'Team Lineups'!$C$2:$C$2000,Y$1))</f>
        <v>0</v>
      </c>
      <c r="Z47" cm="1">
        <f t="array" ref="Z47">SUMPRODUCT(('Team Lineups'!$K$2:$K$2000&lt;&gt;"")*('Team Lineups'!$C$2:$C$2000=$A47)*COUNTIFS('Team Lineups'!$K$2:$K$2000,'Team Lineups'!$K$2:$K$2000,'Team Lineups'!$C$2:$C$2000,Z$1))</f>
        <v>0</v>
      </c>
      <c r="AA47" cm="1">
        <f t="array" ref="AA47">SUMPRODUCT(('Team Lineups'!$K$2:$K$2000&lt;&gt;"")*('Team Lineups'!$C$2:$C$2000=$A47)*COUNTIFS('Team Lineups'!$K$2:$K$2000,'Team Lineups'!$K$2:$K$2000,'Team Lineups'!$C$2:$C$2000,AA$1))</f>
        <v>1</v>
      </c>
      <c r="AB47" cm="1">
        <f t="array" ref="AB47">SUMPRODUCT(('Team Lineups'!$K$2:$K$2000&lt;&gt;"")*('Team Lineups'!$C$2:$C$2000=$A47)*COUNTIFS('Team Lineups'!$K$2:$K$2000,'Team Lineups'!$K$2:$K$2000,'Team Lineups'!$C$2:$C$2000,AB$1))</f>
        <v>1</v>
      </c>
      <c r="AC47" cm="1">
        <f t="array" ref="AC47">SUMPRODUCT(('Team Lineups'!$K$2:$K$2000&lt;&gt;"")*('Team Lineups'!$C$2:$C$2000=$A47)*COUNTIFS('Team Lineups'!$K$2:$K$2000,'Team Lineups'!$K$2:$K$2000,'Team Lineups'!$C$2:$C$2000,AC$1))</f>
        <v>0</v>
      </c>
      <c r="AD47" cm="1">
        <f t="array" ref="AD47">SUMPRODUCT(('Team Lineups'!$K$2:$K$2000&lt;&gt;"")*('Team Lineups'!$C$2:$C$2000=$A47)*COUNTIFS('Team Lineups'!$K$2:$K$2000,'Team Lineups'!$K$2:$K$2000,'Team Lineups'!$C$2:$C$2000,AD$1))</f>
        <v>0</v>
      </c>
      <c r="AE47" cm="1">
        <f t="array" ref="AE47">SUMPRODUCT(('Team Lineups'!$K$2:$K$2000&lt;&gt;"")*('Team Lineups'!$C$2:$C$2000=$A47)*COUNTIFS('Team Lineups'!$K$2:$K$2000,'Team Lineups'!$K$2:$K$2000,'Team Lineups'!$C$2:$C$2000,AE$1))</f>
        <v>0</v>
      </c>
      <c r="AF47" cm="1">
        <f t="array" ref="AF47">SUMPRODUCT(('Team Lineups'!$K$2:$K$2000&lt;&gt;"")*('Team Lineups'!$C$2:$C$2000=$A47)*COUNTIFS('Team Lineups'!$K$2:$K$2000,'Team Lineups'!$K$2:$K$2000,'Team Lineups'!$C$2:$C$2000,AF$1))</f>
        <v>0</v>
      </c>
      <c r="AG47" cm="1">
        <f t="array" ref="AG47">SUMPRODUCT(('Team Lineups'!$K$2:$K$2000&lt;&gt;"")*('Team Lineups'!$C$2:$C$2000=$A47)*COUNTIFS('Team Lineups'!$K$2:$K$2000,'Team Lineups'!$K$2:$K$2000,'Team Lineups'!$C$2:$C$2000,AG$1))</f>
        <v>0</v>
      </c>
      <c r="AH47" cm="1">
        <f t="array" ref="AH47">SUMPRODUCT(('Team Lineups'!$K$2:$K$2000&lt;&gt;"")*('Team Lineups'!$C$2:$C$2000=$A47)*COUNTIFS('Team Lineups'!$K$2:$K$2000,'Team Lineups'!$K$2:$K$2000,'Team Lineups'!$C$2:$C$2000,AH$1))</f>
        <v>0</v>
      </c>
      <c r="AI47" cm="1">
        <f t="array" ref="AI47">SUMPRODUCT(('Team Lineups'!$K$2:$K$2000&lt;&gt;"")*('Team Lineups'!$C$2:$C$2000=$A47)*COUNTIFS('Team Lineups'!$K$2:$K$2000,'Team Lineups'!$K$2:$K$2000,'Team Lineups'!$C$2:$C$2000,AI$1))</f>
        <v>0</v>
      </c>
      <c r="AJ47" cm="1">
        <f t="array" ref="AJ47">SUMPRODUCT(('Team Lineups'!$K$2:$K$2000&lt;&gt;"")*('Team Lineups'!$C$2:$C$2000=$A47)*COUNTIFS('Team Lineups'!$K$2:$K$2000,'Team Lineups'!$K$2:$K$2000,'Team Lineups'!$C$2:$C$2000,AJ$1))</f>
        <v>1</v>
      </c>
      <c r="AK47" cm="1">
        <f t="array" ref="AK47">SUMPRODUCT(('Team Lineups'!$K$2:$K$2000&lt;&gt;"")*('Team Lineups'!$C$2:$C$2000=$A47)*COUNTIFS('Team Lineups'!$K$2:$K$2000,'Team Lineups'!$K$2:$K$2000,'Team Lineups'!$C$2:$C$2000,AK$1))</f>
        <v>0</v>
      </c>
      <c r="AL47" cm="1">
        <f t="array" ref="AL47">SUMPRODUCT(('Team Lineups'!$K$2:$K$2000&lt;&gt;"")*('Team Lineups'!$C$2:$C$2000=$A47)*COUNTIFS('Team Lineups'!$K$2:$K$2000,'Team Lineups'!$K$2:$K$2000,'Team Lineups'!$C$2:$C$2000,AL$1))</f>
        <v>0</v>
      </c>
      <c r="AM47" cm="1">
        <f t="array" ref="AM47">SUMPRODUCT(('Team Lineups'!$K$2:$K$2000&lt;&gt;"")*('Team Lineups'!$C$2:$C$2000=$A47)*COUNTIFS('Team Lineups'!$K$2:$K$2000,'Team Lineups'!$K$2:$K$2000,'Team Lineups'!$C$2:$C$2000,AM$1))</f>
        <v>0</v>
      </c>
      <c r="AN47" cm="1">
        <f t="array" ref="AN47">SUMPRODUCT(('Team Lineups'!$K$2:$K$2000&lt;&gt;"")*('Team Lineups'!$C$2:$C$2000=$A47)*COUNTIFS('Team Lineups'!$K$2:$K$2000,'Team Lineups'!$K$2:$K$2000,'Team Lineups'!$C$2:$C$2000,AN$1))</f>
        <v>0</v>
      </c>
      <c r="AO47" cm="1">
        <f t="array" ref="AO47">SUMPRODUCT(('Team Lineups'!$K$2:$K$2000&lt;&gt;"")*('Team Lineups'!$C$2:$C$2000=$A47)*COUNTIFS('Team Lineups'!$K$2:$K$2000,'Team Lineups'!$K$2:$K$2000,'Team Lineups'!$C$2:$C$2000,AO$1))</f>
        <v>1</v>
      </c>
      <c r="AP47" cm="1">
        <f t="array" ref="AP47">SUMPRODUCT(('Team Lineups'!$K$2:$K$2000&lt;&gt;"")*('Team Lineups'!$C$2:$C$2000=$A47)*COUNTIFS('Team Lineups'!$K$2:$K$2000,'Team Lineups'!$K$2:$K$2000,'Team Lineups'!$C$2:$C$2000,AP$1))</f>
        <v>0</v>
      </c>
      <c r="AQ47" cm="1">
        <f t="array" ref="AQ47">SUMPRODUCT(('Team Lineups'!$K$2:$K$2000&lt;&gt;"")*('Team Lineups'!$C$2:$C$2000=$A47)*COUNTIFS('Team Lineups'!$K$2:$K$2000,'Team Lineups'!$K$2:$K$2000,'Team Lineups'!$C$2:$C$2000,AQ$1))</f>
        <v>0</v>
      </c>
      <c r="AR47" cm="1">
        <f t="array" ref="AR47">SUMPRODUCT(('Team Lineups'!$K$2:$K$2000&lt;&gt;"")*('Team Lineups'!$C$2:$C$2000=$A47)*COUNTIFS('Team Lineups'!$K$2:$K$2000,'Team Lineups'!$K$2:$K$2000,'Team Lineups'!$C$2:$C$2000,AR$1))</f>
        <v>0</v>
      </c>
      <c r="AS47" cm="1">
        <f t="array" ref="AS47">SUMPRODUCT(('Team Lineups'!$K$2:$K$2000&lt;&gt;"")*('Team Lineups'!$C$2:$C$2000=$A47)*COUNTIFS('Team Lineups'!$K$2:$K$2000,'Team Lineups'!$K$2:$K$2000,'Team Lineups'!$C$2:$C$2000,AS$1))</f>
        <v>0</v>
      </c>
      <c r="AT47" cm="1">
        <f t="array" ref="AT47">SUMPRODUCT(('Team Lineups'!$K$2:$K$2000&lt;&gt;"")*('Team Lineups'!$C$2:$C$2000=$A47)*COUNTIFS('Team Lineups'!$K$2:$K$2000,'Team Lineups'!$K$2:$K$2000,'Team Lineups'!$C$2:$C$2000,AT$1))</f>
        <v>1</v>
      </c>
      <c r="AU47" cm="1">
        <f t="array" ref="AU47">SUMPRODUCT(('Team Lineups'!$K$2:$K$2000&lt;&gt;"")*('Team Lineups'!$C$2:$C$2000=$A47)*COUNTIFS('Team Lineups'!$K$2:$K$2000,'Team Lineups'!$K$2:$K$2000,'Team Lineups'!$C$2:$C$2000,AU$1))</f>
        <v>2</v>
      </c>
      <c r="AV47" cm="1">
        <f t="array" ref="AV47">SUMPRODUCT(('Team Lineups'!$K$2:$K$2000&lt;&gt;"")*('Team Lineups'!$C$2:$C$2000=$A47)*COUNTIFS('Team Lineups'!$K$2:$K$2000,'Team Lineups'!$K$2:$K$2000,'Team Lineups'!$C$2:$C$2000,AV$1))</f>
        <v>0</v>
      </c>
    </row>
    <row r="48" spans="1:48" x14ac:dyDescent="0.35">
      <c r="A48" t="str">
        <v>Pedro (Not Barroso)</v>
      </c>
      <c r="B48" cm="1">
        <f t="array" ref="B48">SUMPRODUCT(('Team Lineups'!$K$2:$K$2000&lt;&gt;"")*('Team Lineups'!$C$2:$C$2000=$A48)*COUNTIFS('Team Lineups'!$K$2:$K$2000,'Team Lineups'!$K$2:$K$2000,'Team Lineups'!$C$2:$C$2000,B$1))</f>
        <v>0</v>
      </c>
      <c r="C48" cm="1">
        <f t="array" ref="C48">SUMPRODUCT(('Team Lineups'!$K$2:$K$2000&lt;&gt;"")*('Team Lineups'!$C$2:$C$2000=$A48)*COUNTIFS('Team Lineups'!$K$2:$K$2000,'Team Lineups'!$K$2:$K$2000,'Team Lineups'!$C$2:$C$2000,C$1))</f>
        <v>0</v>
      </c>
      <c r="D48" cm="1">
        <f t="array" ref="D48">SUMPRODUCT(('Team Lineups'!$K$2:$K$2000&lt;&gt;"")*('Team Lineups'!$C$2:$C$2000=$A48)*COUNTIFS('Team Lineups'!$K$2:$K$2000,'Team Lineups'!$K$2:$K$2000,'Team Lineups'!$C$2:$C$2000,D$1))</f>
        <v>0</v>
      </c>
      <c r="E48" cm="1">
        <f t="array" ref="E48">SUMPRODUCT(('Team Lineups'!$K$2:$K$2000&lt;&gt;"")*('Team Lineups'!$C$2:$C$2000=$A48)*COUNTIFS('Team Lineups'!$K$2:$K$2000,'Team Lineups'!$K$2:$K$2000,'Team Lineups'!$C$2:$C$2000,E$1))</f>
        <v>0</v>
      </c>
      <c r="F48" cm="1">
        <f t="array" ref="F48">SUMPRODUCT(('Team Lineups'!$K$2:$K$2000&lt;&gt;"")*('Team Lineups'!$C$2:$C$2000=$A48)*COUNTIFS('Team Lineups'!$K$2:$K$2000,'Team Lineups'!$K$2:$K$2000,'Team Lineups'!$C$2:$C$2000,F$1))</f>
        <v>0</v>
      </c>
      <c r="G48" cm="1">
        <f t="array" ref="G48">SUMPRODUCT(('Team Lineups'!$K$2:$K$2000&lt;&gt;"")*('Team Lineups'!$C$2:$C$2000=$A48)*COUNTIFS('Team Lineups'!$K$2:$K$2000,'Team Lineups'!$K$2:$K$2000,'Team Lineups'!$C$2:$C$2000,G$1))</f>
        <v>0</v>
      </c>
      <c r="H48" cm="1">
        <f t="array" ref="H48">SUMPRODUCT(('Team Lineups'!$K$2:$K$2000&lt;&gt;"")*('Team Lineups'!$C$2:$C$2000=$A48)*COUNTIFS('Team Lineups'!$K$2:$K$2000,'Team Lineups'!$K$2:$K$2000,'Team Lineups'!$C$2:$C$2000,H$1))</f>
        <v>1</v>
      </c>
      <c r="I48" cm="1">
        <f t="array" ref="I48">SUMPRODUCT(('Team Lineups'!$K$2:$K$2000&lt;&gt;"")*('Team Lineups'!$C$2:$C$2000=$A48)*COUNTIFS('Team Lineups'!$K$2:$K$2000,'Team Lineups'!$K$2:$K$2000,'Team Lineups'!$C$2:$C$2000,I$1))</f>
        <v>0</v>
      </c>
      <c r="J48" cm="1">
        <f t="array" ref="J48">SUMPRODUCT(('Team Lineups'!$K$2:$K$2000&lt;&gt;"")*('Team Lineups'!$C$2:$C$2000=$A48)*COUNTIFS('Team Lineups'!$K$2:$K$2000,'Team Lineups'!$K$2:$K$2000,'Team Lineups'!$C$2:$C$2000,J$1))</f>
        <v>0</v>
      </c>
      <c r="K48" cm="1">
        <f t="array" ref="K48">SUMPRODUCT(('Team Lineups'!$K$2:$K$2000&lt;&gt;"")*('Team Lineups'!$C$2:$C$2000=$A48)*COUNTIFS('Team Lineups'!$K$2:$K$2000,'Team Lineups'!$K$2:$K$2000,'Team Lineups'!$C$2:$C$2000,K$1))</f>
        <v>0</v>
      </c>
      <c r="L48" cm="1">
        <f t="array" ref="L48">SUMPRODUCT(('Team Lineups'!$K$2:$K$2000&lt;&gt;"")*('Team Lineups'!$C$2:$C$2000=$A48)*COUNTIFS('Team Lineups'!$K$2:$K$2000,'Team Lineups'!$K$2:$K$2000,'Team Lineups'!$C$2:$C$2000,L$1))</f>
        <v>0</v>
      </c>
      <c r="M48" cm="1">
        <f t="array" ref="M48">SUMPRODUCT(('Team Lineups'!$K$2:$K$2000&lt;&gt;"")*('Team Lineups'!$C$2:$C$2000=$A48)*COUNTIFS('Team Lineups'!$K$2:$K$2000,'Team Lineups'!$K$2:$K$2000,'Team Lineups'!$C$2:$C$2000,M$1))</f>
        <v>1</v>
      </c>
      <c r="N48" cm="1">
        <f t="array" ref="N48">SUMPRODUCT(('Team Lineups'!$K$2:$K$2000&lt;&gt;"")*('Team Lineups'!$C$2:$C$2000=$A48)*COUNTIFS('Team Lineups'!$K$2:$K$2000,'Team Lineups'!$K$2:$K$2000,'Team Lineups'!$C$2:$C$2000,N$1))</f>
        <v>0</v>
      </c>
      <c r="O48" cm="1">
        <f t="array" ref="O48">SUMPRODUCT(('Team Lineups'!$K$2:$K$2000&lt;&gt;"")*('Team Lineups'!$C$2:$C$2000=$A48)*COUNTIFS('Team Lineups'!$K$2:$K$2000,'Team Lineups'!$K$2:$K$2000,'Team Lineups'!$C$2:$C$2000,O$1))</f>
        <v>0</v>
      </c>
      <c r="P48" cm="1">
        <f t="array" ref="P48">SUMPRODUCT(('Team Lineups'!$K$2:$K$2000&lt;&gt;"")*('Team Lineups'!$C$2:$C$2000=$A48)*COUNTIFS('Team Lineups'!$K$2:$K$2000,'Team Lineups'!$K$2:$K$2000,'Team Lineups'!$C$2:$C$2000,P$1))</f>
        <v>0</v>
      </c>
      <c r="Q48" cm="1">
        <f t="array" ref="Q48">SUMPRODUCT(('Team Lineups'!$K$2:$K$2000&lt;&gt;"")*('Team Lineups'!$C$2:$C$2000=$A48)*COUNTIFS('Team Lineups'!$K$2:$K$2000,'Team Lineups'!$K$2:$K$2000,'Team Lineups'!$C$2:$C$2000,Q$1))</f>
        <v>0</v>
      </c>
      <c r="R48" cm="1">
        <f t="array" ref="R48">SUMPRODUCT(('Team Lineups'!$K$2:$K$2000&lt;&gt;"")*('Team Lineups'!$C$2:$C$2000=$A48)*COUNTIFS('Team Lineups'!$K$2:$K$2000,'Team Lineups'!$K$2:$K$2000,'Team Lineups'!$C$2:$C$2000,R$1))</f>
        <v>0</v>
      </c>
      <c r="S48" cm="1">
        <f t="array" ref="S48">SUMPRODUCT(('Team Lineups'!$K$2:$K$2000&lt;&gt;"")*('Team Lineups'!$C$2:$C$2000=$A48)*COUNTIFS('Team Lineups'!$K$2:$K$2000,'Team Lineups'!$K$2:$K$2000,'Team Lineups'!$C$2:$C$2000,S$1))</f>
        <v>0</v>
      </c>
      <c r="T48" cm="1">
        <f t="array" ref="T48">SUMPRODUCT(('Team Lineups'!$K$2:$K$2000&lt;&gt;"")*('Team Lineups'!$C$2:$C$2000=$A48)*COUNTIFS('Team Lineups'!$K$2:$K$2000,'Team Lineups'!$K$2:$K$2000,'Team Lineups'!$C$2:$C$2000,T$1))</f>
        <v>0</v>
      </c>
      <c r="U48" cm="1">
        <f t="array" ref="U48">SUMPRODUCT(('Team Lineups'!$K$2:$K$2000&lt;&gt;"")*('Team Lineups'!$C$2:$C$2000=$A48)*COUNTIFS('Team Lineups'!$K$2:$K$2000,'Team Lineups'!$K$2:$K$2000,'Team Lineups'!$C$2:$C$2000,U$1))</f>
        <v>0</v>
      </c>
      <c r="V48" cm="1">
        <f t="array" ref="V48">SUMPRODUCT(('Team Lineups'!$K$2:$K$2000&lt;&gt;"")*('Team Lineups'!$C$2:$C$2000=$A48)*COUNTIFS('Team Lineups'!$K$2:$K$2000,'Team Lineups'!$K$2:$K$2000,'Team Lineups'!$C$2:$C$2000,V$1))</f>
        <v>0</v>
      </c>
      <c r="W48" cm="1">
        <f t="array" ref="W48">SUMPRODUCT(('Team Lineups'!$K$2:$K$2000&lt;&gt;"")*('Team Lineups'!$C$2:$C$2000=$A48)*COUNTIFS('Team Lineups'!$K$2:$K$2000,'Team Lineups'!$K$2:$K$2000,'Team Lineups'!$C$2:$C$2000,W$1))</f>
        <v>0</v>
      </c>
      <c r="X48" cm="1">
        <f t="array" ref="X48">SUMPRODUCT(('Team Lineups'!$K$2:$K$2000&lt;&gt;"")*('Team Lineups'!$C$2:$C$2000=$A48)*COUNTIFS('Team Lineups'!$K$2:$K$2000,'Team Lineups'!$K$2:$K$2000,'Team Lineups'!$C$2:$C$2000,X$1))</f>
        <v>0</v>
      </c>
      <c r="Y48" cm="1">
        <f t="array" ref="Y48">SUMPRODUCT(('Team Lineups'!$K$2:$K$2000&lt;&gt;"")*('Team Lineups'!$C$2:$C$2000=$A48)*COUNTIFS('Team Lineups'!$K$2:$K$2000,'Team Lineups'!$K$2:$K$2000,'Team Lineups'!$C$2:$C$2000,Y$1))</f>
        <v>0</v>
      </c>
      <c r="Z48" cm="1">
        <f t="array" ref="Z48">SUMPRODUCT(('Team Lineups'!$K$2:$K$2000&lt;&gt;"")*('Team Lineups'!$C$2:$C$2000=$A48)*COUNTIFS('Team Lineups'!$K$2:$K$2000,'Team Lineups'!$K$2:$K$2000,'Team Lineups'!$C$2:$C$2000,Z$1))</f>
        <v>0</v>
      </c>
      <c r="AA48" cm="1">
        <f t="array" ref="AA48">SUMPRODUCT(('Team Lineups'!$K$2:$K$2000&lt;&gt;"")*('Team Lineups'!$C$2:$C$2000=$A48)*COUNTIFS('Team Lineups'!$K$2:$K$2000,'Team Lineups'!$K$2:$K$2000,'Team Lineups'!$C$2:$C$2000,AA$1))</f>
        <v>0</v>
      </c>
      <c r="AB48" cm="1">
        <f t="array" ref="AB48">SUMPRODUCT(('Team Lineups'!$K$2:$K$2000&lt;&gt;"")*('Team Lineups'!$C$2:$C$2000=$A48)*COUNTIFS('Team Lineups'!$K$2:$K$2000,'Team Lineups'!$K$2:$K$2000,'Team Lineups'!$C$2:$C$2000,AB$1))</f>
        <v>0</v>
      </c>
      <c r="AC48" cm="1">
        <f t="array" ref="AC48">SUMPRODUCT(('Team Lineups'!$K$2:$K$2000&lt;&gt;"")*('Team Lineups'!$C$2:$C$2000=$A48)*COUNTIFS('Team Lineups'!$K$2:$K$2000,'Team Lineups'!$K$2:$K$2000,'Team Lineups'!$C$2:$C$2000,AC$1))</f>
        <v>0</v>
      </c>
      <c r="AD48" cm="1">
        <f t="array" ref="AD48">SUMPRODUCT(('Team Lineups'!$K$2:$K$2000&lt;&gt;"")*('Team Lineups'!$C$2:$C$2000=$A48)*COUNTIFS('Team Lineups'!$K$2:$K$2000,'Team Lineups'!$K$2:$K$2000,'Team Lineups'!$C$2:$C$2000,AD$1))</f>
        <v>1</v>
      </c>
      <c r="AE48" cm="1">
        <f t="array" ref="AE48">SUMPRODUCT(('Team Lineups'!$K$2:$K$2000&lt;&gt;"")*('Team Lineups'!$C$2:$C$2000=$A48)*COUNTIFS('Team Lineups'!$K$2:$K$2000,'Team Lineups'!$K$2:$K$2000,'Team Lineups'!$C$2:$C$2000,AE$1))</f>
        <v>0</v>
      </c>
      <c r="AF48" cm="1">
        <f t="array" ref="AF48">SUMPRODUCT(('Team Lineups'!$K$2:$K$2000&lt;&gt;"")*('Team Lineups'!$C$2:$C$2000=$A48)*COUNTIFS('Team Lineups'!$K$2:$K$2000,'Team Lineups'!$K$2:$K$2000,'Team Lineups'!$C$2:$C$2000,AF$1))</f>
        <v>0</v>
      </c>
      <c r="AG48" cm="1">
        <f t="array" ref="AG48">SUMPRODUCT(('Team Lineups'!$K$2:$K$2000&lt;&gt;"")*('Team Lineups'!$C$2:$C$2000=$A48)*COUNTIFS('Team Lineups'!$K$2:$K$2000,'Team Lineups'!$K$2:$K$2000,'Team Lineups'!$C$2:$C$2000,AG$1))</f>
        <v>0</v>
      </c>
      <c r="AH48" cm="1">
        <f t="array" ref="AH48">SUMPRODUCT(('Team Lineups'!$K$2:$K$2000&lt;&gt;"")*('Team Lineups'!$C$2:$C$2000=$A48)*COUNTIFS('Team Lineups'!$K$2:$K$2000,'Team Lineups'!$K$2:$K$2000,'Team Lineups'!$C$2:$C$2000,AH$1))</f>
        <v>0</v>
      </c>
      <c r="AI48" cm="1">
        <f t="array" ref="AI48">SUMPRODUCT(('Team Lineups'!$K$2:$K$2000&lt;&gt;"")*('Team Lineups'!$C$2:$C$2000=$A48)*COUNTIFS('Team Lineups'!$K$2:$K$2000,'Team Lineups'!$K$2:$K$2000,'Team Lineups'!$C$2:$C$2000,AI$1))</f>
        <v>0</v>
      </c>
      <c r="AJ48" cm="1">
        <f t="array" ref="AJ48">SUMPRODUCT(('Team Lineups'!$K$2:$K$2000&lt;&gt;"")*('Team Lineups'!$C$2:$C$2000=$A48)*COUNTIFS('Team Lineups'!$K$2:$K$2000,'Team Lineups'!$K$2:$K$2000,'Team Lineups'!$C$2:$C$2000,AJ$1))</f>
        <v>0</v>
      </c>
      <c r="AK48" cm="1">
        <f t="array" ref="AK48">SUMPRODUCT(('Team Lineups'!$K$2:$K$2000&lt;&gt;"")*('Team Lineups'!$C$2:$C$2000=$A48)*COUNTIFS('Team Lineups'!$K$2:$K$2000,'Team Lineups'!$K$2:$K$2000,'Team Lineups'!$C$2:$C$2000,AK$1))</f>
        <v>0</v>
      </c>
      <c r="AL48" cm="1">
        <f t="array" ref="AL48">SUMPRODUCT(('Team Lineups'!$K$2:$K$2000&lt;&gt;"")*('Team Lineups'!$C$2:$C$2000=$A48)*COUNTIFS('Team Lineups'!$K$2:$K$2000,'Team Lineups'!$K$2:$K$2000,'Team Lineups'!$C$2:$C$2000,AL$1))</f>
        <v>1</v>
      </c>
      <c r="AM48" cm="1">
        <f t="array" ref="AM48">SUMPRODUCT(('Team Lineups'!$K$2:$K$2000&lt;&gt;"")*('Team Lineups'!$C$2:$C$2000=$A48)*COUNTIFS('Team Lineups'!$K$2:$K$2000,'Team Lineups'!$K$2:$K$2000,'Team Lineups'!$C$2:$C$2000,AM$1))</f>
        <v>0</v>
      </c>
      <c r="AN48" cm="1">
        <f t="array" ref="AN48">SUMPRODUCT(('Team Lineups'!$K$2:$K$2000&lt;&gt;"")*('Team Lineups'!$C$2:$C$2000=$A48)*COUNTIFS('Team Lineups'!$K$2:$K$2000,'Team Lineups'!$K$2:$K$2000,'Team Lineups'!$C$2:$C$2000,AN$1))</f>
        <v>0</v>
      </c>
      <c r="AO48" cm="1">
        <f t="array" ref="AO48">SUMPRODUCT(('Team Lineups'!$K$2:$K$2000&lt;&gt;"")*('Team Lineups'!$C$2:$C$2000=$A48)*COUNTIFS('Team Lineups'!$K$2:$K$2000,'Team Lineups'!$K$2:$K$2000,'Team Lineups'!$C$2:$C$2000,AO$1))</f>
        <v>0</v>
      </c>
      <c r="AP48" cm="1">
        <f t="array" ref="AP48">SUMPRODUCT(('Team Lineups'!$K$2:$K$2000&lt;&gt;"")*('Team Lineups'!$C$2:$C$2000=$A48)*COUNTIFS('Team Lineups'!$K$2:$K$2000,'Team Lineups'!$K$2:$K$2000,'Team Lineups'!$C$2:$C$2000,AP$1))</f>
        <v>1</v>
      </c>
      <c r="AQ48" cm="1">
        <f t="array" ref="AQ48">SUMPRODUCT(('Team Lineups'!$K$2:$K$2000&lt;&gt;"")*('Team Lineups'!$C$2:$C$2000=$A48)*COUNTIFS('Team Lineups'!$K$2:$K$2000,'Team Lineups'!$K$2:$K$2000,'Team Lineups'!$C$2:$C$2000,AQ$1))</f>
        <v>1</v>
      </c>
      <c r="AR48" cm="1">
        <f t="array" ref="AR48">SUMPRODUCT(('Team Lineups'!$K$2:$K$2000&lt;&gt;"")*('Team Lineups'!$C$2:$C$2000=$A48)*COUNTIFS('Team Lineups'!$K$2:$K$2000,'Team Lineups'!$K$2:$K$2000,'Team Lineups'!$C$2:$C$2000,AR$1))</f>
        <v>0</v>
      </c>
      <c r="AS48" cm="1">
        <f t="array" ref="AS48">SUMPRODUCT(('Team Lineups'!$K$2:$K$2000&lt;&gt;"")*('Team Lineups'!$C$2:$C$2000=$A48)*COUNTIFS('Team Lineups'!$K$2:$K$2000,'Team Lineups'!$K$2:$K$2000,'Team Lineups'!$C$2:$C$2000,AS$1))</f>
        <v>0</v>
      </c>
      <c r="AT48" cm="1">
        <f t="array" ref="AT48">SUMPRODUCT(('Team Lineups'!$K$2:$K$2000&lt;&gt;"")*('Team Lineups'!$C$2:$C$2000=$A48)*COUNTIFS('Team Lineups'!$K$2:$K$2000,'Team Lineups'!$K$2:$K$2000,'Team Lineups'!$C$2:$C$2000,AT$1))</f>
        <v>0</v>
      </c>
      <c r="AU48" cm="1">
        <f t="array" ref="AU48">SUMPRODUCT(('Team Lineups'!$K$2:$K$2000&lt;&gt;"")*('Team Lineups'!$C$2:$C$2000=$A48)*COUNTIFS('Team Lineups'!$K$2:$K$2000,'Team Lineups'!$K$2:$K$2000,'Team Lineups'!$C$2:$C$2000,AU$1))</f>
        <v>0</v>
      </c>
      <c r="AV48" cm="1">
        <f t="array" ref="AV48">SUMPRODUCT(('Team Lineups'!$K$2:$K$2000&lt;&gt;"")*('Team Lineups'!$C$2:$C$2000=$A48)*COUNTIFS('Team Lineups'!$K$2:$K$2000,'Team Lineups'!$K$2:$K$2000,'Team Lineups'!$C$2:$C$2000,AV$1))</f>
        <v>1</v>
      </c>
    </row>
    <row r="49" spans="1:1" x14ac:dyDescent="0.35">
      <c r="A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Players</vt:lpstr>
      <vt:lpstr>Matches</vt:lpstr>
      <vt:lpstr>Team Lineups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Gioele Passoni</cp:lastModifiedBy>
  <dcterms:created xsi:type="dcterms:W3CDTF">2025-11-14T15:34:15Z</dcterms:created>
  <dcterms:modified xsi:type="dcterms:W3CDTF">2026-07-24T10:52:59Z</dcterms:modified>
</cp:coreProperties>
</file>