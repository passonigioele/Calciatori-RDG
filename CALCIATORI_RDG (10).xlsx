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gp000048\Downloads\"/>
    </mc:Choice>
  </mc:AlternateContent>
  <xr:revisionPtr revIDLastSave="0" documentId="13_ncr:1_{125C9E30-A63F-4356-B4CF-99D71B828325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Matches" sheetId="1" r:id="rId1"/>
    <sheet name="Team Lineups" sheetId="2" r:id="rId2"/>
    <sheet name="Players" sheetId="3" r:id="rId3"/>
  </sheets>
  <definedNames>
    <definedName name="_xlnm._FilterDatabase" localSheetId="2" hidden="1">Players!$A$1:$O$27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1" i="2" l="1"/>
  <c r="F121" i="2"/>
  <c r="E122" i="2"/>
  <c r="F122" i="2"/>
  <c r="E123" i="2"/>
  <c r="G123" i="2" s="1"/>
  <c r="F123" i="2"/>
  <c r="E124" i="2"/>
  <c r="F124" i="2"/>
  <c r="G124" i="2"/>
  <c r="E125" i="2"/>
  <c r="F125" i="2"/>
  <c r="E126" i="2"/>
  <c r="F126" i="2"/>
  <c r="E127" i="2"/>
  <c r="G127" i="2" s="1"/>
  <c r="F127" i="2"/>
  <c r="E128" i="2"/>
  <c r="G128" i="2" s="1"/>
  <c r="F128" i="2"/>
  <c r="E129" i="2"/>
  <c r="F129" i="2"/>
  <c r="E130" i="2"/>
  <c r="F130" i="2"/>
  <c r="E131" i="2"/>
  <c r="F131" i="2"/>
  <c r="G131" i="2"/>
  <c r="E132" i="2"/>
  <c r="G132" i="2" s="1"/>
  <c r="F132" i="2"/>
  <c r="E133" i="2"/>
  <c r="G133" i="2" s="1"/>
  <c r="F133" i="2"/>
  <c r="E134" i="2"/>
  <c r="F134" i="2"/>
  <c r="E135" i="2"/>
  <c r="F135" i="2"/>
  <c r="G135" i="2"/>
  <c r="E136" i="2"/>
  <c r="F136" i="2"/>
  <c r="G136" i="2"/>
  <c r="E10" i="1"/>
  <c r="F10" i="1"/>
  <c r="E98" i="2" s="1"/>
  <c r="E11" i="1"/>
  <c r="E110" i="2" s="1"/>
  <c r="F11" i="1"/>
  <c r="E116" i="2" s="1"/>
  <c r="E12" i="1"/>
  <c r="F12" i="1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2" i="3"/>
  <c r="F120" i="2"/>
  <c r="F108" i="2"/>
  <c r="E109" i="2"/>
  <c r="F109" i="2"/>
  <c r="E111" i="2"/>
  <c r="F111" i="2"/>
  <c r="E112" i="2"/>
  <c r="E113" i="2"/>
  <c r="F114" i="2"/>
  <c r="E119" i="2"/>
  <c r="F119" i="2"/>
  <c r="E105" i="2"/>
  <c r="F105" i="2"/>
  <c r="E91" i="2"/>
  <c r="F91" i="2"/>
  <c r="E92" i="2"/>
  <c r="F92" i="2"/>
  <c r="E93" i="2"/>
  <c r="F93" i="2"/>
  <c r="E94" i="2"/>
  <c r="F94" i="2"/>
  <c r="E95" i="2"/>
  <c r="F95" i="2"/>
  <c r="E96" i="2"/>
  <c r="D27" i="3" s="1"/>
  <c r="F96" i="2"/>
  <c r="E27" i="3" s="1"/>
  <c r="E97" i="2"/>
  <c r="F97" i="2"/>
  <c r="F98" i="2"/>
  <c r="F99" i="2"/>
  <c r="E100" i="2"/>
  <c r="F100" i="2"/>
  <c r="E101" i="2"/>
  <c r="F101" i="2"/>
  <c r="E102" i="2"/>
  <c r="F102" i="2"/>
  <c r="E103" i="2"/>
  <c r="F103" i="2"/>
  <c r="F104" i="2"/>
  <c r="E77" i="2"/>
  <c r="G77" i="2" s="1"/>
  <c r="E76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" i="1"/>
  <c r="E9" i="1"/>
  <c r="F67" i="2"/>
  <c r="F68" i="2"/>
  <c r="F69" i="2"/>
  <c r="F70" i="2"/>
  <c r="F71" i="2"/>
  <c r="F72" i="2"/>
  <c r="F73" i="2"/>
  <c r="F74" i="2"/>
  <c r="F75" i="2"/>
  <c r="F76" i="2"/>
  <c r="E67" i="2"/>
  <c r="E68" i="2"/>
  <c r="E69" i="2"/>
  <c r="E70" i="2"/>
  <c r="E71" i="2"/>
  <c r="E72" i="2"/>
  <c r="E73" i="2"/>
  <c r="E74" i="2"/>
  <c r="E75" i="2"/>
  <c r="E8" i="1"/>
  <c r="F8" i="1"/>
  <c r="F66" i="2"/>
  <c r="E66" i="2"/>
  <c r="C33" i="3"/>
  <c r="K33" i="3"/>
  <c r="M33" i="3"/>
  <c r="N33" i="3"/>
  <c r="F56" i="2"/>
  <c r="F57" i="2"/>
  <c r="F58" i="2"/>
  <c r="F59" i="2"/>
  <c r="F60" i="2"/>
  <c r="F61" i="2"/>
  <c r="F62" i="2"/>
  <c r="F63" i="2"/>
  <c r="F64" i="2"/>
  <c r="F65" i="2"/>
  <c r="E56" i="2"/>
  <c r="E57" i="2"/>
  <c r="E58" i="2"/>
  <c r="E59" i="2"/>
  <c r="E60" i="2"/>
  <c r="E61" i="2"/>
  <c r="E62" i="2"/>
  <c r="E63" i="2"/>
  <c r="E64" i="2"/>
  <c r="E65" i="2"/>
  <c r="E7" i="1"/>
  <c r="F7" i="1"/>
  <c r="F46" i="2"/>
  <c r="F47" i="2"/>
  <c r="F48" i="2"/>
  <c r="F49" i="2"/>
  <c r="F50" i="2"/>
  <c r="F51" i="2"/>
  <c r="F52" i="2"/>
  <c r="F53" i="2"/>
  <c r="F54" i="2"/>
  <c r="F55" i="2"/>
  <c r="E46" i="2"/>
  <c r="E47" i="2"/>
  <c r="E48" i="2"/>
  <c r="E49" i="2"/>
  <c r="E50" i="2"/>
  <c r="D32" i="3" s="1"/>
  <c r="E51" i="2"/>
  <c r="E52" i="2"/>
  <c r="E53" i="2"/>
  <c r="E54" i="2"/>
  <c r="E55" i="2"/>
  <c r="C32" i="3"/>
  <c r="K32" i="3"/>
  <c r="M32" i="3"/>
  <c r="N32" i="3"/>
  <c r="F6" i="1"/>
  <c r="E6" i="1"/>
  <c r="E36" i="2"/>
  <c r="F36" i="2"/>
  <c r="E37" i="2"/>
  <c r="F37" i="2"/>
  <c r="E38" i="2"/>
  <c r="F38" i="2"/>
  <c r="E39" i="2"/>
  <c r="F39" i="2"/>
  <c r="E28" i="3" s="1"/>
  <c r="E40" i="2"/>
  <c r="F40" i="2"/>
  <c r="E41" i="2"/>
  <c r="F41" i="2"/>
  <c r="E42" i="2"/>
  <c r="F42" i="2"/>
  <c r="E43" i="2"/>
  <c r="F43" i="2"/>
  <c r="E44" i="2"/>
  <c r="F44" i="2"/>
  <c r="E30" i="3" s="1"/>
  <c r="E45" i="2"/>
  <c r="D31" i="3" s="1"/>
  <c r="F45" i="2"/>
  <c r="C31" i="3"/>
  <c r="K31" i="3"/>
  <c r="M31" i="3"/>
  <c r="N31" i="3"/>
  <c r="C28" i="3"/>
  <c r="K28" i="3"/>
  <c r="M28" i="3"/>
  <c r="N28" i="3"/>
  <c r="C29" i="3"/>
  <c r="K29" i="3"/>
  <c r="M29" i="3"/>
  <c r="N29" i="3"/>
  <c r="C30" i="3"/>
  <c r="K30" i="3"/>
  <c r="M30" i="3"/>
  <c r="N30" i="3"/>
  <c r="F5" i="1"/>
  <c r="E5" i="1"/>
  <c r="F26" i="2"/>
  <c r="F27" i="2"/>
  <c r="F28" i="2"/>
  <c r="F29" i="2"/>
  <c r="F30" i="2"/>
  <c r="F31" i="2"/>
  <c r="F32" i="2"/>
  <c r="F33" i="2"/>
  <c r="F34" i="2"/>
  <c r="E15" i="3" s="1"/>
  <c r="F35" i="2"/>
  <c r="E26" i="2"/>
  <c r="E27" i="2"/>
  <c r="E28" i="2"/>
  <c r="E29" i="2"/>
  <c r="E30" i="2"/>
  <c r="E31" i="2"/>
  <c r="E32" i="2"/>
  <c r="E33" i="2"/>
  <c r="E34" i="2"/>
  <c r="D15" i="3" s="1"/>
  <c r="E35" i="2"/>
  <c r="F4" i="1"/>
  <c r="E4" i="1"/>
  <c r="F22" i="2"/>
  <c r="F23" i="2"/>
  <c r="F24" i="2"/>
  <c r="F25" i="2"/>
  <c r="F12" i="2"/>
  <c r="F13" i="2"/>
  <c r="F14" i="2"/>
  <c r="F15" i="2"/>
  <c r="F16" i="2"/>
  <c r="F17" i="2"/>
  <c r="F18" i="2"/>
  <c r="F19" i="2"/>
  <c r="F20" i="2"/>
  <c r="F21" i="2"/>
  <c r="F3" i="2"/>
  <c r="F4" i="2"/>
  <c r="F5" i="2"/>
  <c r="F6" i="2"/>
  <c r="F7" i="2"/>
  <c r="F8" i="2"/>
  <c r="F9" i="2"/>
  <c r="F10" i="2"/>
  <c r="F11" i="2"/>
  <c r="E20" i="3" s="1"/>
  <c r="E3" i="2"/>
  <c r="E4" i="2"/>
  <c r="E5" i="2"/>
  <c r="E6" i="2"/>
  <c r="E7" i="2"/>
  <c r="E8" i="2"/>
  <c r="E9" i="2"/>
  <c r="E10" i="2"/>
  <c r="E11" i="2"/>
  <c r="D20" i="3" s="1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12" i="2"/>
  <c r="F3" i="1"/>
  <c r="F2" i="1"/>
  <c r="E3" i="1"/>
  <c r="B3" i="2"/>
  <c r="B4" i="2"/>
  <c r="B5" i="2"/>
  <c r="B6" i="2"/>
  <c r="B7" i="2"/>
  <c r="B8" i="2"/>
  <c r="B9" i="2"/>
  <c r="B10" i="2"/>
  <c r="B11" i="2"/>
  <c r="B2" i="2"/>
  <c r="D11" i="3"/>
  <c r="D13" i="3"/>
  <c r="D14" i="3"/>
  <c r="D22" i="3"/>
  <c r="N27" i="3"/>
  <c r="M27" i="3"/>
  <c r="K27" i="3"/>
  <c r="C27" i="3"/>
  <c r="N26" i="3"/>
  <c r="M26" i="3"/>
  <c r="K26" i="3"/>
  <c r="C26" i="3"/>
  <c r="N25" i="3"/>
  <c r="M25" i="3"/>
  <c r="K25" i="3"/>
  <c r="C25" i="3"/>
  <c r="N2" i="3"/>
  <c r="M2" i="3"/>
  <c r="K2" i="3"/>
  <c r="C2" i="3"/>
  <c r="N8" i="3"/>
  <c r="M8" i="3"/>
  <c r="K8" i="3"/>
  <c r="C8" i="3"/>
  <c r="N22" i="3"/>
  <c r="M22" i="3"/>
  <c r="K22" i="3"/>
  <c r="I22" i="3"/>
  <c r="H22" i="3"/>
  <c r="G22" i="3"/>
  <c r="E22" i="3"/>
  <c r="C22" i="3"/>
  <c r="N21" i="3"/>
  <c r="M21" i="3"/>
  <c r="K21" i="3"/>
  <c r="C21" i="3"/>
  <c r="N24" i="3"/>
  <c r="M24" i="3"/>
  <c r="K24" i="3"/>
  <c r="C24" i="3"/>
  <c r="N19" i="3"/>
  <c r="M19" i="3"/>
  <c r="K19" i="3"/>
  <c r="C19" i="3"/>
  <c r="N23" i="3"/>
  <c r="M23" i="3"/>
  <c r="K23" i="3"/>
  <c r="C23" i="3"/>
  <c r="N5" i="3"/>
  <c r="M5" i="3"/>
  <c r="K5" i="3"/>
  <c r="C5" i="3"/>
  <c r="N3" i="3"/>
  <c r="M3" i="3"/>
  <c r="K3" i="3"/>
  <c r="C3" i="3"/>
  <c r="N15" i="3"/>
  <c r="M15" i="3"/>
  <c r="K15" i="3"/>
  <c r="C15" i="3"/>
  <c r="N14" i="3"/>
  <c r="M14" i="3"/>
  <c r="K14" i="3"/>
  <c r="I14" i="3"/>
  <c r="H14" i="3"/>
  <c r="G14" i="3"/>
  <c r="E14" i="3"/>
  <c r="C14" i="3"/>
  <c r="N13" i="3"/>
  <c r="M13" i="3"/>
  <c r="K13" i="3"/>
  <c r="I13" i="3"/>
  <c r="H13" i="3"/>
  <c r="G13" i="3"/>
  <c r="E13" i="3"/>
  <c r="C13" i="3"/>
  <c r="N12" i="3"/>
  <c r="M12" i="3"/>
  <c r="K12" i="3"/>
  <c r="C12" i="3"/>
  <c r="N11" i="3"/>
  <c r="M11" i="3"/>
  <c r="K11" i="3"/>
  <c r="I11" i="3"/>
  <c r="H11" i="3"/>
  <c r="G11" i="3"/>
  <c r="E11" i="3"/>
  <c r="C11" i="3"/>
  <c r="N10" i="3"/>
  <c r="M10" i="3"/>
  <c r="K10" i="3"/>
  <c r="C10" i="3"/>
  <c r="N9" i="3"/>
  <c r="M9" i="3"/>
  <c r="K9" i="3"/>
  <c r="C9" i="3"/>
  <c r="N20" i="3"/>
  <c r="M20" i="3"/>
  <c r="K20" i="3"/>
  <c r="C20" i="3"/>
  <c r="N7" i="3"/>
  <c r="M7" i="3"/>
  <c r="K7" i="3"/>
  <c r="C7" i="3"/>
  <c r="N6" i="3"/>
  <c r="M6" i="3"/>
  <c r="K6" i="3"/>
  <c r="C6" i="3"/>
  <c r="N18" i="3"/>
  <c r="M18" i="3"/>
  <c r="K18" i="3"/>
  <c r="C18" i="3"/>
  <c r="N4" i="3"/>
  <c r="M4" i="3"/>
  <c r="K4" i="3"/>
  <c r="C4" i="3"/>
  <c r="N17" i="3"/>
  <c r="M17" i="3"/>
  <c r="K17" i="3"/>
  <c r="C17" i="3"/>
  <c r="N16" i="3"/>
  <c r="M16" i="3"/>
  <c r="K16" i="3"/>
  <c r="C16" i="3"/>
  <c r="E2" i="2"/>
  <c r="E2" i="1"/>
  <c r="G126" i="2" l="1"/>
  <c r="G122" i="2"/>
  <c r="G121" i="2"/>
  <c r="F118" i="2"/>
  <c r="G130" i="2"/>
  <c r="G125" i="2"/>
  <c r="F117" i="2"/>
  <c r="E108" i="2"/>
  <c r="D3" i="3" s="1"/>
  <c r="F116" i="2"/>
  <c r="E21" i="3" s="1"/>
  <c r="E107" i="2"/>
  <c r="G134" i="2"/>
  <c r="G129" i="2"/>
  <c r="F115" i="2"/>
  <c r="E106" i="2"/>
  <c r="G106" i="2" s="1"/>
  <c r="F113" i="2"/>
  <c r="G113" i="2" s="1"/>
  <c r="E115" i="2"/>
  <c r="G105" i="2"/>
  <c r="E114" i="2"/>
  <c r="G114" i="2" s="1"/>
  <c r="F107" i="2"/>
  <c r="E23" i="3" s="1"/>
  <c r="F112" i="2"/>
  <c r="G112" i="2" s="1"/>
  <c r="F106" i="2"/>
  <c r="E6" i="3" s="1"/>
  <c r="E118" i="2"/>
  <c r="G118" i="2" s="1"/>
  <c r="E99" i="2"/>
  <c r="G99" i="2" s="1"/>
  <c r="E117" i="2"/>
  <c r="E120" i="2"/>
  <c r="G120" i="2" s="1"/>
  <c r="F110" i="2"/>
  <c r="G110" i="2" s="1"/>
  <c r="E104" i="2"/>
  <c r="G104" i="2" s="1"/>
  <c r="E26" i="3"/>
  <c r="G97" i="2"/>
  <c r="G91" i="2"/>
  <c r="G109" i="2"/>
  <c r="G108" i="2"/>
  <c r="D21" i="3"/>
  <c r="G111" i="2"/>
  <c r="G115" i="2"/>
  <c r="G119" i="2"/>
  <c r="G101" i="2"/>
  <c r="G100" i="2"/>
  <c r="G98" i="2"/>
  <c r="G92" i="2"/>
  <c r="G95" i="2"/>
  <c r="G93" i="2"/>
  <c r="G103" i="2"/>
  <c r="G94" i="2"/>
  <c r="G80" i="2"/>
  <c r="G102" i="2"/>
  <c r="G96" i="2"/>
  <c r="I27" i="3" s="1"/>
  <c r="H27" i="3"/>
  <c r="G88" i="2"/>
  <c r="G78" i="2"/>
  <c r="G86" i="2"/>
  <c r="G83" i="2"/>
  <c r="G81" i="2"/>
  <c r="E3" i="3"/>
  <c r="G82" i="2"/>
  <c r="G79" i="2"/>
  <c r="G90" i="2"/>
  <c r="G87" i="2"/>
  <c r="G85" i="2"/>
  <c r="G89" i="2"/>
  <c r="D19" i="3"/>
  <c r="G84" i="2"/>
  <c r="D33" i="3"/>
  <c r="G68" i="2"/>
  <c r="G75" i="2"/>
  <c r="G76" i="2"/>
  <c r="G67" i="2"/>
  <c r="E33" i="3"/>
  <c r="G72" i="2"/>
  <c r="G71" i="2"/>
  <c r="G70" i="2"/>
  <c r="G59" i="2"/>
  <c r="G74" i="2"/>
  <c r="G73" i="2"/>
  <c r="G69" i="2"/>
  <c r="L33" i="3"/>
  <c r="O33" i="3"/>
  <c r="E10" i="3"/>
  <c r="G63" i="2"/>
  <c r="G58" i="2"/>
  <c r="E29" i="3"/>
  <c r="G66" i="2"/>
  <c r="G47" i="2"/>
  <c r="G65" i="2"/>
  <c r="G53" i="2"/>
  <c r="G57" i="2"/>
  <c r="D29" i="3"/>
  <c r="G56" i="2"/>
  <c r="G64" i="2"/>
  <c r="G62" i="2"/>
  <c r="E19" i="3"/>
  <c r="G61" i="2"/>
  <c r="G50" i="2"/>
  <c r="G32" i="3" s="1"/>
  <c r="J32" i="3" s="1"/>
  <c r="D4" i="3"/>
  <c r="E4" i="3"/>
  <c r="O32" i="3"/>
  <c r="L32" i="3"/>
  <c r="O30" i="3"/>
  <c r="O31" i="3"/>
  <c r="G54" i="2"/>
  <c r="G49" i="2"/>
  <c r="D5" i="3"/>
  <c r="E32" i="3"/>
  <c r="F32" i="3" s="1"/>
  <c r="G46" i="2"/>
  <c r="G52" i="2"/>
  <c r="G55" i="2"/>
  <c r="G51" i="2"/>
  <c r="G48" i="2"/>
  <c r="L29" i="3"/>
  <c r="O29" i="3"/>
  <c r="D23" i="3"/>
  <c r="E12" i="3"/>
  <c r="G39" i="2"/>
  <c r="G28" i="3" s="1"/>
  <c r="J28" i="3" s="1"/>
  <c r="D18" i="3"/>
  <c r="G29" i="2"/>
  <c r="G45" i="2"/>
  <c r="I31" i="3" s="1"/>
  <c r="G44" i="2"/>
  <c r="G30" i="3" s="1"/>
  <c r="J30" i="3" s="1"/>
  <c r="G38" i="2"/>
  <c r="G42" i="2"/>
  <c r="G36" i="2"/>
  <c r="D28" i="3"/>
  <c r="F28" i="3" s="1"/>
  <c r="G43" i="2"/>
  <c r="G8" i="2"/>
  <c r="G40" i="2"/>
  <c r="D30" i="3"/>
  <c r="F30" i="3" s="1"/>
  <c r="G37" i="2"/>
  <c r="E31" i="3"/>
  <c r="F31" i="3" s="1"/>
  <c r="G41" i="2"/>
  <c r="G28" i="2"/>
  <c r="L28" i="3"/>
  <c r="L31" i="3"/>
  <c r="L30" i="3"/>
  <c r="O28" i="3"/>
  <c r="G13" i="2"/>
  <c r="G32" i="2"/>
  <c r="G34" i="2"/>
  <c r="G15" i="3" s="1"/>
  <c r="J15" i="3" s="1"/>
  <c r="D7" i="3"/>
  <c r="G19" i="2"/>
  <c r="G27" i="2"/>
  <c r="G26" i="2"/>
  <c r="D9" i="3"/>
  <c r="E2" i="3"/>
  <c r="G24" i="2"/>
  <c r="D25" i="3"/>
  <c r="G21" i="2"/>
  <c r="E8" i="3"/>
  <c r="G31" i="2"/>
  <c r="G20" i="2"/>
  <c r="E25" i="3"/>
  <c r="G30" i="2"/>
  <c r="G35" i="2"/>
  <c r="G33" i="2"/>
  <c r="G16" i="2"/>
  <c r="G22" i="2"/>
  <c r="E7" i="3"/>
  <c r="G10" i="2"/>
  <c r="G14" i="2"/>
  <c r="D17" i="3"/>
  <c r="G11" i="2"/>
  <c r="H20" i="3" s="1"/>
  <c r="G17" i="2"/>
  <c r="G15" i="2"/>
  <c r="G23" i="2"/>
  <c r="D12" i="3"/>
  <c r="D2" i="3"/>
  <c r="G18" i="2"/>
  <c r="E9" i="3"/>
  <c r="E16" i="3"/>
  <c r="G25" i="2"/>
  <c r="G12" i="2"/>
  <c r="E24" i="3"/>
  <c r="F20" i="3"/>
  <c r="F11" i="3"/>
  <c r="O12" i="3"/>
  <c r="F15" i="3"/>
  <c r="G7" i="2"/>
  <c r="G4" i="2"/>
  <c r="D8" i="3"/>
  <c r="G3" i="2"/>
  <c r="D16" i="3"/>
  <c r="O5" i="3"/>
  <c r="L11" i="3"/>
  <c r="L4" i="3"/>
  <c r="J11" i="3"/>
  <c r="J14" i="3"/>
  <c r="O23" i="3"/>
  <c r="O21" i="3"/>
  <c r="O18" i="3"/>
  <c r="F27" i="3"/>
  <c r="O11" i="3"/>
  <c r="O2" i="3"/>
  <c r="O13" i="3"/>
  <c r="O26" i="3"/>
  <c r="O14" i="3"/>
  <c r="F13" i="3"/>
  <c r="L3" i="3"/>
  <c r="O6" i="3"/>
  <c r="F22" i="3"/>
  <c r="O17" i="3"/>
  <c r="O9" i="3"/>
  <c r="L9" i="3"/>
  <c r="L18" i="3"/>
  <c r="L20" i="3"/>
  <c r="L8" i="3"/>
  <c r="L16" i="3"/>
  <c r="O3" i="3"/>
  <c r="O24" i="3"/>
  <c r="O8" i="3"/>
  <c r="F14" i="3"/>
  <c r="L21" i="3"/>
  <c r="J13" i="3"/>
  <c r="O15" i="3"/>
  <c r="L12" i="3"/>
  <c r="L10" i="3"/>
  <c r="O10" i="3"/>
  <c r="L26" i="3"/>
  <c r="O27" i="3"/>
  <c r="L5" i="3"/>
  <c r="J22" i="3"/>
  <c r="L25" i="3"/>
  <c r="L27" i="3"/>
  <c r="O20" i="3"/>
  <c r="L19" i="3"/>
  <c r="L7" i="3"/>
  <c r="L22" i="3"/>
  <c r="L2" i="3"/>
  <c r="O25" i="3"/>
  <c r="L13" i="3"/>
  <c r="L15" i="3"/>
  <c r="O19" i="3"/>
  <c r="O4" i="3"/>
  <c r="L17" i="3"/>
  <c r="L6" i="3"/>
  <c r="O7" i="3"/>
  <c r="L23" i="3"/>
  <c r="L24" i="3"/>
  <c r="O22" i="3"/>
  <c r="E18" i="3"/>
  <c r="G6" i="2"/>
  <c r="L14" i="3"/>
  <c r="O16" i="3"/>
  <c r="F2" i="2"/>
  <c r="G117" i="2" l="1"/>
  <c r="G21" i="3"/>
  <c r="J21" i="3" s="1"/>
  <c r="D6" i="3"/>
  <c r="F6" i="3" s="1"/>
  <c r="G116" i="2"/>
  <c r="F21" i="3"/>
  <c r="D10" i="3"/>
  <c r="F10" i="3" s="1"/>
  <c r="D26" i="3"/>
  <c r="F26" i="3" s="1"/>
  <c r="I26" i="3"/>
  <c r="G107" i="2"/>
  <c r="G19" i="3"/>
  <c r="J19" i="3" s="1"/>
  <c r="G27" i="3"/>
  <c r="J27" i="3" s="1"/>
  <c r="I3" i="3"/>
  <c r="F3" i="3"/>
  <c r="F19" i="3"/>
  <c r="F33" i="3"/>
  <c r="I6" i="3"/>
  <c r="H6" i="3"/>
  <c r="G6" i="3"/>
  <c r="J6" i="3" s="1"/>
  <c r="I16" i="3"/>
  <c r="F29" i="3"/>
  <c r="H10" i="3"/>
  <c r="G29" i="3"/>
  <c r="J29" i="3" s="1"/>
  <c r="F4" i="3"/>
  <c r="I32" i="3"/>
  <c r="H16" i="3"/>
  <c r="G7" i="3"/>
  <c r="J7" i="3" s="1"/>
  <c r="H32" i="3"/>
  <c r="I15" i="3"/>
  <c r="H15" i="3"/>
  <c r="H31" i="3"/>
  <c r="G33" i="3"/>
  <c r="J33" i="3" s="1"/>
  <c r="H33" i="3"/>
  <c r="I33" i="3"/>
  <c r="H21" i="3"/>
  <c r="I21" i="3"/>
  <c r="F23" i="3"/>
  <c r="I29" i="3"/>
  <c r="H29" i="3"/>
  <c r="F18" i="3"/>
  <c r="F12" i="3"/>
  <c r="H28" i="3"/>
  <c r="I30" i="3"/>
  <c r="G16" i="3"/>
  <c r="J16" i="3" s="1"/>
  <c r="H12" i="3"/>
  <c r="H30" i="3"/>
  <c r="G31" i="3"/>
  <c r="J31" i="3" s="1"/>
  <c r="I28" i="3"/>
  <c r="H8" i="3"/>
  <c r="I23" i="3"/>
  <c r="I7" i="3"/>
  <c r="I10" i="3"/>
  <c r="F8" i="3"/>
  <c r="H2" i="3"/>
  <c r="H9" i="3"/>
  <c r="F9" i="3"/>
  <c r="G9" i="3"/>
  <c r="J9" i="3" s="1"/>
  <c r="F7" i="3"/>
  <c r="F2" i="3"/>
  <c r="I12" i="3"/>
  <c r="G10" i="3"/>
  <c r="J10" i="3" s="1"/>
  <c r="F25" i="3"/>
  <c r="G20" i="3"/>
  <c r="J20" i="3" s="1"/>
  <c r="I9" i="3"/>
  <c r="G2" i="3"/>
  <c r="J2" i="3" s="1"/>
  <c r="G12" i="3"/>
  <c r="J12" i="3" s="1"/>
  <c r="I2" i="3"/>
  <c r="H26" i="3"/>
  <c r="H7" i="3"/>
  <c r="G26" i="3"/>
  <c r="J26" i="3" s="1"/>
  <c r="I20" i="3"/>
  <c r="F16" i="3"/>
  <c r="H19" i="3"/>
  <c r="I19" i="3"/>
  <c r="I25" i="3"/>
  <c r="H25" i="3"/>
  <c r="G25" i="3"/>
  <c r="J25" i="3" s="1"/>
  <c r="G4" i="3"/>
  <c r="J4" i="3" s="1"/>
  <c r="H4" i="3"/>
  <c r="I4" i="3"/>
  <c r="G23" i="3"/>
  <c r="J23" i="3" s="1"/>
  <c r="G8" i="3"/>
  <c r="J8" i="3" s="1"/>
  <c r="G3" i="3"/>
  <c r="J3" i="3" s="1"/>
  <c r="I8" i="3"/>
  <c r="H3" i="3"/>
  <c r="G9" i="2"/>
  <c r="I24" i="3" s="1"/>
  <c r="D24" i="3"/>
  <c r="F24" i="3" s="1"/>
  <c r="H23" i="3"/>
  <c r="G5" i="2"/>
  <c r="E17" i="3"/>
  <c r="F17" i="3" s="1"/>
  <c r="I18" i="3"/>
  <c r="H18" i="3"/>
  <c r="G18" i="3"/>
  <c r="J18" i="3" s="1"/>
  <c r="E5" i="3"/>
  <c r="F5" i="3" s="1"/>
  <c r="G2" i="2"/>
  <c r="G24" i="3" l="1"/>
  <c r="J24" i="3" s="1"/>
  <c r="H24" i="3"/>
  <c r="I5" i="3"/>
  <c r="H5" i="3"/>
  <c r="G5" i="3"/>
  <c r="J5" i="3" s="1"/>
  <c r="H17" i="3"/>
  <c r="G17" i="3"/>
  <c r="J17" i="3" s="1"/>
  <c r="I17" i="3"/>
</calcChain>
</file>

<file path=xl/sharedStrings.xml><?xml version="1.0" encoding="utf-8"?>
<sst xmlns="http://schemas.openxmlformats.org/spreadsheetml/2006/main" count="368" uniqueCount="74">
  <si>
    <t>Match ID</t>
  </si>
  <si>
    <t>Date</t>
  </si>
  <si>
    <t>Team</t>
  </si>
  <si>
    <t>Score</t>
  </si>
  <si>
    <t>Goals Team A</t>
  </si>
  <si>
    <t>Goals Team B</t>
  </si>
  <si>
    <t>MVP</t>
  </si>
  <si>
    <t>Team A vs Team B</t>
  </si>
  <si>
    <t>7-7</t>
  </si>
  <si>
    <t>Player Name</t>
  </si>
  <si>
    <t>Team (A/B)</t>
  </si>
  <si>
    <t>Team Score</t>
  </si>
  <si>
    <t>Team Conceded</t>
  </si>
  <si>
    <t>Result</t>
  </si>
  <si>
    <t>Goals Scored</t>
  </si>
  <si>
    <t>Assists</t>
  </si>
  <si>
    <t>Gioele</t>
  </si>
  <si>
    <t>A</t>
  </si>
  <si>
    <t>Gianmarco</t>
  </si>
  <si>
    <t>Musta</t>
  </si>
  <si>
    <t>Alessandro D</t>
  </si>
  <si>
    <t>Andreadb</t>
  </si>
  <si>
    <t>Jose</t>
  </si>
  <si>
    <t>B</t>
  </si>
  <si>
    <t>Alessandro C</t>
  </si>
  <si>
    <t>Lorenzo</t>
  </si>
  <si>
    <t>Pranav</t>
  </si>
  <si>
    <t>Damian</t>
  </si>
  <si>
    <t>Position</t>
  </si>
  <si>
    <t>Match Played</t>
  </si>
  <si>
    <t>Total Goals Scored</t>
  </si>
  <si>
    <t>Total Goals Conceded</t>
  </si>
  <si>
    <t>Goal Difference</t>
  </si>
  <si>
    <t>Games Won</t>
  </si>
  <si>
    <t>Games Drew</t>
  </si>
  <si>
    <t>Games Lost</t>
  </si>
  <si>
    <t>% Win</t>
  </si>
  <si>
    <t>Goal Scored</t>
  </si>
  <si>
    <t>Goal/Game</t>
  </si>
  <si>
    <t>MVP/Game</t>
  </si>
  <si>
    <t>Alirio</t>
  </si>
  <si>
    <t>Angelo</t>
  </si>
  <si>
    <t>Barroso</t>
  </si>
  <si>
    <t>Dario</t>
  </si>
  <si>
    <t>Diego</t>
  </si>
  <si>
    <t>Edison</t>
  </si>
  <si>
    <t>Enrico</t>
  </si>
  <si>
    <t>Ervin</t>
  </si>
  <si>
    <t>Gabriele</t>
  </si>
  <si>
    <t>Giacomo</t>
  </si>
  <si>
    <t>Julio</t>
  </si>
  <si>
    <t>Manfredi</t>
  </si>
  <si>
    <t>Martyson</t>
  </si>
  <si>
    <t>Sergio</t>
  </si>
  <si>
    <t>Tano</t>
  </si>
  <si>
    <t>Tiago</t>
  </si>
  <si>
    <t>5-7</t>
  </si>
  <si>
    <t>7-9</t>
  </si>
  <si>
    <t>13-8</t>
  </si>
  <si>
    <t>Christian</t>
  </si>
  <si>
    <t>Karl</t>
  </si>
  <si>
    <t>Alberto</t>
  </si>
  <si>
    <t>Noah</t>
  </si>
  <si>
    <t>10-8</t>
  </si>
  <si>
    <t>TK</t>
  </si>
  <si>
    <t>16-17</t>
  </si>
  <si>
    <t>Stefano</t>
  </si>
  <si>
    <t>Barroso played for both teams switching half way, so I put it only once in team B</t>
  </si>
  <si>
    <t>6-11</t>
  </si>
  <si>
    <t>5-5</t>
  </si>
  <si>
    <t>3-6</t>
  </si>
  <si>
    <t>Own Goals</t>
  </si>
  <si>
    <t>2-3</t>
  </si>
  <si>
    <t>6-5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</si>
</sst>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/>
  </cellStyleXfs>
  <cellXfs count="7">
    <xf numFmtId="0" fontId="0" fillId="0" borderId="0" xfId="0"/>
    <xf numFmtId="49" fontId="0" fillId="0" borderId="0" xfId="0" applyNumberFormat="1"/>
    <xf numFmtId="14" fontId="0" fillId="0" borderId="0" xfId="0" applyNumberFormat="1"/>
    <xf numFmtId="9" fontId="0" fillId="0" borderId="0" xfId="1" applyFont="1"/>
    <xf numFmtId="0" fontId="2" fillId="0" borderId="0" xfId="0" applyFont="1"/>
    <xf numFmtId="9" fontId="2" fillId="0" borderId="0" xfId="1" applyFont="1"/>
    <xf numFmtId="164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workbookViewId="0">
      <selection activeCell="D12" sqref="D12"/>
    </sheetView>
  </sheetViews>
  <sheetFormatPr defaultRowHeight="14.5" x14ac:dyDescent="0.35"/>
  <cols>
    <col min="2" max="2" width="18" customWidth="1"/>
    <col min="3" max="3" width="18.08984375" customWidth="1"/>
    <col min="5" max="5" width="17.1796875" customWidth="1"/>
    <col min="6" max="6" width="19.08984375" customWidth="1"/>
  </cols>
  <sheetData>
    <row r="1" spans="1:7" s="4" customForma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35">
      <c r="A2">
        <v>1</v>
      </c>
      <c r="B2" s="2">
        <v>45974</v>
      </c>
      <c r="C2" t="s">
        <v>7</v>
      </c>
      <c r="D2" s="1" t="s">
        <v>8</v>
      </c>
      <c r="E2">
        <f>VALUE(LEFT(D2, FIND("-", D2)-1))</f>
        <v>7</v>
      </c>
      <c r="F2">
        <f t="shared" ref="F2:F7" si="0">VALUE(MID(D2, FIND("-", D2)+1, 10))</f>
        <v>7</v>
      </c>
      <c r="G2" t="s">
        <v>26</v>
      </c>
    </row>
    <row r="3" spans="1:7" x14ac:dyDescent="0.35">
      <c r="A3">
        <v>2</v>
      </c>
      <c r="B3" s="2">
        <v>45981</v>
      </c>
      <c r="C3" t="s">
        <v>7</v>
      </c>
      <c r="D3" s="1" t="s">
        <v>56</v>
      </c>
      <c r="E3">
        <f t="shared" ref="E3:E7" si="1">VALUE(LEFT(D3, FIND("-", D3)-1))</f>
        <v>5</v>
      </c>
      <c r="F3">
        <f t="shared" si="0"/>
        <v>7</v>
      </c>
      <c r="G3" t="s">
        <v>26</v>
      </c>
    </row>
    <row r="4" spans="1:7" x14ac:dyDescent="0.35">
      <c r="A4">
        <v>3</v>
      </c>
      <c r="B4" s="2">
        <v>45988</v>
      </c>
      <c r="C4" t="s">
        <v>7</v>
      </c>
      <c r="D4" s="1" t="s">
        <v>57</v>
      </c>
      <c r="E4">
        <f t="shared" si="1"/>
        <v>7</v>
      </c>
      <c r="F4">
        <f t="shared" si="0"/>
        <v>9</v>
      </c>
      <c r="G4" t="s">
        <v>19</v>
      </c>
    </row>
    <row r="5" spans="1:7" x14ac:dyDescent="0.35">
      <c r="A5">
        <v>4</v>
      </c>
      <c r="B5" s="2">
        <v>45995</v>
      </c>
      <c r="C5" t="s">
        <v>7</v>
      </c>
      <c r="D5" s="1" t="s">
        <v>58</v>
      </c>
      <c r="E5">
        <f t="shared" si="1"/>
        <v>13</v>
      </c>
      <c r="F5">
        <f t="shared" si="0"/>
        <v>8</v>
      </c>
      <c r="G5" t="s">
        <v>19</v>
      </c>
    </row>
    <row r="6" spans="1:7" x14ac:dyDescent="0.35">
      <c r="A6">
        <v>5</v>
      </c>
      <c r="B6" s="2">
        <v>46002</v>
      </c>
      <c r="C6" t="s">
        <v>7</v>
      </c>
      <c r="D6" s="1" t="s">
        <v>63</v>
      </c>
      <c r="E6">
        <f t="shared" si="1"/>
        <v>10</v>
      </c>
      <c r="F6">
        <f t="shared" si="0"/>
        <v>8</v>
      </c>
      <c r="G6" t="s">
        <v>44</v>
      </c>
    </row>
    <row r="7" spans="1:7" x14ac:dyDescent="0.35">
      <c r="A7">
        <v>6</v>
      </c>
      <c r="B7" s="2">
        <v>46009</v>
      </c>
      <c r="C7" t="s">
        <v>7</v>
      </c>
      <c r="D7" s="1" t="s">
        <v>65</v>
      </c>
      <c r="E7">
        <f t="shared" si="1"/>
        <v>16</v>
      </c>
      <c r="F7">
        <f t="shared" si="0"/>
        <v>17</v>
      </c>
      <c r="G7" t="s">
        <v>22</v>
      </c>
    </row>
    <row r="8" spans="1:7" x14ac:dyDescent="0.35">
      <c r="A8">
        <v>7</v>
      </c>
      <c r="B8" s="2">
        <v>46030</v>
      </c>
      <c r="C8" t="s">
        <v>7</v>
      </c>
      <c r="D8" s="1" t="s">
        <v>68</v>
      </c>
      <c r="E8">
        <f t="shared" ref="E8" si="2">VALUE(LEFT(D8, FIND("-", D8)-1))</f>
        <v>6</v>
      </c>
      <c r="F8">
        <f t="shared" ref="F8:F9" si="3">VALUE(MID(D8, FIND("-", D8)+1, 10))</f>
        <v>11</v>
      </c>
      <c r="G8" t="s">
        <v>66</v>
      </c>
    </row>
    <row r="9" spans="1:7" x14ac:dyDescent="0.35">
      <c r="A9">
        <v>8</v>
      </c>
      <c r="B9" s="2">
        <v>46037</v>
      </c>
      <c r="C9" t="s">
        <v>7</v>
      </c>
      <c r="D9" s="1" t="s">
        <v>69</v>
      </c>
      <c r="E9">
        <f t="shared" ref="E9" si="4">VALUE(LEFT(D9, FIND("-", D9)-1))</f>
        <v>5</v>
      </c>
      <c r="F9">
        <f t="shared" si="3"/>
        <v>5</v>
      </c>
      <c r="G9" t="s">
        <v>22</v>
      </c>
    </row>
    <row r="10" spans="1:7" x14ac:dyDescent="0.35">
      <c r="A10">
        <v>9</v>
      </c>
      <c r="B10" s="2">
        <v>46044</v>
      </c>
      <c r="C10" t="s">
        <v>7</v>
      </c>
      <c r="D10" s="1" t="s">
        <v>70</v>
      </c>
      <c r="E10">
        <f t="shared" ref="E10:E12" si="5">VALUE(LEFT(D10, FIND("-", D10)-1))</f>
        <v>3</v>
      </c>
      <c r="F10">
        <f t="shared" ref="F10:F12" si="6">VALUE(MID(D10, FIND("-", D10)+1, 10))</f>
        <v>6</v>
      </c>
      <c r="G10" t="s">
        <v>21</v>
      </c>
    </row>
    <row r="11" spans="1:7" x14ac:dyDescent="0.35">
      <c r="A11">
        <v>10</v>
      </c>
      <c r="B11" s="2">
        <v>46051</v>
      </c>
      <c r="C11" t="s">
        <v>7</v>
      </c>
      <c r="D11" s="1" t="s">
        <v>73</v>
      </c>
      <c r="E11">
        <f t="shared" si="5"/>
        <v>6</v>
      </c>
      <c r="F11">
        <f t="shared" si="6"/>
        <v>5</v>
      </c>
      <c r="G11" t="s">
        <v>46</v>
      </c>
    </row>
    <row r="12" spans="1:7" x14ac:dyDescent="0.35">
      <c r="A12">
        <v>11</v>
      </c>
      <c r="B12" s="2">
        <v>46058</v>
      </c>
      <c r="C12" t="s">
        <v>7</v>
      </c>
      <c r="D12" s="1" t="s">
        <v>72</v>
      </c>
      <c r="E12">
        <f t="shared" si="5"/>
        <v>2</v>
      </c>
      <c r="F12">
        <f t="shared" si="6"/>
        <v>3</v>
      </c>
      <c r="G12" t="s">
        <v>54</v>
      </c>
    </row>
  </sheetData>
  <phoneticPr fontId="3" type="noConversion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B32C8D9-6A4A-432E-9C63-B4C29A6D6188}">
          <x14:formula1>
            <xm:f>Players!$A:$A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36"/>
  <sheetViews>
    <sheetView tabSelected="1" topLeftCell="A104" workbookViewId="0">
      <selection activeCell="J122" sqref="J122"/>
    </sheetView>
  </sheetViews>
  <sheetFormatPr defaultRowHeight="14.5" x14ac:dyDescent="0.35"/>
  <cols>
    <col min="2" max="2" width="22.90625" customWidth="1"/>
    <col min="3" max="3" width="14.26953125" customWidth="1"/>
    <col min="5" max="5" width="14" customWidth="1"/>
    <col min="6" max="6" width="17.26953125" customWidth="1"/>
    <col min="8" max="8" width="18.81640625" customWidth="1"/>
  </cols>
  <sheetData>
    <row r="1" spans="1:10" s="4" customFormat="1" x14ac:dyDescent="0.35">
      <c r="A1" s="4" t="s">
        <v>0</v>
      </c>
      <c r="B1" s="4" t="s">
        <v>1</v>
      </c>
      <c r="C1" s="4" t="s">
        <v>9</v>
      </c>
      <c r="D1" s="4" t="s">
        <v>10</v>
      </c>
      <c r="E1" s="4" t="s">
        <v>11</v>
      </c>
      <c r="F1" s="4" t="s">
        <v>12</v>
      </c>
      <c r="G1" s="4" t="s">
        <v>13</v>
      </c>
      <c r="H1" s="4" t="s">
        <v>14</v>
      </c>
      <c r="I1" s="4" t="s">
        <v>15</v>
      </c>
      <c r="J1" s="4" t="s">
        <v>71</v>
      </c>
    </row>
    <row r="2" spans="1:10" x14ac:dyDescent="0.35">
      <c r="A2">
        <v>1</v>
      </c>
      <c r="B2" s="6">
        <f>VLOOKUP(A2,Matches!A:B,2,FALSE)</f>
        <v>45974</v>
      </c>
      <c r="C2" t="s">
        <v>16</v>
      </c>
      <c r="D2" t="s">
        <v>17</v>
      </c>
      <c r="E2">
        <f>IF(D2="A", INDEX(Matches!$E:$E, MATCH(A2, Matches!$A:$A, 0)), INDEX(Matches!$F:$F, MATCH(A2, Matches!$A:$A, 0)))</f>
        <v>7</v>
      </c>
      <c r="F2">
        <f>IF(D2="A", INDEX(Matches!$F:$F, MATCH(A2, Matches!$A:$A, 0)), INDEX(Matches!$E:$E, MATCH(A2, Matches!$A:$A, 0)))</f>
        <v>7</v>
      </c>
      <c r="G2" t="str">
        <f t="shared" ref="G2:G35" si="0">IF(E2&gt;F2,"Win",IF(E2&lt;F2,"Loss","Draw"))</f>
        <v>Draw</v>
      </c>
      <c r="H2">
        <v>2</v>
      </c>
      <c r="I2">
        <v>2</v>
      </c>
    </row>
    <row r="3" spans="1:10" x14ac:dyDescent="0.35">
      <c r="A3">
        <v>1</v>
      </c>
      <c r="B3" s="6">
        <f>VLOOKUP(A3,Matches!A:B,2,FALSE)</f>
        <v>45974</v>
      </c>
      <c r="C3" t="s">
        <v>18</v>
      </c>
      <c r="D3" t="s">
        <v>17</v>
      </c>
      <c r="E3">
        <f>IF(D3="A", INDEX(Matches!$E:$E, MATCH(A3, Matches!$A:$A, 0)), INDEX(Matches!$F:$F, MATCH(A3, Matches!$A:$A, 0)))</f>
        <v>7</v>
      </c>
      <c r="F3">
        <f>IF(D3="A", INDEX(Matches!$F:$F, MATCH(A3, Matches!$A:$A, 0)), INDEX(Matches!$E:$E, MATCH(A3, Matches!$A:$A, 0)))</f>
        <v>7</v>
      </c>
      <c r="G3" t="str">
        <f t="shared" si="0"/>
        <v>Draw</v>
      </c>
      <c r="H3">
        <v>2</v>
      </c>
      <c r="I3">
        <v>0</v>
      </c>
    </row>
    <row r="4" spans="1:10" x14ac:dyDescent="0.35">
      <c r="A4">
        <v>1</v>
      </c>
      <c r="B4" s="6">
        <f>VLOOKUP(A4,Matches!A:B,2,FALSE)</f>
        <v>45974</v>
      </c>
      <c r="C4" t="s">
        <v>19</v>
      </c>
      <c r="D4" t="s">
        <v>17</v>
      </c>
      <c r="E4">
        <f>IF(D4="A", INDEX(Matches!$E:$E, MATCH(A4, Matches!$A:$A, 0)), INDEX(Matches!$F:$F, MATCH(A4, Matches!$A:$A, 0)))</f>
        <v>7</v>
      </c>
      <c r="F4">
        <f>IF(D4="A", INDEX(Matches!$F:$F, MATCH(A4, Matches!$A:$A, 0)), INDEX(Matches!$E:$E, MATCH(A4, Matches!$A:$A, 0)))</f>
        <v>7</v>
      </c>
      <c r="G4" t="str">
        <f t="shared" si="0"/>
        <v>Draw</v>
      </c>
      <c r="H4">
        <v>2</v>
      </c>
      <c r="I4">
        <v>0</v>
      </c>
    </row>
    <row r="5" spans="1:10" x14ac:dyDescent="0.35">
      <c r="A5">
        <v>1</v>
      </c>
      <c r="B5" s="6">
        <f>VLOOKUP(A5,Matches!A:B,2,FALSE)</f>
        <v>45974</v>
      </c>
      <c r="C5" t="s">
        <v>20</v>
      </c>
      <c r="D5" t="s">
        <v>17</v>
      </c>
      <c r="E5">
        <f>IF(D5="A", INDEX(Matches!$E:$E, MATCH(A5, Matches!$A:$A, 0)), INDEX(Matches!$F:$F, MATCH(A5, Matches!$A:$A, 0)))</f>
        <v>7</v>
      </c>
      <c r="F5">
        <f>IF(D5="A", INDEX(Matches!$F:$F, MATCH(A5, Matches!$A:$A, 0)), INDEX(Matches!$E:$E, MATCH(A5, Matches!$A:$A, 0)))</f>
        <v>7</v>
      </c>
      <c r="G5" t="str">
        <f t="shared" si="0"/>
        <v>Draw</v>
      </c>
      <c r="H5">
        <v>0</v>
      </c>
      <c r="I5">
        <v>0</v>
      </c>
    </row>
    <row r="6" spans="1:10" x14ac:dyDescent="0.35">
      <c r="A6">
        <v>1</v>
      </c>
      <c r="B6" s="6">
        <f>VLOOKUP(A6,Matches!A:B,2,FALSE)</f>
        <v>45974</v>
      </c>
      <c r="C6" t="s">
        <v>21</v>
      </c>
      <c r="D6" t="s">
        <v>17</v>
      </c>
      <c r="E6">
        <f>IF(D6="A", INDEX(Matches!$E:$E, MATCH(A6, Matches!$A:$A, 0)), INDEX(Matches!$F:$F, MATCH(A6, Matches!$A:$A, 0)))</f>
        <v>7</v>
      </c>
      <c r="F6">
        <f>IF(D6="A", INDEX(Matches!$F:$F, MATCH(A6, Matches!$A:$A, 0)), INDEX(Matches!$E:$E, MATCH(A6, Matches!$A:$A, 0)))</f>
        <v>7</v>
      </c>
      <c r="G6" t="str">
        <f t="shared" si="0"/>
        <v>Draw</v>
      </c>
      <c r="H6">
        <v>0</v>
      </c>
      <c r="I6">
        <v>0</v>
      </c>
    </row>
    <row r="7" spans="1:10" x14ac:dyDescent="0.35">
      <c r="A7">
        <v>1</v>
      </c>
      <c r="B7" s="6">
        <f>VLOOKUP(A7,Matches!A:B,2,FALSE)</f>
        <v>45974</v>
      </c>
      <c r="C7" t="s">
        <v>22</v>
      </c>
      <c r="D7" t="s">
        <v>23</v>
      </c>
      <c r="E7">
        <f>IF(D7="A", INDEX(Matches!$E:$E, MATCH(A7, Matches!$A:$A, 0)), INDEX(Matches!$F:$F, MATCH(A7, Matches!$A:$A, 0)))</f>
        <v>7</v>
      </c>
      <c r="F7">
        <f>IF(D7="A", INDEX(Matches!$F:$F, MATCH(A7, Matches!$A:$A, 0)), INDEX(Matches!$E:$E, MATCH(A7, Matches!$A:$A, 0)))</f>
        <v>7</v>
      </c>
      <c r="G7" t="str">
        <f t="shared" si="0"/>
        <v>Draw</v>
      </c>
      <c r="H7">
        <v>0</v>
      </c>
      <c r="I7">
        <v>0</v>
      </c>
    </row>
    <row r="8" spans="1:10" x14ac:dyDescent="0.35">
      <c r="A8">
        <v>1</v>
      </c>
      <c r="B8" s="6">
        <f>VLOOKUP(A8,Matches!A:B,2,FALSE)</f>
        <v>45974</v>
      </c>
      <c r="C8" t="s">
        <v>24</v>
      </c>
      <c r="D8" t="s">
        <v>23</v>
      </c>
      <c r="E8">
        <f>IF(D8="A", INDEX(Matches!$E:$E, MATCH(A8, Matches!$A:$A, 0)), INDEX(Matches!$F:$F, MATCH(A8, Matches!$A:$A, 0)))</f>
        <v>7</v>
      </c>
      <c r="F8">
        <f>IF(D8="A", INDEX(Matches!$F:$F, MATCH(A8, Matches!$A:$A, 0)), INDEX(Matches!$E:$E, MATCH(A8, Matches!$A:$A, 0)))</f>
        <v>7</v>
      </c>
      <c r="G8" t="str">
        <f t="shared" si="0"/>
        <v>Draw</v>
      </c>
      <c r="H8">
        <v>1</v>
      </c>
      <c r="I8">
        <v>0</v>
      </c>
    </row>
    <row r="9" spans="1:10" x14ac:dyDescent="0.35">
      <c r="A9">
        <v>1</v>
      </c>
      <c r="B9" s="6">
        <f>VLOOKUP(A9,Matches!A:B,2,FALSE)</f>
        <v>45974</v>
      </c>
      <c r="C9" t="s">
        <v>25</v>
      </c>
      <c r="D9" t="s">
        <v>23</v>
      </c>
      <c r="E9">
        <f>IF(D9="A", INDEX(Matches!$E:$E, MATCH(A9, Matches!$A:$A, 0)), INDEX(Matches!$F:$F, MATCH(A9, Matches!$A:$A, 0)))</f>
        <v>7</v>
      </c>
      <c r="F9">
        <f>IF(D9="A", INDEX(Matches!$F:$F, MATCH(A9, Matches!$A:$A, 0)), INDEX(Matches!$E:$E, MATCH(A9, Matches!$A:$A, 0)))</f>
        <v>7</v>
      </c>
      <c r="G9" t="str">
        <f t="shared" si="0"/>
        <v>Draw</v>
      </c>
      <c r="H9">
        <v>0</v>
      </c>
      <c r="I9">
        <v>0</v>
      </c>
    </row>
    <row r="10" spans="1:10" x14ac:dyDescent="0.35">
      <c r="A10">
        <v>1</v>
      </c>
      <c r="B10" s="6">
        <f>VLOOKUP(A10,Matches!A:B,2,FALSE)</f>
        <v>45974</v>
      </c>
      <c r="C10" t="s">
        <v>26</v>
      </c>
      <c r="D10" t="s">
        <v>23</v>
      </c>
      <c r="E10">
        <f>IF(D10="A", INDEX(Matches!$E:$E, MATCH(A10, Matches!$A:$A, 0)), INDEX(Matches!$F:$F, MATCH(A10, Matches!$A:$A, 0)))</f>
        <v>7</v>
      </c>
      <c r="F10">
        <f>IF(D10="A", INDEX(Matches!$F:$F, MATCH(A10, Matches!$A:$A, 0)), INDEX(Matches!$E:$E, MATCH(A10, Matches!$A:$A, 0)))</f>
        <v>7</v>
      </c>
      <c r="G10" t="str">
        <f t="shared" si="0"/>
        <v>Draw</v>
      </c>
      <c r="H10">
        <v>3</v>
      </c>
      <c r="I10">
        <v>2</v>
      </c>
    </row>
    <row r="11" spans="1:10" x14ac:dyDescent="0.35">
      <c r="A11">
        <v>1</v>
      </c>
      <c r="B11" s="6">
        <f>VLOOKUP(A11,Matches!A:B,2,FALSE)</f>
        <v>45974</v>
      </c>
      <c r="C11" t="s">
        <v>27</v>
      </c>
      <c r="D11" t="s">
        <v>23</v>
      </c>
      <c r="E11">
        <f>IF(D11="A", INDEX(Matches!$E:$E, MATCH(A11, Matches!$A:$A, 0)), INDEX(Matches!$F:$F, MATCH(A11, Matches!$A:$A, 0)))</f>
        <v>7</v>
      </c>
      <c r="F11">
        <f>IF(D11="A", INDEX(Matches!$F:$F, MATCH(A11, Matches!$A:$A, 0)), INDEX(Matches!$E:$E, MATCH(A11, Matches!$A:$A, 0)))</f>
        <v>7</v>
      </c>
      <c r="G11" t="str">
        <f t="shared" si="0"/>
        <v>Draw</v>
      </c>
      <c r="H11">
        <v>0</v>
      </c>
      <c r="I11">
        <v>0</v>
      </c>
    </row>
    <row r="12" spans="1:10" x14ac:dyDescent="0.35">
      <c r="A12">
        <v>2</v>
      </c>
      <c r="B12" s="6">
        <f>VLOOKUP(A12,Matches!A:B,2,FALSE)</f>
        <v>45981</v>
      </c>
      <c r="C12" t="s">
        <v>53</v>
      </c>
      <c r="D12" t="s">
        <v>17</v>
      </c>
      <c r="E12">
        <f>IF(D12="A", INDEX(Matches!$E:$E, MATCH(A12, Matches!$A:$A, 0)), INDEX(Matches!$F:$F, MATCH(A12, Matches!$A:$A, 0)))</f>
        <v>5</v>
      </c>
      <c r="F12">
        <f>IF(D12="A", INDEX(Matches!$F:$F, MATCH(A12, Matches!$A:$A, 0)), INDEX(Matches!$E:$E, MATCH(A12, Matches!$A:$A, 0)))</f>
        <v>7</v>
      </c>
      <c r="G12" t="str">
        <f t="shared" si="0"/>
        <v>Loss</v>
      </c>
      <c r="H12">
        <v>1</v>
      </c>
      <c r="I12">
        <v>0</v>
      </c>
    </row>
    <row r="13" spans="1:10" x14ac:dyDescent="0.35">
      <c r="A13">
        <v>2</v>
      </c>
      <c r="B13" s="6">
        <f>VLOOKUP(A13,Matches!A:B,2,FALSE)</f>
        <v>45981</v>
      </c>
      <c r="C13" t="s">
        <v>19</v>
      </c>
      <c r="D13" t="s">
        <v>17</v>
      </c>
      <c r="E13">
        <f>IF(D13="A", INDEX(Matches!$E:$E, MATCH(A13, Matches!$A:$A, 0)), INDEX(Matches!$F:$F, MATCH(A13, Matches!$A:$A, 0)))</f>
        <v>5</v>
      </c>
      <c r="F13">
        <f>IF(D13="A", INDEX(Matches!$F:$F, MATCH(A13, Matches!$A:$A, 0)), INDEX(Matches!$E:$E, MATCH(A13, Matches!$A:$A, 0)))</f>
        <v>7</v>
      </c>
      <c r="G13" t="str">
        <f t="shared" si="0"/>
        <v>Loss</v>
      </c>
      <c r="H13">
        <v>1</v>
      </c>
      <c r="I13">
        <v>0</v>
      </c>
    </row>
    <row r="14" spans="1:10" x14ac:dyDescent="0.35">
      <c r="A14">
        <v>2</v>
      </c>
      <c r="B14" s="6">
        <f>VLOOKUP(A14,Matches!A:B,2,FALSE)</f>
        <v>45981</v>
      </c>
      <c r="C14" t="s">
        <v>20</v>
      </c>
      <c r="D14" t="s">
        <v>17</v>
      </c>
      <c r="E14">
        <f>IF(D14="A", INDEX(Matches!$E:$E, MATCH(A14, Matches!$A:$A, 0)), INDEX(Matches!$F:$F, MATCH(A14, Matches!$A:$A, 0)))</f>
        <v>5</v>
      </c>
      <c r="F14">
        <f>IF(D14="A", INDEX(Matches!$F:$F, MATCH(A14, Matches!$A:$A, 0)), INDEX(Matches!$E:$E, MATCH(A14, Matches!$A:$A, 0)))</f>
        <v>7</v>
      </c>
      <c r="G14" t="str">
        <f t="shared" si="0"/>
        <v>Loss</v>
      </c>
      <c r="H14">
        <v>1</v>
      </c>
      <c r="I14">
        <v>0</v>
      </c>
    </row>
    <row r="15" spans="1:10" x14ac:dyDescent="0.35">
      <c r="A15">
        <v>2</v>
      </c>
      <c r="B15" s="6">
        <f>VLOOKUP(A15,Matches!A:B,2,FALSE)</f>
        <v>45981</v>
      </c>
      <c r="C15" t="s">
        <v>42</v>
      </c>
      <c r="D15" t="s">
        <v>17</v>
      </c>
      <c r="E15">
        <f>IF(D15="A", INDEX(Matches!$E:$E, MATCH(A15, Matches!$A:$A, 0)), INDEX(Matches!$F:$F, MATCH(A15, Matches!$A:$A, 0)))</f>
        <v>5</v>
      </c>
      <c r="F15">
        <f>IF(D15="A", INDEX(Matches!$F:$F, MATCH(A15, Matches!$A:$A, 0)), INDEX(Matches!$E:$E, MATCH(A15, Matches!$A:$A, 0)))</f>
        <v>7</v>
      </c>
      <c r="G15" t="str">
        <f t="shared" si="0"/>
        <v>Loss</v>
      </c>
      <c r="H15">
        <v>1</v>
      </c>
      <c r="I15">
        <v>0</v>
      </c>
    </row>
    <row r="16" spans="1:10" x14ac:dyDescent="0.35">
      <c r="A16">
        <v>2</v>
      </c>
      <c r="B16" s="6">
        <f>VLOOKUP(A16,Matches!A:B,2,FALSE)</f>
        <v>45981</v>
      </c>
      <c r="C16" t="s">
        <v>43</v>
      </c>
      <c r="D16" t="s">
        <v>17</v>
      </c>
      <c r="E16">
        <f>IF(D16="A", INDEX(Matches!$E:$E, MATCH(A16, Matches!$A:$A, 0)), INDEX(Matches!$F:$F, MATCH(A16, Matches!$A:$A, 0)))</f>
        <v>5</v>
      </c>
      <c r="F16">
        <f>IF(D16="A", INDEX(Matches!$F:$F, MATCH(A16, Matches!$A:$A, 0)), INDEX(Matches!$E:$E, MATCH(A16, Matches!$A:$A, 0)))</f>
        <v>7</v>
      </c>
      <c r="G16" t="str">
        <f t="shared" si="0"/>
        <v>Loss</v>
      </c>
      <c r="H16">
        <v>0</v>
      </c>
      <c r="I16">
        <v>0</v>
      </c>
    </row>
    <row r="17" spans="1:9" x14ac:dyDescent="0.35">
      <c r="A17">
        <v>2</v>
      </c>
      <c r="B17" s="6">
        <f>VLOOKUP(A17,Matches!A:B,2,FALSE)</f>
        <v>45981</v>
      </c>
      <c r="C17" t="s">
        <v>21</v>
      </c>
      <c r="D17" t="s">
        <v>17</v>
      </c>
      <c r="E17">
        <f>IF(D17="A", INDEX(Matches!$E:$E, MATCH(A17, Matches!$A:$A, 0)), INDEX(Matches!$F:$F, MATCH(A17, Matches!$A:$A, 0)))</f>
        <v>5</v>
      </c>
      <c r="F17">
        <f>IF(D17="A", INDEX(Matches!$F:$F, MATCH(A17, Matches!$A:$A, 0)), INDEX(Matches!$E:$E, MATCH(A17, Matches!$A:$A, 0)))</f>
        <v>7</v>
      </c>
      <c r="G17" t="str">
        <f t="shared" si="0"/>
        <v>Loss</v>
      </c>
      <c r="H17">
        <v>1</v>
      </c>
      <c r="I17">
        <v>0</v>
      </c>
    </row>
    <row r="18" spans="1:9" x14ac:dyDescent="0.35">
      <c r="A18">
        <v>2</v>
      </c>
      <c r="B18" s="6">
        <f>VLOOKUP(A18,Matches!A:B,2,FALSE)</f>
        <v>45981</v>
      </c>
      <c r="C18" t="s">
        <v>54</v>
      </c>
      <c r="D18" t="s">
        <v>17</v>
      </c>
      <c r="E18">
        <f>IF(D18="A", INDEX(Matches!$E:$E, MATCH(A18, Matches!$A:$A, 0)), INDEX(Matches!$F:$F, MATCH(A18, Matches!$A:$A, 0)))</f>
        <v>5</v>
      </c>
      <c r="F18">
        <f>IF(D18="A", INDEX(Matches!$F:$F, MATCH(A18, Matches!$A:$A, 0)), INDEX(Matches!$E:$E, MATCH(A18, Matches!$A:$A, 0)))</f>
        <v>7</v>
      </c>
      <c r="G18" t="str">
        <f t="shared" si="0"/>
        <v>Loss</v>
      </c>
      <c r="H18">
        <v>0</v>
      </c>
      <c r="I18">
        <v>0</v>
      </c>
    </row>
    <row r="19" spans="1:9" x14ac:dyDescent="0.35">
      <c r="A19">
        <v>2</v>
      </c>
      <c r="B19" s="6">
        <f>VLOOKUP(A19,Matches!A:B,2,FALSE)</f>
        <v>45981</v>
      </c>
      <c r="C19" t="s">
        <v>22</v>
      </c>
      <c r="D19" t="s">
        <v>23</v>
      </c>
      <c r="E19">
        <f>IF(D19="A", INDEX(Matches!$E:$E, MATCH(A19, Matches!$A:$A, 0)), INDEX(Matches!$F:$F, MATCH(A19, Matches!$A:$A, 0)))</f>
        <v>7</v>
      </c>
      <c r="F19">
        <f>IF(D19="A", INDEX(Matches!$F:$F, MATCH(A19, Matches!$A:$A, 0)), INDEX(Matches!$E:$E, MATCH(A19, Matches!$A:$A, 0)))</f>
        <v>5</v>
      </c>
      <c r="G19" t="str">
        <f t="shared" si="0"/>
        <v>Win</v>
      </c>
      <c r="H19">
        <v>0</v>
      </c>
      <c r="I19">
        <v>0</v>
      </c>
    </row>
    <row r="20" spans="1:9" x14ac:dyDescent="0.35">
      <c r="A20">
        <v>2</v>
      </c>
      <c r="B20" s="6">
        <f>VLOOKUP(A20,Matches!A:B,2,FALSE)</f>
        <v>45981</v>
      </c>
      <c r="C20" t="s">
        <v>25</v>
      </c>
      <c r="D20" t="s">
        <v>23</v>
      </c>
      <c r="E20">
        <f>IF(D20="A", INDEX(Matches!$E:$E, MATCH(A20, Matches!$A:$A, 0)), INDEX(Matches!$F:$F, MATCH(A20, Matches!$A:$A, 0)))</f>
        <v>7</v>
      </c>
      <c r="F20">
        <f>IF(D20="A", INDEX(Matches!$F:$F, MATCH(A20, Matches!$A:$A, 0)), INDEX(Matches!$E:$E, MATCH(A20, Matches!$A:$A, 0)))</f>
        <v>5</v>
      </c>
      <c r="G20" t="str">
        <f t="shared" si="0"/>
        <v>Win</v>
      </c>
      <c r="H20">
        <v>2</v>
      </c>
      <c r="I20">
        <v>0</v>
      </c>
    </row>
    <row r="21" spans="1:9" x14ac:dyDescent="0.35">
      <c r="A21">
        <v>2</v>
      </c>
      <c r="B21" s="6">
        <f>VLOOKUP(A21,Matches!A:B,2,FALSE)</f>
        <v>45981</v>
      </c>
      <c r="C21" t="s">
        <v>24</v>
      </c>
      <c r="D21" t="s">
        <v>23</v>
      </c>
      <c r="E21">
        <f>IF(D21="A", INDEX(Matches!$E:$E, MATCH(A21, Matches!$A:$A, 0)), INDEX(Matches!$F:$F, MATCH(A21, Matches!$A:$A, 0)))</f>
        <v>7</v>
      </c>
      <c r="F21">
        <f>IF(D21="A", INDEX(Matches!$F:$F, MATCH(A21, Matches!$A:$A, 0)), INDEX(Matches!$E:$E, MATCH(A21, Matches!$A:$A, 0)))</f>
        <v>5</v>
      </c>
      <c r="G21" t="str">
        <f t="shared" si="0"/>
        <v>Win</v>
      </c>
      <c r="H21">
        <v>0</v>
      </c>
      <c r="I21">
        <v>0</v>
      </c>
    </row>
    <row r="22" spans="1:9" x14ac:dyDescent="0.35">
      <c r="A22">
        <v>2</v>
      </c>
      <c r="B22" s="6">
        <f>VLOOKUP(A22,Matches!A:B,2,FALSE)</f>
        <v>45981</v>
      </c>
      <c r="C22" t="s">
        <v>26</v>
      </c>
      <c r="D22" t="s">
        <v>23</v>
      </c>
      <c r="E22">
        <f>IF(D22="A", INDEX(Matches!$E:$E, MATCH(A22, Matches!$A:$A, 0)), INDEX(Matches!$F:$F, MATCH(A22, Matches!$A:$A, 0)))</f>
        <v>7</v>
      </c>
      <c r="F22">
        <f>IF(D22="A", INDEX(Matches!$F:$F, MATCH(A22, Matches!$A:$A, 0)), INDEX(Matches!$E:$E, MATCH(A22, Matches!$A:$A, 0)))</f>
        <v>5</v>
      </c>
      <c r="G22" t="str">
        <f t="shared" si="0"/>
        <v>Win</v>
      </c>
      <c r="H22">
        <v>2</v>
      </c>
      <c r="I22">
        <v>0</v>
      </c>
    </row>
    <row r="23" spans="1:9" x14ac:dyDescent="0.35">
      <c r="A23">
        <v>2</v>
      </c>
      <c r="B23" s="6">
        <f>VLOOKUP(A23,Matches!A:B,2,FALSE)</f>
        <v>45981</v>
      </c>
      <c r="C23" t="s">
        <v>50</v>
      </c>
      <c r="D23" t="s">
        <v>23</v>
      </c>
      <c r="E23">
        <f>IF(D23="A", INDEX(Matches!$E:$E, MATCH(A23, Matches!$A:$A, 0)), INDEX(Matches!$F:$F, MATCH(A23, Matches!$A:$A, 0)))</f>
        <v>7</v>
      </c>
      <c r="F23">
        <f>IF(D23="A", INDEX(Matches!$F:$F, MATCH(A23, Matches!$A:$A, 0)), INDEX(Matches!$E:$E, MATCH(A23, Matches!$A:$A, 0)))</f>
        <v>5</v>
      </c>
      <c r="G23" t="str">
        <f t="shared" si="0"/>
        <v>Win</v>
      </c>
      <c r="H23">
        <v>2</v>
      </c>
      <c r="I23">
        <v>0</v>
      </c>
    </row>
    <row r="24" spans="1:9" x14ac:dyDescent="0.35">
      <c r="A24">
        <v>2</v>
      </c>
      <c r="B24" s="6">
        <f>VLOOKUP(A24,Matches!A:B,2,FALSE)</f>
        <v>45981</v>
      </c>
      <c r="C24" t="s">
        <v>46</v>
      </c>
      <c r="D24" t="s">
        <v>23</v>
      </c>
      <c r="E24">
        <f>IF(D24="A", INDEX(Matches!$E:$E, MATCH(A24, Matches!$A:$A, 0)), INDEX(Matches!$F:$F, MATCH(A24, Matches!$A:$A, 0)))</f>
        <v>7</v>
      </c>
      <c r="F24">
        <f>IF(D24="A", INDEX(Matches!$F:$F, MATCH(A24, Matches!$A:$A, 0)), INDEX(Matches!$E:$E, MATCH(A24, Matches!$A:$A, 0)))</f>
        <v>5</v>
      </c>
      <c r="G24" t="str">
        <f t="shared" si="0"/>
        <v>Win</v>
      </c>
      <c r="H24">
        <v>1</v>
      </c>
      <c r="I24">
        <v>0</v>
      </c>
    </row>
    <row r="25" spans="1:9" x14ac:dyDescent="0.35">
      <c r="A25">
        <v>2</v>
      </c>
      <c r="B25" s="6">
        <f>VLOOKUP(A25,Matches!A:B,2,FALSE)</f>
        <v>45981</v>
      </c>
      <c r="C25" t="s">
        <v>40</v>
      </c>
      <c r="D25" t="s">
        <v>23</v>
      </c>
      <c r="E25">
        <f>IF(D25="A", INDEX(Matches!$E:$E, MATCH(A25, Matches!$A:$A, 0)), INDEX(Matches!$F:$F, MATCH(A25, Matches!$A:$A, 0)))</f>
        <v>7</v>
      </c>
      <c r="F25">
        <f>IF(D25="A", INDEX(Matches!$F:$F, MATCH(A25, Matches!$A:$A, 0)), INDEX(Matches!$E:$E, MATCH(A25, Matches!$A:$A, 0)))</f>
        <v>5</v>
      </c>
      <c r="G25" t="str">
        <f t="shared" si="0"/>
        <v>Win</v>
      </c>
      <c r="H25">
        <v>0</v>
      </c>
      <c r="I25">
        <v>0</v>
      </c>
    </row>
    <row r="26" spans="1:9" x14ac:dyDescent="0.35">
      <c r="A26">
        <v>3</v>
      </c>
      <c r="B26" s="6">
        <v>45988</v>
      </c>
      <c r="C26" t="s">
        <v>53</v>
      </c>
      <c r="D26" t="s">
        <v>17</v>
      </c>
      <c r="E26">
        <f>IF(D26="A", INDEX(Matches!$E:$E, MATCH(A26, Matches!$A:$A, 0)), INDEX(Matches!$F:$F, MATCH(A26, Matches!$A:$A, 0)))</f>
        <v>7</v>
      </c>
      <c r="F26">
        <f>IF(D26="A", INDEX(Matches!$F:$F, MATCH(A26, Matches!$A:$A, 0)), INDEX(Matches!$E:$E, MATCH(A26, Matches!$A:$A, 0)))</f>
        <v>9</v>
      </c>
      <c r="G26" t="str">
        <f t="shared" si="0"/>
        <v>Loss</v>
      </c>
      <c r="H26">
        <v>2</v>
      </c>
      <c r="I26">
        <v>1</v>
      </c>
    </row>
    <row r="27" spans="1:9" x14ac:dyDescent="0.35">
      <c r="A27">
        <v>3</v>
      </c>
      <c r="B27" s="6">
        <v>45988</v>
      </c>
      <c r="C27" t="s">
        <v>44</v>
      </c>
      <c r="D27" t="s">
        <v>17</v>
      </c>
      <c r="E27">
        <f>IF(D27="A", INDEX(Matches!$E:$E, MATCH(A27, Matches!$A:$A, 0)), INDEX(Matches!$F:$F, MATCH(A27, Matches!$A:$A, 0)))</f>
        <v>7</v>
      </c>
      <c r="F27">
        <f>IF(D27="A", INDEX(Matches!$F:$F, MATCH(A27, Matches!$A:$A, 0)), INDEX(Matches!$E:$E, MATCH(A27, Matches!$A:$A, 0)))</f>
        <v>9</v>
      </c>
      <c r="G27" t="str">
        <f t="shared" si="0"/>
        <v>Loss</v>
      </c>
      <c r="H27">
        <v>1</v>
      </c>
      <c r="I27">
        <v>0</v>
      </c>
    </row>
    <row r="28" spans="1:9" x14ac:dyDescent="0.35">
      <c r="A28">
        <v>3</v>
      </c>
      <c r="B28" s="6">
        <v>45988</v>
      </c>
      <c r="C28" t="s">
        <v>46</v>
      </c>
      <c r="D28" t="s">
        <v>17</v>
      </c>
      <c r="E28">
        <f>IF(D28="A", INDEX(Matches!$E:$E, MATCH(A28, Matches!$A:$A, 0)), INDEX(Matches!$F:$F, MATCH(A28, Matches!$A:$A, 0)))</f>
        <v>7</v>
      </c>
      <c r="F28">
        <f>IF(D28="A", INDEX(Matches!$F:$F, MATCH(A28, Matches!$A:$A, 0)), INDEX(Matches!$E:$E, MATCH(A28, Matches!$A:$A, 0)))</f>
        <v>9</v>
      </c>
      <c r="G28" t="str">
        <f t="shared" si="0"/>
        <v>Loss</v>
      </c>
      <c r="H28">
        <v>4</v>
      </c>
      <c r="I28">
        <v>0</v>
      </c>
    </row>
    <row r="29" spans="1:9" x14ac:dyDescent="0.35">
      <c r="A29">
        <v>3</v>
      </c>
      <c r="B29" s="6">
        <v>45988</v>
      </c>
      <c r="C29" t="s">
        <v>25</v>
      </c>
      <c r="D29" t="s">
        <v>17</v>
      </c>
      <c r="E29">
        <f>IF(D29="A", INDEX(Matches!$E:$E, MATCH(A29, Matches!$A:$A, 0)), INDEX(Matches!$F:$F, MATCH(A29, Matches!$A:$A, 0)))</f>
        <v>7</v>
      </c>
      <c r="F29">
        <f>IF(D29="A", INDEX(Matches!$F:$F, MATCH(A29, Matches!$A:$A, 0)), INDEX(Matches!$E:$E, MATCH(A29, Matches!$A:$A, 0)))</f>
        <v>9</v>
      </c>
      <c r="G29" t="str">
        <f t="shared" si="0"/>
        <v>Loss</v>
      </c>
      <c r="H29">
        <v>0</v>
      </c>
      <c r="I29">
        <v>1</v>
      </c>
    </row>
    <row r="30" spans="1:9" x14ac:dyDescent="0.35">
      <c r="A30">
        <v>3</v>
      </c>
      <c r="B30" s="6">
        <v>45988</v>
      </c>
      <c r="C30" t="s">
        <v>21</v>
      </c>
      <c r="D30" t="s">
        <v>17</v>
      </c>
      <c r="E30">
        <f>IF(D30="A", INDEX(Matches!$E:$E, MATCH(A30, Matches!$A:$A, 0)), INDEX(Matches!$F:$F, MATCH(A30, Matches!$A:$A, 0)))</f>
        <v>7</v>
      </c>
      <c r="F30">
        <f>IF(D30="A", INDEX(Matches!$F:$F, MATCH(A30, Matches!$A:$A, 0)), INDEX(Matches!$E:$E, MATCH(A30, Matches!$A:$A, 0)))</f>
        <v>9</v>
      </c>
      <c r="G30" t="str">
        <f t="shared" si="0"/>
        <v>Loss</v>
      </c>
      <c r="H30">
        <v>0</v>
      </c>
      <c r="I30">
        <v>2</v>
      </c>
    </row>
    <row r="31" spans="1:9" x14ac:dyDescent="0.35">
      <c r="A31">
        <v>3</v>
      </c>
      <c r="B31" s="6">
        <v>45988</v>
      </c>
      <c r="C31" t="s">
        <v>19</v>
      </c>
      <c r="D31" t="s">
        <v>23</v>
      </c>
      <c r="E31">
        <f>IF(D31="A", INDEX(Matches!$E:$E, MATCH(A31, Matches!$A:$A, 0)), INDEX(Matches!$F:$F, MATCH(A31, Matches!$A:$A, 0)))</f>
        <v>9</v>
      </c>
      <c r="F31">
        <f>IF(D31="A", INDEX(Matches!$F:$F, MATCH(A31, Matches!$A:$A, 0)), INDEX(Matches!$E:$E, MATCH(A31, Matches!$A:$A, 0)))</f>
        <v>7</v>
      </c>
      <c r="G31" t="str">
        <f t="shared" si="0"/>
        <v>Win</v>
      </c>
      <c r="H31">
        <v>3</v>
      </c>
      <c r="I31">
        <v>3</v>
      </c>
    </row>
    <row r="32" spans="1:9" x14ac:dyDescent="0.35">
      <c r="A32">
        <v>3</v>
      </c>
      <c r="B32" s="6">
        <v>45988</v>
      </c>
      <c r="C32" t="s">
        <v>22</v>
      </c>
      <c r="D32" t="s">
        <v>23</v>
      </c>
      <c r="E32">
        <f>IF(D32="A", INDEX(Matches!$E:$E, MATCH(A32, Matches!$A:$A, 0)), INDEX(Matches!$F:$F, MATCH(A32, Matches!$A:$A, 0)))</f>
        <v>9</v>
      </c>
      <c r="F32">
        <f>IF(D32="A", INDEX(Matches!$F:$F, MATCH(A32, Matches!$A:$A, 0)), INDEX(Matches!$E:$E, MATCH(A32, Matches!$A:$A, 0)))</f>
        <v>7</v>
      </c>
      <c r="G32" t="str">
        <f t="shared" si="0"/>
        <v>Win</v>
      </c>
      <c r="H32">
        <v>2</v>
      </c>
      <c r="I32">
        <v>1</v>
      </c>
    </row>
    <row r="33" spans="1:9" x14ac:dyDescent="0.35">
      <c r="A33">
        <v>3</v>
      </c>
      <c r="B33" s="6">
        <v>45988</v>
      </c>
      <c r="C33" t="s">
        <v>42</v>
      </c>
      <c r="D33" t="s">
        <v>23</v>
      </c>
      <c r="E33">
        <f>IF(D33="A", INDEX(Matches!$E:$E, MATCH(A33, Matches!$A:$A, 0)), INDEX(Matches!$F:$F, MATCH(A33, Matches!$A:$A, 0)))</f>
        <v>9</v>
      </c>
      <c r="F33">
        <f>IF(D33="A", INDEX(Matches!$F:$F, MATCH(A33, Matches!$A:$A, 0)), INDEX(Matches!$E:$E, MATCH(A33, Matches!$A:$A, 0)))</f>
        <v>7</v>
      </c>
      <c r="G33" t="str">
        <f t="shared" si="0"/>
        <v>Win</v>
      </c>
      <c r="H33">
        <v>3</v>
      </c>
      <c r="I33">
        <v>1</v>
      </c>
    </row>
    <row r="34" spans="1:9" x14ac:dyDescent="0.35">
      <c r="A34">
        <v>3</v>
      </c>
      <c r="B34" s="6">
        <v>45988</v>
      </c>
      <c r="C34" t="s">
        <v>49</v>
      </c>
      <c r="D34" t="s">
        <v>23</v>
      </c>
      <c r="E34">
        <f>IF(D34="A", INDEX(Matches!$E:$E, MATCH(A34, Matches!$A:$A, 0)), INDEX(Matches!$F:$F, MATCH(A34, Matches!$A:$A, 0)))</f>
        <v>9</v>
      </c>
      <c r="F34">
        <f>IF(D34="A", INDEX(Matches!$F:$F, MATCH(A34, Matches!$A:$A, 0)), INDEX(Matches!$E:$E, MATCH(A34, Matches!$A:$A, 0)))</f>
        <v>7</v>
      </c>
      <c r="G34" t="str">
        <f t="shared" si="0"/>
        <v>Win</v>
      </c>
      <c r="H34">
        <v>1</v>
      </c>
      <c r="I34">
        <v>1</v>
      </c>
    </row>
    <row r="35" spans="1:9" x14ac:dyDescent="0.35">
      <c r="A35">
        <v>3</v>
      </c>
      <c r="B35" s="6">
        <v>45988</v>
      </c>
      <c r="C35" t="s">
        <v>43</v>
      </c>
      <c r="D35" t="s">
        <v>23</v>
      </c>
      <c r="E35">
        <f>IF(D35="A", INDEX(Matches!$E:$E, MATCH(A35, Matches!$A:$A, 0)), INDEX(Matches!$F:$F, MATCH(A35, Matches!$A:$A, 0)))</f>
        <v>9</v>
      </c>
      <c r="F35">
        <f>IF(D35="A", INDEX(Matches!$F:$F, MATCH(A35, Matches!$A:$A, 0)), INDEX(Matches!$E:$E, MATCH(A35, Matches!$A:$A, 0)))</f>
        <v>7</v>
      </c>
      <c r="G35" t="str">
        <f t="shared" si="0"/>
        <v>Win</v>
      </c>
      <c r="H35">
        <v>0</v>
      </c>
      <c r="I35">
        <v>1</v>
      </c>
    </row>
    <row r="36" spans="1:9" x14ac:dyDescent="0.35">
      <c r="A36">
        <v>4</v>
      </c>
      <c r="B36" s="6">
        <v>45995</v>
      </c>
      <c r="C36" t="s">
        <v>53</v>
      </c>
      <c r="D36" t="s">
        <v>17</v>
      </c>
      <c r="E36">
        <f>IF(D36="A", INDEX(Matches!$E:$E, MATCH(A36, Matches!$A:$A, 0)), INDEX(Matches!$F:$F, MATCH(A36, Matches!$A:$A, 0)))</f>
        <v>13</v>
      </c>
      <c r="F36">
        <f>IF(D36="A", INDEX(Matches!$F:$F, MATCH(A36, Matches!$A:$A, 0)), INDEX(Matches!$E:$E, MATCH(A36, Matches!$A:$A, 0)))</f>
        <v>8</v>
      </c>
      <c r="G36" t="str">
        <f t="shared" ref="G36:G76" si="1">IF(E36&gt;F36,"Win",IF(E36&lt;F36,"Loss","Draw"))</f>
        <v>Win</v>
      </c>
      <c r="H36">
        <v>3</v>
      </c>
      <c r="I36">
        <v>3</v>
      </c>
    </row>
    <row r="37" spans="1:9" x14ac:dyDescent="0.35">
      <c r="A37">
        <v>4</v>
      </c>
      <c r="B37" s="6">
        <v>45995</v>
      </c>
      <c r="C37" t="s">
        <v>25</v>
      </c>
      <c r="D37" t="s">
        <v>17</v>
      </c>
      <c r="E37">
        <f>IF(D37="A", INDEX(Matches!$E:$E, MATCH(A37, Matches!$A:$A, 0)), INDEX(Matches!$F:$F, MATCH(A37, Matches!$A:$A, 0)))</f>
        <v>13</v>
      </c>
      <c r="F37">
        <f>IF(D37="A", INDEX(Matches!$F:$F, MATCH(A37, Matches!$A:$A, 0)), INDEX(Matches!$E:$E, MATCH(A37, Matches!$A:$A, 0)))</f>
        <v>8</v>
      </c>
      <c r="G37" t="str">
        <f t="shared" si="1"/>
        <v>Win</v>
      </c>
      <c r="H37">
        <v>1</v>
      </c>
      <c r="I37">
        <v>2</v>
      </c>
    </row>
    <row r="38" spans="1:9" x14ac:dyDescent="0.35">
      <c r="A38">
        <v>4</v>
      </c>
      <c r="B38" s="6">
        <v>45995</v>
      </c>
      <c r="C38" t="s">
        <v>19</v>
      </c>
      <c r="D38" t="s">
        <v>17</v>
      </c>
      <c r="E38">
        <f>IF(D38="A", INDEX(Matches!$E:$E, MATCH(A38, Matches!$A:$A, 0)), INDEX(Matches!$F:$F, MATCH(A38, Matches!$A:$A, 0)))</f>
        <v>13</v>
      </c>
      <c r="F38">
        <f>IF(D38="A", INDEX(Matches!$F:$F, MATCH(A38, Matches!$A:$A, 0)), INDEX(Matches!$E:$E, MATCH(A38, Matches!$A:$A, 0)))</f>
        <v>8</v>
      </c>
      <c r="G38" t="str">
        <f t="shared" si="1"/>
        <v>Win</v>
      </c>
      <c r="H38">
        <v>5</v>
      </c>
      <c r="I38">
        <v>3</v>
      </c>
    </row>
    <row r="39" spans="1:9" x14ac:dyDescent="0.35">
      <c r="A39">
        <v>4</v>
      </c>
      <c r="B39" s="6">
        <v>45995</v>
      </c>
      <c r="C39" t="s">
        <v>59</v>
      </c>
      <c r="D39" t="s">
        <v>17</v>
      </c>
      <c r="E39">
        <f>IF(D39="A", INDEX(Matches!$E:$E, MATCH(A39, Matches!$A:$A, 0)), INDEX(Matches!$F:$F, MATCH(A39, Matches!$A:$A, 0)))</f>
        <v>13</v>
      </c>
      <c r="F39">
        <f>IF(D39="A", INDEX(Matches!$F:$F, MATCH(A39, Matches!$A:$A, 0)), INDEX(Matches!$E:$E, MATCH(A39, Matches!$A:$A, 0)))</f>
        <v>8</v>
      </c>
      <c r="G39" t="str">
        <f t="shared" si="1"/>
        <v>Win</v>
      </c>
      <c r="H39">
        <v>2</v>
      </c>
      <c r="I39">
        <v>2</v>
      </c>
    </row>
    <row r="40" spans="1:9" x14ac:dyDescent="0.35">
      <c r="A40">
        <v>4</v>
      </c>
      <c r="B40" s="6">
        <v>45995</v>
      </c>
      <c r="C40" t="s">
        <v>60</v>
      </c>
      <c r="D40" t="s">
        <v>17</v>
      </c>
      <c r="E40">
        <f>IF(D40="A", INDEX(Matches!$E:$E, MATCH(A40, Matches!$A:$A, 0)), INDEX(Matches!$F:$F, MATCH(A40, Matches!$A:$A, 0)))</f>
        <v>13</v>
      </c>
      <c r="F40">
        <f>IF(D40="A", INDEX(Matches!$F:$F, MATCH(A40, Matches!$A:$A, 0)), INDEX(Matches!$E:$E, MATCH(A40, Matches!$A:$A, 0)))</f>
        <v>8</v>
      </c>
      <c r="G40" t="str">
        <f t="shared" si="1"/>
        <v>Win</v>
      </c>
      <c r="H40">
        <v>2</v>
      </c>
      <c r="I40">
        <v>0</v>
      </c>
    </row>
    <row r="41" spans="1:9" x14ac:dyDescent="0.35">
      <c r="A41">
        <v>4</v>
      </c>
      <c r="B41" s="6">
        <v>45995</v>
      </c>
      <c r="C41" t="s">
        <v>16</v>
      </c>
      <c r="D41" t="s">
        <v>23</v>
      </c>
      <c r="E41">
        <f>IF(D41="A", INDEX(Matches!$E:$E, MATCH(A41, Matches!$A:$A, 0)), INDEX(Matches!$F:$F, MATCH(A41, Matches!$A:$A, 0)))</f>
        <v>8</v>
      </c>
      <c r="F41">
        <f>IF(D41="A", INDEX(Matches!$F:$F, MATCH(A41, Matches!$A:$A, 0)), INDEX(Matches!$E:$E, MATCH(A41, Matches!$A:$A, 0)))</f>
        <v>13</v>
      </c>
      <c r="G41" t="str">
        <f t="shared" si="1"/>
        <v>Loss</v>
      </c>
      <c r="H41">
        <v>5</v>
      </c>
      <c r="I41">
        <v>1</v>
      </c>
    </row>
    <row r="42" spans="1:9" x14ac:dyDescent="0.35">
      <c r="A42">
        <v>4</v>
      </c>
      <c r="B42" s="6">
        <v>45995</v>
      </c>
      <c r="C42" t="s">
        <v>42</v>
      </c>
      <c r="D42" t="s">
        <v>23</v>
      </c>
      <c r="E42">
        <f>IF(D42="A", INDEX(Matches!$E:$E, MATCH(A42, Matches!$A:$A, 0)), INDEX(Matches!$F:$F, MATCH(A42, Matches!$A:$A, 0)))</f>
        <v>8</v>
      </c>
      <c r="F42">
        <f>IF(D42="A", INDEX(Matches!$F:$F, MATCH(A42, Matches!$A:$A, 0)), INDEX(Matches!$E:$E, MATCH(A42, Matches!$A:$A, 0)))</f>
        <v>13</v>
      </c>
      <c r="G42" t="str">
        <f t="shared" si="1"/>
        <v>Loss</v>
      </c>
      <c r="H42">
        <v>2</v>
      </c>
      <c r="I42">
        <v>2</v>
      </c>
    </row>
    <row r="43" spans="1:9" x14ac:dyDescent="0.35">
      <c r="A43">
        <v>4</v>
      </c>
      <c r="B43" s="6">
        <v>45995</v>
      </c>
      <c r="C43" t="s">
        <v>21</v>
      </c>
      <c r="D43" t="s">
        <v>23</v>
      </c>
      <c r="E43">
        <f>IF(D43="A", INDEX(Matches!$E:$E, MATCH(A43, Matches!$A:$A, 0)), INDEX(Matches!$F:$F, MATCH(A43, Matches!$A:$A, 0)))</f>
        <v>8</v>
      </c>
      <c r="F43">
        <f>IF(D43="A", INDEX(Matches!$F:$F, MATCH(A43, Matches!$A:$A, 0)), INDEX(Matches!$E:$E, MATCH(A43, Matches!$A:$A, 0)))</f>
        <v>13</v>
      </c>
      <c r="G43" t="str">
        <f t="shared" si="1"/>
        <v>Loss</v>
      </c>
      <c r="H43">
        <v>0</v>
      </c>
      <c r="I43">
        <v>0</v>
      </c>
    </row>
    <row r="44" spans="1:9" x14ac:dyDescent="0.35">
      <c r="A44">
        <v>4</v>
      </c>
      <c r="B44" s="6">
        <v>45995</v>
      </c>
      <c r="C44" t="s">
        <v>61</v>
      </c>
      <c r="D44" t="s">
        <v>23</v>
      </c>
      <c r="E44">
        <f>IF(D44="A", INDEX(Matches!$E:$E, MATCH(A44, Matches!$A:$A, 0)), INDEX(Matches!$F:$F, MATCH(A44, Matches!$A:$A, 0)))</f>
        <v>8</v>
      </c>
      <c r="F44">
        <f>IF(D44="A", INDEX(Matches!$F:$F, MATCH(A44, Matches!$A:$A, 0)), INDEX(Matches!$E:$E, MATCH(A44, Matches!$A:$A, 0)))</f>
        <v>13</v>
      </c>
      <c r="G44" t="str">
        <f t="shared" si="1"/>
        <v>Loss</v>
      </c>
      <c r="H44">
        <v>0</v>
      </c>
      <c r="I44">
        <v>0</v>
      </c>
    </row>
    <row r="45" spans="1:9" x14ac:dyDescent="0.35">
      <c r="A45">
        <v>4</v>
      </c>
      <c r="B45" s="6">
        <v>45995</v>
      </c>
      <c r="C45" t="s">
        <v>62</v>
      </c>
      <c r="D45" t="s">
        <v>23</v>
      </c>
      <c r="E45">
        <f>IF(D45="A", INDEX(Matches!$E:$E, MATCH(A45, Matches!$A:$A, 0)), INDEX(Matches!$F:$F, MATCH(A45, Matches!$A:$A, 0)))</f>
        <v>8</v>
      </c>
      <c r="F45">
        <f>IF(D45="A", INDEX(Matches!$F:$F, MATCH(A45, Matches!$A:$A, 0)), INDEX(Matches!$E:$E, MATCH(A45, Matches!$A:$A, 0)))</f>
        <v>13</v>
      </c>
      <c r="G45" t="str">
        <f t="shared" si="1"/>
        <v>Loss</v>
      </c>
      <c r="H45">
        <v>1</v>
      </c>
      <c r="I45">
        <v>3</v>
      </c>
    </row>
    <row r="46" spans="1:9" x14ac:dyDescent="0.35">
      <c r="A46">
        <v>5</v>
      </c>
      <c r="B46" s="6">
        <v>46002</v>
      </c>
      <c r="C46" t="s">
        <v>53</v>
      </c>
      <c r="D46" t="s">
        <v>17</v>
      </c>
      <c r="E46">
        <f>IF(D46="A", INDEX(Matches!$E:$E, MATCH(A46, Matches!$A:$A, 0)), INDEX(Matches!$F:$F, MATCH(A46, Matches!$A:$A, 0)))</f>
        <v>10</v>
      </c>
      <c r="F46">
        <f>IF(D46="A", INDEX(Matches!$F:$F, MATCH(A46, Matches!$A:$A, 0)), INDEX(Matches!$E:$E, MATCH(A46, Matches!$A:$A, 0)))</f>
        <v>8</v>
      </c>
      <c r="G46" t="str">
        <f t="shared" si="1"/>
        <v>Win</v>
      </c>
      <c r="H46">
        <v>2</v>
      </c>
      <c r="I46">
        <v>0</v>
      </c>
    </row>
    <row r="47" spans="1:9" x14ac:dyDescent="0.35">
      <c r="A47">
        <v>5</v>
      </c>
      <c r="B47" s="6">
        <v>46002</v>
      </c>
      <c r="C47" t="s">
        <v>46</v>
      </c>
      <c r="D47" t="s">
        <v>17</v>
      </c>
      <c r="E47">
        <f>IF(D47="A", INDEX(Matches!$E:$E, MATCH(A47, Matches!$A:$A, 0)), INDEX(Matches!$F:$F, MATCH(A47, Matches!$A:$A, 0)))</f>
        <v>10</v>
      </c>
      <c r="F47">
        <f>IF(D47="A", INDEX(Matches!$F:$F, MATCH(A47, Matches!$A:$A, 0)), INDEX(Matches!$E:$E, MATCH(A47, Matches!$A:$A, 0)))</f>
        <v>8</v>
      </c>
      <c r="G47" t="str">
        <f t="shared" si="1"/>
        <v>Win</v>
      </c>
      <c r="H47">
        <v>4</v>
      </c>
      <c r="I47">
        <v>0</v>
      </c>
    </row>
    <row r="48" spans="1:9" x14ac:dyDescent="0.35">
      <c r="A48">
        <v>5</v>
      </c>
      <c r="B48" s="6">
        <v>46002</v>
      </c>
      <c r="C48" t="s">
        <v>44</v>
      </c>
      <c r="D48" t="s">
        <v>17</v>
      </c>
      <c r="E48">
        <f>IF(D48="A", INDEX(Matches!$E:$E, MATCH(A48, Matches!$A:$A, 0)), INDEX(Matches!$F:$F, MATCH(A48, Matches!$A:$A, 0)))</f>
        <v>10</v>
      </c>
      <c r="F48">
        <f>IF(D48="A", INDEX(Matches!$F:$F, MATCH(A48, Matches!$A:$A, 0)), INDEX(Matches!$E:$E, MATCH(A48, Matches!$A:$A, 0)))</f>
        <v>8</v>
      </c>
      <c r="G48" t="str">
        <f t="shared" si="1"/>
        <v>Win</v>
      </c>
      <c r="H48">
        <v>1</v>
      </c>
      <c r="I48">
        <v>4</v>
      </c>
    </row>
    <row r="49" spans="1:10" x14ac:dyDescent="0.35">
      <c r="A49">
        <v>5</v>
      </c>
      <c r="B49" s="6">
        <v>46002</v>
      </c>
      <c r="C49" t="s">
        <v>60</v>
      </c>
      <c r="D49" t="s">
        <v>17</v>
      </c>
      <c r="E49">
        <f>IF(D49="A", INDEX(Matches!$E:$E, MATCH(A49, Matches!$A:$A, 0)), INDEX(Matches!$F:$F, MATCH(A49, Matches!$A:$A, 0)))</f>
        <v>10</v>
      </c>
      <c r="F49">
        <f>IF(D49="A", INDEX(Matches!$F:$F, MATCH(A49, Matches!$A:$A, 0)), INDEX(Matches!$E:$E, MATCH(A49, Matches!$A:$A, 0)))</f>
        <v>8</v>
      </c>
      <c r="G49" t="str">
        <f t="shared" si="1"/>
        <v>Win</v>
      </c>
      <c r="H49">
        <v>1</v>
      </c>
      <c r="I49">
        <v>1</v>
      </c>
    </row>
    <row r="50" spans="1:10" x14ac:dyDescent="0.35">
      <c r="A50">
        <v>5</v>
      </c>
      <c r="B50" s="6">
        <v>46002</v>
      </c>
      <c r="C50" t="s">
        <v>64</v>
      </c>
      <c r="D50" t="s">
        <v>17</v>
      </c>
      <c r="E50">
        <f>IF(D50="A", INDEX(Matches!$E:$E, MATCH(A50, Matches!$A:$A, 0)), INDEX(Matches!$F:$F, MATCH(A50, Matches!$A:$A, 0)))</f>
        <v>10</v>
      </c>
      <c r="F50">
        <f>IF(D50="A", INDEX(Matches!$F:$F, MATCH(A50, Matches!$A:$A, 0)), INDEX(Matches!$E:$E, MATCH(A50, Matches!$A:$A, 0)))</f>
        <v>8</v>
      </c>
      <c r="G50" t="str">
        <f t="shared" si="1"/>
        <v>Win</v>
      </c>
      <c r="H50">
        <v>2</v>
      </c>
      <c r="I50">
        <v>3</v>
      </c>
    </row>
    <row r="51" spans="1:10" x14ac:dyDescent="0.35">
      <c r="A51">
        <v>5</v>
      </c>
      <c r="B51" s="6">
        <v>46002</v>
      </c>
      <c r="C51" t="s">
        <v>25</v>
      </c>
      <c r="D51" t="s">
        <v>23</v>
      </c>
      <c r="E51">
        <f>IF(D51="A", INDEX(Matches!$E:$E, MATCH(A51, Matches!$A:$A, 0)), INDEX(Matches!$F:$F, MATCH(A51, Matches!$A:$A, 0)))</f>
        <v>8</v>
      </c>
      <c r="F51">
        <f>IF(D51="A", INDEX(Matches!$F:$F, MATCH(A51, Matches!$A:$A, 0)), INDEX(Matches!$E:$E, MATCH(A51, Matches!$A:$A, 0)))</f>
        <v>10</v>
      </c>
      <c r="G51" t="str">
        <f t="shared" si="1"/>
        <v>Loss</v>
      </c>
      <c r="H51">
        <v>2</v>
      </c>
      <c r="I51">
        <v>1</v>
      </c>
    </row>
    <row r="52" spans="1:10" x14ac:dyDescent="0.35">
      <c r="A52">
        <v>5</v>
      </c>
      <c r="B52" s="6">
        <v>46002</v>
      </c>
      <c r="C52" t="s">
        <v>42</v>
      </c>
      <c r="D52" t="s">
        <v>23</v>
      </c>
      <c r="E52">
        <f>IF(D52="A", INDEX(Matches!$E:$E, MATCH(A52, Matches!$A:$A, 0)), INDEX(Matches!$F:$F, MATCH(A52, Matches!$A:$A, 0)))</f>
        <v>8</v>
      </c>
      <c r="F52">
        <f>IF(D52="A", INDEX(Matches!$F:$F, MATCH(A52, Matches!$A:$A, 0)), INDEX(Matches!$E:$E, MATCH(A52, Matches!$A:$A, 0)))</f>
        <v>10</v>
      </c>
      <c r="G52" t="str">
        <f t="shared" si="1"/>
        <v>Loss</v>
      </c>
      <c r="H52">
        <v>0</v>
      </c>
      <c r="I52">
        <v>1</v>
      </c>
    </row>
    <row r="53" spans="1:10" x14ac:dyDescent="0.35">
      <c r="A53">
        <v>5</v>
      </c>
      <c r="B53" s="6">
        <v>46002</v>
      </c>
      <c r="C53" t="s">
        <v>21</v>
      </c>
      <c r="D53" t="s">
        <v>23</v>
      </c>
      <c r="E53">
        <f>IF(D53="A", INDEX(Matches!$E:$E, MATCH(A53, Matches!$A:$A, 0)), INDEX(Matches!$F:$F, MATCH(A53, Matches!$A:$A, 0)))</f>
        <v>8</v>
      </c>
      <c r="F53">
        <f>IF(D53="A", INDEX(Matches!$F:$F, MATCH(A53, Matches!$A:$A, 0)), INDEX(Matches!$E:$E, MATCH(A53, Matches!$A:$A, 0)))</f>
        <v>10</v>
      </c>
      <c r="G53" t="str">
        <f t="shared" si="1"/>
        <v>Loss</v>
      </c>
      <c r="H53">
        <v>4</v>
      </c>
      <c r="I53">
        <v>0</v>
      </c>
    </row>
    <row r="54" spans="1:10" x14ac:dyDescent="0.35">
      <c r="A54">
        <v>5</v>
      </c>
      <c r="B54" s="6">
        <v>46002</v>
      </c>
      <c r="C54" t="s">
        <v>40</v>
      </c>
      <c r="D54" t="s">
        <v>23</v>
      </c>
      <c r="E54">
        <f>IF(D54="A", INDEX(Matches!$E:$E, MATCH(A54, Matches!$A:$A, 0)), INDEX(Matches!$F:$F, MATCH(A54, Matches!$A:$A, 0)))</f>
        <v>8</v>
      </c>
      <c r="F54">
        <f>IF(D54="A", INDEX(Matches!$F:$F, MATCH(A54, Matches!$A:$A, 0)), INDEX(Matches!$E:$E, MATCH(A54, Matches!$A:$A, 0)))</f>
        <v>10</v>
      </c>
      <c r="G54" t="str">
        <f t="shared" si="1"/>
        <v>Loss</v>
      </c>
      <c r="H54">
        <v>0</v>
      </c>
      <c r="I54">
        <v>1</v>
      </c>
    </row>
    <row r="55" spans="1:10" x14ac:dyDescent="0.35">
      <c r="A55">
        <v>5</v>
      </c>
      <c r="B55" s="6">
        <v>46002</v>
      </c>
      <c r="C55" t="s">
        <v>51</v>
      </c>
      <c r="D55" t="s">
        <v>23</v>
      </c>
      <c r="E55">
        <f>IF(D55="A", INDEX(Matches!$E:$E, MATCH(A55, Matches!$A:$A, 0)), INDEX(Matches!$F:$F, MATCH(A55, Matches!$A:$A, 0)))</f>
        <v>8</v>
      </c>
      <c r="F55">
        <f>IF(D55="A", INDEX(Matches!$F:$F, MATCH(A55, Matches!$A:$A, 0)), INDEX(Matches!$E:$E, MATCH(A55, Matches!$A:$A, 0)))</f>
        <v>10</v>
      </c>
      <c r="G55" t="str">
        <f t="shared" si="1"/>
        <v>Loss</v>
      </c>
      <c r="H55">
        <v>1</v>
      </c>
      <c r="I55">
        <v>2</v>
      </c>
    </row>
    <row r="56" spans="1:10" x14ac:dyDescent="0.35">
      <c r="A56">
        <v>6</v>
      </c>
      <c r="B56" s="6">
        <v>46009</v>
      </c>
      <c r="C56" t="s">
        <v>53</v>
      </c>
      <c r="D56" t="s">
        <v>17</v>
      </c>
      <c r="E56">
        <f>IF(D56="A", INDEX(Matches!$E:$E, MATCH(A56, Matches!$A:$A, 0)), INDEX(Matches!$F:$F, MATCH(A56, Matches!$A:$A, 0)))</f>
        <v>16</v>
      </c>
      <c r="F56">
        <f>IF(D56="A", INDEX(Matches!$F:$F, MATCH(A56, Matches!$A:$A, 0)), INDEX(Matches!$E:$E, MATCH(A56, Matches!$A:$A, 0)))</f>
        <v>17</v>
      </c>
      <c r="G56" t="str">
        <f t="shared" si="1"/>
        <v>Loss</v>
      </c>
      <c r="H56">
        <v>3</v>
      </c>
      <c r="I56">
        <v>2</v>
      </c>
    </row>
    <row r="57" spans="1:10" x14ac:dyDescent="0.35">
      <c r="A57">
        <v>6</v>
      </c>
      <c r="B57" s="6">
        <v>46009</v>
      </c>
      <c r="C57" t="s">
        <v>46</v>
      </c>
      <c r="D57" t="s">
        <v>17</v>
      </c>
      <c r="E57">
        <f>IF(D57="A", INDEX(Matches!$E:$E, MATCH(A57, Matches!$A:$A, 0)), INDEX(Matches!$F:$F, MATCH(A57, Matches!$A:$A, 0)))</f>
        <v>16</v>
      </c>
      <c r="F57">
        <f>IF(D57="A", INDEX(Matches!$F:$F, MATCH(A57, Matches!$A:$A, 0)), INDEX(Matches!$E:$E, MATCH(A57, Matches!$A:$A, 0)))</f>
        <v>17</v>
      </c>
      <c r="G57" t="str">
        <f t="shared" si="1"/>
        <v>Loss</v>
      </c>
      <c r="H57">
        <v>2</v>
      </c>
      <c r="I57">
        <v>4</v>
      </c>
    </row>
    <row r="58" spans="1:10" x14ac:dyDescent="0.35">
      <c r="A58">
        <v>6</v>
      </c>
      <c r="B58" s="6">
        <v>46009</v>
      </c>
      <c r="C58" t="s">
        <v>22</v>
      </c>
      <c r="D58" t="s">
        <v>17</v>
      </c>
      <c r="E58">
        <f>IF(D58="A", INDEX(Matches!$E:$E, MATCH(A58, Matches!$A:$A, 0)), INDEX(Matches!$F:$F, MATCH(A58, Matches!$A:$A, 0)))</f>
        <v>16</v>
      </c>
      <c r="F58">
        <f>IF(D58="A", INDEX(Matches!$F:$F, MATCH(A58, Matches!$A:$A, 0)), INDEX(Matches!$E:$E, MATCH(A58, Matches!$A:$A, 0)))</f>
        <v>17</v>
      </c>
      <c r="G58" t="str">
        <f t="shared" si="1"/>
        <v>Loss</v>
      </c>
      <c r="H58">
        <v>6</v>
      </c>
      <c r="I58">
        <v>1</v>
      </c>
    </row>
    <row r="59" spans="1:10" x14ac:dyDescent="0.35">
      <c r="A59">
        <v>6</v>
      </c>
      <c r="B59" s="6">
        <v>46009</v>
      </c>
      <c r="C59" t="s">
        <v>60</v>
      </c>
      <c r="D59" t="s">
        <v>17</v>
      </c>
      <c r="E59">
        <f>IF(D59="A", INDEX(Matches!$E:$E, MATCH(A59, Matches!$A:$A, 0)), INDEX(Matches!$F:$F, MATCH(A59, Matches!$A:$A, 0)))</f>
        <v>16</v>
      </c>
      <c r="F59">
        <f>IF(D59="A", INDEX(Matches!$F:$F, MATCH(A59, Matches!$A:$A, 0)), INDEX(Matches!$E:$E, MATCH(A59, Matches!$A:$A, 0)))</f>
        <v>17</v>
      </c>
      <c r="G59" t="str">
        <f t="shared" si="1"/>
        <v>Loss</v>
      </c>
      <c r="H59">
        <v>1</v>
      </c>
      <c r="I59">
        <v>0</v>
      </c>
    </row>
    <row r="60" spans="1:10" x14ac:dyDescent="0.35">
      <c r="A60">
        <v>6</v>
      </c>
      <c r="B60" s="6">
        <v>46009</v>
      </c>
      <c r="D60" t="s">
        <v>17</v>
      </c>
      <c r="E60">
        <f>IF(D60="A", INDEX(Matches!$E:$E, MATCH(A60, Matches!$A:$A, 0)), INDEX(Matches!$F:$F, MATCH(A60, Matches!$A:$A, 0)))</f>
        <v>16</v>
      </c>
      <c r="F60">
        <f>IF(D60="A", INDEX(Matches!$F:$F, MATCH(A60, Matches!$A:$A, 0)), INDEX(Matches!$E:$E, MATCH(A60, Matches!$A:$A, 0)))</f>
        <v>17</v>
      </c>
      <c r="J60" t="s">
        <v>67</v>
      </c>
    </row>
    <row r="61" spans="1:10" x14ac:dyDescent="0.35">
      <c r="A61">
        <v>6</v>
      </c>
      <c r="B61" s="6">
        <v>46009</v>
      </c>
      <c r="C61" t="s">
        <v>66</v>
      </c>
      <c r="D61" t="s">
        <v>23</v>
      </c>
      <c r="E61">
        <f>IF(D61="A", INDEX(Matches!$E:$E, MATCH(A61, Matches!$A:$A, 0)), INDEX(Matches!$F:$F, MATCH(A61, Matches!$A:$A, 0)))</f>
        <v>17</v>
      </c>
      <c r="F61">
        <f>IF(D61="A", INDEX(Matches!$F:$F, MATCH(A61, Matches!$A:$A, 0)), INDEX(Matches!$E:$E, MATCH(A61, Matches!$A:$A, 0)))</f>
        <v>16</v>
      </c>
      <c r="G61" t="str">
        <f t="shared" si="1"/>
        <v>Win</v>
      </c>
      <c r="H61">
        <v>8</v>
      </c>
      <c r="I61">
        <v>1</v>
      </c>
    </row>
    <row r="62" spans="1:10" x14ac:dyDescent="0.35">
      <c r="A62">
        <v>6</v>
      </c>
      <c r="B62" s="6">
        <v>46009</v>
      </c>
      <c r="C62" t="s">
        <v>19</v>
      </c>
      <c r="D62" t="s">
        <v>23</v>
      </c>
      <c r="E62">
        <f>IF(D62="A", INDEX(Matches!$E:$E, MATCH(A62, Matches!$A:$A, 0)), INDEX(Matches!$F:$F, MATCH(A62, Matches!$A:$A, 0)))</f>
        <v>17</v>
      </c>
      <c r="F62">
        <f>IF(D62="A", INDEX(Matches!$F:$F, MATCH(A62, Matches!$A:$A, 0)), INDEX(Matches!$E:$E, MATCH(A62, Matches!$A:$A, 0)))</f>
        <v>16</v>
      </c>
      <c r="G62" t="str">
        <f t="shared" si="1"/>
        <v>Win</v>
      </c>
      <c r="H62">
        <v>2</v>
      </c>
      <c r="I62">
        <v>3</v>
      </c>
    </row>
    <row r="63" spans="1:10" x14ac:dyDescent="0.35">
      <c r="A63">
        <v>6</v>
      </c>
      <c r="B63" s="6">
        <v>46009</v>
      </c>
      <c r="C63" t="s">
        <v>21</v>
      </c>
      <c r="D63" t="s">
        <v>23</v>
      </c>
      <c r="E63">
        <f>IF(D63="A", INDEX(Matches!$E:$E, MATCH(A63, Matches!$A:$A, 0)), INDEX(Matches!$F:$F, MATCH(A63, Matches!$A:$A, 0)))</f>
        <v>17</v>
      </c>
      <c r="F63">
        <f>IF(D63="A", INDEX(Matches!$F:$F, MATCH(A63, Matches!$A:$A, 0)), INDEX(Matches!$E:$E, MATCH(A63, Matches!$A:$A, 0)))</f>
        <v>16</v>
      </c>
      <c r="G63" t="str">
        <f t="shared" si="1"/>
        <v>Win</v>
      </c>
      <c r="H63">
        <v>0</v>
      </c>
      <c r="I63">
        <v>0</v>
      </c>
    </row>
    <row r="64" spans="1:10" x14ac:dyDescent="0.35">
      <c r="A64">
        <v>6</v>
      </c>
      <c r="B64" s="6">
        <v>46009</v>
      </c>
      <c r="C64" t="s">
        <v>50</v>
      </c>
      <c r="D64" t="s">
        <v>23</v>
      </c>
      <c r="E64">
        <f>IF(D64="A", INDEX(Matches!$E:$E, MATCH(A64, Matches!$A:$A, 0)), INDEX(Matches!$F:$F, MATCH(A64, Matches!$A:$A, 0)))</f>
        <v>17</v>
      </c>
      <c r="F64">
        <f>IF(D64="A", INDEX(Matches!$F:$F, MATCH(A64, Matches!$A:$A, 0)), INDEX(Matches!$E:$E, MATCH(A64, Matches!$A:$A, 0)))</f>
        <v>16</v>
      </c>
      <c r="G64" t="str">
        <f t="shared" si="1"/>
        <v>Win</v>
      </c>
      <c r="H64">
        <v>5</v>
      </c>
      <c r="I64">
        <v>1</v>
      </c>
    </row>
    <row r="65" spans="1:9" x14ac:dyDescent="0.35">
      <c r="A65">
        <v>6</v>
      </c>
      <c r="B65" s="6">
        <v>46009</v>
      </c>
      <c r="C65" t="s">
        <v>40</v>
      </c>
      <c r="D65" t="s">
        <v>23</v>
      </c>
      <c r="E65">
        <f>IF(D65="A", INDEX(Matches!$E:$E, MATCH(A65, Matches!$A:$A, 0)), INDEX(Matches!$F:$F, MATCH(A65, Matches!$A:$A, 0)))</f>
        <v>17</v>
      </c>
      <c r="F65">
        <f>IF(D65="A", INDEX(Matches!$F:$F, MATCH(A65, Matches!$A:$A, 0)), INDEX(Matches!$E:$E, MATCH(A65, Matches!$A:$A, 0)))</f>
        <v>16</v>
      </c>
      <c r="G65" t="str">
        <f t="shared" si="1"/>
        <v>Win</v>
      </c>
      <c r="H65">
        <v>0</v>
      </c>
      <c r="I65">
        <v>0</v>
      </c>
    </row>
    <row r="66" spans="1:9" x14ac:dyDescent="0.35">
      <c r="A66">
        <v>6</v>
      </c>
      <c r="B66" s="6">
        <v>46009</v>
      </c>
      <c r="C66" t="s">
        <v>42</v>
      </c>
      <c r="D66" t="s">
        <v>23</v>
      </c>
      <c r="E66">
        <f>IF(D66="A", INDEX(Matches!$E:$E, MATCH(A66, Matches!$A:$A, 0)), INDEX(Matches!$F:$F, MATCH(A66, Matches!$A:$A, 0)))</f>
        <v>17</v>
      </c>
      <c r="F66">
        <f>IF(D66="A", INDEX(Matches!$F:$F, MATCH(A66, Matches!$A:$A, 0)), INDEX(Matches!$E:$E, MATCH(A66, Matches!$A:$A, 0)))</f>
        <v>16</v>
      </c>
      <c r="G66" t="str">
        <f t="shared" si="1"/>
        <v>Win</v>
      </c>
      <c r="H66">
        <v>6</v>
      </c>
      <c r="I66">
        <v>4</v>
      </c>
    </row>
    <row r="67" spans="1:9" x14ac:dyDescent="0.35">
      <c r="A67">
        <v>7</v>
      </c>
      <c r="B67" s="6">
        <v>46030</v>
      </c>
      <c r="C67" t="s">
        <v>16</v>
      </c>
      <c r="D67" t="s">
        <v>17</v>
      </c>
      <c r="E67">
        <f>IF(D67="A", INDEX(Matches!$E:$E, MATCH(A67, Matches!$A:$A, 0)), INDEX(Matches!$F:$F, MATCH(A67, Matches!$A:$A, 0)))</f>
        <v>6</v>
      </c>
      <c r="F67">
        <f>IF(D67="A", INDEX(Matches!$F:$F, MATCH(A67, Matches!$A:$A, 0)), INDEX(Matches!$E:$E, MATCH(A67, Matches!$A:$A, 0)))</f>
        <v>11</v>
      </c>
      <c r="G67" t="str">
        <f t="shared" si="1"/>
        <v>Loss</v>
      </c>
      <c r="H67">
        <v>2</v>
      </c>
      <c r="I67">
        <v>4</v>
      </c>
    </row>
    <row r="68" spans="1:9" x14ac:dyDescent="0.35">
      <c r="A68">
        <v>7</v>
      </c>
      <c r="B68" s="6">
        <v>46030</v>
      </c>
      <c r="C68" t="s">
        <v>24</v>
      </c>
      <c r="D68" t="s">
        <v>17</v>
      </c>
      <c r="E68">
        <f>IF(D68="A", INDEX(Matches!$E:$E, MATCH(A68, Matches!$A:$A, 0)), INDEX(Matches!$F:$F, MATCH(A68, Matches!$A:$A, 0)))</f>
        <v>6</v>
      </c>
      <c r="F68">
        <f>IF(D68="A", INDEX(Matches!$F:$F, MATCH(A68, Matches!$A:$A, 0)), INDEX(Matches!$E:$E, MATCH(A68, Matches!$A:$A, 0)))</f>
        <v>11</v>
      </c>
      <c r="G68" t="str">
        <f t="shared" si="1"/>
        <v>Loss</v>
      </c>
      <c r="H68">
        <v>2</v>
      </c>
      <c r="I68">
        <v>0</v>
      </c>
    </row>
    <row r="69" spans="1:9" x14ac:dyDescent="0.35">
      <c r="A69">
        <v>7</v>
      </c>
      <c r="B69" s="6">
        <v>46030</v>
      </c>
      <c r="C69" t="s">
        <v>43</v>
      </c>
      <c r="D69" t="s">
        <v>17</v>
      </c>
      <c r="E69">
        <f>IF(D69="A", INDEX(Matches!$E:$E, MATCH(A69, Matches!$A:$A, 0)), INDEX(Matches!$F:$F, MATCH(A69, Matches!$A:$A, 0)))</f>
        <v>6</v>
      </c>
      <c r="F69">
        <f>IF(D69="A", INDEX(Matches!$F:$F, MATCH(A69, Matches!$A:$A, 0)), INDEX(Matches!$E:$E, MATCH(A69, Matches!$A:$A, 0)))</f>
        <v>11</v>
      </c>
      <c r="G69" t="str">
        <f t="shared" si="1"/>
        <v>Loss</v>
      </c>
      <c r="H69">
        <v>1</v>
      </c>
      <c r="I69">
        <v>1</v>
      </c>
    </row>
    <row r="70" spans="1:9" x14ac:dyDescent="0.35">
      <c r="A70">
        <v>7</v>
      </c>
      <c r="B70" s="6">
        <v>46030</v>
      </c>
      <c r="C70" t="s">
        <v>42</v>
      </c>
      <c r="D70" t="s">
        <v>17</v>
      </c>
      <c r="E70">
        <f>IF(D70="A", INDEX(Matches!$E:$E, MATCH(A70, Matches!$A:$A, 0)), INDEX(Matches!$F:$F, MATCH(A70, Matches!$A:$A, 0)))</f>
        <v>6</v>
      </c>
      <c r="F70">
        <f>IF(D70="A", INDEX(Matches!$F:$F, MATCH(A70, Matches!$A:$A, 0)), INDEX(Matches!$E:$E, MATCH(A70, Matches!$A:$A, 0)))</f>
        <v>11</v>
      </c>
      <c r="G70" t="str">
        <f t="shared" si="1"/>
        <v>Loss</v>
      </c>
      <c r="H70">
        <v>2</v>
      </c>
      <c r="I70">
        <v>1</v>
      </c>
    </row>
    <row r="71" spans="1:9" x14ac:dyDescent="0.35">
      <c r="A71">
        <v>7</v>
      </c>
      <c r="B71" s="6">
        <v>46030</v>
      </c>
      <c r="C71" t="s">
        <v>46</v>
      </c>
      <c r="D71" t="s">
        <v>17</v>
      </c>
      <c r="E71">
        <f>IF(D71="A", INDEX(Matches!$E:$E, MATCH(A71, Matches!$A:$A, 0)), INDEX(Matches!$F:$F, MATCH(A71, Matches!$A:$A, 0)))</f>
        <v>6</v>
      </c>
      <c r="F71">
        <f>IF(D71="A", INDEX(Matches!$F:$F, MATCH(A71, Matches!$A:$A, 0)), INDEX(Matches!$E:$E, MATCH(A71, Matches!$A:$A, 0)))</f>
        <v>11</v>
      </c>
      <c r="G71" t="str">
        <f t="shared" si="1"/>
        <v>Loss</v>
      </c>
      <c r="H71">
        <v>1</v>
      </c>
      <c r="I71">
        <v>0</v>
      </c>
    </row>
    <row r="72" spans="1:9" x14ac:dyDescent="0.35">
      <c r="A72">
        <v>7</v>
      </c>
      <c r="B72" s="6">
        <v>46030</v>
      </c>
      <c r="C72" t="s">
        <v>20</v>
      </c>
      <c r="D72" t="s">
        <v>23</v>
      </c>
      <c r="E72">
        <f>IF(D72="A", INDEX(Matches!$E:$E, MATCH(A72, Matches!$A:$A, 0)), INDEX(Matches!$F:$F, MATCH(A72, Matches!$A:$A, 0)))</f>
        <v>11</v>
      </c>
      <c r="F72">
        <f>IF(D72="A", INDEX(Matches!$F:$F, MATCH(A72, Matches!$A:$A, 0)), INDEX(Matches!$E:$E, MATCH(A72, Matches!$A:$A, 0)))</f>
        <v>6</v>
      </c>
      <c r="G72" t="str">
        <f t="shared" si="1"/>
        <v>Win</v>
      </c>
      <c r="H72">
        <v>0</v>
      </c>
      <c r="I72">
        <v>1</v>
      </c>
    </row>
    <row r="73" spans="1:9" x14ac:dyDescent="0.35">
      <c r="A73">
        <v>7</v>
      </c>
      <c r="B73" s="6">
        <v>46030</v>
      </c>
      <c r="C73" t="s">
        <v>66</v>
      </c>
      <c r="D73" t="s">
        <v>23</v>
      </c>
      <c r="E73">
        <f>IF(D73="A", INDEX(Matches!$E:$E, MATCH(A73, Matches!$A:$A, 0)), INDEX(Matches!$F:$F, MATCH(A73, Matches!$A:$A, 0)))</f>
        <v>11</v>
      </c>
      <c r="F73">
        <f>IF(D73="A", INDEX(Matches!$F:$F, MATCH(A73, Matches!$A:$A, 0)), INDEX(Matches!$E:$E, MATCH(A73, Matches!$A:$A, 0)))</f>
        <v>6</v>
      </c>
      <c r="G73" t="str">
        <f t="shared" si="1"/>
        <v>Win</v>
      </c>
      <c r="H73">
        <v>6</v>
      </c>
      <c r="I73">
        <v>5</v>
      </c>
    </row>
    <row r="74" spans="1:9" x14ac:dyDescent="0.35">
      <c r="A74">
        <v>7</v>
      </c>
      <c r="B74" s="6">
        <v>46030</v>
      </c>
      <c r="C74" t="s">
        <v>25</v>
      </c>
      <c r="D74" t="s">
        <v>23</v>
      </c>
      <c r="E74">
        <f>IF(D74="A", INDEX(Matches!$E:$E, MATCH(A74, Matches!$A:$A, 0)), INDEX(Matches!$F:$F, MATCH(A74, Matches!$A:$A, 0)))</f>
        <v>11</v>
      </c>
      <c r="F74">
        <f>IF(D74="A", INDEX(Matches!$F:$F, MATCH(A74, Matches!$A:$A, 0)), INDEX(Matches!$E:$E, MATCH(A74, Matches!$A:$A, 0)))</f>
        <v>6</v>
      </c>
      <c r="G74" t="str">
        <f t="shared" si="1"/>
        <v>Win</v>
      </c>
      <c r="H74">
        <v>0</v>
      </c>
      <c r="I74">
        <v>0</v>
      </c>
    </row>
    <row r="75" spans="1:9" x14ac:dyDescent="0.35">
      <c r="A75">
        <v>7</v>
      </c>
      <c r="B75" s="6">
        <v>46030</v>
      </c>
      <c r="C75" t="s">
        <v>19</v>
      </c>
      <c r="D75" t="s">
        <v>23</v>
      </c>
      <c r="E75">
        <f>IF(D75="A", INDEX(Matches!$E:$E, MATCH(A75, Matches!$A:$A, 0)), INDEX(Matches!$F:$F, MATCH(A75, Matches!$A:$A, 0)))</f>
        <v>11</v>
      </c>
      <c r="F75">
        <f>IF(D75="A", INDEX(Matches!$F:$F, MATCH(A75, Matches!$A:$A, 0)), INDEX(Matches!$E:$E, MATCH(A75, Matches!$A:$A, 0)))</f>
        <v>6</v>
      </c>
      <c r="G75" t="str">
        <f t="shared" si="1"/>
        <v>Win</v>
      </c>
      <c r="H75">
        <v>4</v>
      </c>
      <c r="I75">
        <v>1</v>
      </c>
    </row>
    <row r="76" spans="1:9" x14ac:dyDescent="0.35">
      <c r="A76">
        <v>7</v>
      </c>
      <c r="B76" s="6">
        <v>46030</v>
      </c>
      <c r="C76" t="s">
        <v>21</v>
      </c>
      <c r="D76" t="s">
        <v>23</v>
      </c>
      <c r="E76">
        <f>IF(D76="A", INDEX(Matches!$E:$E, MATCH(A76, Matches!$A:$A, 0)), INDEX(Matches!$F:$F, MATCH(A76, Matches!$A:$A, 0)))</f>
        <v>11</v>
      </c>
      <c r="F76">
        <f>IF(D76="A", INDEX(Matches!$F:$F, MATCH(A76, Matches!$A:$A, 0)), INDEX(Matches!$E:$E, MATCH(A76, Matches!$A:$A, 0)))</f>
        <v>6</v>
      </c>
      <c r="G76" t="str">
        <f t="shared" si="1"/>
        <v>Win</v>
      </c>
      <c r="H76">
        <v>1</v>
      </c>
      <c r="I76">
        <v>1</v>
      </c>
    </row>
    <row r="77" spans="1:9" x14ac:dyDescent="0.35">
      <c r="A77">
        <v>8</v>
      </c>
      <c r="B77" s="6">
        <v>46037</v>
      </c>
      <c r="C77" t="s">
        <v>53</v>
      </c>
      <c r="D77" t="s">
        <v>17</v>
      </c>
      <c r="E77">
        <f>IF(D77="A", INDEX(Matches!$E:$E, MATCH(A77, Matches!$A:$A, 0)), INDEX(Matches!$F:$F, MATCH(A77, Matches!$A:$A, 0)))</f>
        <v>5</v>
      </c>
      <c r="F77">
        <v>5</v>
      </c>
      <c r="G77" t="str">
        <f t="shared" ref="G77:G90" si="2">IF(E77&gt;F77,"Win",IF(E77&lt;F77,"Loss","Draw"))</f>
        <v>Draw</v>
      </c>
      <c r="H77">
        <v>2</v>
      </c>
      <c r="I77">
        <v>0</v>
      </c>
    </row>
    <row r="78" spans="1:9" x14ac:dyDescent="0.35">
      <c r="A78">
        <v>8</v>
      </c>
      <c r="B78" s="6">
        <v>46037</v>
      </c>
      <c r="C78" t="s">
        <v>16</v>
      </c>
      <c r="D78" t="s">
        <v>17</v>
      </c>
      <c r="E78">
        <f>IF(D78="A", INDEX(Matches!$E:$E, MATCH(A78, Matches!$A:$A, 0)), INDEX(Matches!$F:$F, MATCH(A78, Matches!$A:$A, 0)))</f>
        <v>5</v>
      </c>
      <c r="F78">
        <f>IF(D78="A", INDEX(Matches!$F:$F, MATCH(A78, Matches!$A:$A, 0)), INDEX(Matches!$E:$E, MATCH(A78, Matches!$A:$A, 0)))</f>
        <v>5</v>
      </c>
      <c r="G78" t="str">
        <f t="shared" si="2"/>
        <v>Draw</v>
      </c>
      <c r="H78">
        <v>0</v>
      </c>
      <c r="I78">
        <v>0</v>
      </c>
    </row>
    <row r="79" spans="1:9" x14ac:dyDescent="0.35">
      <c r="A79">
        <v>8</v>
      </c>
      <c r="B79" s="6">
        <v>46037</v>
      </c>
      <c r="C79" t="s">
        <v>20</v>
      </c>
      <c r="D79" t="s">
        <v>17</v>
      </c>
      <c r="E79">
        <f>IF(D79="A", INDEX(Matches!$E:$E, MATCH(A79, Matches!$A:$A, 0)), INDEX(Matches!$F:$F, MATCH(A79, Matches!$A:$A, 0)))</f>
        <v>5</v>
      </c>
      <c r="F79">
        <f>IF(D79="A", INDEX(Matches!$F:$F, MATCH(A79, Matches!$A:$A, 0)), INDEX(Matches!$E:$E, MATCH(A79, Matches!$A:$A, 0)))</f>
        <v>5</v>
      </c>
      <c r="G79" t="str">
        <f t="shared" si="2"/>
        <v>Draw</v>
      </c>
      <c r="H79">
        <v>0</v>
      </c>
      <c r="I79">
        <v>1</v>
      </c>
    </row>
    <row r="80" spans="1:9" x14ac:dyDescent="0.35">
      <c r="A80">
        <v>8</v>
      </c>
      <c r="B80" s="6">
        <v>46037</v>
      </c>
      <c r="C80" t="s">
        <v>19</v>
      </c>
      <c r="D80" t="s">
        <v>17</v>
      </c>
      <c r="E80">
        <f>IF(D80="A", INDEX(Matches!$E:$E, MATCH(A80, Matches!$A:$A, 0)), INDEX(Matches!$F:$F, MATCH(A80, Matches!$A:$A, 0)))</f>
        <v>5</v>
      </c>
      <c r="F80">
        <f>IF(D80="A", INDEX(Matches!$F:$F, MATCH(A80, Matches!$A:$A, 0)), INDEX(Matches!$E:$E, MATCH(A80, Matches!$A:$A, 0)))</f>
        <v>5</v>
      </c>
      <c r="G80" t="str">
        <f t="shared" si="2"/>
        <v>Draw</v>
      </c>
      <c r="H80">
        <v>3</v>
      </c>
      <c r="I80">
        <v>0</v>
      </c>
    </row>
    <row r="81" spans="1:9" x14ac:dyDescent="0.35">
      <c r="A81">
        <v>8</v>
      </c>
      <c r="B81" s="6">
        <v>46037</v>
      </c>
      <c r="C81" t="s">
        <v>18</v>
      </c>
      <c r="D81" t="s">
        <v>17</v>
      </c>
      <c r="E81">
        <f>IF(D81="A", INDEX(Matches!$E:$E, MATCH(A81, Matches!$A:$A, 0)), INDEX(Matches!$F:$F, MATCH(A81, Matches!$A:$A, 0)))</f>
        <v>5</v>
      </c>
      <c r="F81">
        <f>IF(D81="A", INDEX(Matches!$F:$F, MATCH(A81, Matches!$A:$A, 0)), INDEX(Matches!$E:$E, MATCH(A81, Matches!$A:$A, 0)))</f>
        <v>5</v>
      </c>
      <c r="G81" t="str">
        <f t="shared" si="2"/>
        <v>Draw</v>
      </c>
      <c r="H81">
        <v>0</v>
      </c>
      <c r="I81">
        <v>1</v>
      </c>
    </row>
    <row r="82" spans="1:9" x14ac:dyDescent="0.35">
      <c r="A82">
        <v>8</v>
      </c>
      <c r="B82" s="6">
        <v>46037</v>
      </c>
      <c r="C82" t="s">
        <v>60</v>
      </c>
      <c r="D82" t="s">
        <v>17</v>
      </c>
      <c r="E82">
        <f>IF(D82="A", INDEX(Matches!$E:$E, MATCH(A82, Matches!$A:$A, 0)), INDEX(Matches!$F:$F, MATCH(A82, Matches!$A:$A, 0)))</f>
        <v>5</v>
      </c>
      <c r="F82">
        <f>IF(D82="A", INDEX(Matches!$F:$F, MATCH(A82, Matches!$A:$A, 0)), INDEX(Matches!$E:$E, MATCH(A82, Matches!$A:$A, 0)))</f>
        <v>5</v>
      </c>
      <c r="G82" t="str">
        <f t="shared" si="2"/>
        <v>Draw</v>
      </c>
      <c r="H82">
        <v>0</v>
      </c>
      <c r="I82">
        <v>0</v>
      </c>
    </row>
    <row r="83" spans="1:9" x14ac:dyDescent="0.35">
      <c r="A83">
        <v>8</v>
      </c>
      <c r="B83" s="6">
        <v>46037</v>
      </c>
      <c r="C83" t="s">
        <v>43</v>
      </c>
      <c r="D83" t="s">
        <v>17</v>
      </c>
      <c r="E83">
        <f>IF(D83="A", INDEX(Matches!$E:$E, MATCH(A83, Matches!$A:$A, 0)), INDEX(Matches!$F:$F, MATCH(A83, Matches!$A:$A, 0)))</f>
        <v>5</v>
      </c>
      <c r="F83">
        <f>IF(D83="A", INDEX(Matches!$F:$F, MATCH(A83, Matches!$A:$A, 0)), INDEX(Matches!$E:$E, MATCH(A83, Matches!$A:$A, 0)))</f>
        <v>5</v>
      </c>
      <c r="G83" t="str">
        <f t="shared" si="2"/>
        <v>Draw</v>
      </c>
      <c r="H83">
        <v>0</v>
      </c>
      <c r="I83">
        <v>1</v>
      </c>
    </row>
    <row r="84" spans="1:9" x14ac:dyDescent="0.35">
      <c r="A84">
        <v>8</v>
      </c>
      <c r="B84" s="6">
        <v>46037</v>
      </c>
      <c r="C84" t="s">
        <v>41</v>
      </c>
      <c r="D84" t="s">
        <v>23</v>
      </c>
      <c r="E84">
        <f>IF(D84="A", INDEX(Matches!$E:$E, MATCH(A84, Matches!$A:$A, 0)), INDEX(Matches!$F:$F, MATCH(A84, Matches!$A:$A, 0)))</f>
        <v>5</v>
      </c>
      <c r="F84">
        <f>IF(D84="A", INDEX(Matches!$F:$F, MATCH(A84, Matches!$A:$A, 0)), INDEX(Matches!$E:$E, MATCH(A84, Matches!$A:$A, 0)))</f>
        <v>5</v>
      </c>
      <c r="G84" t="str">
        <f t="shared" si="2"/>
        <v>Draw</v>
      </c>
      <c r="H84">
        <v>0</v>
      </c>
      <c r="I84">
        <v>0</v>
      </c>
    </row>
    <row r="85" spans="1:9" x14ac:dyDescent="0.35">
      <c r="A85">
        <v>8</v>
      </c>
      <c r="B85" s="6">
        <v>46037</v>
      </c>
      <c r="C85" t="s">
        <v>42</v>
      </c>
      <c r="D85" t="s">
        <v>23</v>
      </c>
      <c r="E85">
        <f>IF(D85="A", INDEX(Matches!$E:$E, MATCH(A85, Matches!$A:$A, 0)), INDEX(Matches!$F:$F, MATCH(A85, Matches!$A:$A, 0)))</f>
        <v>5</v>
      </c>
      <c r="F85">
        <f>IF(D85="A", INDEX(Matches!$F:$F, MATCH(A85, Matches!$A:$A, 0)), INDEX(Matches!$E:$E, MATCH(A85, Matches!$A:$A, 0)))</f>
        <v>5</v>
      </c>
      <c r="G85" t="str">
        <f t="shared" si="2"/>
        <v>Draw</v>
      </c>
      <c r="H85">
        <v>1</v>
      </c>
      <c r="I85">
        <v>0</v>
      </c>
    </row>
    <row r="86" spans="1:9" x14ac:dyDescent="0.35">
      <c r="A86">
        <v>8</v>
      </c>
      <c r="B86" s="6">
        <v>46037</v>
      </c>
      <c r="C86" t="s">
        <v>25</v>
      </c>
      <c r="D86" t="s">
        <v>23</v>
      </c>
      <c r="E86">
        <f>IF(D86="A", INDEX(Matches!$E:$E, MATCH(A86, Matches!$A:$A, 0)), INDEX(Matches!$F:$F, MATCH(A86, Matches!$A:$A, 0)))</f>
        <v>5</v>
      </c>
      <c r="F86">
        <f>IF(D86="A", INDEX(Matches!$F:$F, MATCH(A86, Matches!$A:$A, 0)), INDEX(Matches!$E:$E, MATCH(A86, Matches!$A:$A, 0)))</f>
        <v>5</v>
      </c>
      <c r="G86" t="str">
        <f t="shared" si="2"/>
        <v>Draw</v>
      </c>
      <c r="H86">
        <v>0</v>
      </c>
      <c r="I86">
        <v>1</v>
      </c>
    </row>
    <row r="87" spans="1:9" x14ac:dyDescent="0.35">
      <c r="A87">
        <v>8</v>
      </c>
      <c r="B87" s="6">
        <v>46037</v>
      </c>
      <c r="C87" t="s">
        <v>66</v>
      </c>
      <c r="D87" t="s">
        <v>23</v>
      </c>
      <c r="E87">
        <f>IF(D87="A", INDEX(Matches!$E:$E, MATCH(A87, Matches!$A:$A, 0)), INDEX(Matches!$F:$F, MATCH(A87, Matches!$A:$A, 0)))</f>
        <v>5</v>
      </c>
      <c r="F87">
        <f>IF(D87="A", INDEX(Matches!$F:$F, MATCH(A87, Matches!$A:$A, 0)), INDEX(Matches!$E:$E, MATCH(A87, Matches!$A:$A, 0)))</f>
        <v>5</v>
      </c>
      <c r="G87" t="str">
        <f t="shared" si="2"/>
        <v>Draw</v>
      </c>
      <c r="H87">
        <v>0</v>
      </c>
      <c r="I87">
        <v>1</v>
      </c>
    </row>
    <row r="88" spans="1:9" x14ac:dyDescent="0.35">
      <c r="A88">
        <v>8</v>
      </c>
      <c r="B88" s="6">
        <v>46037</v>
      </c>
      <c r="C88" t="s">
        <v>44</v>
      </c>
      <c r="D88" t="s">
        <v>23</v>
      </c>
      <c r="E88">
        <f>IF(D88="A", INDEX(Matches!$E:$E, MATCH(A88, Matches!$A:$A, 0)), INDEX(Matches!$F:$F, MATCH(A88, Matches!$A:$A, 0)))</f>
        <v>5</v>
      </c>
      <c r="F88">
        <f>IF(D88="A", INDEX(Matches!$F:$F, MATCH(A88, Matches!$A:$A, 0)), INDEX(Matches!$E:$E, MATCH(A88, Matches!$A:$A, 0)))</f>
        <v>5</v>
      </c>
      <c r="G88" t="str">
        <f t="shared" si="2"/>
        <v>Draw</v>
      </c>
      <c r="H88">
        <v>1</v>
      </c>
      <c r="I88">
        <v>0</v>
      </c>
    </row>
    <row r="89" spans="1:9" x14ac:dyDescent="0.35">
      <c r="A89">
        <v>8</v>
      </c>
      <c r="B89" s="6">
        <v>46037</v>
      </c>
      <c r="C89" t="s">
        <v>24</v>
      </c>
      <c r="D89" t="s">
        <v>23</v>
      </c>
      <c r="E89">
        <f>IF(D89="A", INDEX(Matches!$E:$E, MATCH(A89, Matches!$A:$A, 0)), INDEX(Matches!$F:$F, MATCH(A89, Matches!$A:$A, 0)))</f>
        <v>5</v>
      </c>
      <c r="F89">
        <f>IF(D89="A", INDEX(Matches!$F:$F, MATCH(A89, Matches!$A:$A, 0)), INDEX(Matches!$E:$E, MATCH(A89, Matches!$A:$A, 0)))</f>
        <v>5</v>
      </c>
      <c r="G89" t="str">
        <f t="shared" si="2"/>
        <v>Draw</v>
      </c>
      <c r="H89">
        <v>0</v>
      </c>
      <c r="I89">
        <v>0</v>
      </c>
    </row>
    <row r="90" spans="1:9" x14ac:dyDescent="0.35">
      <c r="A90">
        <v>8</v>
      </c>
      <c r="B90" s="6">
        <v>46037</v>
      </c>
      <c r="C90" t="s">
        <v>22</v>
      </c>
      <c r="D90" t="s">
        <v>23</v>
      </c>
      <c r="E90">
        <f>IF(D90="A", INDEX(Matches!$E:$E, MATCH(A90, Matches!$A:$A, 0)), INDEX(Matches!$F:$F, MATCH(A90, Matches!$A:$A, 0)))</f>
        <v>5</v>
      </c>
      <c r="F90">
        <f>IF(D90="A", INDEX(Matches!$F:$F, MATCH(A90, Matches!$A:$A, 0)), INDEX(Matches!$E:$E, MATCH(A90, Matches!$A:$A, 0)))</f>
        <v>5</v>
      </c>
      <c r="G90" t="str">
        <f t="shared" si="2"/>
        <v>Draw</v>
      </c>
      <c r="H90">
        <v>2</v>
      </c>
      <c r="I90">
        <v>0</v>
      </c>
    </row>
    <row r="91" spans="1:9" x14ac:dyDescent="0.35">
      <c r="A91">
        <v>9</v>
      </c>
      <c r="B91" s="6">
        <v>46044</v>
      </c>
      <c r="C91" t="s">
        <v>22</v>
      </c>
      <c r="D91" t="s">
        <v>17</v>
      </c>
      <c r="E91">
        <f>IF(D91="A", INDEX(Matches!$E:$E, MATCH(A91, Matches!$A:$A, 0)), INDEX(Matches!$F:$F, MATCH(A91, Matches!$A:$A, 0)))</f>
        <v>3</v>
      </c>
      <c r="F91">
        <f>IF(D91="A", INDEX(Matches!$F:$F, MATCH(A91, Matches!$A:$A, 0)), INDEX(Matches!$E:$E, MATCH(A91, Matches!$A:$A, 0)))</f>
        <v>6</v>
      </c>
      <c r="G91" t="str">
        <f t="shared" ref="G91:G104" si="3">IF(E91&gt;F91,"Win",IF(E91&lt;F91,"Loss","Draw"))</f>
        <v>Loss</v>
      </c>
      <c r="H91">
        <v>0</v>
      </c>
      <c r="I91">
        <v>0</v>
      </c>
    </row>
    <row r="92" spans="1:9" x14ac:dyDescent="0.35">
      <c r="A92">
        <v>9</v>
      </c>
      <c r="B92" s="6">
        <v>46044</v>
      </c>
      <c r="C92" t="s">
        <v>20</v>
      </c>
      <c r="D92" t="s">
        <v>17</v>
      </c>
      <c r="E92">
        <f>IF(D92="A", INDEX(Matches!$E:$E, MATCH(A92, Matches!$A:$A, 0)), INDEX(Matches!$F:$F, MATCH(A92, Matches!$A:$A, 0)))</f>
        <v>3</v>
      </c>
      <c r="F92">
        <f>IF(D92="A", INDEX(Matches!$F:$F, MATCH(A92, Matches!$A:$A, 0)), INDEX(Matches!$E:$E, MATCH(A92, Matches!$A:$A, 0)))</f>
        <v>6</v>
      </c>
      <c r="G92" t="str">
        <f t="shared" si="3"/>
        <v>Loss</v>
      </c>
      <c r="H92">
        <v>0</v>
      </c>
      <c r="I92">
        <v>0</v>
      </c>
    </row>
    <row r="93" spans="1:9" x14ac:dyDescent="0.35">
      <c r="A93">
        <v>9</v>
      </c>
      <c r="B93" s="6">
        <v>46044</v>
      </c>
      <c r="C93" t="s">
        <v>25</v>
      </c>
      <c r="D93" t="s">
        <v>17</v>
      </c>
      <c r="E93">
        <f>IF(D93="A", INDEX(Matches!$E:$E, MATCH(A93, Matches!$A:$A, 0)), INDEX(Matches!$F:$F, MATCH(A93, Matches!$A:$A, 0)))</f>
        <v>3</v>
      </c>
      <c r="F93">
        <f>IF(D93="A", INDEX(Matches!$F:$F, MATCH(A93, Matches!$A:$A, 0)), INDEX(Matches!$E:$E, MATCH(A93, Matches!$A:$A, 0)))</f>
        <v>6</v>
      </c>
      <c r="G93" t="str">
        <f t="shared" si="3"/>
        <v>Loss</v>
      </c>
      <c r="H93">
        <v>0</v>
      </c>
      <c r="I93">
        <v>0</v>
      </c>
    </row>
    <row r="94" spans="1:9" x14ac:dyDescent="0.35">
      <c r="A94">
        <v>9</v>
      </c>
      <c r="B94" s="6">
        <v>46044</v>
      </c>
      <c r="C94" t="s">
        <v>18</v>
      </c>
      <c r="D94" t="s">
        <v>17</v>
      </c>
      <c r="E94">
        <f>IF(D94="A", INDEX(Matches!$E:$E, MATCH(A94, Matches!$A:$A, 0)), INDEX(Matches!$F:$F, MATCH(A94, Matches!$A:$A, 0)))</f>
        <v>3</v>
      </c>
      <c r="F94">
        <f>IF(D94="A", INDEX(Matches!$F:$F, MATCH(A94, Matches!$A:$A, 0)), INDEX(Matches!$E:$E, MATCH(A94, Matches!$A:$A, 0)))</f>
        <v>6</v>
      </c>
      <c r="G94" t="str">
        <f t="shared" si="3"/>
        <v>Loss</v>
      </c>
      <c r="H94">
        <v>0</v>
      </c>
      <c r="I94">
        <v>0</v>
      </c>
    </row>
    <row r="95" spans="1:9" x14ac:dyDescent="0.35">
      <c r="A95">
        <v>9</v>
      </c>
      <c r="B95" s="6">
        <v>46044</v>
      </c>
      <c r="C95" t="s">
        <v>16</v>
      </c>
      <c r="D95" t="s">
        <v>17</v>
      </c>
      <c r="E95">
        <f>IF(D95="A", INDEX(Matches!$E:$E, MATCH(A95, Matches!$A:$A, 0)), INDEX(Matches!$F:$F, MATCH(A95, Matches!$A:$A, 0)))</f>
        <v>3</v>
      </c>
      <c r="F95">
        <f>IF(D95="A", INDEX(Matches!$F:$F, MATCH(A95, Matches!$A:$A, 0)), INDEX(Matches!$E:$E, MATCH(A95, Matches!$A:$A, 0)))</f>
        <v>6</v>
      </c>
      <c r="G95" t="str">
        <f t="shared" si="3"/>
        <v>Loss</v>
      </c>
      <c r="H95">
        <v>0</v>
      </c>
      <c r="I95">
        <v>0</v>
      </c>
    </row>
    <row r="96" spans="1:9" x14ac:dyDescent="0.35">
      <c r="A96">
        <v>9</v>
      </c>
      <c r="B96" s="6">
        <v>46044</v>
      </c>
      <c r="C96" t="s">
        <v>55</v>
      </c>
      <c r="D96" t="s">
        <v>17</v>
      </c>
      <c r="E96">
        <f>IF(D96="A", INDEX(Matches!$E:$E, MATCH(A96, Matches!$A:$A, 0)), INDEX(Matches!$F:$F, MATCH(A96, Matches!$A:$A, 0)))</f>
        <v>3</v>
      </c>
      <c r="F96">
        <f>IF(D96="A", INDEX(Matches!$F:$F, MATCH(A96, Matches!$A:$A, 0)), INDEX(Matches!$E:$E, MATCH(A96, Matches!$A:$A, 0)))</f>
        <v>6</v>
      </c>
      <c r="G96" t="str">
        <f t="shared" si="3"/>
        <v>Loss</v>
      </c>
      <c r="H96">
        <v>0</v>
      </c>
      <c r="I96">
        <v>0</v>
      </c>
    </row>
    <row r="97" spans="1:10" x14ac:dyDescent="0.35">
      <c r="A97">
        <v>9</v>
      </c>
      <c r="B97" s="6">
        <v>46044</v>
      </c>
      <c r="C97" t="s">
        <v>66</v>
      </c>
      <c r="D97" t="s">
        <v>17</v>
      </c>
      <c r="E97">
        <f>IF(D97="A", INDEX(Matches!$E:$E, MATCH(A97, Matches!$A:$A, 0)), INDEX(Matches!$F:$F, MATCH(A97, Matches!$A:$A, 0)))</f>
        <v>3</v>
      </c>
      <c r="F97">
        <f>IF(D97="A", INDEX(Matches!$F:$F, MATCH(A97, Matches!$A:$A, 0)), INDEX(Matches!$E:$E, MATCH(A97, Matches!$A:$A, 0)))</f>
        <v>6</v>
      </c>
      <c r="G97" t="str">
        <f t="shared" si="3"/>
        <v>Loss</v>
      </c>
      <c r="H97">
        <v>3</v>
      </c>
      <c r="I97">
        <v>0</v>
      </c>
    </row>
    <row r="98" spans="1:10" x14ac:dyDescent="0.35">
      <c r="A98">
        <v>9</v>
      </c>
      <c r="B98" s="6">
        <v>46044</v>
      </c>
      <c r="C98" t="s">
        <v>53</v>
      </c>
      <c r="D98" t="s">
        <v>23</v>
      </c>
      <c r="E98">
        <f>IF(D98="A", INDEX(Matches!$E:$E, MATCH(A98, Matches!$A:$A, 0)), INDEX(Matches!$F:$F, MATCH(A98, Matches!$A:$A, 0)))</f>
        <v>6</v>
      </c>
      <c r="F98">
        <f>IF(D98="A", INDEX(Matches!$F:$F, MATCH(A98, Matches!$A:$A, 0)), INDEX(Matches!$E:$E, MATCH(A98, Matches!$A:$A, 0)))</f>
        <v>3</v>
      </c>
      <c r="G98" t="str">
        <f t="shared" si="3"/>
        <v>Win</v>
      </c>
      <c r="H98">
        <v>0</v>
      </c>
      <c r="I98">
        <v>0</v>
      </c>
    </row>
    <row r="99" spans="1:10" x14ac:dyDescent="0.35">
      <c r="A99">
        <v>9</v>
      </c>
      <c r="B99" s="6">
        <v>46044</v>
      </c>
      <c r="C99" t="s">
        <v>44</v>
      </c>
      <c r="D99" t="s">
        <v>23</v>
      </c>
      <c r="E99">
        <f>IF(D99="A", INDEX(Matches!$E:$E, MATCH(A99, Matches!$A:$A, 0)), INDEX(Matches!$F:$F, MATCH(A99, Matches!$A:$A, 0)))</f>
        <v>6</v>
      </c>
      <c r="F99">
        <f>IF(D99="A", INDEX(Matches!$F:$F, MATCH(A99, Matches!$A:$A, 0)), INDEX(Matches!$E:$E, MATCH(A99, Matches!$A:$A, 0)))</f>
        <v>3</v>
      </c>
      <c r="G99" t="str">
        <f t="shared" si="3"/>
        <v>Win</v>
      </c>
      <c r="H99">
        <v>2</v>
      </c>
      <c r="I99">
        <v>0</v>
      </c>
    </row>
    <row r="100" spans="1:10" x14ac:dyDescent="0.35">
      <c r="A100">
        <v>9</v>
      </c>
      <c r="B100" s="6">
        <v>46044</v>
      </c>
      <c r="C100" t="s">
        <v>21</v>
      </c>
      <c r="D100" t="s">
        <v>23</v>
      </c>
      <c r="E100">
        <f>IF(D100="A", INDEX(Matches!$E:$E, MATCH(A100, Matches!$A:$A, 0)), INDEX(Matches!$F:$F, MATCH(A100, Matches!$A:$A, 0)))</f>
        <v>6</v>
      </c>
      <c r="F100">
        <f>IF(D100="A", INDEX(Matches!$F:$F, MATCH(A100, Matches!$A:$A, 0)), INDEX(Matches!$E:$E, MATCH(A100, Matches!$A:$A, 0)))</f>
        <v>3</v>
      </c>
      <c r="G100" t="str">
        <f t="shared" si="3"/>
        <v>Win</v>
      </c>
      <c r="H100">
        <v>1</v>
      </c>
      <c r="I100">
        <v>1</v>
      </c>
    </row>
    <row r="101" spans="1:10" x14ac:dyDescent="0.35">
      <c r="A101">
        <v>9</v>
      </c>
      <c r="B101" s="6">
        <v>46044</v>
      </c>
      <c r="C101" t="s">
        <v>41</v>
      </c>
      <c r="D101" t="s">
        <v>23</v>
      </c>
      <c r="E101">
        <f>IF(D101="A", INDEX(Matches!$E:$E, MATCH(A101, Matches!$A:$A, 0)), INDEX(Matches!$F:$F, MATCH(A101, Matches!$A:$A, 0)))</f>
        <v>6</v>
      </c>
      <c r="F101">
        <f>IF(D101="A", INDEX(Matches!$F:$F, MATCH(A101, Matches!$A:$A, 0)), INDEX(Matches!$E:$E, MATCH(A101, Matches!$A:$A, 0)))</f>
        <v>3</v>
      </c>
      <c r="G101" t="str">
        <f t="shared" si="3"/>
        <v>Win</v>
      </c>
      <c r="H101">
        <v>0</v>
      </c>
      <c r="I101">
        <v>1</v>
      </c>
    </row>
    <row r="102" spans="1:10" x14ac:dyDescent="0.35">
      <c r="A102">
        <v>9</v>
      </c>
      <c r="B102" s="6">
        <v>46044</v>
      </c>
      <c r="C102" t="s">
        <v>40</v>
      </c>
      <c r="D102" t="s">
        <v>23</v>
      </c>
      <c r="E102">
        <f>IF(D102="A", INDEX(Matches!$E:$E, MATCH(A102, Matches!$A:$A, 0)), INDEX(Matches!$F:$F, MATCH(A102, Matches!$A:$A, 0)))</f>
        <v>6</v>
      </c>
      <c r="F102">
        <f>IF(D102="A", INDEX(Matches!$F:$F, MATCH(A102, Matches!$A:$A, 0)), INDEX(Matches!$E:$E, MATCH(A102, Matches!$A:$A, 0)))</f>
        <v>3</v>
      </c>
      <c r="G102" t="str">
        <f t="shared" si="3"/>
        <v>Win</v>
      </c>
      <c r="H102">
        <v>1</v>
      </c>
      <c r="I102">
        <v>0</v>
      </c>
    </row>
    <row r="103" spans="1:10" x14ac:dyDescent="0.35">
      <c r="A103">
        <v>9</v>
      </c>
      <c r="B103" s="6">
        <v>46044</v>
      </c>
      <c r="C103" t="s">
        <v>24</v>
      </c>
      <c r="D103" t="s">
        <v>23</v>
      </c>
      <c r="E103">
        <f>IF(D103="A", INDEX(Matches!$E:$E, MATCH(A103, Matches!$A:$A, 0)), INDEX(Matches!$F:$F, MATCH(A103, Matches!$A:$A, 0)))</f>
        <v>6</v>
      </c>
      <c r="F103">
        <f>IF(D103="A", INDEX(Matches!$F:$F, MATCH(A103, Matches!$A:$A, 0)), INDEX(Matches!$E:$E, MATCH(A103, Matches!$A:$A, 0)))</f>
        <v>3</v>
      </c>
      <c r="G103" t="str">
        <f t="shared" si="3"/>
        <v>Win</v>
      </c>
      <c r="H103">
        <v>0</v>
      </c>
      <c r="I103">
        <v>0</v>
      </c>
    </row>
    <row r="104" spans="1:10" x14ac:dyDescent="0.35">
      <c r="A104">
        <v>9</v>
      </c>
      <c r="B104" s="6">
        <v>46044</v>
      </c>
      <c r="C104" t="s">
        <v>19</v>
      </c>
      <c r="D104" t="s">
        <v>23</v>
      </c>
      <c r="E104">
        <f>IF(D104="A", INDEX(Matches!$E:$E, MATCH(A104, Matches!$A:$A, 0)), INDEX(Matches!$F:$F, MATCH(A104, Matches!$A:$A, 0)))</f>
        <v>6</v>
      </c>
      <c r="F104">
        <f>IF(D104="A", INDEX(Matches!$F:$F, MATCH(A104, Matches!$A:$A, 0)), INDEX(Matches!$E:$E, MATCH(A104, Matches!$A:$A, 0)))</f>
        <v>3</v>
      </c>
      <c r="G104" t="str">
        <f t="shared" si="3"/>
        <v>Win</v>
      </c>
      <c r="H104">
        <v>2</v>
      </c>
      <c r="I104">
        <v>1</v>
      </c>
    </row>
    <row r="105" spans="1:10" x14ac:dyDescent="0.35">
      <c r="A105">
        <v>10</v>
      </c>
      <c r="B105" s="6">
        <v>46051</v>
      </c>
      <c r="C105" t="s">
        <v>20</v>
      </c>
      <c r="D105" t="s">
        <v>17</v>
      </c>
      <c r="E105">
        <f>IF(D105="A", INDEX(Matches!$E:$E, MATCH(A105, Matches!$A:$A, 0)), INDEX(Matches!$F:$F, MATCH(A105, Matches!$A:$A, 0)))</f>
        <v>6</v>
      </c>
      <c r="F105">
        <f>IF(D105="A", INDEX(Matches!$F:$F, MATCH(A105, Matches!$A:$A, 0)), INDEX(Matches!$E:$E, MATCH(A105, Matches!$A:$A, 0)))</f>
        <v>5</v>
      </c>
      <c r="G105" t="str">
        <f t="shared" ref="G105" si="4">IF(E105&gt;F105,"Win",IF(E105&lt;F105,"Loss","Draw"))</f>
        <v>Win</v>
      </c>
      <c r="H105">
        <v>0</v>
      </c>
      <c r="I105">
        <v>0</v>
      </c>
    </row>
    <row r="106" spans="1:10" x14ac:dyDescent="0.35">
      <c r="A106">
        <v>10</v>
      </c>
      <c r="B106" s="6">
        <v>46051</v>
      </c>
      <c r="C106" t="s">
        <v>41</v>
      </c>
      <c r="D106" t="s">
        <v>17</v>
      </c>
      <c r="E106">
        <f>IF(D106="A", INDEX(Matches!$E:$E, MATCH(A106, Matches!$A:$A, 0)), INDEX(Matches!$F:$F, MATCH(A106, Matches!$A:$A, 0)))</f>
        <v>6</v>
      </c>
      <c r="F106">
        <f>IF(D106="A", INDEX(Matches!$F:$F, MATCH(A106, Matches!$A:$A, 0)), INDEX(Matches!$E:$E, MATCH(A106, Matches!$A:$A, 0)))</f>
        <v>5</v>
      </c>
      <c r="G106" t="str">
        <f t="shared" ref="G106:G119" si="5">IF(E106&gt;F106,"Win",IF(E106&lt;F106,"Loss","Draw"))</f>
        <v>Win</v>
      </c>
      <c r="H106">
        <v>0</v>
      </c>
      <c r="I106">
        <v>1</v>
      </c>
      <c r="J106">
        <v>2</v>
      </c>
    </row>
    <row r="107" spans="1:10" x14ac:dyDescent="0.35">
      <c r="A107">
        <v>10</v>
      </c>
      <c r="B107" s="6">
        <v>46051</v>
      </c>
      <c r="C107" t="s">
        <v>22</v>
      </c>
      <c r="D107" t="s">
        <v>17</v>
      </c>
      <c r="E107">
        <f>IF(D107="A", INDEX(Matches!$E:$E, MATCH(A107, Matches!$A:$A, 0)), INDEX(Matches!$F:$F, MATCH(A107, Matches!$A:$A, 0)))</f>
        <v>6</v>
      </c>
      <c r="F107">
        <f>IF(D107="A", INDEX(Matches!$F:$F, MATCH(A107, Matches!$A:$A, 0)), INDEX(Matches!$E:$E, MATCH(A107, Matches!$A:$A, 0)))</f>
        <v>5</v>
      </c>
      <c r="G107" t="str">
        <f t="shared" si="5"/>
        <v>Win</v>
      </c>
      <c r="H107">
        <v>0</v>
      </c>
      <c r="I107">
        <v>0</v>
      </c>
    </row>
    <row r="108" spans="1:10" x14ac:dyDescent="0.35">
      <c r="A108">
        <v>10</v>
      </c>
      <c r="B108" s="6">
        <v>46051</v>
      </c>
      <c r="C108" t="s">
        <v>18</v>
      </c>
      <c r="D108" t="s">
        <v>17</v>
      </c>
      <c r="E108">
        <f>IF(D108="A", INDEX(Matches!$E:$E, MATCH(A108, Matches!$A:$A, 0)), INDEX(Matches!$F:$F, MATCH(A108, Matches!$A:$A, 0)))</f>
        <v>6</v>
      </c>
      <c r="F108">
        <f>IF(D108="A", INDEX(Matches!$F:$F, MATCH(A108, Matches!$A:$A, 0)), INDEX(Matches!$E:$E, MATCH(A108, Matches!$A:$A, 0)))</f>
        <v>5</v>
      </c>
      <c r="G108" t="str">
        <f t="shared" si="5"/>
        <v>Win</v>
      </c>
      <c r="H108">
        <v>0</v>
      </c>
      <c r="I108">
        <v>2</v>
      </c>
    </row>
    <row r="109" spans="1:10" x14ac:dyDescent="0.35">
      <c r="A109">
        <v>10</v>
      </c>
      <c r="B109" s="6">
        <v>46051</v>
      </c>
      <c r="C109" t="s">
        <v>66</v>
      </c>
      <c r="D109" t="s">
        <v>17</v>
      </c>
      <c r="E109">
        <f>IF(D109="A", INDEX(Matches!$E:$E, MATCH(A109, Matches!$A:$A, 0)), INDEX(Matches!$F:$F, MATCH(A109, Matches!$A:$A, 0)))</f>
        <v>6</v>
      </c>
      <c r="F109">
        <f>IF(D109="A", INDEX(Matches!$F:$F, MATCH(A109, Matches!$A:$A, 0)), INDEX(Matches!$E:$E, MATCH(A109, Matches!$A:$A, 0)))</f>
        <v>5</v>
      </c>
      <c r="G109" t="str">
        <f t="shared" si="5"/>
        <v>Win</v>
      </c>
      <c r="H109">
        <v>5</v>
      </c>
      <c r="I109">
        <v>0</v>
      </c>
    </row>
    <row r="110" spans="1:10" x14ac:dyDescent="0.35">
      <c r="A110">
        <v>10</v>
      </c>
      <c r="B110" s="6">
        <v>46051</v>
      </c>
      <c r="C110" t="s">
        <v>53</v>
      </c>
      <c r="D110" t="s">
        <v>17</v>
      </c>
      <c r="E110">
        <f>IF(D110="A", INDEX(Matches!$E:$E, MATCH(A110, Matches!$A:$A, 0)), INDEX(Matches!$F:$F, MATCH(A110, Matches!$A:$A, 0)))</f>
        <v>6</v>
      </c>
      <c r="F110">
        <f>IF(D110="A", INDEX(Matches!$F:$F, MATCH(A110, Matches!$A:$A, 0)), INDEX(Matches!$E:$E, MATCH(A110, Matches!$A:$A, 0)))</f>
        <v>5</v>
      </c>
      <c r="G110" t="str">
        <f t="shared" si="5"/>
        <v>Win</v>
      </c>
      <c r="H110">
        <v>1</v>
      </c>
      <c r="I110">
        <v>0</v>
      </c>
      <c r="J110">
        <v>1</v>
      </c>
    </row>
    <row r="111" spans="1:10" x14ac:dyDescent="0.35">
      <c r="A111">
        <v>10</v>
      </c>
      <c r="B111" s="6">
        <v>46051</v>
      </c>
      <c r="C111" t="s">
        <v>60</v>
      </c>
      <c r="D111" t="s">
        <v>17</v>
      </c>
      <c r="E111">
        <f>IF(D111="A", INDEX(Matches!$E:$E, MATCH(A111, Matches!$A:$A, 0)), INDEX(Matches!$F:$F, MATCH(A111, Matches!$A:$A, 0)))</f>
        <v>6</v>
      </c>
      <c r="F111">
        <f>IF(D111="A", INDEX(Matches!$F:$F, MATCH(A111, Matches!$A:$A, 0)), INDEX(Matches!$E:$E, MATCH(A111, Matches!$A:$A, 0)))</f>
        <v>5</v>
      </c>
      <c r="G111" t="str">
        <f t="shared" si="5"/>
        <v>Win</v>
      </c>
      <c r="H111">
        <v>0</v>
      </c>
      <c r="I111">
        <v>0</v>
      </c>
    </row>
    <row r="112" spans="1:10" x14ac:dyDescent="0.35">
      <c r="A112">
        <v>10</v>
      </c>
      <c r="B112" s="6">
        <v>46051</v>
      </c>
      <c r="C112" t="s">
        <v>43</v>
      </c>
      <c r="D112" t="s">
        <v>17</v>
      </c>
      <c r="E112">
        <f>IF(D112="A", INDEX(Matches!$E:$E, MATCH(A112, Matches!$A:$A, 0)), INDEX(Matches!$F:$F, MATCH(A112, Matches!$A:$A, 0)))</f>
        <v>6</v>
      </c>
      <c r="F112">
        <f>IF(D112="A", INDEX(Matches!$F:$F, MATCH(A112, Matches!$A:$A, 0)), INDEX(Matches!$E:$E, MATCH(A112, Matches!$A:$A, 0)))</f>
        <v>5</v>
      </c>
      <c r="G112" t="str">
        <f t="shared" si="5"/>
        <v>Win</v>
      </c>
      <c r="H112">
        <v>0</v>
      </c>
      <c r="I112">
        <v>0</v>
      </c>
    </row>
    <row r="113" spans="1:10" x14ac:dyDescent="0.35">
      <c r="A113">
        <v>10</v>
      </c>
      <c r="B113" s="6">
        <v>46051</v>
      </c>
      <c r="C113" t="s">
        <v>21</v>
      </c>
      <c r="D113" t="s">
        <v>23</v>
      </c>
      <c r="E113">
        <f>IF(D113="A", INDEX(Matches!$E:$E, MATCH(A113, Matches!$A:$A, 0)), INDEX(Matches!$F:$F, MATCH(A113, Matches!$A:$A, 0)))</f>
        <v>5</v>
      </c>
      <c r="F113">
        <f>IF(D113="A", INDEX(Matches!$F:$F, MATCH(A113, Matches!$A:$A, 0)), INDEX(Matches!$E:$E, MATCH(A113, Matches!$A:$A, 0)))</f>
        <v>6</v>
      </c>
      <c r="G113" t="str">
        <f t="shared" si="5"/>
        <v>Loss</v>
      </c>
      <c r="H113">
        <v>0</v>
      </c>
      <c r="I113">
        <v>0</v>
      </c>
    </row>
    <row r="114" spans="1:10" x14ac:dyDescent="0.35">
      <c r="A114">
        <v>10</v>
      </c>
      <c r="B114" s="6">
        <v>46051</v>
      </c>
      <c r="C114" t="s">
        <v>46</v>
      </c>
      <c r="D114" t="s">
        <v>23</v>
      </c>
      <c r="E114">
        <f>IF(D114="A", INDEX(Matches!$E:$E, MATCH(A114, Matches!$A:$A, 0)), INDEX(Matches!$F:$F, MATCH(A114, Matches!$A:$A, 0)))</f>
        <v>5</v>
      </c>
      <c r="F114">
        <f>IF(D114="A", INDEX(Matches!$F:$F, MATCH(A114, Matches!$A:$A, 0)), INDEX(Matches!$E:$E, MATCH(A114, Matches!$A:$A, 0)))</f>
        <v>6</v>
      </c>
      <c r="G114" t="str">
        <f t="shared" si="5"/>
        <v>Loss</v>
      </c>
      <c r="H114">
        <v>2</v>
      </c>
      <c r="I114">
        <v>0</v>
      </c>
    </row>
    <row r="115" spans="1:10" x14ac:dyDescent="0.35">
      <c r="A115">
        <v>10</v>
      </c>
      <c r="B115" s="6">
        <v>46051</v>
      </c>
      <c r="C115" t="s">
        <v>24</v>
      </c>
      <c r="D115" t="s">
        <v>23</v>
      </c>
      <c r="E115">
        <f>IF(D115="A", INDEX(Matches!$E:$E, MATCH(A115, Matches!$A:$A, 0)), INDEX(Matches!$F:$F, MATCH(A115, Matches!$A:$A, 0)))</f>
        <v>5</v>
      </c>
      <c r="F115">
        <f>IF(D115="A", INDEX(Matches!$F:$F, MATCH(A115, Matches!$A:$A, 0)), INDEX(Matches!$E:$E, MATCH(A115, Matches!$A:$A, 0)))</f>
        <v>6</v>
      </c>
      <c r="G115" t="str">
        <f t="shared" si="5"/>
        <v>Loss</v>
      </c>
      <c r="H115">
        <v>0</v>
      </c>
      <c r="I115">
        <v>1</v>
      </c>
    </row>
    <row r="116" spans="1:10" x14ac:dyDescent="0.35">
      <c r="A116">
        <v>10</v>
      </c>
      <c r="B116" s="6">
        <v>46051</v>
      </c>
      <c r="C116" t="s">
        <v>51</v>
      </c>
      <c r="D116" t="s">
        <v>23</v>
      </c>
      <c r="E116">
        <f>IF(D116="A", INDEX(Matches!$E:$E, MATCH(A116, Matches!$A:$A, 0)), INDEX(Matches!$F:$F, MATCH(A116, Matches!$A:$A, 0)))</f>
        <v>5</v>
      </c>
      <c r="F116">
        <f>IF(D116="A", INDEX(Matches!$F:$F, MATCH(A116, Matches!$A:$A, 0)), INDEX(Matches!$E:$E, MATCH(A116, Matches!$A:$A, 0)))</f>
        <v>6</v>
      </c>
      <c r="G116" t="str">
        <f t="shared" si="5"/>
        <v>Loss</v>
      </c>
      <c r="H116">
        <v>1</v>
      </c>
      <c r="I116">
        <v>0</v>
      </c>
      <c r="J116">
        <v>1</v>
      </c>
    </row>
    <row r="117" spans="1:10" x14ac:dyDescent="0.35">
      <c r="A117">
        <v>10</v>
      </c>
      <c r="B117" s="6">
        <v>46051</v>
      </c>
      <c r="C117" t="s">
        <v>25</v>
      </c>
      <c r="D117" t="s">
        <v>23</v>
      </c>
      <c r="E117">
        <f>IF(D117="A", INDEX(Matches!$E:$E, MATCH(A117, Matches!$A:$A, 0)), INDEX(Matches!$F:$F, MATCH(A117, Matches!$A:$A, 0)))</f>
        <v>5</v>
      </c>
      <c r="F117">
        <f>IF(D117="A", INDEX(Matches!$F:$F, MATCH(A117, Matches!$A:$A, 0)), INDEX(Matches!$E:$E, MATCH(A117, Matches!$A:$A, 0)))</f>
        <v>6</v>
      </c>
      <c r="G117" t="str">
        <f t="shared" si="5"/>
        <v>Loss</v>
      </c>
      <c r="H117">
        <v>0</v>
      </c>
      <c r="I117">
        <v>1</v>
      </c>
    </row>
    <row r="118" spans="1:10" x14ac:dyDescent="0.35">
      <c r="A118">
        <v>10</v>
      </c>
      <c r="B118" s="6">
        <v>46051</v>
      </c>
      <c r="C118" t="s">
        <v>40</v>
      </c>
      <c r="D118" t="s">
        <v>23</v>
      </c>
      <c r="E118">
        <f>IF(D118="A", INDEX(Matches!$E:$E, MATCH(A118, Matches!$A:$A, 0)), INDEX(Matches!$F:$F, MATCH(A118, Matches!$A:$A, 0)))</f>
        <v>5</v>
      </c>
      <c r="F118">
        <f>IF(D118="A", INDEX(Matches!$F:$F, MATCH(A118, Matches!$A:$A, 0)), INDEX(Matches!$E:$E, MATCH(A118, Matches!$A:$A, 0)))</f>
        <v>6</v>
      </c>
      <c r="G118" t="str">
        <f t="shared" si="5"/>
        <v>Loss</v>
      </c>
      <c r="H118">
        <v>0</v>
      </c>
      <c r="I118">
        <v>0</v>
      </c>
    </row>
    <row r="119" spans="1:10" x14ac:dyDescent="0.35">
      <c r="A119">
        <v>10</v>
      </c>
      <c r="B119" s="6">
        <v>46051</v>
      </c>
      <c r="C119" t="s">
        <v>42</v>
      </c>
      <c r="D119" t="s">
        <v>23</v>
      </c>
      <c r="E119">
        <f>IF(D119="A", INDEX(Matches!$E:$E, MATCH(A119, Matches!$A:$A, 0)), INDEX(Matches!$F:$F, MATCH(A119, Matches!$A:$A, 0)))</f>
        <v>5</v>
      </c>
      <c r="F119">
        <f>IF(D119="A", INDEX(Matches!$F:$F, MATCH(A119, Matches!$A:$A, 0)), INDEX(Matches!$E:$E, MATCH(A119, Matches!$A:$A, 0)))</f>
        <v>6</v>
      </c>
      <c r="G119" t="str">
        <f t="shared" si="5"/>
        <v>Loss</v>
      </c>
      <c r="H119">
        <v>0</v>
      </c>
      <c r="I119">
        <v>0</v>
      </c>
    </row>
    <row r="120" spans="1:10" x14ac:dyDescent="0.35">
      <c r="A120">
        <v>10</v>
      </c>
      <c r="B120" s="6">
        <v>46051</v>
      </c>
      <c r="C120" t="s">
        <v>54</v>
      </c>
      <c r="D120" t="s">
        <v>23</v>
      </c>
      <c r="E120">
        <f>IF(D120="A", INDEX(Matches!$E:$E, MATCH(A120, Matches!$A:$A, 0)), INDEX(Matches!$F:$F, MATCH(A120, Matches!$A:$A, 0)))</f>
        <v>5</v>
      </c>
      <c r="F120">
        <f>IF(D120="A", INDEX(Matches!$F:$F, MATCH(A120, Matches!$A:$A, 0)), INDEX(Matches!$E:$E, MATCH(A120, Matches!$A:$A, 0)))</f>
        <v>6</v>
      </c>
      <c r="G120" t="str">
        <f t="shared" ref="G120" si="6">IF(E120&gt;F120,"Win",IF(E120&lt;F120,"Loss","Draw"))</f>
        <v>Loss</v>
      </c>
      <c r="H120">
        <v>0</v>
      </c>
      <c r="I120">
        <v>0</v>
      </c>
    </row>
    <row r="121" spans="1:10" x14ac:dyDescent="0.35">
      <c r="A121">
        <v>11</v>
      </c>
      <c r="B121" s="6">
        <v>46058</v>
      </c>
      <c r="C121" t="s">
        <v>54</v>
      </c>
      <c r="D121" t="s">
        <v>17</v>
      </c>
      <c r="E121">
        <f>IF(D121="A", INDEX(Matches!$E:$E, MATCH(A121, Matches!$A:$A, 0)), INDEX(Matches!$F:$F, MATCH(A121, Matches!$A:$A, 0)))</f>
        <v>2</v>
      </c>
      <c r="F121">
        <f>IF(D121="A", INDEX(Matches!$F:$F, MATCH(A121, Matches!$A:$A, 0)), INDEX(Matches!$E:$E, MATCH(A121, Matches!$A:$A, 0)))</f>
        <v>3</v>
      </c>
      <c r="G121" t="str">
        <f t="shared" ref="G121:G136" si="7">IF(E121&gt;F121,"Win",IF(E121&lt;F121,"Loss","Draw"))</f>
        <v>Loss</v>
      </c>
      <c r="H121">
        <v>0</v>
      </c>
      <c r="I121">
        <v>0</v>
      </c>
    </row>
    <row r="122" spans="1:10" x14ac:dyDescent="0.35">
      <c r="A122">
        <v>11</v>
      </c>
      <c r="B122" s="6">
        <v>46058</v>
      </c>
      <c r="C122" t="s">
        <v>25</v>
      </c>
      <c r="D122" t="s">
        <v>17</v>
      </c>
      <c r="E122">
        <f>IF(D122="A", INDEX(Matches!$E:$E, MATCH(A122, Matches!$A:$A, 0)), INDEX(Matches!$F:$F, MATCH(A122, Matches!$A:$A, 0)))</f>
        <v>2</v>
      </c>
      <c r="F122">
        <f>IF(D122="A", INDEX(Matches!$F:$F, MATCH(A122, Matches!$A:$A, 0)), INDEX(Matches!$E:$E, MATCH(A122, Matches!$A:$A, 0)))</f>
        <v>3</v>
      </c>
      <c r="G122" t="str">
        <f t="shared" si="7"/>
        <v>Loss</v>
      </c>
      <c r="H122">
        <v>0</v>
      </c>
      <c r="I122">
        <v>0</v>
      </c>
    </row>
    <row r="123" spans="1:10" x14ac:dyDescent="0.35">
      <c r="A123">
        <v>11</v>
      </c>
      <c r="B123" s="6">
        <v>46058</v>
      </c>
      <c r="C123" t="s">
        <v>24</v>
      </c>
      <c r="D123" t="s">
        <v>17</v>
      </c>
      <c r="E123">
        <f>IF(D123="A", INDEX(Matches!$E:$E, MATCH(A123, Matches!$A:$A, 0)), INDEX(Matches!$F:$F, MATCH(A123, Matches!$A:$A, 0)))</f>
        <v>2</v>
      </c>
      <c r="F123">
        <f>IF(D123="A", INDEX(Matches!$F:$F, MATCH(A123, Matches!$A:$A, 0)), INDEX(Matches!$E:$E, MATCH(A123, Matches!$A:$A, 0)))</f>
        <v>3</v>
      </c>
      <c r="G123" t="str">
        <f t="shared" si="7"/>
        <v>Loss</v>
      </c>
      <c r="H123">
        <v>0</v>
      </c>
      <c r="I123">
        <v>0</v>
      </c>
    </row>
    <row r="124" spans="1:10" x14ac:dyDescent="0.35">
      <c r="A124">
        <v>11</v>
      </c>
      <c r="B124" s="6">
        <v>46058</v>
      </c>
      <c r="C124" t="s">
        <v>18</v>
      </c>
      <c r="D124" t="s">
        <v>17</v>
      </c>
      <c r="E124">
        <f>IF(D124="A", INDEX(Matches!$E:$E, MATCH(A124, Matches!$A:$A, 0)), INDEX(Matches!$F:$F, MATCH(A124, Matches!$A:$A, 0)))</f>
        <v>2</v>
      </c>
      <c r="F124">
        <f>IF(D124="A", INDEX(Matches!$F:$F, MATCH(A124, Matches!$A:$A, 0)), INDEX(Matches!$E:$E, MATCH(A124, Matches!$A:$A, 0)))</f>
        <v>3</v>
      </c>
      <c r="G124" t="str">
        <f t="shared" si="7"/>
        <v>Loss</v>
      </c>
      <c r="H124">
        <v>1</v>
      </c>
      <c r="I124">
        <v>0</v>
      </c>
    </row>
    <row r="125" spans="1:10" x14ac:dyDescent="0.35">
      <c r="A125">
        <v>11</v>
      </c>
      <c r="B125" s="6">
        <v>46058</v>
      </c>
      <c r="C125" t="s">
        <v>16</v>
      </c>
      <c r="D125" t="s">
        <v>17</v>
      </c>
      <c r="E125">
        <f>IF(D125="A", INDEX(Matches!$E:$E, MATCH(A125, Matches!$A:$A, 0)), INDEX(Matches!$F:$F, MATCH(A125, Matches!$A:$A, 0)))</f>
        <v>2</v>
      </c>
      <c r="F125">
        <f>IF(D125="A", INDEX(Matches!$F:$F, MATCH(A125, Matches!$A:$A, 0)), INDEX(Matches!$E:$E, MATCH(A125, Matches!$A:$A, 0)))</f>
        <v>3</v>
      </c>
      <c r="G125" t="str">
        <f t="shared" si="7"/>
        <v>Loss</v>
      </c>
      <c r="H125">
        <v>0</v>
      </c>
      <c r="I125">
        <v>0</v>
      </c>
    </row>
    <row r="126" spans="1:10" x14ac:dyDescent="0.35">
      <c r="A126">
        <v>11</v>
      </c>
      <c r="B126" s="6">
        <v>46058</v>
      </c>
      <c r="C126" t="s">
        <v>19</v>
      </c>
      <c r="D126" t="s">
        <v>17</v>
      </c>
      <c r="E126">
        <f>IF(D126="A", INDEX(Matches!$E:$E, MATCH(A126, Matches!$A:$A, 0)), INDEX(Matches!$F:$F, MATCH(A126, Matches!$A:$A, 0)))</f>
        <v>2</v>
      </c>
      <c r="F126">
        <f>IF(D126="A", INDEX(Matches!$F:$F, MATCH(A126, Matches!$A:$A, 0)), INDEX(Matches!$E:$E, MATCH(A126, Matches!$A:$A, 0)))</f>
        <v>3</v>
      </c>
      <c r="G126" t="str">
        <f t="shared" si="7"/>
        <v>Loss</v>
      </c>
      <c r="H126">
        <v>1</v>
      </c>
      <c r="I126">
        <v>1</v>
      </c>
    </row>
    <row r="127" spans="1:10" x14ac:dyDescent="0.35">
      <c r="A127">
        <v>11</v>
      </c>
      <c r="B127" s="6">
        <v>46058</v>
      </c>
      <c r="C127" t="s">
        <v>46</v>
      </c>
      <c r="D127" t="s">
        <v>17</v>
      </c>
      <c r="E127">
        <f>IF(D127="A", INDEX(Matches!$E:$E, MATCH(A127, Matches!$A:$A, 0)), INDEX(Matches!$F:$F, MATCH(A127, Matches!$A:$A, 0)))</f>
        <v>2</v>
      </c>
      <c r="F127">
        <f>IF(D127="A", INDEX(Matches!$F:$F, MATCH(A127, Matches!$A:$A, 0)), INDEX(Matches!$E:$E, MATCH(A127, Matches!$A:$A, 0)))</f>
        <v>3</v>
      </c>
      <c r="G127" t="str">
        <f t="shared" si="7"/>
        <v>Loss</v>
      </c>
      <c r="H127">
        <v>0</v>
      </c>
      <c r="I127">
        <v>1</v>
      </c>
    </row>
    <row r="128" spans="1:10" x14ac:dyDescent="0.35">
      <c r="A128">
        <v>11</v>
      </c>
      <c r="B128" s="6">
        <v>46058</v>
      </c>
      <c r="C128" t="s">
        <v>43</v>
      </c>
      <c r="D128" t="s">
        <v>17</v>
      </c>
      <c r="E128">
        <f>IF(D128="A", INDEX(Matches!$E:$E, MATCH(A128, Matches!$A:$A, 0)), INDEX(Matches!$F:$F, MATCH(A128, Matches!$A:$A, 0)))</f>
        <v>2</v>
      </c>
      <c r="F128">
        <f>IF(D128="A", INDEX(Matches!$F:$F, MATCH(A128, Matches!$A:$A, 0)), INDEX(Matches!$E:$E, MATCH(A128, Matches!$A:$A, 0)))</f>
        <v>3</v>
      </c>
      <c r="G128" t="str">
        <f t="shared" si="7"/>
        <v>Loss</v>
      </c>
      <c r="H128">
        <v>0</v>
      </c>
      <c r="I128">
        <v>0</v>
      </c>
    </row>
    <row r="129" spans="1:9" x14ac:dyDescent="0.35">
      <c r="A129">
        <v>11</v>
      </c>
      <c r="B129" s="6">
        <v>46058</v>
      </c>
      <c r="C129" t="s">
        <v>53</v>
      </c>
      <c r="D129" t="s">
        <v>23</v>
      </c>
      <c r="E129">
        <f>IF(D129="A", INDEX(Matches!$E:$E, MATCH(A129, Matches!$A:$A, 0)), INDEX(Matches!$F:$F, MATCH(A129, Matches!$A:$A, 0)))</f>
        <v>3</v>
      </c>
      <c r="F129">
        <f>IF(D129="A", INDEX(Matches!$F:$F, MATCH(A129, Matches!$A:$A, 0)), INDEX(Matches!$E:$E, MATCH(A129, Matches!$A:$A, 0)))</f>
        <v>2</v>
      </c>
      <c r="G129" t="str">
        <f t="shared" si="7"/>
        <v>Win</v>
      </c>
      <c r="H129">
        <v>0</v>
      </c>
      <c r="I129">
        <v>0</v>
      </c>
    </row>
    <row r="130" spans="1:9" x14ac:dyDescent="0.35">
      <c r="A130">
        <v>11</v>
      </c>
      <c r="B130" s="6">
        <v>46058</v>
      </c>
      <c r="C130" t="s">
        <v>22</v>
      </c>
      <c r="D130" t="s">
        <v>23</v>
      </c>
      <c r="E130">
        <f>IF(D130="A", INDEX(Matches!$E:$E, MATCH(A130, Matches!$A:$A, 0)), INDEX(Matches!$F:$F, MATCH(A130, Matches!$A:$A, 0)))</f>
        <v>3</v>
      </c>
      <c r="F130">
        <f>IF(D130="A", INDEX(Matches!$F:$F, MATCH(A130, Matches!$A:$A, 0)), INDEX(Matches!$E:$E, MATCH(A130, Matches!$A:$A, 0)))</f>
        <v>2</v>
      </c>
      <c r="G130" t="str">
        <f t="shared" si="7"/>
        <v>Win</v>
      </c>
      <c r="H130">
        <v>0</v>
      </c>
      <c r="I130">
        <v>0</v>
      </c>
    </row>
    <row r="131" spans="1:9" x14ac:dyDescent="0.35">
      <c r="A131">
        <v>11</v>
      </c>
      <c r="B131" s="6">
        <v>46058</v>
      </c>
      <c r="C131" t="s">
        <v>20</v>
      </c>
      <c r="D131" t="s">
        <v>23</v>
      </c>
      <c r="E131">
        <f>IF(D131="A", INDEX(Matches!$E:$E, MATCH(A131, Matches!$A:$A, 0)), INDEX(Matches!$F:$F, MATCH(A131, Matches!$A:$A, 0)))</f>
        <v>3</v>
      </c>
      <c r="F131">
        <f>IF(D131="A", INDEX(Matches!$F:$F, MATCH(A131, Matches!$A:$A, 0)), INDEX(Matches!$E:$E, MATCH(A131, Matches!$A:$A, 0)))</f>
        <v>2</v>
      </c>
      <c r="G131" t="str">
        <f t="shared" si="7"/>
        <v>Win</v>
      </c>
      <c r="H131">
        <v>0</v>
      </c>
      <c r="I131">
        <v>1</v>
      </c>
    </row>
    <row r="132" spans="1:9" x14ac:dyDescent="0.35">
      <c r="A132">
        <v>11</v>
      </c>
      <c r="B132" s="6">
        <v>46058</v>
      </c>
      <c r="C132" t="s">
        <v>42</v>
      </c>
      <c r="D132" t="s">
        <v>23</v>
      </c>
      <c r="E132">
        <f>IF(D132="A", INDEX(Matches!$E:$E, MATCH(A132, Matches!$A:$A, 0)), INDEX(Matches!$F:$F, MATCH(A132, Matches!$A:$A, 0)))</f>
        <v>3</v>
      </c>
      <c r="F132">
        <f>IF(D132="A", INDEX(Matches!$F:$F, MATCH(A132, Matches!$A:$A, 0)), INDEX(Matches!$E:$E, MATCH(A132, Matches!$A:$A, 0)))</f>
        <v>2</v>
      </c>
      <c r="G132" t="str">
        <f t="shared" si="7"/>
        <v>Win</v>
      </c>
      <c r="H132">
        <v>1</v>
      </c>
      <c r="I132">
        <v>0</v>
      </c>
    </row>
    <row r="133" spans="1:9" x14ac:dyDescent="0.35">
      <c r="A133">
        <v>11</v>
      </c>
      <c r="B133" s="6">
        <v>46058</v>
      </c>
      <c r="C133" t="s">
        <v>21</v>
      </c>
      <c r="D133" t="s">
        <v>23</v>
      </c>
      <c r="E133">
        <f>IF(D133="A", INDEX(Matches!$E:$E, MATCH(A133, Matches!$A:$A, 0)), INDEX(Matches!$F:$F, MATCH(A133, Matches!$A:$A, 0)))</f>
        <v>3</v>
      </c>
      <c r="F133">
        <f>IF(D133="A", INDEX(Matches!$F:$F, MATCH(A133, Matches!$A:$A, 0)), INDEX(Matches!$E:$E, MATCH(A133, Matches!$A:$A, 0)))</f>
        <v>2</v>
      </c>
      <c r="G133" t="str">
        <f t="shared" si="7"/>
        <v>Win</v>
      </c>
      <c r="H133">
        <v>0</v>
      </c>
      <c r="I133">
        <v>0</v>
      </c>
    </row>
    <row r="134" spans="1:9" x14ac:dyDescent="0.35">
      <c r="A134">
        <v>11</v>
      </c>
      <c r="B134" s="6">
        <v>46058</v>
      </c>
      <c r="C134" t="s">
        <v>66</v>
      </c>
      <c r="D134" t="s">
        <v>23</v>
      </c>
      <c r="E134">
        <f>IF(D134="A", INDEX(Matches!$E:$E, MATCH(A134, Matches!$A:$A, 0)), INDEX(Matches!$F:$F, MATCH(A134, Matches!$A:$A, 0)))</f>
        <v>3</v>
      </c>
      <c r="F134">
        <f>IF(D134="A", INDEX(Matches!$F:$F, MATCH(A134, Matches!$A:$A, 0)), INDEX(Matches!$E:$E, MATCH(A134, Matches!$A:$A, 0)))</f>
        <v>2</v>
      </c>
      <c r="G134" t="str">
        <f t="shared" si="7"/>
        <v>Win</v>
      </c>
      <c r="H134">
        <v>0</v>
      </c>
      <c r="I134">
        <v>1</v>
      </c>
    </row>
    <row r="135" spans="1:9" x14ac:dyDescent="0.35">
      <c r="A135">
        <v>11</v>
      </c>
      <c r="B135" s="6">
        <v>46058</v>
      </c>
      <c r="C135" t="s">
        <v>44</v>
      </c>
      <c r="D135" t="s">
        <v>23</v>
      </c>
      <c r="E135">
        <f>IF(D135="A", INDEX(Matches!$E:$E, MATCH(A135, Matches!$A:$A, 0)), INDEX(Matches!$F:$F, MATCH(A135, Matches!$A:$A, 0)))</f>
        <v>3</v>
      </c>
      <c r="F135">
        <f>IF(D135="A", INDEX(Matches!$F:$F, MATCH(A135, Matches!$A:$A, 0)), INDEX(Matches!$E:$E, MATCH(A135, Matches!$A:$A, 0)))</f>
        <v>2</v>
      </c>
      <c r="G135" t="str">
        <f t="shared" si="7"/>
        <v>Win</v>
      </c>
      <c r="H135">
        <v>2</v>
      </c>
      <c r="I135">
        <v>0</v>
      </c>
    </row>
    <row r="136" spans="1:9" x14ac:dyDescent="0.35">
      <c r="A136">
        <v>11</v>
      </c>
      <c r="B136" s="6">
        <v>46058</v>
      </c>
      <c r="C136" t="s">
        <v>40</v>
      </c>
      <c r="D136" t="s">
        <v>23</v>
      </c>
      <c r="E136">
        <f>IF(D136="A", INDEX(Matches!$E:$E, MATCH(A136, Matches!$A:$A, 0)), INDEX(Matches!$F:$F, MATCH(A136, Matches!$A:$A, 0)))</f>
        <v>3</v>
      </c>
      <c r="F136">
        <f>IF(D136="A", INDEX(Matches!$F:$F, MATCH(A136, Matches!$A:$A, 0)), INDEX(Matches!$E:$E, MATCH(A136, Matches!$A:$A, 0)))</f>
        <v>2</v>
      </c>
      <c r="G136" t="str">
        <f t="shared" si="7"/>
        <v>Win</v>
      </c>
      <c r="H136">
        <v>0</v>
      </c>
      <c r="I136">
        <v>0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1E1A0C4-701E-4259-996D-298E05111AF5}">
          <x14:formula1>
            <xm:f>Players!$A:$A</xm:f>
          </x14:formula1>
          <xm:sqref>C1:C1048576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3"/>
  <sheetViews>
    <sheetView workbookViewId="0">
      <selection activeCell="P2" sqref="P2:P33"/>
    </sheetView>
  </sheetViews>
  <sheetFormatPr defaultRowHeight="14.5" x14ac:dyDescent="0.35"/>
  <cols>
    <col min="1" max="1" width="14" customWidth="1"/>
    <col min="4" max="4" width="12.26953125" customWidth="1"/>
    <col min="6" max="9" width="18" customWidth="1"/>
    <col min="10" max="10" width="18" style="3" customWidth="1"/>
    <col min="11" max="12" width="13" customWidth="1"/>
    <col min="16" max="16" width="13" customWidth="1"/>
  </cols>
  <sheetData>
    <row r="1" spans="1:16" s="4" customFormat="1" x14ac:dyDescent="0.35">
      <c r="A1" s="4" t="s">
        <v>9</v>
      </c>
      <c r="B1" s="4" t="s">
        <v>28</v>
      </c>
      <c r="C1" s="4" t="s">
        <v>29</v>
      </c>
      <c r="D1" s="4" t="s">
        <v>30</v>
      </c>
      <c r="E1" s="4" t="s">
        <v>31</v>
      </c>
      <c r="F1" s="4" t="s">
        <v>32</v>
      </c>
      <c r="G1" s="4" t="s">
        <v>33</v>
      </c>
      <c r="H1" s="4" t="s">
        <v>34</v>
      </c>
      <c r="I1" s="4" t="s">
        <v>35</v>
      </c>
      <c r="J1" s="5" t="s">
        <v>36</v>
      </c>
      <c r="K1" s="4" t="s">
        <v>37</v>
      </c>
      <c r="L1" s="4" t="s">
        <v>38</v>
      </c>
      <c r="M1" s="4" t="s">
        <v>15</v>
      </c>
      <c r="N1" s="4" t="s">
        <v>6</v>
      </c>
      <c r="O1" s="4" t="s">
        <v>39</v>
      </c>
      <c r="P1" s="4" t="s">
        <v>71</v>
      </c>
    </row>
    <row r="2" spans="1:16" x14ac:dyDescent="0.35">
      <c r="A2" t="s">
        <v>26</v>
      </c>
      <c r="C2">
        <f>COUNTIF('Team Lineups'!C:C,A2)</f>
        <v>2</v>
      </c>
      <c r="D2">
        <f>SUMIF('Team Lineups'!C:C,A2,'Team Lineups'!E:E)</f>
        <v>14</v>
      </c>
      <c r="E2">
        <f>SUMIF('Team Lineups'!C:C,A2,'Team Lineups'!F:F)</f>
        <v>12</v>
      </c>
      <c r="F2">
        <f t="shared" ref="F2:F27" si="0">D2-E2</f>
        <v>2</v>
      </c>
      <c r="G2">
        <f>COUNTIFS('Team Lineups'!C:C,A2,'Team Lineups'!G:G,"Win")</f>
        <v>1</v>
      </c>
      <c r="H2">
        <f>COUNTIFS('Team Lineups'!C:C,A2,'Team Lineups'!G:G,"Draw")</f>
        <v>1</v>
      </c>
      <c r="I2">
        <f>COUNTIFS('Team Lineups'!C:C,A2,'Team Lineups'!G:G,"Loss")</f>
        <v>0</v>
      </c>
      <c r="J2" s="3">
        <f t="shared" ref="J2:J27" si="1">G2/C2</f>
        <v>0.5</v>
      </c>
      <c r="K2">
        <f>SUMIF('Team Lineups'!C:C,A2,'Team Lineups'!H:H)</f>
        <v>5</v>
      </c>
      <c r="L2">
        <f t="shared" ref="L2:L27" si="2">K2/C2</f>
        <v>2.5</v>
      </c>
      <c r="M2">
        <f>SUMIF('Team Lineups'!C:C,A2,'Team Lineups'!I:I)</f>
        <v>2</v>
      </c>
      <c r="N2">
        <f>COUNTIF(Matches!G:G,A2)</f>
        <v>2</v>
      </c>
      <c r="O2">
        <f t="shared" ref="O2:O27" si="3">N2/C2</f>
        <v>1</v>
      </c>
      <c r="P2">
        <f>SUMIF('Team Lineups'!C:C,A2,'Team Lineups'!J:J)</f>
        <v>0</v>
      </c>
    </row>
    <row r="3" spans="1:16" x14ac:dyDescent="0.35">
      <c r="A3" t="s">
        <v>18</v>
      </c>
      <c r="C3">
        <f>COUNTIF('Team Lineups'!C:C,A3)</f>
        <v>5</v>
      </c>
      <c r="D3">
        <f>SUMIF('Team Lineups'!C:C,A3,'Team Lineups'!E:E)</f>
        <v>23</v>
      </c>
      <c r="E3">
        <f>SUMIF('Team Lineups'!C:C,A3,'Team Lineups'!F:F)</f>
        <v>26</v>
      </c>
      <c r="F3">
        <f t="shared" si="0"/>
        <v>-3</v>
      </c>
      <c r="G3">
        <f>COUNTIFS('Team Lineups'!C:C,A3,'Team Lineups'!G:G,"Win")</f>
        <v>1</v>
      </c>
      <c r="H3">
        <f>COUNTIFS('Team Lineups'!C:C,A3,'Team Lineups'!G:G,"Draw")</f>
        <v>2</v>
      </c>
      <c r="I3">
        <f>COUNTIFS('Team Lineups'!C:C,A3,'Team Lineups'!G:G,"Loss")</f>
        <v>2</v>
      </c>
      <c r="J3" s="3">
        <f t="shared" si="1"/>
        <v>0.2</v>
      </c>
      <c r="K3">
        <f>SUMIF('Team Lineups'!C:C,A3,'Team Lineups'!H:H)</f>
        <v>3</v>
      </c>
      <c r="L3">
        <f t="shared" si="2"/>
        <v>0.6</v>
      </c>
      <c r="M3">
        <f>SUMIF('Team Lineups'!C:C,A3,'Team Lineups'!I:I)</f>
        <v>3</v>
      </c>
      <c r="N3">
        <f>COUNTIF(Matches!G:G,A3)</f>
        <v>0</v>
      </c>
      <c r="O3">
        <f t="shared" si="3"/>
        <v>0</v>
      </c>
      <c r="P3">
        <f>SUMIF('Team Lineups'!C:C,A3,'Team Lineups'!J:J)</f>
        <v>0</v>
      </c>
    </row>
    <row r="4" spans="1:16" x14ac:dyDescent="0.35">
      <c r="A4" t="s">
        <v>40</v>
      </c>
      <c r="C4">
        <f>COUNTIF('Team Lineups'!C:C,A4)</f>
        <v>6</v>
      </c>
      <c r="D4">
        <f>SUMIF('Team Lineups'!C:C,A4,'Team Lineups'!E:E)</f>
        <v>46</v>
      </c>
      <c r="E4">
        <f>SUMIF('Team Lineups'!C:C,A4,'Team Lineups'!F:F)</f>
        <v>42</v>
      </c>
      <c r="F4">
        <f t="shared" si="0"/>
        <v>4</v>
      </c>
      <c r="G4">
        <f>COUNTIFS('Team Lineups'!C:C,A4,'Team Lineups'!G:G,"Win")</f>
        <v>4</v>
      </c>
      <c r="H4">
        <f>COUNTIFS('Team Lineups'!C:C,A4,'Team Lineups'!G:G,"Draw")</f>
        <v>0</v>
      </c>
      <c r="I4">
        <f>COUNTIFS('Team Lineups'!C:C,A4,'Team Lineups'!G:G,"Loss")</f>
        <v>2</v>
      </c>
      <c r="J4" s="3">
        <f t="shared" si="1"/>
        <v>0.66666666666666663</v>
      </c>
      <c r="K4">
        <f>SUMIF('Team Lineups'!C:C,A4,'Team Lineups'!H:H)</f>
        <v>1</v>
      </c>
      <c r="L4">
        <f t="shared" si="2"/>
        <v>0.16666666666666666</v>
      </c>
      <c r="M4">
        <f>SUMIF('Team Lineups'!C:C,A4,'Team Lineups'!I:I)</f>
        <v>1</v>
      </c>
      <c r="N4">
        <f>COUNTIF(Matches!G:G,A4)</f>
        <v>0</v>
      </c>
      <c r="O4">
        <f t="shared" si="3"/>
        <v>0</v>
      </c>
      <c r="P4">
        <f>SUMIF('Team Lineups'!C:C,A4,'Team Lineups'!J:J)</f>
        <v>0</v>
      </c>
    </row>
    <row r="5" spans="1:16" x14ac:dyDescent="0.35">
      <c r="A5" t="s">
        <v>16</v>
      </c>
      <c r="C5">
        <f>COUNTIF('Team Lineups'!C:C,A5)</f>
        <v>6</v>
      </c>
      <c r="D5">
        <f>SUMIF('Team Lineups'!C:C,A5,'Team Lineups'!E:E)</f>
        <v>31</v>
      </c>
      <c r="E5">
        <f>SUMIF('Team Lineups'!C:C,A5,'Team Lineups'!F:F)</f>
        <v>45</v>
      </c>
      <c r="F5">
        <f t="shared" si="0"/>
        <v>-14</v>
      </c>
      <c r="G5">
        <f>COUNTIFS('Team Lineups'!C:C,A5,'Team Lineups'!G:G,"Win")</f>
        <v>0</v>
      </c>
      <c r="H5">
        <f>COUNTIFS('Team Lineups'!C:C,A5,'Team Lineups'!G:G,"Draw")</f>
        <v>2</v>
      </c>
      <c r="I5">
        <f>COUNTIFS('Team Lineups'!C:C,A5,'Team Lineups'!G:G,"Loss")</f>
        <v>4</v>
      </c>
      <c r="J5" s="3">
        <f t="shared" si="1"/>
        <v>0</v>
      </c>
      <c r="K5">
        <f>SUMIF('Team Lineups'!C:C,A5,'Team Lineups'!H:H)</f>
        <v>9</v>
      </c>
      <c r="L5">
        <f t="shared" si="2"/>
        <v>1.5</v>
      </c>
      <c r="M5">
        <f>SUMIF('Team Lineups'!C:C,A5,'Team Lineups'!I:I)</f>
        <v>7</v>
      </c>
      <c r="N5">
        <f>COUNTIF(Matches!G:G,A5)</f>
        <v>0</v>
      </c>
      <c r="O5">
        <f t="shared" si="3"/>
        <v>0</v>
      </c>
      <c r="P5">
        <f>SUMIF('Team Lineups'!C:C,A5,'Team Lineups'!J:J)</f>
        <v>0</v>
      </c>
    </row>
    <row r="6" spans="1:16" x14ac:dyDescent="0.35">
      <c r="A6" t="s">
        <v>41</v>
      </c>
      <c r="C6">
        <f>COUNTIF('Team Lineups'!C:C,A6)</f>
        <v>3</v>
      </c>
      <c r="D6">
        <f>SUMIF('Team Lineups'!C:C,A6,'Team Lineups'!E:E)</f>
        <v>17</v>
      </c>
      <c r="E6">
        <f>SUMIF('Team Lineups'!C:C,A6,'Team Lineups'!F:F)</f>
        <v>13</v>
      </c>
      <c r="F6">
        <f t="shared" si="0"/>
        <v>4</v>
      </c>
      <c r="G6">
        <f>COUNTIFS('Team Lineups'!C:C,A6,'Team Lineups'!G:G,"Win")</f>
        <v>2</v>
      </c>
      <c r="H6">
        <f>COUNTIFS('Team Lineups'!C:C,A6,'Team Lineups'!G:G,"Draw")</f>
        <v>1</v>
      </c>
      <c r="I6">
        <f>COUNTIFS('Team Lineups'!C:C,A6,'Team Lineups'!G:G,"Loss")</f>
        <v>0</v>
      </c>
      <c r="J6" s="3">
        <f t="shared" si="1"/>
        <v>0.66666666666666663</v>
      </c>
      <c r="K6">
        <f>SUMIF('Team Lineups'!C:C,A6,'Team Lineups'!H:H)</f>
        <v>0</v>
      </c>
      <c r="L6">
        <f t="shared" si="2"/>
        <v>0</v>
      </c>
      <c r="M6">
        <f>SUMIF('Team Lineups'!C:C,A6,'Team Lineups'!I:I)</f>
        <v>2</v>
      </c>
      <c r="N6">
        <f>COUNTIF(Matches!G:G,A6)</f>
        <v>0</v>
      </c>
      <c r="O6">
        <f t="shared" si="3"/>
        <v>0</v>
      </c>
      <c r="P6">
        <f>SUMIF('Team Lineups'!C:C,A6,'Team Lineups'!J:J)</f>
        <v>2</v>
      </c>
    </row>
    <row r="7" spans="1:16" x14ac:dyDescent="0.35">
      <c r="A7" t="s">
        <v>42</v>
      </c>
      <c r="C7">
        <f>COUNTIF('Team Lineups'!C:C,A7)</f>
        <v>9</v>
      </c>
      <c r="D7">
        <f>SUMIF('Team Lineups'!C:C,A7,'Team Lineups'!E:E)</f>
        <v>66</v>
      </c>
      <c r="E7">
        <f>SUMIF('Team Lineups'!C:C,A7,'Team Lineups'!F:F)</f>
        <v>77</v>
      </c>
      <c r="F7">
        <f t="shared" si="0"/>
        <v>-11</v>
      </c>
      <c r="G7">
        <f>COUNTIFS('Team Lineups'!C:C,A7,'Team Lineups'!G:G,"Win")</f>
        <v>3</v>
      </c>
      <c r="H7">
        <f>COUNTIFS('Team Lineups'!C:C,A7,'Team Lineups'!G:G,"Draw")</f>
        <v>1</v>
      </c>
      <c r="I7">
        <f>COUNTIFS('Team Lineups'!C:C,A7,'Team Lineups'!G:G,"Loss")</f>
        <v>5</v>
      </c>
      <c r="J7" s="3">
        <f t="shared" si="1"/>
        <v>0.33333333333333331</v>
      </c>
      <c r="K7">
        <f>SUMIF('Team Lineups'!C:C,A7,'Team Lineups'!H:H)</f>
        <v>16</v>
      </c>
      <c r="L7">
        <f t="shared" si="2"/>
        <v>1.7777777777777777</v>
      </c>
      <c r="M7">
        <f>SUMIF('Team Lineups'!C:C,A7,'Team Lineups'!I:I)</f>
        <v>9</v>
      </c>
      <c r="N7">
        <f>COUNTIF(Matches!G:G,A7)</f>
        <v>0</v>
      </c>
      <c r="O7">
        <f t="shared" si="3"/>
        <v>0</v>
      </c>
      <c r="P7">
        <f>SUMIF('Team Lineups'!C:C,A7,'Team Lineups'!J:J)</f>
        <v>0</v>
      </c>
    </row>
    <row r="8" spans="1:16" x14ac:dyDescent="0.35">
      <c r="A8" t="s">
        <v>19</v>
      </c>
      <c r="C8">
        <f>COUNTIF('Team Lineups'!C:C,A8)</f>
        <v>9</v>
      </c>
      <c r="D8">
        <f>SUMIF('Team Lineups'!C:C,A8,'Team Lineups'!E:E)</f>
        <v>75</v>
      </c>
      <c r="E8">
        <f>SUMIF('Team Lineups'!C:C,A8,'Team Lineups'!F:F)</f>
        <v>62</v>
      </c>
      <c r="F8">
        <f t="shared" si="0"/>
        <v>13</v>
      </c>
      <c r="G8">
        <f>COUNTIFS('Team Lineups'!C:C,A8,'Team Lineups'!G:G,"Win")</f>
        <v>5</v>
      </c>
      <c r="H8">
        <f>COUNTIFS('Team Lineups'!C:C,A8,'Team Lineups'!G:G,"Draw")</f>
        <v>2</v>
      </c>
      <c r="I8">
        <f>COUNTIFS('Team Lineups'!C:C,A8,'Team Lineups'!G:G,"Loss")</f>
        <v>2</v>
      </c>
      <c r="J8" s="3">
        <f t="shared" si="1"/>
        <v>0.55555555555555558</v>
      </c>
      <c r="K8">
        <f>SUMIF('Team Lineups'!C:C,A8,'Team Lineups'!H:H)</f>
        <v>23</v>
      </c>
      <c r="L8">
        <f t="shared" si="2"/>
        <v>2.5555555555555554</v>
      </c>
      <c r="M8">
        <f>SUMIF('Team Lineups'!C:C,A8,'Team Lineups'!I:I)</f>
        <v>12</v>
      </c>
      <c r="N8">
        <f>COUNTIF(Matches!G:G,A8)</f>
        <v>2</v>
      </c>
      <c r="O8">
        <f t="shared" si="3"/>
        <v>0.22222222222222221</v>
      </c>
      <c r="P8">
        <f>SUMIF('Team Lineups'!C:C,A8,'Team Lineups'!J:J)</f>
        <v>0</v>
      </c>
    </row>
    <row r="9" spans="1:16" x14ac:dyDescent="0.35">
      <c r="A9" t="s">
        <v>43</v>
      </c>
      <c r="C9">
        <f>COUNTIF('Team Lineups'!C:C,A9)</f>
        <v>6</v>
      </c>
      <c r="D9">
        <f>SUMIF('Team Lineups'!C:C,A9,'Team Lineups'!E:E)</f>
        <v>33</v>
      </c>
      <c r="E9">
        <f>SUMIF('Team Lineups'!C:C,A9,'Team Lineups'!F:F)</f>
        <v>38</v>
      </c>
      <c r="F9">
        <f t="shared" si="0"/>
        <v>-5</v>
      </c>
      <c r="G9">
        <f>COUNTIFS('Team Lineups'!C:C,A9,'Team Lineups'!G:G,"Win")</f>
        <v>2</v>
      </c>
      <c r="H9">
        <f>COUNTIFS('Team Lineups'!C:C,A9,'Team Lineups'!G:G,"Draw")</f>
        <v>1</v>
      </c>
      <c r="I9">
        <f>COUNTIFS('Team Lineups'!C:C,A9,'Team Lineups'!G:G,"Loss")</f>
        <v>3</v>
      </c>
      <c r="J9" s="3">
        <f t="shared" si="1"/>
        <v>0.33333333333333331</v>
      </c>
      <c r="K9">
        <f>SUMIF('Team Lineups'!C:C,A9,'Team Lineups'!H:H)</f>
        <v>1</v>
      </c>
      <c r="L9">
        <f t="shared" si="2"/>
        <v>0.16666666666666666</v>
      </c>
      <c r="M9">
        <f>SUMIF('Team Lineups'!C:C,A9,'Team Lineups'!I:I)</f>
        <v>3</v>
      </c>
      <c r="N9">
        <f>COUNTIF(Matches!G:G,A9)</f>
        <v>0</v>
      </c>
      <c r="O9">
        <f t="shared" si="3"/>
        <v>0</v>
      </c>
      <c r="P9">
        <f>SUMIF('Team Lineups'!C:C,A9,'Team Lineups'!J:J)</f>
        <v>0</v>
      </c>
    </row>
    <row r="10" spans="1:16" x14ac:dyDescent="0.35">
      <c r="A10" t="s">
        <v>44</v>
      </c>
      <c r="C10">
        <f>COUNTIF('Team Lineups'!C:C,A10)</f>
        <v>5</v>
      </c>
      <c r="D10">
        <f>SUMIF('Team Lineups'!C:C,A10,'Team Lineups'!E:E)</f>
        <v>31</v>
      </c>
      <c r="E10">
        <f>SUMIF('Team Lineups'!C:C,A10,'Team Lineups'!F:F)</f>
        <v>27</v>
      </c>
      <c r="F10">
        <f t="shared" si="0"/>
        <v>4</v>
      </c>
      <c r="G10">
        <f>COUNTIFS('Team Lineups'!C:C,A10,'Team Lineups'!G:G,"Win")</f>
        <v>3</v>
      </c>
      <c r="H10">
        <f>COUNTIFS('Team Lineups'!C:C,A10,'Team Lineups'!G:G,"Draw")</f>
        <v>1</v>
      </c>
      <c r="I10">
        <f>COUNTIFS('Team Lineups'!C:C,A10,'Team Lineups'!G:G,"Loss")</f>
        <v>1</v>
      </c>
      <c r="J10" s="3">
        <f t="shared" si="1"/>
        <v>0.6</v>
      </c>
      <c r="K10">
        <f>SUMIF('Team Lineups'!C:C,A10,'Team Lineups'!H:H)</f>
        <v>7</v>
      </c>
      <c r="L10">
        <f t="shared" si="2"/>
        <v>1.4</v>
      </c>
      <c r="M10">
        <f>SUMIF('Team Lineups'!C:C,A10,'Team Lineups'!I:I)</f>
        <v>4</v>
      </c>
      <c r="N10">
        <f>COUNTIF(Matches!G:G,A10)</f>
        <v>1</v>
      </c>
      <c r="O10">
        <f t="shared" si="3"/>
        <v>0.2</v>
      </c>
      <c r="P10">
        <f>SUMIF('Team Lineups'!C:C,A10,'Team Lineups'!J:J)</f>
        <v>0</v>
      </c>
    </row>
    <row r="11" spans="1:16" x14ac:dyDescent="0.35">
      <c r="A11" t="s">
        <v>45</v>
      </c>
      <c r="C11">
        <f>COUNTIF('Team Lineups'!C:C,A11)</f>
        <v>0</v>
      </c>
      <c r="D11">
        <f>SUMIF('Team Lineups'!C:C,A11,'Team Lineups'!E:E)</f>
        <v>0</v>
      </c>
      <c r="E11">
        <f>SUMIF('Team Lineups'!C:C,A11,'Team Lineups'!F:F)</f>
        <v>0</v>
      </c>
      <c r="F11">
        <f t="shared" si="0"/>
        <v>0</v>
      </c>
      <c r="G11">
        <f>COUNTIFS('Team Lineups'!C:C,A11,'Team Lineups'!G:G,"Win")</f>
        <v>0</v>
      </c>
      <c r="H11">
        <f>COUNTIFS('Team Lineups'!C:C,A11,'Team Lineups'!G:G,"Draw")</f>
        <v>0</v>
      </c>
      <c r="I11">
        <f>COUNTIFS('Team Lineups'!C:C,A11,'Team Lineups'!G:G,"Loss")</f>
        <v>0</v>
      </c>
      <c r="J11" s="3" t="e">
        <f t="shared" si="1"/>
        <v>#DIV/0!</v>
      </c>
      <c r="K11">
        <f>SUMIF('Team Lineups'!C:C,A11,'Team Lineups'!H:H)</f>
        <v>0</v>
      </c>
      <c r="L11" t="e">
        <f t="shared" si="2"/>
        <v>#DIV/0!</v>
      </c>
      <c r="M11">
        <f>SUMIF('Team Lineups'!C:C,A11,'Team Lineups'!I:I)</f>
        <v>0</v>
      </c>
      <c r="N11">
        <f>COUNTIF(Matches!G:G,A11)</f>
        <v>0</v>
      </c>
      <c r="O11" t="e">
        <f t="shared" si="3"/>
        <v>#DIV/0!</v>
      </c>
      <c r="P11">
        <f>SUMIF('Team Lineups'!C:C,A11,'Team Lineups'!J:J)</f>
        <v>0</v>
      </c>
    </row>
    <row r="12" spans="1:16" x14ac:dyDescent="0.35">
      <c r="A12" t="s">
        <v>46</v>
      </c>
      <c r="C12">
        <f>COUNTIF('Team Lineups'!C:C,A12)</f>
        <v>7</v>
      </c>
      <c r="D12">
        <f>SUMIF('Team Lineups'!C:C,A12,'Team Lineups'!E:E)</f>
        <v>53</v>
      </c>
      <c r="E12">
        <f>SUMIF('Team Lineups'!C:C,A12,'Team Lineups'!F:F)</f>
        <v>59</v>
      </c>
      <c r="F12">
        <f t="shared" si="0"/>
        <v>-6</v>
      </c>
      <c r="G12">
        <f>COUNTIFS('Team Lineups'!C:C,A12,'Team Lineups'!G:G,"Win")</f>
        <v>2</v>
      </c>
      <c r="H12">
        <f>COUNTIFS('Team Lineups'!C:C,A12,'Team Lineups'!G:G,"Draw")</f>
        <v>0</v>
      </c>
      <c r="I12">
        <f>COUNTIFS('Team Lineups'!C:C,A12,'Team Lineups'!G:G,"Loss")</f>
        <v>5</v>
      </c>
      <c r="J12" s="3">
        <f t="shared" si="1"/>
        <v>0.2857142857142857</v>
      </c>
      <c r="K12">
        <f>SUMIF('Team Lineups'!C:C,A12,'Team Lineups'!H:H)</f>
        <v>14</v>
      </c>
      <c r="L12">
        <f t="shared" si="2"/>
        <v>2</v>
      </c>
      <c r="M12">
        <f>SUMIF('Team Lineups'!C:C,A12,'Team Lineups'!I:I)</f>
        <v>5</v>
      </c>
      <c r="N12">
        <f>COUNTIF(Matches!G:G,A12)</f>
        <v>1</v>
      </c>
      <c r="O12">
        <f t="shared" si="3"/>
        <v>0.14285714285714285</v>
      </c>
      <c r="P12">
        <f>SUMIF('Team Lineups'!C:C,A12,'Team Lineups'!J:J)</f>
        <v>0</v>
      </c>
    </row>
    <row r="13" spans="1:16" x14ac:dyDescent="0.35">
      <c r="A13" t="s">
        <v>47</v>
      </c>
      <c r="C13">
        <f>COUNTIF('Team Lineups'!C:C,A13)</f>
        <v>0</v>
      </c>
      <c r="D13">
        <f>SUMIF('Team Lineups'!C:C,A13,'Team Lineups'!E:E)</f>
        <v>0</v>
      </c>
      <c r="E13">
        <f>SUMIF('Team Lineups'!C:C,A13,'Team Lineups'!F:F)</f>
        <v>0</v>
      </c>
      <c r="F13">
        <f t="shared" si="0"/>
        <v>0</v>
      </c>
      <c r="G13">
        <f>COUNTIFS('Team Lineups'!C:C,A13,'Team Lineups'!G:G,"Win")</f>
        <v>0</v>
      </c>
      <c r="H13">
        <f>COUNTIFS('Team Lineups'!C:C,A13,'Team Lineups'!G:G,"Draw")</f>
        <v>0</v>
      </c>
      <c r="I13">
        <f>COUNTIFS('Team Lineups'!C:C,A13,'Team Lineups'!G:G,"Loss")</f>
        <v>0</v>
      </c>
      <c r="J13" s="3" t="e">
        <f t="shared" si="1"/>
        <v>#DIV/0!</v>
      </c>
      <c r="K13">
        <f>SUMIF('Team Lineups'!C:C,A13,'Team Lineups'!H:H)</f>
        <v>0</v>
      </c>
      <c r="L13" t="e">
        <f t="shared" si="2"/>
        <v>#DIV/0!</v>
      </c>
      <c r="M13">
        <f>SUMIF('Team Lineups'!C:C,A13,'Team Lineups'!I:I)</f>
        <v>0</v>
      </c>
      <c r="N13">
        <f>COUNTIF(Matches!G:G,A13)</f>
        <v>0</v>
      </c>
      <c r="O13" t="e">
        <f t="shared" si="3"/>
        <v>#DIV/0!</v>
      </c>
      <c r="P13">
        <f>SUMIF('Team Lineups'!C:C,A13,'Team Lineups'!J:J)</f>
        <v>0</v>
      </c>
    </row>
    <row r="14" spans="1:16" x14ac:dyDescent="0.35">
      <c r="A14" t="s">
        <v>48</v>
      </c>
      <c r="C14">
        <f>COUNTIF('Team Lineups'!C:C,A14)</f>
        <v>0</v>
      </c>
      <c r="D14">
        <f>SUMIF('Team Lineups'!C:C,A14,'Team Lineups'!E:E)</f>
        <v>0</v>
      </c>
      <c r="E14">
        <f>SUMIF('Team Lineups'!C:C,A14,'Team Lineups'!F:F)</f>
        <v>0</v>
      </c>
      <c r="F14">
        <f t="shared" si="0"/>
        <v>0</v>
      </c>
      <c r="G14">
        <f>COUNTIFS('Team Lineups'!C:C,A14,'Team Lineups'!G:G,"Win")</f>
        <v>0</v>
      </c>
      <c r="H14">
        <f>COUNTIFS('Team Lineups'!C:C,A14,'Team Lineups'!G:G,"Draw")</f>
        <v>0</v>
      </c>
      <c r="I14">
        <f>COUNTIFS('Team Lineups'!C:C,A14,'Team Lineups'!G:G,"Loss")</f>
        <v>0</v>
      </c>
      <c r="J14" s="3" t="e">
        <f t="shared" si="1"/>
        <v>#DIV/0!</v>
      </c>
      <c r="K14">
        <f>SUMIF('Team Lineups'!C:C,A14,'Team Lineups'!H:H)</f>
        <v>0</v>
      </c>
      <c r="L14" t="e">
        <f t="shared" si="2"/>
        <v>#DIV/0!</v>
      </c>
      <c r="M14">
        <f>SUMIF('Team Lineups'!C:C,A14,'Team Lineups'!I:I)</f>
        <v>0</v>
      </c>
      <c r="N14">
        <f>COUNTIF(Matches!G:G,A14)</f>
        <v>0</v>
      </c>
      <c r="O14" t="e">
        <f t="shared" si="3"/>
        <v>#DIV/0!</v>
      </c>
      <c r="P14">
        <f>SUMIF('Team Lineups'!C:C,A14,'Team Lineups'!J:J)</f>
        <v>0</v>
      </c>
    </row>
    <row r="15" spans="1:16" x14ac:dyDescent="0.35">
      <c r="A15" t="s">
        <v>49</v>
      </c>
      <c r="C15">
        <f>COUNTIF('Team Lineups'!C:C,A15)</f>
        <v>1</v>
      </c>
      <c r="D15">
        <f>SUMIF('Team Lineups'!C:C,A15,'Team Lineups'!E:E)</f>
        <v>9</v>
      </c>
      <c r="E15">
        <f>SUMIF('Team Lineups'!C:C,A15,'Team Lineups'!F:F)</f>
        <v>7</v>
      </c>
      <c r="F15">
        <f t="shared" si="0"/>
        <v>2</v>
      </c>
      <c r="G15">
        <f>COUNTIFS('Team Lineups'!C:C,A15,'Team Lineups'!G:G,"Win")</f>
        <v>1</v>
      </c>
      <c r="H15">
        <f>COUNTIFS('Team Lineups'!C:C,A15,'Team Lineups'!G:G,"Draw")</f>
        <v>0</v>
      </c>
      <c r="I15">
        <f>COUNTIFS('Team Lineups'!C:C,A15,'Team Lineups'!G:G,"Loss")</f>
        <v>0</v>
      </c>
      <c r="J15" s="3">
        <f t="shared" si="1"/>
        <v>1</v>
      </c>
      <c r="K15">
        <f>SUMIF('Team Lineups'!C:C,A15,'Team Lineups'!H:H)</f>
        <v>1</v>
      </c>
      <c r="L15">
        <f t="shared" si="2"/>
        <v>1</v>
      </c>
      <c r="M15">
        <f>SUMIF('Team Lineups'!C:C,A15,'Team Lineups'!I:I)</f>
        <v>1</v>
      </c>
      <c r="N15">
        <f>COUNTIF(Matches!G:G,A15)</f>
        <v>0</v>
      </c>
      <c r="O15">
        <f t="shared" si="3"/>
        <v>0</v>
      </c>
      <c r="P15">
        <f>SUMIF('Team Lineups'!C:C,A15,'Team Lineups'!J:J)</f>
        <v>0</v>
      </c>
    </row>
    <row r="16" spans="1:16" x14ac:dyDescent="0.35">
      <c r="A16" t="s">
        <v>24</v>
      </c>
      <c r="C16">
        <f>COUNTIF('Team Lineups'!C:C,A16)</f>
        <v>7</v>
      </c>
      <c r="D16">
        <f>SUMIF('Team Lineups'!C:C,A16,'Team Lineups'!E:E)</f>
        <v>38</v>
      </c>
      <c r="E16">
        <f>SUMIF('Team Lineups'!C:C,A16,'Team Lineups'!F:F)</f>
        <v>40</v>
      </c>
      <c r="F16">
        <f t="shared" si="0"/>
        <v>-2</v>
      </c>
      <c r="G16">
        <f>COUNTIFS('Team Lineups'!C:C,A16,'Team Lineups'!G:G,"Win")</f>
        <v>2</v>
      </c>
      <c r="H16">
        <f>COUNTIFS('Team Lineups'!C:C,A16,'Team Lineups'!G:G,"Draw")</f>
        <v>2</v>
      </c>
      <c r="I16">
        <f>COUNTIFS('Team Lineups'!C:C,A16,'Team Lineups'!G:G,"Loss")</f>
        <v>3</v>
      </c>
      <c r="J16" s="3">
        <f t="shared" si="1"/>
        <v>0.2857142857142857</v>
      </c>
      <c r="K16">
        <f>SUMIF('Team Lineups'!C:C,A16,'Team Lineups'!H:H)</f>
        <v>3</v>
      </c>
      <c r="L16">
        <f t="shared" si="2"/>
        <v>0.42857142857142855</v>
      </c>
      <c r="M16">
        <f>SUMIF('Team Lineups'!C:C,A16,'Team Lineups'!I:I)</f>
        <v>1</v>
      </c>
      <c r="N16">
        <f>COUNTIF(Matches!G:G,A16)</f>
        <v>0</v>
      </c>
      <c r="O16">
        <f t="shared" si="3"/>
        <v>0</v>
      </c>
      <c r="P16">
        <f>SUMIF('Team Lineups'!C:C,A16,'Team Lineups'!J:J)</f>
        <v>0</v>
      </c>
    </row>
    <row r="17" spans="1:16" x14ac:dyDescent="0.35">
      <c r="A17" t="s">
        <v>20</v>
      </c>
      <c r="C17">
        <f>COUNTIF('Team Lineups'!C:C,A17)</f>
        <v>7</v>
      </c>
      <c r="D17">
        <f>SUMIF('Team Lineups'!C:C,A17,'Team Lineups'!E:E)</f>
        <v>40</v>
      </c>
      <c r="E17">
        <f>SUMIF('Team Lineups'!C:C,A17,'Team Lineups'!F:F)</f>
        <v>38</v>
      </c>
      <c r="F17">
        <f t="shared" si="0"/>
        <v>2</v>
      </c>
      <c r="G17">
        <f>COUNTIFS('Team Lineups'!C:C,A17,'Team Lineups'!G:G,"Win")</f>
        <v>3</v>
      </c>
      <c r="H17">
        <f>COUNTIFS('Team Lineups'!C:C,A17,'Team Lineups'!G:G,"Draw")</f>
        <v>2</v>
      </c>
      <c r="I17">
        <f>COUNTIFS('Team Lineups'!C:C,A17,'Team Lineups'!G:G,"Loss")</f>
        <v>2</v>
      </c>
      <c r="J17" s="3">
        <f t="shared" si="1"/>
        <v>0.42857142857142855</v>
      </c>
      <c r="K17">
        <f>SUMIF('Team Lineups'!C:C,A17,'Team Lineups'!H:H)</f>
        <v>1</v>
      </c>
      <c r="L17">
        <f t="shared" si="2"/>
        <v>0.14285714285714285</v>
      </c>
      <c r="M17">
        <f>SUMIF('Team Lineups'!C:C,A17,'Team Lineups'!I:I)</f>
        <v>3</v>
      </c>
      <c r="N17">
        <f>COUNTIF(Matches!G:G,A17)</f>
        <v>0</v>
      </c>
      <c r="O17">
        <f t="shared" si="3"/>
        <v>0</v>
      </c>
      <c r="P17">
        <f>SUMIF('Team Lineups'!C:C,A17,'Team Lineups'!J:J)</f>
        <v>0</v>
      </c>
    </row>
    <row r="18" spans="1:16" x14ac:dyDescent="0.35">
      <c r="A18" t="s">
        <v>21</v>
      </c>
      <c r="C18">
        <f>COUNTIF('Team Lineups'!C:C,A18)</f>
        <v>10</v>
      </c>
      <c r="D18">
        <f>SUMIF('Team Lineups'!C:C,A18,'Team Lineups'!E:E)</f>
        <v>77</v>
      </c>
      <c r="E18">
        <f>SUMIF('Team Lineups'!C:C,A18,'Team Lineups'!F:F)</f>
        <v>79</v>
      </c>
      <c r="F18">
        <f t="shared" si="0"/>
        <v>-2</v>
      </c>
      <c r="G18">
        <f>COUNTIFS('Team Lineups'!C:C,A18,'Team Lineups'!G:G,"Win")</f>
        <v>4</v>
      </c>
      <c r="H18">
        <f>COUNTIFS('Team Lineups'!C:C,A18,'Team Lineups'!G:G,"Draw")</f>
        <v>1</v>
      </c>
      <c r="I18">
        <f>COUNTIFS('Team Lineups'!C:C,A18,'Team Lineups'!G:G,"Loss")</f>
        <v>5</v>
      </c>
      <c r="J18" s="3">
        <f t="shared" si="1"/>
        <v>0.4</v>
      </c>
      <c r="K18">
        <f>SUMIF('Team Lineups'!C:C,A18,'Team Lineups'!H:H)</f>
        <v>7</v>
      </c>
      <c r="L18">
        <f t="shared" si="2"/>
        <v>0.7</v>
      </c>
      <c r="M18">
        <f>SUMIF('Team Lineups'!C:C,A18,'Team Lineups'!I:I)</f>
        <v>4</v>
      </c>
      <c r="N18">
        <f>COUNTIF(Matches!G:G,A18)</f>
        <v>1</v>
      </c>
      <c r="O18">
        <f t="shared" si="3"/>
        <v>0.1</v>
      </c>
      <c r="P18">
        <f>SUMIF('Team Lineups'!C:C,A18,'Team Lineups'!J:J)</f>
        <v>0</v>
      </c>
    </row>
    <row r="19" spans="1:16" x14ac:dyDescent="0.35">
      <c r="A19" t="s">
        <v>50</v>
      </c>
      <c r="C19">
        <f>COUNTIF('Team Lineups'!C:C,A19)</f>
        <v>2</v>
      </c>
      <c r="D19">
        <f>SUMIF('Team Lineups'!C:C,A19,'Team Lineups'!E:E)</f>
        <v>24</v>
      </c>
      <c r="E19">
        <f>SUMIF('Team Lineups'!C:C,A19,'Team Lineups'!F:F)</f>
        <v>21</v>
      </c>
      <c r="F19">
        <f t="shared" si="0"/>
        <v>3</v>
      </c>
      <c r="G19">
        <f>COUNTIFS('Team Lineups'!C:C,A19,'Team Lineups'!G:G,"Win")</f>
        <v>2</v>
      </c>
      <c r="H19">
        <f>COUNTIFS('Team Lineups'!C:C,A19,'Team Lineups'!G:G,"Draw")</f>
        <v>0</v>
      </c>
      <c r="I19">
        <f>COUNTIFS('Team Lineups'!C:C,A19,'Team Lineups'!G:G,"Loss")</f>
        <v>0</v>
      </c>
      <c r="J19" s="3">
        <f t="shared" si="1"/>
        <v>1</v>
      </c>
      <c r="K19">
        <f>SUMIF('Team Lineups'!C:C,A19,'Team Lineups'!H:H)</f>
        <v>7</v>
      </c>
      <c r="L19">
        <f t="shared" si="2"/>
        <v>3.5</v>
      </c>
      <c r="M19">
        <f>SUMIF('Team Lineups'!C:C,A19,'Team Lineups'!I:I)</f>
        <v>1</v>
      </c>
      <c r="N19">
        <f>COUNTIF(Matches!G:G,A19)</f>
        <v>0</v>
      </c>
      <c r="O19">
        <f t="shared" si="3"/>
        <v>0</v>
      </c>
      <c r="P19">
        <f>SUMIF('Team Lineups'!C:C,A19,'Team Lineups'!J:J)</f>
        <v>0</v>
      </c>
    </row>
    <row r="20" spans="1:16" x14ac:dyDescent="0.35">
      <c r="A20" t="s">
        <v>27</v>
      </c>
      <c r="C20">
        <f>COUNTIF('Team Lineups'!C:C,A20)</f>
        <v>1</v>
      </c>
      <c r="D20">
        <f>SUMIF('Team Lineups'!C:C,A20,'Team Lineups'!E:E)</f>
        <v>7</v>
      </c>
      <c r="E20">
        <f>SUMIF('Team Lineups'!C:C,A20,'Team Lineups'!F:F)</f>
        <v>7</v>
      </c>
      <c r="F20">
        <f t="shared" si="0"/>
        <v>0</v>
      </c>
      <c r="G20">
        <f>COUNTIFS('Team Lineups'!C:C,A20,'Team Lineups'!G:G,"Win")</f>
        <v>0</v>
      </c>
      <c r="H20">
        <f>COUNTIFS('Team Lineups'!C:C,A20,'Team Lineups'!G:G,"Draw")</f>
        <v>1</v>
      </c>
      <c r="I20">
        <f>COUNTIFS('Team Lineups'!C:C,A20,'Team Lineups'!G:G,"Loss")</f>
        <v>0</v>
      </c>
      <c r="J20" s="3">
        <f t="shared" si="1"/>
        <v>0</v>
      </c>
      <c r="K20">
        <f>SUMIF('Team Lineups'!C:C,A20,'Team Lineups'!H:H)</f>
        <v>0</v>
      </c>
      <c r="L20">
        <f t="shared" si="2"/>
        <v>0</v>
      </c>
      <c r="M20">
        <f>SUMIF('Team Lineups'!C:C,A20,'Team Lineups'!I:I)</f>
        <v>0</v>
      </c>
      <c r="N20">
        <f>COUNTIF(Matches!G:G,A20)</f>
        <v>0</v>
      </c>
      <c r="O20">
        <f t="shared" si="3"/>
        <v>0</v>
      </c>
      <c r="P20">
        <f>SUMIF('Team Lineups'!C:C,A20,'Team Lineups'!J:J)</f>
        <v>0</v>
      </c>
    </row>
    <row r="21" spans="1:16" x14ac:dyDescent="0.35">
      <c r="A21" t="s">
        <v>51</v>
      </c>
      <c r="C21">
        <f>COUNTIF('Team Lineups'!C:C,A21)</f>
        <v>2</v>
      </c>
      <c r="D21">
        <f>SUMIF('Team Lineups'!C:C,A21,'Team Lineups'!E:E)</f>
        <v>13</v>
      </c>
      <c r="E21">
        <f>SUMIF('Team Lineups'!C:C,A21,'Team Lineups'!F:F)</f>
        <v>16</v>
      </c>
      <c r="F21">
        <f t="shared" si="0"/>
        <v>-3</v>
      </c>
      <c r="G21">
        <f>COUNTIFS('Team Lineups'!C:C,A21,'Team Lineups'!G:G,"Win")</f>
        <v>0</v>
      </c>
      <c r="H21">
        <f>COUNTIFS('Team Lineups'!C:C,A21,'Team Lineups'!G:G,"Draw")</f>
        <v>0</v>
      </c>
      <c r="I21">
        <f>COUNTIFS('Team Lineups'!C:C,A21,'Team Lineups'!G:G,"Loss")</f>
        <v>2</v>
      </c>
      <c r="J21" s="3">
        <f t="shared" si="1"/>
        <v>0</v>
      </c>
      <c r="K21">
        <f>SUMIF('Team Lineups'!C:C,A21,'Team Lineups'!H:H)</f>
        <v>2</v>
      </c>
      <c r="L21">
        <f t="shared" si="2"/>
        <v>1</v>
      </c>
      <c r="M21">
        <f>SUMIF('Team Lineups'!C:C,A21,'Team Lineups'!I:I)</f>
        <v>2</v>
      </c>
      <c r="N21">
        <f>COUNTIF(Matches!G:G,A21)</f>
        <v>0</v>
      </c>
      <c r="O21">
        <f t="shared" si="3"/>
        <v>0</v>
      </c>
      <c r="P21">
        <f>SUMIF('Team Lineups'!C:C,A21,'Team Lineups'!J:J)</f>
        <v>1</v>
      </c>
    </row>
    <row r="22" spans="1:16" x14ac:dyDescent="0.35">
      <c r="A22" t="s">
        <v>52</v>
      </c>
      <c r="C22">
        <f>COUNTIF('Team Lineups'!C:C,A22)</f>
        <v>0</v>
      </c>
      <c r="D22">
        <f>SUMIF('Team Lineups'!C:C,A22,'Team Lineups'!E:E)</f>
        <v>0</v>
      </c>
      <c r="E22">
        <f>SUMIF('Team Lineups'!C:C,A22,'Team Lineups'!F:F)</f>
        <v>0</v>
      </c>
      <c r="F22">
        <f t="shared" si="0"/>
        <v>0</v>
      </c>
      <c r="G22">
        <f>COUNTIFS('Team Lineups'!C:C,A22,'Team Lineups'!G:G,"Win")</f>
        <v>0</v>
      </c>
      <c r="H22">
        <f>COUNTIFS('Team Lineups'!C:C,A22,'Team Lineups'!G:G,"Draw")</f>
        <v>0</v>
      </c>
      <c r="I22">
        <f>COUNTIFS('Team Lineups'!C:C,A22,'Team Lineups'!G:G,"Loss")</f>
        <v>0</v>
      </c>
      <c r="J22" s="3" t="e">
        <f t="shared" si="1"/>
        <v>#DIV/0!</v>
      </c>
      <c r="K22">
        <f>SUMIF('Team Lineups'!C:C,A22,'Team Lineups'!H:H)</f>
        <v>0</v>
      </c>
      <c r="L22" t="e">
        <f t="shared" si="2"/>
        <v>#DIV/0!</v>
      </c>
      <c r="M22">
        <f>SUMIF('Team Lineups'!C:C,A22,'Team Lineups'!I:I)</f>
        <v>0</v>
      </c>
      <c r="N22">
        <f>COUNTIF(Matches!G:G,A22)</f>
        <v>0</v>
      </c>
      <c r="O22" t="e">
        <f t="shared" si="3"/>
        <v>#DIV/0!</v>
      </c>
      <c r="P22">
        <f>SUMIF('Team Lineups'!C:C,A22,'Team Lineups'!J:J)</f>
        <v>0</v>
      </c>
    </row>
    <row r="23" spans="1:16" x14ac:dyDescent="0.35">
      <c r="A23" t="s">
        <v>22</v>
      </c>
      <c r="C23">
        <f>COUNTIF('Team Lineups'!C:C,A23)</f>
        <v>8</v>
      </c>
      <c r="D23">
        <f>SUMIF('Team Lineups'!C:C,A23,'Team Lineups'!E:E)</f>
        <v>56</v>
      </c>
      <c r="E23">
        <f>SUMIF('Team Lineups'!C:C,A23,'Team Lineups'!F:F)</f>
        <v>54</v>
      </c>
      <c r="F23">
        <f t="shared" si="0"/>
        <v>2</v>
      </c>
      <c r="G23">
        <f>COUNTIFS('Team Lineups'!C:C,A23,'Team Lineups'!G:G,"Win")</f>
        <v>4</v>
      </c>
      <c r="H23">
        <f>COUNTIFS('Team Lineups'!C:C,A23,'Team Lineups'!G:G,"Draw")</f>
        <v>2</v>
      </c>
      <c r="I23">
        <f>COUNTIFS('Team Lineups'!C:C,A23,'Team Lineups'!G:G,"Loss")</f>
        <v>2</v>
      </c>
      <c r="J23" s="3">
        <f t="shared" si="1"/>
        <v>0.5</v>
      </c>
      <c r="K23">
        <f>SUMIF('Team Lineups'!C:C,A23,'Team Lineups'!H:H)</f>
        <v>10</v>
      </c>
      <c r="L23">
        <f t="shared" si="2"/>
        <v>1.25</v>
      </c>
      <c r="M23">
        <f>SUMIF('Team Lineups'!C:C,A23,'Team Lineups'!I:I)</f>
        <v>2</v>
      </c>
      <c r="N23">
        <f>COUNTIF(Matches!G:G,A23)</f>
        <v>2</v>
      </c>
      <c r="O23">
        <f t="shared" si="3"/>
        <v>0.25</v>
      </c>
      <c r="P23">
        <f>SUMIF('Team Lineups'!C:C,A23,'Team Lineups'!J:J)</f>
        <v>0</v>
      </c>
    </row>
    <row r="24" spans="1:16" x14ac:dyDescent="0.35">
      <c r="A24" t="s">
        <v>25</v>
      </c>
      <c r="C24">
        <f>COUNTIF('Team Lineups'!C:C,A24)</f>
        <v>10</v>
      </c>
      <c r="D24">
        <f>SUMIF('Team Lineups'!C:C,A24,'Team Lineups'!E:E)</f>
        <v>68</v>
      </c>
      <c r="E24">
        <f>SUMIF('Team Lineups'!C:C,A24,'Team Lineups'!F:F)</f>
        <v>65</v>
      </c>
      <c r="F24">
        <f t="shared" si="0"/>
        <v>3</v>
      </c>
      <c r="G24">
        <f>COUNTIFS('Team Lineups'!C:C,A24,'Team Lineups'!G:G,"Win")</f>
        <v>3</v>
      </c>
      <c r="H24">
        <f>COUNTIFS('Team Lineups'!C:C,A24,'Team Lineups'!G:G,"Draw")</f>
        <v>2</v>
      </c>
      <c r="I24">
        <f>COUNTIFS('Team Lineups'!C:C,A24,'Team Lineups'!G:G,"Loss")</f>
        <v>5</v>
      </c>
      <c r="J24" s="3">
        <f t="shared" si="1"/>
        <v>0.3</v>
      </c>
      <c r="K24">
        <f>SUMIF('Team Lineups'!C:C,A24,'Team Lineups'!H:H)</f>
        <v>5</v>
      </c>
      <c r="L24">
        <f t="shared" si="2"/>
        <v>0.5</v>
      </c>
      <c r="M24">
        <f>SUMIF('Team Lineups'!C:C,A24,'Team Lineups'!I:I)</f>
        <v>6</v>
      </c>
      <c r="N24">
        <f>COUNTIF(Matches!G:G,A24)</f>
        <v>0</v>
      </c>
      <c r="O24">
        <f t="shared" si="3"/>
        <v>0</v>
      </c>
      <c r="P24">
        <f>SUMIF('Team Lineups'!C:C,A24,'Team Lineups'!J:J)</f>
        <v>0</v>
      </c>
    </row>
    <row r="25" spans="1:16" x14ac:dyDescent="0.35">
      <c r="A25" t="s">
        <v>53</v>
      </c>
      <c r="C25">
        <f>COUNTIF('Team Lineups'!C:C,A25)</f>
        <v>9</v>
      </c>
      <c r="D25">
        <f>SUMIF('Team Lineups'!C:C,A25,'Team Lineups'!E:E)</f>
        <v>71</v>
      </c>
      <c r="E25">
        <f>SUMIF('Team Lineups'!C:C,A25,'Team Lineups'!F:F)</f>
        <v>64</v>
      </c>
      <c r="F25">
        <f t="shared" si="0"/>
        <v>7</v>
      </c>
      <c r="G25">
        <f>COUNTIFS('Team Lineups'!C:C,A25,'Team Lineups'!G:G,"Win")</f>
        <v>5</v>
      </c>
      <c r="H25">
        <f>COUNTIFS('Team Lineups'!C:C,A25,'Team Lineups'!G:G,"Draw")</f>
        <v>1</v>
      </c>
      <c r="I25">
        <f>COUNTIFS('Team Lineups'!C:C,A25,'Team Lineups'!G:G,"Loss")</f>
        <v>3</v>
      </c>
      <c r="J25" s="3">
        <f t="shared" si="1"/>
        <v>0.55555555555555558</v>
      </c>
      <c r="K25">
        <f>SUMIF('Team Lineups'!C:C,A25,'Team Lineups'!H:H)</f>
        <v>14</v>
      </c>
      <c r="L25">
        <f t="shared" si="2"/>
        <v>1.5555555555555556</v>
      </c>
      <c r="M25">
        <f>SUMIF('Team Lineups'!C:C,A25,'Team Lineups'!I:I)</f>
        <v>6</v>
      </c>
      <c r="N25">
        <f>COUNTIF(Matches!G:G,A25)</f>
        <v>0</v>
      </c>
      <c r="O25">
        <f t="shared" si="3"/>
        <v>0</v>
      </c>
      <c r="P25">
        <f>SUMIF('Team Lineups'!C:C,A25,'Team Lineups'!J:J)</f>
        <v>1</v>
      </c>
    </row>
    <row r="26" spans="1:16" x14ac:dyDescent="0.35">
      <c r="A26" t="s">
        <v>54</v>
      </c>
      <c r="C26">
        <f>COUNTIF('Team Lineups'!C:C,A26)</f>
        <v>3</v>
      </c>
      <c r="D26">
        <f>SUMIF('Team Lineups'!C:C,A26,'Team Lineups'!E:E)</f>
        <v>12</v>
      </c>
      <c r="E26">
        <f>SUMIF('Team Lineups'!C:C,A26,'Team Lineups'!F:F)</f>
        <v>16</v>
      </c>
      <c r="F26">
        <f t="shared" si="0"/>
        <v>-4</v>
      </c>
      <c r="G26">
        <f>COUNTIFS('Team Lineups'!C:C,A26,'Team Lineups'!G:G,"Win")</f>
        <v>0</v>
      </c>
      <c r="H26">
        <f>COUNTIFS('Team Lineups'!C:C,A26,'Team Lineups'!G:G,"Draw")</f>
        <v>0</v>
      </c>
      <c r="I26">
        <f>COUNTIFS('Team Lineups'!C:C,A26,'Team Lineups'!G:G,"Loss")</f>
        <v>3</v>
      </c>
      <c r="J26" s="3">
        <f t="shared" si="1"/>
        <v>0</v>
      </c>
      <c r="K26">
        <f>SUMIF('Team Lineups'!C:C,A26,'Team Lineups'!H:H)</f>
        <v>0</v>
      </c>
      <c r="L26">
        <f t="shared" si="2"/>
        <v>0</v>
      </c>
      <c r="M26">
        <f>SUMIF('Team Lineups'!C:C,A26,'Team Lineups'!I:I)</f>
        <v>0</v>
      </c>
      <c r="N26">
        <f>COUNTIF(Matches!G:G,A26)</f>
        <v>1</v>
      </c>
      <c r="O26">
        <f t="shared" si="3"/>
        <v>0.33333333333333331</v>
      </c>
      <c r="P26">
        <f>SUMIF('Team Lineups'!C:C,A26,'Team Lineups'!J:J)</f>
        <v>0</v>
      </c>
    </row>
    <row r="27" spans="1:16" x14ac:dyDescent="0.35">
      <c r="A27" t="s">
        <v>55</v>
      </c>
      <c r="C27">
        <f>COUNTIF('Team Lineups'!C:C,A27)</f>
        <v>1</v>
      </c>
      <c r="D27">
        <f>SUMIF('Team Lineups'!C:C,A27,'Team Lineups'!E:E)</f>
        <v>3</v>
      </c>
      <c r="E27">
        <f>SUMIF('Team Lineups'!C:C,A27,'Team Lineups'!F:F)</f>
        <v>6</v>
      </c>
      <c r="F27">
        <f t="shared" si="0"/>
        <v>-3</v>
      </c>
      <c r="G27">
        <f>COUNTIFS('Team Lineups'!C:C,A27,'Team Lineups'!G:G,"Win")</f>
        <v>0</v>
      </c>
      <c r="H27">
        <f>COUNTIFS('Team Lineups'!C:C,A27,'Team Lineups'!G:G,"Draw")</f>
        <v>0</v>
      </c>
      <c r="I27">
        <f>COUNTIFS('Team Lineups'!C:C,A27,'Team Lineups'!G:G,"Loss")</f>
        <v>1</v>
      </c>
      <c r="J27" s="3">
        <f t="shared" si="1"/>
        <v>0</v>
      </c>
      <c r="K27">
        <f>SUMIF('Team Lineups'!C:C,A27,'Team Lineups'!H:H)</f>
        <v>0</v>
      </c>
      <c r="L27">
        <f t="shared" si="2"/>
        <v>0</v>
      </c>
      <c r="M27">
        <f>SUMIF('Team Lineups'!C:C,A27,'Team Lineups'!I:I)</f>
        <v>0</v>
      </c>
      <c r="N27">
        <f>COUNTIF(Matches!G:G,A27)</f>
        <v>0</v>
      </c>
      <c r="O27">
        <f t="shared" si="3"/>
        <v>0</v>
      </c>
      <c r="P27">
        <f>SUMIF('Team Lineups'!C:C,A27,'Team Lineups'!J:J)</f>
        <v>0</v>
      </c>
    </row>
    <row r="28" spans="1:16" x14ac:dyDescent="0.35">
      <c r="A28" t="s">
        <v>59</v>
      </c>
      <c r="C28">
        <f>COUNTIF('Team Lineups'!C:C,A28)</f>
        <v>1</v>
      </c>
      <c r="D28">
        <f>SUMIF('Team Lineups'!C:C,A28,'Team Lineups'!E:E)</f>
        <v>13</v>
      </c>
      <c r="E28">
        <f>SUMIF('Team Lineups'!C:C,A28,'Team Lineups'!F:F)</f>
        <v>8</v>
      </c>
      <c r="F28">
        <f t="shared" ref="F28:F31" si="4">D28-E28</f>
        <v>5</v>
      </c>
      <c r="G28">
        <f>COUNTIFS('Team Lineups'!C:C,A28,'Team Lineups'!G:G,"Win")</f>
        <v>1</v>
      </c>
      <c r="H28">
        <f>COUNTIFS('Team Lineups'!C:C,A28,'Team Lineups'!G:G,"Draw")</f>
        <v>0</v>
      </c>
      <c r="I28">
        <f>COUNTIFS('Team Lineups'!C:C,A28,'Team Lineups'!G:G,"Loss")</f>
        <v>0</v>
      </c>
      <c r="J28" s="3">
        <f t="shared" ref="J28:J31" si="5">G28/C28</f>
        <v>1</v>
      </c>
      <c r="K28">
        <f>SUMIF('Team Lineups'!C:C,A28,'Team Lineups'!H:H)</f>
        <v>2</v>
      </c>
      <c r="L28">
        <f t="shared" ref="L28:L31" si="6">K28/C28</f>
        <v>2</v>
      </c>
      <c r="M28">
        <f>SUMIF('Team Lineups'!C:C,A28,'Team Lineups'!I:I)</f>
        <v>2</v>
      </c>
      <c r="N28">
        <f>COUNTIF(Matches!G:G,A28)</f>
        <v>0</v>
      </c>
      <c r="O28">
        <f t="shared" ref="O28:O31" si="7">N28/C28</f>
        <v>0</v>
      </c>
      <c r="P28">
        <f>SUMIF('Team Lineups'!C:C,A28,'Team Lineups'!J:J)</f>
        <v>0</v>
      </c>
    </row>
    <row r="29" spans="1:16" x14ac:dyDescent="0.35">
      <c r="A29" t="s">
        <v>60</v>
      </c>
      <c r="C29">
        <f>COUNTIF('Team Lineups'!C:C,A29)</f>
        <v>5</v>
      </c>
      <c r="D29">
        <f>SUMIF('Team Lineups'!C:C,A29,'Team Lineups'!E:E)</f>
        <v>50</v>
      </c>
      <c r="E29">
        <f>SUMIF('Team Lineups'!C:C,A29,'Team Lineups'!F:F)</f>
        <v>43</v>
      </c>
      <c r="F29">
        <f t="shared" si="4"/>
        <v>7</v>
      </c>
      <c r="G29">
        <f>COUNTIFS('Team Lineups'!C:C,A29,'Team Lineups'!G:G,"Win")</f>
        <v>3</v>
      </c>
      <c r="H29">
        <f>COUNTIFS('Team Lineups'!C:C,A29,'Team Lineups'!G:G,"Draw")</f>
        <v>1</v>
      </c>
      <c r="I29">
        <f>COUNTIFS('Team Lineups'!C:C,A29,'Team Lineups'!G:G,"Loss")</f>
        <v>1</v>
      </c>
      <c r="J29" s="3">
        <f t="shared" si="5"/>
        <v>0.6</v>
      </c>
      <c r="K29">
        <f>SUMIF('Team Lineups'!C:C,A29,'Team Lineups'!H:H)</f>
        <v>4</v>
      </c>
      <c r="L29">
        <f t="shared" si="6"/>
        <v>0.8</v>
      </c>
      <c r="M29">
        <f>SUMIF('Team Lineups'!C:C,A29,'Team Lineups'!I:I)</f>
        <v>1</v>
      </c>
      <c r="N29">
        <f>COUNTIF(Matches!G:G,A29)</f>
        <v>0</v>
      </c>
      <c r="O29">
        <f t="shared" si="7"/>
        <v>0</v>
      </c>
      <c r="P29">
        <f>SUMIF('Team Lineups'!C:C,A29,'Team Lineups'!J:J)</f>
        <v>0</v>
      </c>
    </row>
    <row r="30" spans="1:16" x14ac:dyDescent="0.35">
      <c r="A30" t="s">
        <v>61</v>
      </c>
      <c r="C30">
        <f>COUNTIF('Team Lineups'!C:C,A30)</f>
        <v>1</v>
      </c>
      <c r="D30">
        <f>SUMIF('Team Lineups'!C:C,A30,'Team Lineups'!E:E)</f>
        <v>8</v>
      </c>
      <c r="E30">
        <f>SUMIF('Team Lineups'!C:C,A30,'Team Lineups'!F:F)</f>
        <v>13</v>
      </c>
      <c r="F30">
        <f t="shared" si="4"/>
        <v>-5</v>
      </c>
      <c r="G30">
        <f>COUNTIFS('Team Lineups'!C:C,A30,'Team Lineups'!G:G,"Win")</f>
        <v>0</v>
      </c>
      <c r="H30">
        <f>COUNTIFS('Team Lineups'!C:C,A30,'Team Lineups'!G:G,"Draw")</f>
        <v>0</v>
      </c>
      <c r="I30">
        <f>COUNTIFS('Team Lineups'!C:C,A30,'Team Lineups'!G:G,"Loss")</f>
        <v>1</v>
      </c>
      <c r="J30" s="3">
        <f t="shared" si="5"/>
        <v>0</v>
      </c>
      <c r="K30">
        <f>SUMIF('Team Lineups'!C:C,A30,'Team Lineups'!H:H)</f>
        <v>0</v>
      </c>
      <c r="L30">
        <f t="shared" si="6"/>
        <v>0</v>
      </c>
      <c r="M30">
        <f>SUMIF('Team Lineups'!C:C,A30,'Team Lineups'!I:I)</f>
        <v>0</v>
      </c>
      <c r="N30">
        <f>COUNTIF(Matches!G:G,A30)</f>
        <v>0</v>
      </c>
      <c r="O30">
        <f t="shared" si="7"/>
        <v>0</v>
      </c>
      <c r="P30">
        <f>SUMIF('Team Lineups'!C:C,A30,'Team Lineups'!J:J)</f>
        <v>0</v>
      </c>
    </row>
    <row r="31" spans="1:16" x14ac:dyDescent="0.35">
      <c r="A31" t="s">
        <v>62</v>
      </c>
      <c r="C31">
        <f>COUNTIF('Team Lineups'!C:C,A31)</f>
        <v>1</v>
      </c>
      <c r="D31">
        <f>SUMIF('Team Lineups'!C:C,A31,'Team Lineups'!E:E)</f>
        <v>8</v>
      </c>
      <c r="E31">
        <f>SUMIF('Team Lineups'!C:C,A31,'Team Lineups'!F:F)</f>
        <v>13</v>
      </c>
      <c r="F31">
        <f t="shared" si="4"/>
        <v>-5</v>
      </c>
      <c r="G31">
        <f>COUNTIFS('Team Lineups'!C:C,A31,'Team Lineups'!G:G,"Win")</f>
        <v>0</v>
      </c>
      <c r="H31">
        <f>COUNTIFS('Team Lineups'!C:C,A31,'Team Lineups'!G:G,"Draw")</f>
        <v>0</v>
      </c>
      <c r="I31">
        <f>COUNTIFS('Team Lineups'!C:C,A31,'Team Lineups'!G:G,"Loss")</f>
        <v>1</v>
      </c>
      <c r="J31" s="3">
        <f t="shared" si="5"/>
        <v>0</v>
      </c>
      <c r="K31">
        <f>SUMIF('Team Lineups'!C:C,A31,'Team Lineups'!H:H)</f>
        <v>1</v>
      </c>
      <c r="L31">
        <f t="shared" si="6"/>
        <v>1</v>
      </c>
      <c r="M31">
        <f>SUMIF('Team Lineups'!C:C,A31,'Team Lineups'!I:I)</f>
        <v>3</v>
      </c>
      <c r="N31">
        <f>COUNTIF(Matches!G:G,A31)</f>
        <v>0</v>
      </c>
      <c r="O31">
        <f t="shared" si="7"/>
        <v>0</v>
      </c>
      <c r="P31">
        <f>SUMIF('Team Lineups'!C:C,A31,'Team Lineups'!J:J)</f>
        <v>0</v>
      </c>
    </row>
    <row r="32" spans="1:16" x14ac:dyDescent="0.35">
      <c r="A32" t="s">
        <v>64</v>
      </c>
      <c r="C32">
        <f>COUNTIF('Team Lineups'!C:C,A32)</f>
        <v>1</v>
      </c>
      <c r="D32">
        <f>SUMIF('Team Lineups'!C:C,A32,'Team Lineups'!E:E)</f>
        <v>10</v>
      </c>
      <c r="E32">
        <f>SUMIF('Team Lineups'!C:C,A32,'Team Lineups'!F:F)</f>
        <v>8</v>
      </c>
      <c r="F32">
        <f t="shared" ref="F32" si="8">D32-E32</f>
        <v>2</v>
      </c>
      <c r="G32">
        <f>COUNTIFS('Team Lineups'!C:C,A32,'Team Lineups'!G:G,"Win")</f>
        <v>1</v>
      </c>
      <c r="H32">
        <f>COUNTIFS('Team Lineups'!C:C,A32,'Team Lineups'!G:G,"Draw")</f>
        <v>0</v>
      </c>
      <c r="I32">
        <f>COUNTIFS('Team Lineups'!C:C,A32,'Team Lineups'!G:G,"Loss")</f>
        <v>0</v>
      </c>
      <c r="J32" s="3">
        <f t="shared" ref="J32" si="9">G32/C32</f>
        <v>1</v>
      </c>
      <c r="K32">
        <f>SUMIF('Team Lineups'!C:C,A32,'Team Lineups'!H:H)</f>
        <v>2</v>
      </c>
      <c r="L32">
        <f t="shared" ref="L32" si="10">K32/C32</f>
        <v>2</v>
      </c>
      <c r="M32">
        <f>SUMIF('Team Lineups'!C:C,A32,'Team Lineups'!I:I)</f>
        <v>3</v>
      </c>
      <c r="N32">
        <f>COUNTIF(Matches!G:G,A32)</f>
        <v>0</v>
      </c>
      <c r="O32">
        <f t="shared" ref="O32" si="11">N32/C32</f>
        <v>0</v>
      </c>
      <c r="P32">
        <f>SUMIF('Team Lineups'!C:C,A32,'Team Lineups'!J:J)</f>
        <v>0</v>
      </c>
    </row>
    <row r="33" spans="1:16" x14ac:dyDescent="0.35">
      <c r="A33" t="s">
        <v>66</v>
      </c>
      <c r="C33">
        <f>COUNTIF('Team Lineups'!C:C,A33)</f>
        <v>6</v>
      </c>
      <c r="D33">
        <f>SUMIF('Team Lineups'!C:C,A33,'Team Lineups'!E:E)</f>
        <v>45</v>
      </c>
      <c r="E33">
        <f>SUMIF('Team Lineups'!C:C,A33,'Team Lineups'!F:F)</f>
        <v>40</v>
      </c>
      <c r="F33">
        <f t="shared" ref="F33" si="12">D33-E33</f>
        <v>5</v>
      </c>
      <c r="G33">
        <f>COUNTIFS('Team Lineups'!C:C,A33,'Team Lineups'!G:G,"Win")</f>
        <v>4</v>
      </c>
      <c r="H33">
        <f>COUNTIFS('Team Lineups'!C:C,A33,'Team Lineups'!G:G,"Draw")</f>
        <v>1</v>
      </c>
      <c r="I33">
        <f>COUNTIFS('Team Lineups'!C:C,A33,'Team Lineups'!G:G,"Loss")</f>
        <v>1</v>
      </c>
      <c r="J33" s="3">
        <f t="shared" ref="J33" si="13">G33/C33</f>
        <v>0.66666666666666663</v>
      </c>
      <c r="K33">
        <f>SUMIF('Team Lineups'!C:C,A33,'Team Lineups'!H:H)</f>
        <v>22</v>
      </c>
      <c r="L33">
        <f t="shared" ref="L33" si="14">K33/C33</f>
        <v>3.6666666666666665</v>
      </c>
      <c r="M33">
        <f>SUMIF('Team Lineups'!C:C,A33,'Team Lineups'!I:I)</f>
        <v>8</v>
      </c>
      <c r="N33">
        <f>COUNTIF(Matches!G:G,A33)</f>
        <v>1</v>
      </c>
      <c r="O33">
        <f t="shared" ref="O33" si="15">N33/C33</f>
        <v>0.16666666666666666</v>
      </c>
      <c r="P33">
        <f>SUMIF('Team Lineups'!C:C,A33,'Team Lineups'!J:J)</f>
        <v>0</v>
      </c>
    </row>
  </sheetData>
  <autoFilter ref="A1:O27" xr:uid="{00000000-0001-0000-0200-000000000000}">
    <sortState xmlns:xlrd2="http://schemas.microsoft.com/office/spreadsheetml/2017/richdata2" ref="A2:O27">
      <sortCondition descending="1" ref="G2:G27"/>
      <sortCondition descending="1" ref="H2:H27"/>
      <sortCondition descending="1" ref="J2:J27"/>
      <sortCondition descending="1" ref="N2:N27"/>
      <sortCondition descending="1" ref="K2:K27"/>
      <sortCondition descending="1" ref="F2:F27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Matches</vt:lpstr>
      <vt:lpstr>Team Lineups</vt:lpstr>
      <vt:lpstr>Players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Gioele Passoni</cp:lastModifiedBy>
  <dcterms:created xsi:type="dcterms:W3CDTF">2025-11-14T15:34:15Z</dcterms:created>
  <dcterms:modified xsi:type="dcterms:W3CDTF">2026-02-06T10:15:12Z</dcterms:modified>
</cp:coreProperties>
</file>