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18D2D47A-C71F-4F2D-9293-2B330F7D014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9" i="2" l="1"/>
  <c r="F319" i="2"/>
  <c r="G319" i="2"/>
  <c r="E320" i="2"/>
  <c r="G320" i="2" s="1"/>
  <c r="F320" i="2"/>
  <c r="E321" i="2"/>
  <c r="F321" i="2"/>
  <c r="G321" i="2"/>
  <c r="E322" i="2"/>
  <c r="F322" i="2"/>
  <c r="G322" i="2"/>
  <c r="E323" i="2"/>
  <c r="F323" i="2"/>
  <c r="G323" i="2"/>
  <c r="E324" i="2"/>
  <c r="G324" i="2" s="1"/>
  <c r="F324" i="2"/>
  <c r="E325" i="2"/>
  <c r="F325" i="2"/>
  <c r="G325" i="2"/>
  <c r="E326" i="2"/>
  <c r="F326" i="2"/>
  <c r="G326" i="2"/>
  <c r="E327" i="2"/>
  <c r="F327" i="2"/>
  <c r="G327" i="2"/>
  <c r="E328" i="2"/>
  <c r="G328" i="2" s="1"/>
  <c r="F328" i="2"/>
  <c r="E329" i="2"/>
  <c r="F329" i="2"/>
  <c r="G329" i="2"/>
  <c r="E330" i="2"/>
  <c r="F330" i="2"/>
  <c r="G330" i="2"/>
  <c r="E331" i="2"/>
  <c r="F331" i="2"/>
  <c r="G331" i="2"/>
  <c r="E332" i="2"/>
  <c r="G332" i="2" s="1"/>
  <c r="F332" i="2"/>
  <c r="E333" i="2"/>
  <c r="F333" i="2"/>
  <c r="G333" i="2"/>
  <c r="E334" i="2"/>
  <c r="F334" i="2"/>
  <c r="G334" i="2"/>
  <c r="E335" i="2"/>
  <c r="F335" i="2"/>
  <c r="G335" i="2"/>
  <c r="E336" i="2"/>
  <c r="G336" i="2" s="1"/>
  <c r="F336" i="2"/>
  <c r="E337" i="2"/>
  <c r="F337" i="2"/>
  <c r="G337" i="2"/>
  <c r="E338" i="2"/>
  <c r="F338" i="2"/>
  <c r="G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G290" i="2" s="1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D44" i="3" s="1"/>
  <c r="F265" i="2"/>
  <c r="E44" i="3" s="1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I22" i="3"/>
  <c r="H22" i="3"/>
  <c r="G22" i="3"/>
  <c r="J22" i="3" s="1"/>
  <c r="E22" i="3"/>
  <c r="D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G153" i="2" s="1"/>
  <c r="K152" i="2"/>
  <c r="F152" i="2"/>
  <c r="E152" i="2"/>
  <c r="G152" i="2" s="1"/>
  <c r="K151" i="2"/>
  <c r="F151" i="2"/>
  <c r="E151" i="2"/>
  <c r="G151" i="2" s="1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G143" i="2" s="1"/>
  <c r="K142" i="2"/>
  <c r="F142" i="2"/>
  <c r="E142" i="2"/>
  <c r="K141" i="2"/>
  <c r="F141" i="2"/>
  <c r="E141" i="2"/>
  <c r="K140" i="2"/>
  <c r="F140" i="2"/>
  <c r="E140" i="2"/>
  <c r="K139" i="2"/>
  <c r="F139" i="2"/>
  <c r="E139" i="2"/>
  <c r="G139" i="2" s="1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G128" i="2" s="1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G123" i="2" s="1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G119" i="2" s="1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G107" i="2" s="1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G103" i="2" s="1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G99" i="2" s="1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G80" i="2" s="1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G63" i="2" s="1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E45" i="3" l="1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D14" i="3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E14" i="3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44" i="3" s="1"/>
  <c r="J44" i="3" s="1"/>
  <c r="G268" i="2"/>
  <c r="G252" i="2"/>
  <c r="G257" i="2"/>
  <c r="G262" i="2"/>
  <c r="G228" i="2"/>
  <c r="G230" i="2"/>
  <c r="G263" i="2"/>
  <c r="G98" i="2"/>
  <c r="G251" i="2"/>
  <c r="D41" i="3"/>
  <c r="G73" i="2"/>
  <c r="G37" i="2"/>
  <c r="G28" i="2"/>
  <c r="G258" i="2"/>
  <c r="M44" i="3"/>
  <c r="P44" i="3"/>
  <c r="P43" i="3"/>
  <c r="K13" i="3"/>
  <c r="F44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E41" i="3"/>
  <c r="G199" i="2"/>
  <c r="G175" i="2"/>
  <c r="G79" i="2"/>
  <c r="G180" i="2"/>
  <c r="E234" i="2"/>
  <c r="D4" i="3" s="1"/>
  <c r="F241" i="2"/>
  <c r="E235" i="2"/>
  <c r="D39" i="3" s="1"/>
  <c r="F240" i="2"/>
  <c r="F242" i="2"/>
  <c r="E40" i="3" s="1"/>
  <c r="E233" i="2"/>
  <c r="F239" i="2"/>
  <c r="E237" i="2"/>
  <c r="D42" i="3" s="1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K22" i="3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F22" i="3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E18" i="3"/>
  <c r="F161" i="2"/>
  <c r="F162" i="2"/>
  <c r="F160" i="2"/>
  <c r="E3" i="3" s="1"/>
  <c r="F163" i="2"/>
  <c r="E34" i="3" s="1"/>
  <c r="E156" i="2"/>
  <c r="E155" i="2"/>
  <c r="E157" i="2"/>
  <c r="E158" i="2"/>
  <c r="E159" i="2"/>
  <c r="D33" i="3" s="1"/>
  <c r="F164" i="2"/>
  <c r="E26" i="3" s="1"/>
  <c r="E163" i="2"/>
  <c r="E162" i="2"/>
  <c r="E164" i="2"/>
  <c r="D26" i="3" s="1"/>
  <c r="F159" i="2"/>
  <c r="E33" i="3" s="1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D21" i="3" s="1"/>
  <c r="E167" i="2"/>
  <c r="D19" i="3" s="1"/>
  <c r="F171" i="2"/>
  <c r="E25" i="3" s="1"/>
  <c r="F174" i="2"/>
  <c r="E15" i="3" s="1"/>
  <c r="E165" i="2"/>
  <c r="D7" i="3" s="1"/>
  <c r="F166" i="2"/>
  <c r="E173" i="2"/>
  <c r="F165" i="2"/>
  <c r="E7" i="3" s="1"/>
  <c r="E170" i="2"/>
  <c r="D9" i="3" s="1"/>
  <c r="E172" i="2"/>
  <c r="D8" i="3" s="1"/>
  <c r="E174" i="2"/>
  <c r="F169" i="2"/>
  <c r="E36" i="3" s="1"/>
  <c r="F167" i="2"/>
  <c r="E19" i="3" s="1"/>
  <c r="E171" i="2"/>
  <c r="F168" i="2"/>
  <c r="E21" i="3" s="1"/>
  <c r="G61" i="2"/>
  <c r="A2" i="6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D18" i="3"/>
  <c r="G6" i="2"/>
  <c r="G5" i="2"/>
  <c r="G4" i="2"/>
  <c r="G3" i="2"/>
  <c r="G2" i="2"/>
  <c r="F45" i="3" l="1"/>
  <c r="H44" i="3"/>
  <c r="F14" i="3"/>
  <c r="I44" i="3"/>
  <c r="K44" i="3" s="1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H14" i="3"/>
  <c r="G14" i="3"/>
  <c r="J14" i="3" s="1"/>
  <c r="F38" i="3"/>
  <c r="I41" i="3"/>
  <c r="K41" i="3" s="1"/>
  <c r="H41" i="3"/>
  <c r="G41" i="3"/>
  <c r="J41" i="3" s="1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F4" i="3" s="1"/>
  <c r="H38" i="3"/>
  <c r="I38" i="3"/>
  <c r="K38" i="3" s="1"/>
  <c r="G38" i="3"/>
  <c r="J38" i="3" s="1"/>
  <c r="F40" i="3"/>
  <c r="F29" i="3"/>
  <c r="F26" i="3"/>
  <c r="F33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21" i="3"/>
  <c r="F7" i="3"/>
  <c r="F19" i="3"/>
  <c r="D35" i="3"/>
  <c r="G155" i="2"/>
  <c r="D34" i="3"/>
  <c r="F34" i="3" s="1"/>
  <c r="G163" i="2"/>
  <c r="D36" i="3"/>
  <c r="F36" i="3" s="1"/>
  <c r="G169" i="2"/>
  <c r="G164" i="2"/>
  <c r="G168" i="2"/>
  <c r="G21" i="3" s="1"/>
  <c r="J21" i="3" s="1"/>
  <c r="G167" i="2"/>
  <c r="G19" i="3" s="1"/>
  <c r="J19" i="3" s="1"/>
  <c r="G165" i="2"/>
  <c r="G170" i="2"/>
  <c r="G172" i="2"/>
  <c r="F18" i="3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G5" i="3"/>
  <c r="J5" i="3" s="1"/>
  <c r="I5" i="3" l="1"/>
  <c r="K5" i="3" s="1"/>
  <c r="AP12" i="6" a="1"/>
  <c r="AP12" i="6" s="1"/>
  <c r="AP19" i="6" a="1"/>
  <c r="AP19" i="6" s="1"/>
  <c r="AP24" i="6" a="1"/>
  <c r="AP24" i="6" s="1"/>
  <c r="AP30" i="6" a="1"/>
  <c r="AP30" i="6" s="1"/>
  <c r="AP37" i="6" a="1"/>
  <c r="AP37" i="6" s="1"/>
  <c r="J42" i="6" a="1"/>
  <c r="J42" i="6" s="1"/>
  <c r="S42" i="6" a="1"/>
  <c r="S42" i="6" s="1"/>
  <c r="Z42" i="6" a="1"/>
  <c r="Z42" i="6" s="1"/>
  <c r="AG42" i="6" a="1"/>
  <c r="AG42" i="6" s="1"/>
  <c r="AN42" i="6" a="1"/>
  <c r="AN42" i="6" s="1"/>
  <c r="D42" i="6" a="1"/>
  <c r="D42" i="6" s="1"/>
  <c r="E42" i="6" a="1"/>
  <c r="E42" i="6" s="1"/>
  <c r="F42" i="6" a="1"/>
  <c r="F42" i="6" s="1"/>
  <c r="G42" i="6" a="1"/>
  <c r="G42" i="6" s="1"/>
  <c r="H42" i="6" a="1"/>
  <c r="H42" i="6" s="1"/>
  <c r="I42" i="6" a="1"/>
  <c r="I42" i="6" s="1"/>
  <c r="P42" i="6" a="1"/>
  <c r="P42" i="6" s="1"/>
  <c r="X42" i="6" a="1"/>
  <c r="X42" i="6" s="1"/>
  <c r="AE42" i="6" a="1"/>
  <c r="AE42" i="6" s="1"/>
  <c r="AL42" i="6" a="1"/>
  <c r="AL42" i="6" s="1"/>
  <c r="AP18" i="6" a="1"/>
  <c r="AP18" i="6" s="1"/>
  <c r="AP25" i="6" a="1"/>
  <c r="AP25" i="6" s="1"/>
  <c r="AP31" i="6" a="1"/>
  <c r="AP31" i="6" s="1"/>
  <c r="AP38" i="6" a="1"/>
  <c r="AP38" i="6" s="1"/>
  <c r="L42" i="6" a="1"/>
  <c r="L42" i="6" s="1"/>
  <c r="T42" i="6" a="1"/>
  <c r="T42" i="6" s="1"/>
  <c r="AA42" i="6" a="1"/>
  <c r="AA42" i="6" s="1"/>
  <c r="AH42" i="6" a="1"/>
  <c r="AH42" i="6" s="1"/>
  <c r="AO42" i="6" a="1"/>
  <c r="AO42" i="6" s="1"/>
  <c r="AP14" i="6" a="1"/>
  <c r="AP14" i="6" s="1"/>
  <c r="AP20" i="6" a="1"/>
  <c r="AP20" i="6" s="1"/>
  <c r="AP26" i="6" a="1"/>
  <c r="AP26" i="6" s="1"/>
  <c r="AP32" i="6" a="1"/>
  <c r="AP32" i="6" s="1"/>
  <c r="AP39" i="6" a="1"/>
  <c r="AP39" i="6" s="1"/>
  <c r="K42" i="6" a="1"/>
  <c r="K42" i="6" s="1"/>
  <c r="R42" i="6" a="1"/>
  <c r="R42" i="6" s="1"/>
  <c r="Y42" i="6" a="1"/>
  <c r="Y42" i="6" s="1"/>
  <c r="AF42" i="6" a="1"/>
  <c r="AF42" i="6" s="1"/>
  <c r="AM42" i="6" a="1"/>
  <c r="AM42" i="6" s="1"/>
  <c r="AP11" i="6" a="1"/>
  <c r="AP11" i="6" s="1"/>
  <c r="AP16" i="6" a="1"/>
  <c r="AP16" i="6" s="1"/>
  <c r="AP22" i="6" a="1"/>
  <c r="AP22" i="6" s="1"/>
  <c r="AP27" i="6" a="1"/>
  <c r="AP27" i="6" s="1"/>
  <c r="AP33" i="6" a="1"/>
  <c r="AP33" i="6" s="1"/>
  <c r="AP36" i="6" a="1"/>
  <c r="AP36" i="6" s="1"/>
  <c r="AP42" i="6" a="1"/>
  <c r="AP42" i="6" s="1"/>
  <c r="O42" i="6" a="1"/>
  <c r="O42" i="6" s="1"/>
  <c r="V42" i="6" a="1"/>
  <c r="V42" i="6" s="1"/>
  <c r="AC42" i="6" a="1"/>
  <c r="AC42" i="6" s="1"/>
  <c r="AI42" i="6" a="1"/>
  <c r="AI42" i="6" s="1"/>
  <c r="AP15" i="6" a="1"/>
  <c r="AP15" i="6" s="1"/>
  <c r="AP21" i="6" a="1"/>
  <c r="AP21" i="6" s="1"/>
  <c r="AP28" i="6" a="1"/>
  <c r="AP28" i="6" s="1"/>
  <c r="AP34" i="6" a="1"/>
  <c r="AP34" i="6" s="1"/>
  <c r="AP41" i="6" a="1"/>
  <c r="AP41" i="6" s="1"/>
  <c r="N42" i="6" a="1"/>
  <c r="N42" i="6" s="1"/>
  <c r="U42" i="6" a="1"/>
  <c r="U42" i="6" s="1"/>
  <c r="AB42" i="6" a="1"/>
  <c r="AB42" i="6" s="1"/>
  <c r="AJ42" i="6" a="1"/>
  <c r="AJ42" i="6" s="1"/>
  <c r="AP13" i="6" a="1"/>
  <c r="AP13" i="6" s="1"/>
  <c r="AP17" i="6" a="1"/>
  <c r="AP17" i="6" s="1"/>
  <c r="AP23" i="6" a="1"/>
  <c r="AP23" i="6" s="1"/>
  <c r="AP29" i="6" a="1"/>
  <c r="AP29" i="6" s="1"/>
  <c r="AP35" i="6" a="1"/>
  <c r="AP35" i="6" s="1"/>
  <c r="AP40" i="6" a="1"/>
  <c r="AP40" i="6" s="1"/>
  <c r="M42" i="6" a="1"/>
  <c r="M42" i="6" s="1"/>
  <c r="Q42" i="6" a="1"/>
  <c r="Q42" i="6" s="1"/>
  <c r="W42" i="6" a="1"/>
  <c r="W42" i="6" s="1"/>
  <c r="AD42" i="6" a="1"/>
  <c r="AD42" i="6" s="1"/>
  <c r="AK42" i="6" a="1"/>
  <c r="AK42" i="6" s="1"/>
  <c r="AP8" i="6" a="1"/>
  <c r="AP8" i="6" s="1"/>
  <c r="AP4" i="6" a="1"/>
  <c r="AP4" i="6" s="1"/>
  <c r="AP10" i="6" a="1"/>
  <c r="AP10" i="6" s="1"/>
  <c r="AP5" i="6" a="1"/>
  <c r="AP5" i="6" s="1"/>
  <c r="AP6" i="6" a="1"/>
  <c r="AP6" i="6" s="1"/>
  <c r="AP3" i="6" a="1"/>
  <c r="AP3" i="6" s="1"/>
  <c r="AP7" i="6" a="1"/>
  <c r="AP7" i="6" s="1"/>
  <c r="AP9" i="6" a="1"/>
  <c r="AP9" i="6" s="1"/>
  <c r="C42" i="6" a="1"/>
  <c r="C42" i="6" s="1"/>
  <c r="AP2" i="6" a="1"/>
  <c r="AP2" i="6" s="1"/>
  <c r="AO2" i="6" a="1"/>
  <c r="AO2" i="6" s="1"/>
  <c r="AO15" i="6" a="1"/>
  <c r="AO15" i="6" s="1"/>
  <c r="AO19" i="6" a="1"/>
  <c r="AO19" i="6" s="1"/>
  <c r="AO27" i="6" a="1"/>
  <c r="AO27" i="6" s="1"/>
  <c r="AO31" i="6" a="1"/>
  <c r="AO31" i="6" s="1"/>
  <c r="Z41" i="6" a="1"/>
  <c r="Z41" i="6" s="1"/>
  <c r="AK41" i="6" a="1"/>
  <c r="AK41" i="6" s="1"/>
  <c r="W23" i="6" a="1"/>
  <c r="W23" i="6" s="1"/>
  <c r="AB41" i="6" a="1"/>
  <c r="AB41" i="6" s="1"/>
  <c r="O15" i="6" a="1"/>
  <c r="O15" i="6" s="1"/>
  <c r="AC29" i="6" a="1"/>
  <c r="AC29" i="6" s="1"/>
  <c r="AO7" i="6" a="1"/>
  <c r="AO7" i="6" s="1"/>
  <c r="H41" i="6" a="1"/>
  <c r="H41" i="6" s="1"/>
  <c r="K41" i="6" a="1"/>
  <c r="K41" i="6" s="1"/>
  <c r="U41" i="6" a="1"/>
  <c r="U41" i="6" s="1"/>
  <c r="AJ41" i="6" a="1"/>
  <c r="AJ41" i="6" s="1"/>
  <c r="AB28" i="6" a="1"/>
  <c r="AB28" i="6" s="1"/>
  <c r="L41" i="6" a="1"/>
  <c r="L41" i="6" s="1"/>
  <c r="U21" i="6" a="1"/>
  <c r="U21" i="6" s="1"/>
  <c r="AO34" i="6" a="1"/>
  <c r="AO34" i="6" s="1"/>
  <c r="D4" i="6" a="1"/>
  <c r="D4" i="6" s="1"/>
  <c r="E5" i="6" a="1"/>
  <c r="E5" i="6" s="1"/>
  <c r="AO3" i="6" a="1"/>
  <c r="AO3" i="6" s="1"/>
  <c r="AO6" i="6" a="1"/>
  <c r="AO6" i="6" s="1"/>
  <c r="AO9" i="6" a="1"/>
  <c r="AO9" i="6" s="1"/>
  <c r="AO36" i="6" a="1"/>
  <c r="AO36" i="6" s="1"/>
  <c r="AN41" i="6" a="1"/>
  <c r="AN41" i="6" s="1"/>
  <c r="G41" i="6" a="1"/>
  <c r="G41" i="6" s="1"/>
  <c r="W41" i="6" a="1"/>
  <c r="W41" i="6" s="1"/>
  <c r="R18" i="6" a="1"/>
  <c r="R18" i="6" s="1"/>
  <c r="AH34" i="6" a="1"/>
  <c r="AH34" i="6" s="1"/>
  <c r="P16" i="6" a="1"/>
  <c r="P16" i="6" s="1"/>
  <c r="AO37" i="6" a="1"/>
  <c r="AO37" i="6" s="1"/>
  <c r="AO38" i="6" a="1"/>
  <c r="AO38" i="6" s="1"/>
  <c r="D41" i="6" a="1"/>
  <c r="D41" i="6" s="1"/>
  <c r="J41" i="6" a="1"/>
  <c r="J41" i="6" s="1"/>
  <c r="O41" i="6" a="1"/>
  <c r="O41" i="6" s="1"/>
  <c r="T41" i="6" a="1"/>
  <c r="T41" i="6" s="1"/>
  <c r="Y41" i="6" a="1"/>
  <c r="Y41" i="6" s="1"/>
  <c r="AN40" i="6" a="1"/>
  <c r="AN40" i="6" s="1"/>
  <c r="AK37" i="6" a="1"/>
  <c r="AK37" i="6" s="1"/>
  <c r="M13" i="6" a="1"/>
  <c r="M13" i="6" s="1"/>
  <c r="S41" i="6" a="1"/>
  <c r="S41" i="6" s="1"/>
  <c r="X41" i="6" a="1"/>
  <c r="X41" i="6" s="1"/>
  <c r="AC41" i="6" a="1"/>
  <c r="AC41" i="6" s="1"/>
  <c r="C41" i="6" a="1"/>
  <c r="C41" i="6" s="1"/>
  <c r="I41" i="6" a="1"/>
  <c r="I41" i="6" s="1"/>
  <c r="N41" i="6" a="1"/>
  <c r="N41" i="6" s="1"/>
  <c r="R41" i="6" a="1"/>
  <c r="R41" i="6" s="1"/>
  <c r="V41" i="6" a="1"/>
  <c r="V41" i="6" s="1"/>
  <c r="AA41" i="6" a="1"/>
  <c r="AA41" i="6" s="1"/>
  <c r="AO17" i="6" a="1"/>
  <c r="AO17" i="6" s="1"/>
  <c r="AO18" i="6" a="1"/>
  <c r="AO18" i="6" s="1"/>
  <c r="AO25" i="6" a="1"/>
  <c r="AO25" i="6" s="1"/>
  <c r="AO30" i="6" a="1"/>
  <c r="AO30" i="6" s="1"/>
  <c r="E41" i="6" a="1"/>
  <c r="E41" i="6" s="1"/>
  <c r="AF41" i="6" a="1"/>
  <c r="AF41" i="6" s="1"/>
  <c r="AM39" i="6" a="1"/>
  <c r="AM39" i="6" s="1"/>
  <c r="Z26" i="6" a="1"/>
  <c r="Z26" i="6" s="1"/>
  <c r="Q41" i="6" a="1"/>
  <c r="Q41" i="6" s="1"/>
  <c r="X24" i="6" a="1"/>
  <c r="X24" i="6" s="1"/>
  <c r="C3" i="6" a="1"/>
  <c r="C3" i="6" s="1"/>
  <c r="V22" i="6" a="1"/>
  <c r="V22" i="6" s="1"/>
  <c r="AO4" i="6" a="1"/>
  <c r="AO4" i="6" s="1"/>
  <c r="AO16" i="6" a="1"/>
  <c r="AO16" i="6" s="1"/>
  <c r="AO23" i="6" a="1"/>
  <c r="AO23" i="6" s="1"/>
  <c r="AO39" i="6" a="1"/>
  <c r="AO39" i="6" s="1"/>
  <c r="AH41" i="6" a="1"/>
  <c r="AH41" i="6" s="1"/>
  <c r="AI35" i="6" a="1"/>
  <c r="AI35" i="6" s="1"/>
  <c r="K11" i="6" a="1"/>
  <c r="K11" i="6" s="1"/>
  <c r="AD30" i="6" a="1"/>
  <c r="AD30" i="6" s="1"/>
  <c r="AO5" i="6" a="1"/>
  <c r="AO5" i="6" s="1"/>
  <c r="J10" i="6" a="1"/>
  <c r="J10" i="6" s="1"/>
  <c r="M41" i="6" a="1"/>
  <c r="M41" i="6" s="1"/>
  <c r="AO12" i="6" a="1"/>
  <c r="AO12" i="6" s="1"/>
  <c r="AO26" i="6" a="1"/>
  <c r="AO26" i="6" s="1"/>
  <c r="AD41" i="6" a="1"/>
  <c r="AD41" i="6" s="1"/>
  <c r="AM41" i="6" a="1"/>
  <c r="AM41" i="6" s="1"/>
  <c r="Q17" i="6" a="1"/>
  <c r="Q17" i="6" s="1"/>
  <c r="AJ36" i="6" a="1"/>
  <c r="AJ36" i="6" s="1"/>
  <c r="L12" i="6" a="1"/>
  <c r="L12" i="6" s="1"/>
  <c r="AE31" i="6" a="1"/>
  <c r="AE31" i="6" s="1"/>
  <c r="AO40" i="6" a="1"/>
  <c r="AO40" i="6" s="1"/>
  <c r="AO11" i="6" a="1"/>
  <c r="AO11" i="6" s="1"/>
  <c r="AO21" i="6" a="1"/>
  <c r="AO21" i="6" s="1"/>
  <c r="AO13" i="6" a="1"/>
  <c r="AO13" i="6" s="1"/>
  <c r="AO22" i="6" a="1"/>
  <c r="AO22" i="6" s="1"/>
  <c r="AO35" i="6" a="1"/>
  <c r="AO35" i="6" s="1"/>
  <c r="AG41" i="6" a="1"/>
  <c r="AG41" i="6" s="1"/>
  <c r="AL38" i="6" a="1"/>
  <c r="AL38" i="6" s="1"/>
  <c r="N14" i="6" a="1"/>
  <c r="N14" i="6" s="1"/>
  <c r="AG33" i="6" a="1"/>
  <c r="AG33" i="6" s="1"/>
  <c r="F6" i="6" a="1"/>
  <c r="F6" i="6" s="1"/>
  <c r="S19" i="6" a="1"/>
  <c r="S19" i="6" s="1"/>
  <c r="F41" i="6" a="1"/>
  <c r="F41" i="6" s="1"/>
  <c r="AO10" i="6" a="1"/>
  <c r="AO10" i="6" s="1"/>
  <c r="AO24" i="6" a="1"/>
  <c r="AO24" i="6" s="1"/>
  <c r="AO29" i="6" a="1"/>
  <c r="AO29" i="6" s="1"/>
  <c r="P41" i="6" a="1"/>
  <c r="P41" i="6" s="1"/>
  <c r="AI41" i="6" a="1"/>
  <c r="AI41" i="6" s="1"/>
  <c r="AF32" i="6" a="1"/>
  <c r="AF32" i="6" s="1"/>
  <c r="H8" i="6" a="1"/>
  <c r="H8" i="6" s="1"/>
  <c r="AA27" i="6" a="1"/>
  <c r="AA27" i="6" s="1"/>
  <c r="AO8" i="6" a="1"/>
  <c r="AO8" i="6" s="1"/>
  <c r="G7" i="6" a="1"/>
  <c r="G7" i="6" s="1"/>
  <c r="AO14" i="6" a="1"/>
  <c r="AO14" i="6" s="1"/>
  <c r="AO20" i="6" a="1"/>
  <c r="AO20" i="6" s="1"/>
  <c r="AO28" i="6" a="1"/>
  <c r="AO28" i="6" s="1"/>
  <c r="AO32" i="6" a="1"/>
  <c r="AO32" i="6" s="1"/>
  <c r="AE41" i="6" a="1"/>
  <c r="AE41" i="6" s="1"/>
  <c r="AL41" i="6" a="1"/>
  <c r="AL41" i="6" s="1"/>
  <c r="T20" i="6" a="1"/>
  <c r="T20" i="6" s="1"/>
  <c r="AO41" i="6" a="1"/>
  <c r="AO41" i="6" s="1"/>
  <c r="I9" i="6" a="1"/>
  <c r="I9" i="6" s="1"/>
  <c r="Y25" i="6" a="1"/>
  <c r="Y25" i="6" s="1"/>
  <c r="AO33" i="6" a="1"/>
  <c r="AO33" i="6" s="1"/>
  <c r="AN2" i="6" a="1"/>
  <c r="AN2" i="6" s="1"/>
  <c r="AM2" i="6" a="1"/>
  <c r="AM2" i="6" s="1"/>
  <c r="AN23" i="6" a="1"/>
  <c r="AN23" i="6" s="1"/>
  <c r="AN33" i="6" a="1"/>
  <c r="AN33" i="6" s="1"/>
  <c r="AN35" i="6" a="1"/>
  <c r="AN35" i="6" s="1"/>
  <c r="AN37" i="6" a="1"/>
  <c r="AN37" i="6" s="1"/>
  <c r="H39" i="6" a="1"/>
  <c r="H39" i="6" s="1"/>
  <c r="N39" i="6" a="1"/>
  <c r="N39" i="6" s="1"/>
  <c r="T39" i="6" a="1"/>
  <c r="T39" i="6" s="1"/>
  <c r="W39" i="6" a="1"/>
  <c r="W39" i="6" s="1"/>
  <c r="AC39" i="6" a="1"/>
  <c r="AC39" i="6" s="1"/>
  <c r="AI39" i="6" a="1"/>
  <c r="AI39" i="6" s="1"/>
  <c r="X40" i="6" a="1"/>
  <c r="X40" i="6" s="1"/>
  <c r="AD40" i="6" a="1"/>
  <c r="AD40" i="6" s="1"/>
  <c r="AK40" i="6" a="1"/>
  <c r="AK40" i="6" s="1"/>
  <c r="AN32" i="6" a="1"/>
  <c r="AN32" i="6" s="1"/>
  <c r="AM33" i="6" a="1"/>
  <c r="AM33" i="6" s="1"/>
  <c r="AH40" i="6" a="1"/>
  <c r="AH40" i="6" s="1"/>
  <c r="K40" i="6" a="1"/>
  <c r="K40" i="6" s="1"/>
  <c r="L40" i="6" a="1"/>
  <c r="L40" i="6" s="1"/>
  <c r="M40" i="6" a="1"/>
  <c r="M40" i="6" s="1"/>
  <c r="N40" i="6" a="1"/>
  <c r="N40" i="6" s="1"/>
  <c r="O40" i="6" a="1"/>
  <c r="O40" i="6" s="1"/>
  <c r="P40" i="6" a="1"/>
  <c r="P40" i="6" s="1"/>
  <c r="Q40" i="6" a="1"/>
  <c r="Q40" i="6" s="1"/>
  <c r="R40" i="6" a="1"/>
  <c r="R40" i="6" s="1"/>
  <c r="S40" i="6" a="1"/>
  <c r="S40" i="6" s="1"/>
  <c r="T40" i="6" a="1"/>
  <c r="T40" i="6" s="1"/>
  <c r="AN24" i="6" a="1"/>
  <c r="AN24" i="6" s="1"/>
  <c r="AN27" i="6" a="1"/>
  <c r="AN27" i="6" s="1"/>
  <c r="AM37" i="6" a="1"/>
  <c r="AM37" i="6" s="1"/>
  <c r="C39" i="6" a="1"/>
  <c r="C39" i="6" s="1"/>
  <c r="K39" i="6" a="1"/>
  <c r="K39" i="6" s="1"/>
  <c r="X39" i="6" a="1"/>
  <c r="X39" i="6" s="1"/>
  <c r="AE39" i="6" a="1"/>
  <c r="AE39" i="6" s="1"/>
  <c r="AK39" i="6" a="1"/>
  <c r="AK39" i="6" s="1"/>
  <c r="AB40" i="6" a="1"/>
  <c r="AB40" i="6" s="1"/>
  <c r="AJ40" i="6" a="1"/>
  <c r="AJ40" i="6" s="1"/>
  <c r="AN25" i="6" a="1"/>
  <c r="AN25" i="6" s="1"/>
  <c r="AN28" i="6" a="1"/>
  <c r="AN28" i="6" s="1"/>
  <c r="AM35" i="6" a="1"/>
  <c r="AM35" i="6" s="1"/>
  <c r="AM40" i="6" a="1"/>
  <c r="AM40" i="6" s="1"/>
  <c r="F39" i="6" a="1"/>
  <c r="F39" i="6" s="1"/>
  <c r="L39" i="6" a="1"/>
  <c r="L39" i="6" s="1"/>
  <c r="R39" i="6" a="1"/>
  <c r="R39" i="6" s="1"/>
  <c r="Z39" i="6" a="1"/>
  <c r="Z39" i="6" s="1"/>
  <c r="AF39" i="6" a="1"/>
  <c r="AF39" i="6" s="1"/>
  <c r="V40" i="6" a="1"/>
  <c r="V40" i="6" s="1"/>
  <c r="AA40" i="6" a="1"/>
  <c r="AA40" i="6" s="1"/>
  <c r="AG40" i="6" a="1"/>
  <c r="AG40" i="6" s="1"/>
  <c r="AM25" i="6" a="1"/>
  <c r="AM25" i="6" s="1"/>
  <c r="AM27" i="6" a="1"/>
  <c r="AM27" i="6" s="1"/>
  <c r="AN34" i="6" a="1"/>
  <c r="AN34" i="6" s="1"/>
  <c r="AN36" i="6" a="1"/>
  <c r="AN36" i="6" s="1"/>
  <c r="AL40" i="6" a="1"/>
  <c r="AL40" i="6" s="1"/>
  <c r="G39" i="6" a="1"/>
  <c r="G39" i="6" s="1"/>
  <c r="M39" i="6" a="1"/>
  <c r="M39" i="6" s="1"/>
  <c r="Q39" i="6" a="1"/>
  <c r="Q39" i="6" s="1"/>
  <c r="V39" i="6" a="1"/>
  <c r="V39" i="6" s="1"/>
  <c r="AB39" i="6" a="1"/>
  <c r="AB39" i="6" s="1"/>
  <c r="AH39" i="6" a="1"/>
  <c r="AH39" i="6" s="1"/>
  <c r="U40" i="6" a="1"/>
  <c r="U40" i="6" s="1"/>
  <c r="Z40" i="6" a="1"/>
  <c r="Z40" i="6" s="1"/>
  <c r="AF40" i="6" a="1"/>
  <c r="AF40" i="6" s="1"/>
  <c r="AM24" i="6" a="1"/>
  <c r="AM24" i="6" s="1"/>
  <c r="AM28" i="6" a="1"/>
  <c r="AM28" i="6" s="1"/>
  <c r="AN39" i="6" a="1"/>
  <c r="AN39" i="6" s="1"/>
  <c r="D39" i="6" a="1"/>
  <c r="D39" i="6" s="1"/>
  <c r="J39" i="6" a="1"/>
  <c r="J39" i="6" s="1"/>
  <c r="P39" i="6" a="1"/>
  <c r="P39" i="6" s="1"/>
  <c r="U39" i="6" a="1"/>
  <c r="U39" i="6" s="1"/>
  <c r="Y39" i="6" a="1"/>
  <c r="Y39" i="6" s="1"/>
  <c r="AD39" i="6" a="1"/>
  <c r="AD39" i="6" s="1"/>
  <c r="AJ39" i="6" a="1"/>
  <c r="AJ39" i="6" s="1"/>
  <c r="Y40" i="6" a="1"/>
  <c r="Y40" i="6" s="1"/>
  <c r="AE40" i="6" a="1"/>
  <c r="AE40" i="6" s="1"/>
  <c r="AM26" i="6" a="1"/>
  <c r="AM26" i="6" s="1"/>
  <c r="AN26" i="6" a="1"/>
  <c r="AN26" i="6" s="1"/>
  <c r="AM34" i="6" a="1"/>
  <c r="AM34" i="6" s="1"/>
  <c r="AM36" i="6" a="1"/>
  <c r="AM36" i="6" s="1"/>
  <c r="AL39" i="6" a="1"/>
  <c r="AL39" i="6" s="1"/>
  <c r="E39" i="6" a="1"/>
  <c r="E39" i="6" s="1"/>
  <c r="I39" i="6" a="1"/>
  <c r="I39" i="6" s="1"/>
  <c r="O39" i="6" a="1"/>
  <c r="O39" i="6" s="1"/>
  <c r="S39" i="6" a="1"/>
  <c r="S39" i="6" s="1"/>
  <c r="AA39" i="6" a="1"/>
  <c r="AA39" i="6" s="1"/>
  <c r="AG39" i="6" a="1"/>
  <c r="AG39" i="6" s="1"/>
  <c r="W40" i="6" a="1"/>
  <c r="W40" i="6" s="1"/>
  <c r="AC40" i="6" a="1"/>
  <c r="AC40" i="6" s="1"/>
  <c r="AI40" i="6" a="1"/>
  <c r="AI40" i="6" s="1"/>
  <c r="AM38" i="6" a="1"/>
  <c r="AM38" i="6" s="1"/>
  <c r="AM21" i="6" a="1"/>
  <c r="AM21" i="6" s="1"/>
  <c r="J40" i="6" a="1"/>
  <c r="J40" i="6" s="1"/>
  <c r="AN14" i="6" a="1"/>
  <c r="AN14" i="6" s="1"/>
  <c r="AM18" i="6" a="1"/>
  <c r="AM18" i="6" s="1"/>
  <c r="AM20" i="6" a="1"/>
  <c r="AM20" i="6" s="1"/>
  <c r="G40" i="6" a="1"/>
  <c r="G40" i="6" s="1"/>
  <c r="H40" i="6" a="1"/>
  <c r="H40" i="6" s="1"/>
  <c r="I40" i="6" a="1"/>
  <c r="I40" i="6" s="1"/>
  <c r="AN3" i="6" a="1"/>
  <c r="AN3" i="6" s="1"/>
  <c r="AN4" i="6" a="1"/>
  <c r="AN4" i="6" s="1"/>
  <c r="AM10" i="6" a="1"/>
  <c r="AM10" i="6" s="1"/>
  <c r="AN13" i="6" a="1"/>
  <c r="AN13" i="6" s="1"/>
  <c r="AM5" i="6" a="1"/>
  <c r="AM5" i="6" s="1"/>
  <c r="AN7" i="6" a="1"/>
  <c r="AN7" i="6" s="1"/>
  <c r="AM4" i="6" a="1"/>
  <c r="AM4" i="6" s="1"/>
  <c r="AN9" i="6" a="1"/>
  <c r="AN9" i="6" s="1"/>
  <c r="AM32" i="6" a="1"/>
  <c r="AM32" i="6" s="1"/>
  <c r="AM22" i="6" a="1"/>
  <c r="AM22" i="6" s="1"/>
  <c r="AM23" i="6" a="1"/>
  <c r="AM23" i="6" s="1"/>
  <c r="AM11" i="6" a="1"/>
  <c r="AM11" i="6" s="1"/>
  <c r="AM6" i="6" a="1"/>
  <c r="AM6" i="6" s="1"/>
  <c r="AN30" i="6" a="1"/>
  <c r="AN30" i="6" s="1"/>
  <c r="AM17" i="6" a="1"/>
  <c r="AM17" i="6" s="1"/>
  <c r="AN12" i="6" a="1"/>
  <c r="AN12" i="6" s="1"/>
  <c r="AM16" i="6" a="1"/>
  <c r="AM16" i="6" s="1"/>
  <c r="AM12" i="6" a="1"/>
  <c r="AM12" i="6" s="1"/>
  <c r="AN19" i="6" a="1"/>
  <c r="AN19" i="6" s="1"/>
  <c r="AN20" i="6" a="1"/>
  <c r="AN20" i="6" s="1"/>
  <c r="AN8" i="6" a="1"/>
  <c r="AN8" i="6" s="1"/>
  <c r="AN16" i="6" a="1"/>
  <c r="AN16" i="6" s="1"/>
  <c r="AM31" i="6" a="1"/>
  <c r="AM31" i="6" s="1"/>
  <c r="F40" i="6" a="1"/>
  <c r="F40" i="6" s="1"/>
  <c r="AM9" i="6" a="1"/>
  <c r="AM9" i="6" s="1"/>
  <c r="AN10" i="6" a="1"/>
  <c r="AN10" i="6" s="1"/>
  <c r="AM15" i="6" a="1"/>
  <c r="AM15" i="6" s="1"/>
  <c r="AN21" i="6" a="1"/>
  <c r="AN21" i="6" s="1"/>
  <c r="AM7" i="6" a="1"/>
  <c r="AM7" i="6" s="1"/>
  <c r="AM30" i="6" a="1"/>
  <c r="AM30" i="6" s="1"/>
  <c r="D40" i="6" a="1"/>
  <c r="D40" i="6" s="1"/>
  <c r="AN5" i="6" a="1"/>
  <c r="AN5" i="6" s="1"/>
  <c r="AN15" i="6" a="1"/>
  <c r="AN15" i="6" s="1"/>
  <c r="AN38" i="6" a="1"/>
  <c r="AN38" i="6" s="1"/>
  <c r="AM14" i="6" a="1"/>
  <c r="AM14" i="6" s="1"/>
  <c r="AN29" i="6" a="1"/>
  <c r="AN29" i="6" s="1"/>
  <c r="C40" i="6" a="1"/>
  <c r="C40" i="6" s="1"/>
  <c r="AN6" i="6" a="1"/>
  <c r="AN6" i="6" s="1"/>
  <c r="AM13" i="6" a="1"/>
  <c r="AM13" i="6" s="1"/>
  <c r="AN22" i="6" a="1"/>
  <c r="AN22" i="6" s="1"/>
  <c r="AM19" i="6" a="1"/>
  <c r="AM19" i="6" s="1"/>
  <c r="AN31" i="6" a="1"/>
  <c r="AN31" i="6" s="1"/>
  <c r="E40" i="6" a="1"/>
  <c r="E40" i="6" s="1"/>
  <c r="AN11" i="6" a="1"/>
  <c r="AN11" i="6" s="1"/>
  <c r="AM8" i="6" a="1"/>
  <c r="AM8" i="6" s="1"/>
  <c r="AN17" i="6" a="1"/>
  <c r="AN17" i="6" s="1"/>
  <c r="AM3" i="6" a="1"/>
  <c r="AM3" i="6" s="1"/>
  <c r="AM29" i="6" a="1"/>
  <c r="AM29" i="6" s="1"/>
  <c r="AN18" i="6" a="1"/>
  <c r="AN18" i="6" s="1"/>
  <c r="G17" i="3"/>
  <c r="J17" i="3" s="1"/>
  <c r="AH2" i="6" a="1"/>
  <c r="AH2" i="6" s="1"/>
  <c r="AK2" i="6" a="1"/>
  <c r="AK2" i="6" s="1"/>
  <c r="AI2" i="6" a="1"/>
  <c r="AI2" i="6" s="1"/>
  <c r="AL2" i="6" a="1"/>
  <c r="AL2" i="6" s="1"/>
  <c r="AG2" i="6" a="1"/>
  <c r="AG2" i="6" s="1"/>
  <c r="AJ2" i="6" a="1"/>
  <c r="AJ2" i="6" s="1"/>
  <c r="AG32" i="6" a="1"/>
  <c r="AG32" i="6" s="1"/>
  <c r="AJ32" i="6" a="1"/>
  <c r="AJ32" i="6" s="1"/>
  <c r="AG4" i="6" a="1"/>
  <c r="AG4" i="6" s="1"/>
  <c r="AK4" i="6" a="1"/>
  <c r="AK4" i="6" s="1"/>
  <c r="AL6" i="6" a="1"/>
  <c r="AL6" i="6" s="1"/>
  <c r="AL10" i="6" a="1"/>
  <c r="AL10" i="6" s="1"/>
  <c r="AK11" i="6" a="1"/>
  <c r="AK11" i="6" s="1"/>
  <c r="AG14" i="6" a="1"/>
  <c r="AG14" i="6" s="1"/>
  <c r="AL14" i="6" a="1"/>
  <c r="AL14" i="6" s="1"/>
  <c r="AJ7" i="6" a="1"/>
  <c r="AJ7" i="6" s="1"/>
  <c r="AG8" i="6" a="1"/>
  <c r="AG8" i="6" s="1"/>
  <c r="AH8" i="6" a="1"/>
  <c r="AH8" i="6" s="1"/>
  <c r="AK8" i="6" a="1"/>
  <c r="AK8" i="6" s="1"/>
  <c r="AJ9" i="6" a="1"/>
  <c r="AJ9" i="6" s="1"/>
  <c r="AI11" i="6" a="1"/>
  <c r="AI11" i="6" s="1"/>
  <c r="AL13" i="6" a="1"/>
  <c r="AL13" i="6" s="1"/>
  <c r="AK14" i="6" a="1"/>
  <c r="AK14" i="6" s="1"/>
  <c r="AG17" i="6" a="1"/>
  <c r="AG17" i="6" s="1"/>
  <c r="AI18" i="6" a="1"/>
  <c r="AI18" i="6" s="1"/>
  <c r="AK19" i="6" a="1"/>
  <c r="AK19" i="6" s="1"/>
  <c r="AI27" i="6" a="1"/>
  <c r="AI27" i="6" s="1"/>
  <c r="AH28" i="6" a="1"/>
  <c r="AH28" i="6" s="1"/>
  <c r="AH31" i="6" a="1"/>
  <c r="AH31" i="6" s="1"/>
  <c r="AA38" i="6" a="1"/>
  <c r="AA38" i="6" s="1"/>
  <c r="F33" i="6" a="1"/>
  <c r="F33" i="6" s="1"/>
  <c r="Z33" i="6" a="1"/>
  <c r="Z33" i="6" s="1"/>
  <c r="O35" i="6" a="1"/>
  <c r="O35" i="6" s="1"/>
  <c r="J36" i="6" a="1"/>
  <c r="J36" i="6" s="1"/>
  <c r="AJ20" i="6" a="1"/>
  <c r="AJ20" i="6" s="1"/>
  <c r="AK20" i="6" a="1"/>
  <c r="AK20" i="6" s="1"/>
  <c r="AH21" i="6" a="1"/>
  <c r="AH21" i="6" s="1"/>
  <c r="AI21" i="6" a="1"/>
  <c r="AI21" i="6" s="1"/>
  <c r="AL21" i="6" a="1"/>
  <c r="AL21" i="6" s="1"/>
  <c r="AI22" i="6" a="1"/>
  <c r="AI22" i="6" s="1"/>
  <c r="AJ22" i="6" a="1"/>
  <c r="AJ22" i="6" s="1"/>
  <c r="AG23" i="6" a="1"/>
  <c r="AG23" i="6" s="1"/>
  <c r="AH23" i="6" a="1"/>
  <c r="AH23" i="6" s="1"/>
  <c r="AK23" i="6" a="1"/>
  <c r="AK23" i="6" s="1"/>
  <c r="AH24" i="6" a="1"/>
  <c r="AH24" i="6" s="1"/>
  <c r="AI24" i="6" a="1"/>
  <c r="AI24" i="6" s="1"/>
  <c r="AL24" i="6" a="1"/>
  <c r="AL24" i="6" s="1"/>
  <c r="AL25" i="6" a="1"/>
  <c r="AL25" i="6" s="1"/>
  <c r="AI26" i="6" a="1"/>
  <c r="AI26" i="6" s="1"/>
  <c r="AI36" i="6" a="1"/>
  <c r="AI36" i="6" s="1"/>
  <c r="AL36" i="6" a="1"/>
  <c r="AL36" i="6" s="1"/>
  <c r="AJ37" i="6" a="1"/>
  <c r="AJ37" i="6" s="1"/>
  <c r="AI38" i="6" a="1"/>
  <c r="AI38" i="6" s="1"/>
  <c r="AF35" i="6" a="1"/>
  <c r="AF35" i="6" s="1"/>
  <c r="D38" i="6" a="1"/>
  <c r="D38" i="6" s="1"/>
  <c r="AD33" i="6" a="1"/>
  <c r="AD33" i="6" s="1"/>
  <c r="F34" i="6" a="1"/>
  <c r="F34" i="6" s="1"/>
  <c r="L34" i="6" a="1"/>
  <c r="L34" i="6" s="1"/>
  <c r="C37" i="6" a="1"/>
  <c r="C37" i="6" s="1"/>
  <c r="AL16" i="6" a="1"/>
  <c r="AL16" i="6" s="1"/>
  <c r="AH15" i="6" a="1"/>
  <c r="AH15" i="6" s="1"/>
  <c r="AK26" i="6" a="1"/>
  <c r="AK26" i="6" s="1"/>
  <c r="M33" i="6" a="1"/>
  <c r="M33" i="6" s="1"/>
  <c r="J33" i="6" a="1"/>
  <c r="J33" i="6" s="1"/>
  <c r="AH38" i="6" a="1"/>
  <c r="AH38" i="6" s="1"/>
  <c r="AF34" i="6" a="1"/>
  <c r="AF34" i="6" s="1"/>
  <c r="AF37" i="6" a="1"/>
  <c r="AF37" i="6" s="1"/>
  <c r="N36" i="6" a="1"/>
  <c r="N36" i="6" s="1"/>
  <c r="D34" i="6" a="1"/>
  <c r="D34" i="6" s="1"/>
  <c r="K34" i="6" a="1"/>
  <c r="K34" i="6" s="1"/>
  <c r="G37" i="6" a="1"/>
  <c r="G37" i="6" s="1"/>
  <c r="AJ19" i="6" a="1"/>
  <c r="AJ19" i="6" s="1"/>
  <c r="AL17" i="6" a="1"/>
  <c r="AL17" i="6" s="1"/>
  <c r="AH30" i="6" a="1"/>
  <c r="AH30" i="6" s="1"/>
  <c r="AK30" i="6" a="1"/>
  <c r="AK30" i="6" s="1"/>
  <c r="AK28" i="6" a="1"/>
  <c r="AK28" i="6" s="1"/>
  <c r="AJ29" i="6" a="1"/>
  <c r="AJ29" i="6" s="1"/>
  <c r="AI30" i="6" a="1"/>
  <c r="AI30" i="6" s="1"/>
  <c r="AL30" i="6" a="1"/>
  <c r="AL30" i="6" s="1"/>
  <c r="AK31" i="6" a="1"/>
  <c r="AK31" i="6" s="1"/>
  <c r="AK33" i="6" a="1"/>
  <c r="AK33" i="6" s="1"/>
  <c r="AJ34" i="6" a="1"/>
  <c r="AJ34" i="6" s="1"/>
  <c r="AD38" i="6" a="1"/>
  <c r="AD38" i="6" s="1"/>
  <c r="E33" i="6" a="1"/>
  <c r="E33" i="6" s="1"/>
  <c r="K33" i="6" a="1"/>
  <c r="K33" i="6" s="1"/>
  <c r="Q33" i="6" a="1"/>
  <c r="Q33" i="6" s="1"/>
  <c r="W33" i="6" a="1"/>
  <c r="W33" i="6" s="1"/>
  <c r="J35" i="6" a="1"/>
  <c r="J35" i="6" s="1"/>
  <c r="P35" i="6" a="1"/>
  <c r="P35" i="6" s="1"/>
  <c r="V35" i="6" a="1"/>
  <c r="V35" i="6" s="1"/>
  <c r="AB35" i="6" a="1"/>
  <c r="AB35" i="6" s="1"/>
  <c r="F36" i="6" a="1"/>
  <c r="F36" i="6" s="1"/>
  <c r="M36" i="6" a="1"/>
  <c r="M36" i="6" s="1"/>
  <c r="AL34" i="6" a="1"/>
  <c r="AL34" i="6" s="1"/>
  <c r="AG35" i="6" a="1"/>
  <c r="AG35" i="6" s="1"/>
  <c r="AH35" i="6" a="1"/>
  <c r="AH35" i="6" s="1"/>
  <c r="AJ35" i="6" a="1"/>
  <c r="AJ35" i="6" s="1"/>
  <c r="AK35" i="6" a="1"/>
  <c r="AK35" i="6" s="1"/>
  <c r="AL35" i="6" a="1"/>
  <c r="AL35" i="6" s="1"/>
  <c r="AG36" i="6" a="1"/>
  <c r="AG36" i="6" s="1"/>
  <c r="AH36" i="6" a="1"/>
  <c r="AH36" i="6" s="1"/>
  <c r="AK36" i="6" a="1"/>
  <c r="AK36" i="6" s="1"/>
  <c r="AI37" i="6" a="1"/>
  <c r="AI37" i="6" s="1"/>
  <c r="AJ38" i="6" a="1"/>
  <c r="AJ38" i="6" s="1"/>
  <c r="AF36" i="6" a="1"/>
  <c r="AF36" i="6" s="1"/>
  <c r="E38" i="6" a="1"/>
  <c r="E38" i="6" s="1"/>
  <c r="AE33" i="6" a="1"/>
  <c r="AE33" i="6" s="1"/>
  <c r="I34" i="6" a="1"/>
  <c r="I34" i="6" s="1"/>
  <c r="AC36" i="6" a="1"/>
  <c r="AC36" i="6" s="1"/>
  <c r="AG16" i="6" a="1"/>
  <c r="AG16" i="6" s="1"/>
  <c r="AG28" i="6" a="1"/>
  <c r="AG28" i="6" s="1"/>
  <c r="AJ27" i="6" a="1"/>
  <c r="AJ27" i="6" s="1"/>
  <c r="AJ28" i="6" a="1"/>
  <c r="AJ28" i="6" s="1"/>
  <c r="F38" i="6" a="1"/>
  <c r="F38" i="6" s="1"/>
  <c r="G38" i="6" a="1"/>
  <c r="G38" i="6" s="1"/>
  <c r="H38" i="6" a="1"/>
  <c r="H38" i="6" s="1"/>
  <c r="I38" i="6" a="1"/>
  <c r="I38" i="6" s="1"/>
  <c r="J38" i="6" a="1"/>
  <c r="J38" i="6" s="1"/>
  <c r="K38" i="6" a="1"/>
  <c r="K38" i="6" s="1"/>
  <c r="L38" i="6" a="1"/>
  <c r="L38" i="6" s="1"/>
  <c r="M38" i="6" a="1"/>
  <c r="M38" i="6" s="1"/>
  <c r="N38" i="6" a="1"/>
  <c r="N38" i="6" s="1"/>
  <c r="O38" i="6" a="1"/>
  <c r="O38" i="6" s="1"/>
  <c r="P38" i="6" a="1"/>
  <c r="P38" i="6" s="1"/>
  <c r="Q38" i="6" a="1"/>
  <c r="Q38" i="6" s="1"/>
  <c r="R38" i="6" a="1"/>
  <c r="R38" i="6" s="1"/>
  <c r="S38" i="6" a="1"/>
  <c r="S38" i="6" s="1"/>
  <c r="T38" i="6" a="1"/>
  <c r="T38" i="6" s="1"/>
  <c r="U38" i="6" a="1"/>
  <c r="U38" i="6" s="1"/>
  <c r="V38" i="6" a="1"/>
  <c r="V38" i="6" s="1"/>
  <c r="W38" i="6" a="1"/>
  <c r="W38" i="6" s="1"/>
  <c r="X38" i="6" a="1"/>
  <c r="X38" i="6" s="1"/>
  <c r="Y38" i="6" a="1"/>
  <c r="Y38" i="6" s="1"/>
  <c r="AC38" i="6" a="1"/>
  <c r="AC38" i="6" s="1"/>
  <c r="C33" i="6" a="1"/>
  <c r="C33" i="6" s="1"/>
  <c r="I33" i="6" a="1"/>
  <c r="I33" i="6" s="1"/>
  <c r="N33" i="6" a="1"/>
  <c r="N33" i="6" s="1"/>
  <c r="R33" i="6" a="1"/>
  <c r="R33" i="6" s="1"/>
  <c r="X33" i="6" a="1"/>
  <c r="X33" i="6" s="1"/>
  <c r="K35" i="6" a="1"/>
  <c r="K35" i="6" s="1"/>
  <c r="Q35" i="6" a="1"/>
  <c r="Q35" i="6" s="1"/>
  <c r="T35" i="6" a="1"/>
  <c r="T35" i="6" s="1"/>
  <c r="AA35" i="6" a="1"/>
  <c r="AA35" i="6" s="1"/>
  <c r="D36" i="6" a="1"/>
  <c r="D36" i="6" s="1"/>
  <c r="I36" i="6" a="1"/>
  <c r="I36" i="6" s="1"/>
  <c r="AA33" i="6" a="1"/>
  <c r="AA33" i="6" s="1"/>
  <c r="E34" i="6" a="1"/>
  <c r="E34" i="6" s="1"/>
  <c r="Z36" i="6" a="1"/>
  <c r="Z36" i="6" s="1"/>
  <c r="D37" i="6" a="1"/>
  <c r="D37" i="6" s="1"/>
  <c r="AL18" i="6" a="1"/>
  <c r="AL18" i="6" s="1"/>
  <c r="AH17" i="6" a="1"/>
  <c r="AH17" i="6" s="1"/>
  <c r="AL31" i="6" a="1"/>
  <c r="AL31" i="6" s="1"/>
  <c r="AI33" i="6" a="1"/>
  <c r="AI33" i="6" s="1"/>
  <c r="M34" i="6" a="1"/>
  <c r="M34" i="6" s="1"/>
  <c r="N34" i="6" a="1"/>
  <c r="N34" i="6" s="1"/>
  <c r="O34" i="6" a="1"/>
  <c r="O34" i="6" s="1"/>
  <c r="P34" i="6" a="1"/>
  <c r="P34" i="6" s="1"/>
  <c r="Q34" i="6" a="1"/>
  <c r="Q34" i="6" s="1"/>
  <c r="R34" i="6" a="1"/>
  <c r="R34" i="6" s="1"/>
  <c r="S34" i="6" a="1"/>
  <c r="S34" i="6" s="1"/>
  <c r="T34" i="6" a="1"/>
  <c r="T34" i="6" s="1"/>
  <c r="U34" i="6" a="1"/>
  <c r="U34" i="6" s="1"/>
  <c r="V34" i="6" a="1"/>
  <c r="V34" i="6" s="1"/>
  <c r="W34" i="6" a="1"/>
  <c r="W34" i="6" s="1"/>
  <c r="X34" i="6" a="1"/>
  <c r="X34" i="6" s="1"/>
  <c r="Y34" i="6" a="1"/>
  <c r="Y34" i="6" s="1"/>
  <c r="Z34" i="6" a="1"/>
  <c r="Z34" i="6" s="1"/>
  <c r="AA34" i="6" a="1"/>
  <c r="AA34" i="6" s="1"/>
  <c r="AB34" i="6" a="1"/>
  <c r="AB34" i="6" s="1"/>
  <c r="AC34" i="6" a="1"/>
  <c r="AC34" i="6" s="1"/>
  <c r="AD34" i="6" a="1"/>
  <c r="AD34" i="6" s="1"/>
  <c r="AE34" i="6" a="1"/>
  <c r="AE34" i="6" s="1"/>
  <c r="C35" i="6" a="1"/>
  <c r="C35" i="6" s="1"/>
  <c r="D35" i="6" a="1"/>
  <c r="D35" i="6" s="1"/>
  <c r="E35" i="6" a="1"/>
  <c r="E35" i="6" s="1"/>
  <c r="F35" i="6" a="1"/>
  <c r="F35" i="6" s="1"/>
  <c r="G35" i="6" a="1"/>
  <c r="G35" i="6" s="1"/>
  <c r="M35" i="6" a="1"/>
  <c r="M35" i="6" s="1"/>
  <c r="U35" i="6" a="1"/>
  <c r="U35" i="6" s="1"/>
  <c r="AC35" i="6" a="1"/>
  <c r="AC35" i="6" s="1"/>
  <c r="G36" i="6" a="1"/>
  <c r="G36" i="6" s="1"/>
  <c r="O36" i="6" a="1"/>
  <c r="O36" i="6" s="1"/>
  <c r="S36" i="6" a="1"/>
  <c r="S36" i="6" s="1"/>
  <c r="T36" i="6" a="1"/>
  <c r="T36" i="6" s="1"/>
  <c r="U36" i="6" a="1"/>
  <c r="U36" i="6" s="1"/>
  <c r="V36" i="6" a="1"/>
  <c r="V36" i="6" s="1"/>
  <c r="W36" i="6" a="1"/>
  <c r="W36" i="6" s="1"/>
  <c r="X36" i="6" a="1"/>
  <c r="X36" i="6" s="1"/>
  <c r="Y36" i="6" a="1"/>
  <c r="Y36" i="6" s="1"/>
  <c r="AE36" i="6" a="1"/>
  <c r="AE36" i="6" s="1"/>
  <c r="AJ17" i="6" a="1"/>
  <c r="AJ17" i="6" s="1"/>
  <c r="AL15" i="6" a="1"/>
  <c r="AL15" i="6" s="1"/>
  <c r="AI28" i="6" a="1"/>
  <c r="AI28" i="6" s="1"/>
  <c r="S33" i="6" a="1"/>
  <c r="S33" i="6" s="1"/>
  <c r="H37" i="6" a="1"/>
  <c r="H37" i="6" s="1"/>
  <c r="I37" i="6" a="1"/>
  <c r="I37" i="6" s="1"/>
  <c r="J37" i="6" a="1"/>
  <c r="J37" i="6" s="1"/>
  <c r="K37" i="6" a="1"/>
  <c r="K37" i="6" s="1"/>
  <c r="L37" i="6" a="1"/>
  <c r="L37" i="6" s="1"/>
  <c r="M37" i="6" a="1"/>
  <c r="M37" i="6" s="1"/>
  <c r="N37" i="6" a="1"/>
  <c r="N37" i="6" s="1"/>
  <c r="O37" i="6" a="1"/>
  <c r="O37" i="6" s="1"/>
  <c r="P37" i="6" a="1"/>
  <c r="P37" i="6" s="1"/>
  <c r="Q37" i="6" a="1"/>
  <c r="Q37" i="6" s="1"/>
  <c r="R37" i="6" a="1"/>
  <c r="R37" i="6" s="1"/>
  <c r="S37" i="6" a="1"/>
  <c r="S37" i="6" s="1"/>
  <c r="T37" i="6" a="1"/>
  <c r="T37" i="6" s="1"/>
  <c r="U37" i="6" a="1"/>
  <c r="U37" i="6" s="1"/>
  <c r="V37" i="6" a="1"/>
  <c r="V37" i="6" s="1"/>
  <c r="W37" i="6" a="1"/>
  <c r="W37" i="6" s="1"/>
  <c r="X37" i="6" a="1"/>
  <c r="X37" i="6" s="1"/>
  <c r="Y37" i="6" a="1"/>
  <c r="Y37" i="6" s="1"/>
  <c r="Z37" i="6" a="1"/>
  <c r="Z37" i="6" s="1"/>
  <c r="AA37" i="6" a="1"/>
  <c r="AA37" i="6" s="1"/>
  <c r="AB37" i="6" a="1"/>
  <c r="AB37" i="6" s="1"/>
  <c r="AC37" i="6" a="1"/>
  <c r="AC37" i="6" s="1"/>
  <c r="AD37" i="6" a="1"/>
  <c r="AD37" i="6" s="1"/>
  <c r="AE37" i="6" a="1"/>
  <c r="AE37" i="6" s="1"/>
  <c r="AH3" i="6" a="1"/>
  <c r="AH3" i="6" s="1"/>
  <c r="AL3" i="6" a="1"/>
  <c r="AL3" i="6" s="1"/>
  <c r="AJ4" i="6" a="1"/>
  <c r="AJ4" i="6" s="1"/>
  <c r="AH5" i="6" a="1"/>
  <c r="AH5" i="6" s="1"/>
  <c r="AL5" i="6" a="1"/>
  <c r="AL5" i="6" s="1"/>
  <c r="AJ6" i="6" a="1"/>
  <c r="AJ6" i="6" s="1"/>
  <c r="AH9" i="6" a="1"/>
  <c r="AH9" i="6" s="1"/>
  <c r="AG10" i="6" a="1"/>
  <c r="AG10" i="6" s="1"/>
  <c r="AG11" i="6" a="1"/>
  <c r="AG11" i="6" s="1"/>
  <c r="AL11" i="6" a="1"/>
  <c r="AL11" i="6" s="1"/>
  <c r="AK12" i="6" a="1"/>
  <c r="AK12" i="6" s="1"/>
  <c r="AJ13" i="6" a="1"/>
  <c r="AJ13" i="6" s="1"/>
  <c r="AI14" i="6" a="1"/>
  <c r="AI14" i="6" s="1"/>
  <c r="AI15" i="6" a="1"/>
  <c r="AI15" i="6" s="1"/>
  <c r="AH20" i="6" a="1"/>
  <c r="AH20" i="6" s="1"/>
  <c r="AJ18" i="6" a="1"/>
  <c r="AJ18" i="6" s="1"/>
  <c r="AG31" i="6" a="1"/>
  <c r="AG31" i="6" s="1"/>
  <c r="AI31" i="6" a="1"/>
  <c r="AI31" i="6" s="1"/>
  <c r="AL28" i="6" a="1"/>
  <c r="AL28" i="6" s="1"/>
  <c r="AK29" i="6" a="1"/>
  <c r="AK29" i="6" s="1"/>
  <c r="AJ30" i="6" a="1"/>
  <c r="AJ30" i="6" s="1"/>
  <c r="AJ31" i="6" a="1"/>
  <c r="AJ31" i="6" s="1"/>
  <c r="AJ33" i="6" a="1"/>
  <c r="AJ33" i="6" s="1"/>
  <c r="AK34" i="6" a="1"/>
  <c r="AK34" i="6" s="1"/>
  <c r="AE38" i="6" a="1"/>
  <c r="AE38" i="6" s="1"/>
  <c r="H33" i="6" a="1"/>
  <c r="H33" i="6" s="1"/>
  <c r="O33" i="6" a="1"/>
  <c r="O33" i="6" s="1"/>
  <c r="V33" i="6" a="1"/>
  <c r="V33" i="6" s="1"/>
  <c r="I35" i="6" a="1"/>
  <c r="I35" i="6" s="1"/>
  <c r="R35" i="6" a="1"/>
  <c r="R35" i="6" s="1"/>
  <c r="Y35" i="6" a="1"/>
  <c r="Y35" i="6" s="1"/>
  <c r="C36" i="6" a="1"/>
  <c r="C36" i="6" s="1"/>
  <c r="K36" i="6" a="1"/>
  <c r="K36" i="6" s="1"/>
  <c r="AK3" i="6" a="1"/>
  <c r="AK3" i="6" s="1"/>
  <c r="AI4" i="6" a="1"/>
  <c r="AI4" i="6" s="1"/>
  <c r="AG5" i="6" a="1"/>
  <c r="AG5" i="6" s="1"/>
  <c r="AK5" i="6" a="1"/>
  <c r="AK5" i="6" s="1"/>
  <c r="AI6" i="6" a="1"/>
  <c r="AI6" i="6" s="1"/>
  <c r="AG7" i="6" a="1"/>
  <c r="AG7" i="6" s="1"/>
  <c r="AL9" i="6" a="1"/>
  <c r="AL9" i="6" s="1"/>
  <c r="AK10" i="6" a="1"/>
  <c r="AK10" i="6" s="1"/>
  <c r="AJ11" i="6" a="1"/>
  <c r="AJ11" i="6" s="1"/>
  <c r="AI12" i="6" a="1"/>
  <c r="AI12" i="6" s="1"/>
  <c r="AI13" i="6" a="1"/>
  <c r="AI13" i="6" s="1"/>
  <c r="AH14" i="6" a="1"/>
  <c r="AH14" i="6" s="1"/>
  <c r="AK25" i="6" a="1"/>
  <c r="AK25" i="6" s="1"/>
  <c r="AL33" i="6" a="1"/>
  <c r="AL33" i="6" s="1"/>
  <c r="AI34" i="6" a="1"/>
  <c r="AI34" i="6" s="1"/>
  <c r="Y33" i="6" a="1"/>
  <c r="Y33" i="6" s="1"/>
  <c r="N35" i="6" a="1"/>
  <c r="N35" i="6" s="1"/>
  <c r="X35" i="6" a="1"/>
  <c r="X35" i="6" s="1"/>
  <c r="AD35" i="6" a="1"/>
  <c r="AD35" i="6" s="1"/>
  <c r="H36" i="6" a="1"/>
  <c r="H36" i="6" s="1"/>
  <c r="Q36" i="6" a="1"/>
  <c r="Q36" i="6" s="1"/>
  <c r="AH32" i="6" a="1"/>
  <c r="AH32" i="6" s="1"/>
  <c r="AI32" i="6" a="1"/>
  <c r="AI32" i="6" s="1"/>
  <c r="AK32" i="6" a="1"/>
  <c r="AK32" i="6" s="1"/>
  <c r="AG3" i="6" a="1"/>
  <c r="AG3" i="6" s="1"/>
  <c r="AJ3" i="6" a="1"/>
  <c r="AJ3" i="6" s="1"/>
  <c r="AH4" i="6" a="1"/>
  <c r="AH4" i="6" s="1"/>
  <c r="AL4" i="6" a="1"/>
  <c r="AL4" i="6" s="1"/>
  <c r="AJ5" i="6" a="1"/>
  <c r="AJ5" i="6" s="1"/>
  <c r="AG6" i="6" a="1"/>
  <c r="AG6" i="6" s="1"/>
  <c r="AK6" i="6" a="1"/>
  <c r="AK6" i="6" s="1"/>
  <c r="AG9" i="6" a="1"/>
  <c r="AG9" i="6" s="1"/>
  <c r="AK9" i="6" a="1"/>
  <c r="AK9" i="6" s="1"/>
  <c r="AI10" i="6" a="1"/>
  <c r="AI10" i="6" s="1"/>
  <c r="AH11" i="6" a="1"/>
  <c r="AH11" i="6" s="1"/>
  <c r="AG12" i="6" a="1"/>
  <c r="AG12" i="6" s="1"/>
  <c r="AL12" i="6" a="1"/>
  <c r="AL12" i="6" s="1"/>
  <c r="AK13" i="6" a="1"/>
  <c r="AK13" i="6" s="1"/>
  <c r="AJ14" i="6" a="1"/>
  <c r="AJ14" i="6" s="1"/>
  <c r="AG15" i="6" a="1"/>
  <c r="AG15" i="6" s="1"/>
  <c r="AK15" i="6" a="1"/>
  <c r="AK15" i="6" s="1"/>
  <c r="AH16" i="6" a="1"/>
  <c r="AH16" i="6" s="1"/>
  <c r="AK16" i="6" a="1"/>
  <c r="AK16" i="6" s="1"/>
  <c r="AI17" i="6" a="1"/>
  <c r="AI17" i="6" s="1"/>
  <c r="AG18" i="6" a="1"/>
  <c r="AG18" i="6" s="1"/>
  <c r="AK18" i="6" a="1"/>
  <c r="AK18" i="6" s="1"/>
  <c r="AI19" i="6" a="1"/>
  <c r="AI19" i="6" s="1"/>
  <c r="AL19" i="6" a="1"/>
  <c r="AL19" i="6" s="1"/>
  <c r="AI25" i="6" a="1"/>
  <c r="AI25" i="6" s="1"/>
  <c r="AG26" i="6" a="1"/>
  <c r="AG26" i="6" s="1"/>
  <c r="AL26" i="6" a="1"/>
  <c r="AL26" i="6" s="1"/>
  <c r="AK27" i="6" a="1"/>
  <c r="AK27" i="6" s="1"/>
  <c r="AI29" i="6" a="1"/>
  <c r="AI29" i="6" s="1"/>
  <c r="P33" i="6" a="1"/>
  <c r="P33" i="6" s="1"/>
  <c r="U33" i="6" a="1"/>
  <c r="U33" i="6" s="1"/>
  <c r="H35" i="6" a="1"/>
  <c r="H35" i="6" s="1"/>
  <c r="L35" i="6" a="1"/>
  <c r="L35" i="6" s="1"/>
  <c r="S35" i="6" a="1"/>
  <c r="S35" i="6" s="1"/>
  <c r="Z35" i="6" a="1"/>
  <c r="Z35" i="6" s="1"/>
  <c r="E36" i="6" a="1"/>
  <c r="E36" i="6" s="1"/>
  <c r="L36" i="6" a="1"/>
  <c r="L36" i="6" s="1"/>
  <c r="P36" i="6" a="1"/>
  <c r="P36" i="6" s="1"/>
  <c r="C34" i="6" a="1"/>
  <c r="C34" i="6" s="1"/>
  <c r="J34" i="6" a="1"/>
  <c r="J34" i="6" s="1"/>
  <c r="AD36" i="6" a="1"/>
  <c r="AD36" i="6" s="1"/>
  <c r="AH18" i="6" a="1"/>
  <c r="AH18" i="6" s="1"/>
  <c r="AJ16" i="6" a="1"/>
  <c r="AJ16" i="6" s="1"/>
  <c r="AH29" i="6" a="1"/>
  <c r="AH29" i="6" s="1"/>
  <c r="AL29" i="6" a="1"/>
  <c r="AL29" i="6" s="1"/>
  <c r="AI3" i="6" a="1"/>
  <c r="AI3" i="6" s="1"/>
  <c r="AH6" i="6" a="1"/>
  <c r="AH6" i="6" s="1"/>
  <c r="AH10" i="6" a="1"/>
  <c r="AH10" i="6" s="1"/>
  <c r="AH13" i="6" a="1"/>
  <c r="AH13" i="6" s="1"/>
  <c r="AI7" i="6" a="1"/>
  <c r="AI7" i="6" s="1"/>
  <c r="AL7" i="6" a="1"/>
  <c r="AL7" i="6" s="1"/>
  <c r="AJ8" i="6" a="1"/>
  <c r="AJ8" i="6" s="1"/>
  <c r="AJ10" i="6" a="1"/>
  <c r="AJ10" i="6" s="1"/>
  <c r="AG13" i="6" a="1"/>
  <c r="AG13" i="6" s="1"/>
  <c r="AI16" i="6" a="1"/>
  <c r="AI16" i="6" s="1"/>
  <c r="AG19" i="6" a="1"/>
  <c r="AG19" i="6" s="1"/>
  <c r="AJ26" i="6" a="1"/>
  <c r="AJ26" i="6" s="1"/>
  <c r="AG30" i="6" a="1"/>
  <c r="AG30" i="6" s="1"/>
  <c r="AG34" i="6" a="1"/>
  <c r="AG34" i="6" s="1"/>
  <c r="T33" i="6" a="1"/>
  <c r="T33" i="6" s="1"/>
  <c r="AE35" i="6" a="1"/>
  <c r="AE35" i="6" s="1"/>
  <c r="AI20" i="6" a="1"/>
  <c r="AI20" i="6" s="1"/>
  <c r="AG21" i="6" a="1"/>
  <c r="AG21" i="6" s="1"/>
  <c r="AK21" i="6" a="1"/>
  <c r="AK21" i="6" s="1"/>
  <c r="AH22" i="6" a="1"/>
  <c r="AH22" i="6" s="1"/>
  <c r="AL22" i="6" a="1"/>
  <c r="AL22" i="6" s="1"/>
  <c r="AJ23" i="6" a="1"/>
  <c r="AJ23" i="6" s="1"/>
  <c r="AG24" i="6" a="1"/>
  <c r="AG24" i="6" s="1"/>
  <c r="AK24" i="6" a="1"/>
  <c r="AK24" i="6" s="1"/>
  <c r="AH25" i="6" a="1"/>
  <c r="AH25" i="6" s="1"/>
  <c r="AL27" i="6" a="1"/>
  <c r="AL27" i="6" s="1"/>
  <c r="AH37" i="6" a="1"/>
  <c r="AH37" i="6" s="1"/>
  <c r="AG38" i="6" a="1"/>
  <c r="AG38" i="6" s="1"/>
  <c r="AF33" i="6" a="1"/>
  <c r="AF33" i="6" s="1"/>
  <c r="C38" i="6" a="1"/>
  <c r="C38" i="6" s="1"/>
  <c r="AC33" i="6" a="1"/>
  <c r="AC33" i="6" s="1"/>
  <c r="H34" i="6" a="1"/>
  <c r="H34" i="6" s="1"/>
  <c r="AB36" i="6" a="1"/>
  <c r="AB36" i="6" s="1"/>
  <c r="F37" i="6" a="1"/>
  <c r="F37" i="6" s="1"/>
  <c r="AH27" i="6" a="1"/>
  <c r="AH27" i="6" s="1"/>
  <c r="AG20" i="6" a="1"/>
  <c r="AG20" i="6" s="1"/>
  <c r="G33" i="6" a="1"/>
  <c r="G33" i="6" s="1"/>
  <c r="D33" i="6" a="1"/>
  <c r="D33" i="6" s="1"/>
  <c r="AL32" i="6" a="1"/>
  <c r="AL32" i="6" s="1"/>
  <c r="AI5" i="6" a="1"/>
  <c r="AI5" i="6" s="1"/>
  <c r="AI9" i="6" a="1"/>
  <c r="AI9" i="6" s="1"/>
  <c r="AJ12" i="6" a="1"/>
  <c r="AJ12" i="6" s="1"/>
  <c r="AH7" i="6" a="1"/>
  <c r="AH7" i="6" s="1"/>
  <c r="AK7" i="6" a="1"/>
  <c r="AK7" i="6" s="1"/>
  <c r="AI8" i="6" a="1"/>
  <c r="AI8" i="6" s="1"/>
  <c r="AL8" i="6" a="1"/>
  <c r="AL8" i="6" s="1"/>
  <c r="AH12" i="6" a="1"/>
  <c r="AH12" i="6" s="1"/>
  <c r="AJ15" i="6" a="1"/>
  <c r="AJ15" i="6" s="1"/>
  <c r="AK17" i="6" a="1"/>
  <c r="AK17" i="6" s="1"/>
  <c r="AJ25" i="6" a="1"/>
  <c r="AJ25" i="6" s="1"/>
  <c r="AG29" i="6" a="1"/>
  <c r="AG29" i="6" s="1"/>
  <c r="AH33" i="6" a="1"/>
  <c r="AH33" i="6" s="1"/>
  <c r="L33" i="6" a="1"/>
  <c r="L33" i="6" s="1"/>
  <c r="W35" i="6" a="1"/>
  <c r="W35" i="6" s="1"/>
  <c r="R36" i="6" a="1"/>
  <c r="R36" i="6" s="1"/>
  <c r="AL20" i="6" a="1"/>
  <c r="AL20" i="6" s="1"/>
  <c r="AJ21" i="6" a="1"/>
  <c r="AJ21" i="6" s="1"/>
  <c r="AG22" i="6" a="1"/>
  <c r="AG22" i="6" s="1"/>
  <c r="AK22" i="6" a="1"/>
  <c r="AK22" i="6" s="1"/>
  <c r="AI23" i="6" a="1"/>
  <c r="AI23" i="6" s="1"/>
  <c r="AL23" i="6" a="1"/>
  <c r="AL23" i="6" s="1"/>
  <c r="AJ24" i="6" a="1"/>
  <c r="AJ24" i="6" s="1"/>
  <c r="AG25" i="6" a="1"/>
  <c r="AG25" i="6" s="1"/>
  <c r="AG27" i="6" a="1"/>
  <c r="AG27" i="6" s="1"/>
  <c r="AG37" i="6" a="1"/>
  <c r="AG37" i="6" s="1"/>
  <c r="AL37" i="6" a="1"/>
  <c r="AL37" i="6" s="1"/>
  <c r="AK38" i="6" a="1"/>
  <c r="AK38" i="6" s="1"/>
  <c r="AF38" i="6" a="1"/>
  <c r="AF38" i="6" s="1"/>
  <c r="AB33" i="6" a="1"/>
  <c r="AB33" i="6" s="1"/>
  <c r="G34" i="6" a="1"/>
  <c r="G34" i="6" s="1"/>
  <c r="AA36" i="6" a="1"/>
  <c r="AA36" i="6" s="1"/>
  <c r="E37" i="6" a="1"/>
  <c r="E37" i="6" s="1"/>
  <c r="AH26" i="6" a="1"/>
  <c r="AH26" i="6" s="1"/>
  <c r="AH19" i="6" a="1"/>
  <c r="AH19" i="6" s="1"/>
  <c r="AB38" i="6" a="1"/>
  <c r="AB38" i="6" s="1"/>
  <c r="Z38" i="6" a="1"/>
  <c r="Z38" i="6" s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O2" i="6" s="1"/>
  <c r="W2" i="6" a="1"/>
  <c r="W2" i="6" s="1"/>
  <c r="S2" i="6" a="1"/>
  <c r="S2" i="6" s="1"/>
  <c r="J2" i="6" a="1"/>
  <c r="J2" i="6" s="1"/>
  <c r="B1" i="6"/>
  <c r="B42" i="6" s="1" a="1"/>
  <c r="B42" i="6" s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L2" i="6" s="1"/>
  <c r="U2" i="6" a="1"/>
  <c r="U2" i="6" s="1"/>
  <c r="AA2" i="6" a="1"/>
  <c r="AA2" i="6" s="1"/>
  <c r="N2" i="6" a="1"/>
  <c r="N2" i="6" s="1"/>
  <c r="V2" i="6" a="1"/>
  <c r="V2" i="6" s="1"/>
  <c r="H2" i="6" a="1"/>
  <c r="H2" i="6" s="1"/>
  <c r="Q2" i="6" a="1"/>
  <c r="Q2" i="6" s="1"/>
  <c r="Z2" i="6" a="1"/>
  <c r="Z2" i="6" s="1"/>
  <c r="M2" i="6" a="1"/>
  <c r="M2" i="6" s="1"/>
  <c r="X2" i="6" a="1"/>
  <c r="X2" i="6" s="1"/>
  <c r="R2" i="6" a="1"/>
  <c r="R2" i="6" s="1"/>
  <c r="G2" i="6" a="1"/>
  <c r="G2" i="6" s="1"/>
  <c r="P2" i="6" a="1"/>
  <c r="P2" i="6" s="1"/>
  <c r="Y2" i="6" a="1"/>
  <c r="Y2" i="6" s="1"/>
  <c r="D2" i="6" a="1"/>
  <c r="D2" i="6" s="1"/>
  <c r="E2" i="6" a="1"/>
  <c r="E2" i="6" s="1"/>
  <c r="F2" i="6" a="1"/>
  <c r="F2" i="6" s="1"/>
  <c r="I2" i="6" a="1"/>
  <c r="I2" i="6" s="1"/>
  <c r="AB2" i="6" a="1"/>
  <c r="AB2" i="6" s="1"/>
  <c r="AC2" i="6" a="1"/>
  <c r="AC2" i="6" s="1"/>
  <c r="AD2" i="6" a="1"/>
  <c r="AD2" i="6" s="1"/>
  <c r="AE2" i="6" a="1"/>
  <c r="AE2" i="6" s="1"/>
  <c r="AF2" i="6" a="1"/>
  <c r="AF2" i="6" s="1"/>
  <c r="C2" i="6" a="1"/>
  <c r="C2" i="6" s="1"/>
  <c r="K2" i="6" a="1"/>
  <c r="K2" i="6" s="1"/>
  <c r="T2" i="6" a="1"/>
  <c r="T2" i="6" s="1"/>
  <c r="N7" i="6" a="1"/>
  <c r="N7" i="6" s="1"/>
  <c r="E32" i="6" a="1"/>
  <c r="E32" i="6" s="1"/>
  <c r="I32" i="6" a="1"/>
  <c r="I32" i="6" s="1"/>
  <c r="P32" i="6" a="1"/>
  <c r="P32" i="6" s="1"/>
  <c r="U32" i="6" a="1"/>
  <c r="U32" i="6" s="1"/>
  <c r="Y32" i="6" a="1"/>
  <c r="Y32" i="6" s="1"/>
  <c r="AD32" i="6" a="1"/>
  <c r="AD32" i="6" s="1"/>
  <c r="F3" i="6" a="1"/>
  <c r="F3" i="6" s="1"/>
  <c r="M3" i="6" a="1"/>
  <c r="M3" i="6" s="1"/>
  <c r="Q3" i="6" a="1"/>
  <c r="Q3" i="6" s="1"/>
  <c r="V3" i="6" a="1"/>
  <c r="V3" i="6" s="1"/>
  <c r="Z3" i="6" a="1"/>
  <c r="Z3" i="6" s="1"/>
  <c r="AF3" i="6" a="1"/>
  <c r="AF3" i="6" s="1"/>
  <c r="G4" i="6" a="1"/>
  <c r="G4" i="6" s="1"/>
  <c r="K4" i="6" a="1"/>
  <c r="K4" i="6" s="1"/>
  <c r="N4" i="6" a="1"/>
  <c r="N4" i="6" s="1"/>
  <c r="S4" i="6" a="1"/>
  <c r="S4" i="6" s="1"/>
  <c r="W4" i="6" a="1"/>
  <c r="W4" i="6" s="1"/>
  <c r="AA4" i="6" a="1"/>
  <c r="AA4" i="6" s="1"/>
  <c r="AD4" i="6" a="1"/>
  <c r="AD4" i="6" s="1"/>
  <c r="G5" i="6" a="1"/>
  <c r="G5" i="6" s="1"/>
  <c r="K5" i="6" a="1"/>
  <c r="K5" i="6" s="1"/>
  <c r="N5" i="6" a="1"/>
  <c r="N5" i="6" s="1"/>
  <c r="R5" i="6" a="1"/>
  <c r="R5" i="6" s="1"/>
  <c r="P7" i="6" a="1"/>
  <c r="P7" i="6" s="1"/>
  <c r="X7" i="6" a="1"/>
  <c r="X7" i="6" s="1"/>
  <c r="AC7" i="6" a="1"/>
  <c r="AC7" i="6" s="1"/>
  <c r="D8" i="6" a="1"/>
  <c r="D8" i="6" s="1"/>
  <c r="K8" i="6" a="1"/>
  <c r="K8" i="6" s="1"/>
  <c r="S8" i="6" a="1"/>
  <c r="S8" i="6" s="1"/>
  <c r="X8" i="6" a="1"/>
  <c r="X8" i="6" s="1"/>
  <c r="AC8" i="6" a="1"/>
  <c r="AC8" i="6" s="1"/>
  <c r="E9" i="6" a="1"/>
  <c r="E9" i="6" s="1"/>
  <c r="M9" i="6" a="1"/>
  <c r="M9" i="6" s="1"/>
  <c r="G12" i="6" a="1"/>
  <c r="G12" i="6" s="1"/>
  <c r="M12" i="6" a="1"/>
  <c r="M12" i="6" s="1"/>
  <c r="U12" i="6" a="1"/>
  <c r="U12" i="6" s="1"/>
  <c r="AE12" i="6" a="1"/>
  <c r="AE12" i="6" s="1"/>
  <c r="T6" i="6" a="1"/>
  <c r="T6" i="6" s="1"/>
  <c r="W6" i="6" a="1"/>
  <c r="W6" i="6" s="1"/>
  <c r="AA6" i="6" a="1"/>
  <c r="AA6" i="6" s="1"/>
  <c r="AE6" i="6" a="1"/>
  <c r="AE6" i="6" s="1"/>
  <c r="D7" i="6" a="1"/>
  <c r="D7" i="6" s="1"/>
  <c r="H7" i="6" a="1"/>
  <c r="H7" i="6" s="1"/>
  <c r="M7" i="6" a="1"/>
  <c r="M7" i="6" s="1"/>
  <c r="T7" i="6" a="1"/>
  <c r="T7" i="6" s="1"/>
  <c r="AD7" i="6" a="1"/>
  <c r="AD7" i="6" s="1"/>
  <c r="Q8" i="6" a="1"/>
  <c r="Q8" i="6" s="1"/>
  <c r="AA8" i="6" a="1"/>
  <c r="AA8" i="6" s="1"/>
  <c r="AA10" i="6" a="1"/>
  <c r="AA10" i="6" s="1"/>
  <c r="D11" i="6" a="1"/>
  <c r="D11" i="6" s="1"/>
  <c r="H11" i="6" a="1"/>
  <c r="H11" i="6" s="1"/>
  <c r="N11" i="6" a="1"/>
  <c r="N11" i="6" s="1"/>
  <c r="Y13" i="6" a="1"/>
  <c r="Y13" i="6" s="1"/>
  <c r="AF13" i="6" a="1"/>
  <c r="AF13" i="6" s="1"/>
  <c r="H14" i="6" a="1"/>
  <c r="H14" i="6" s="1"/>
  <c r="O14" i="6" a="1"/>
  <c r="O14" i="6" s="1"/>
  <c r="E13" i="6" a="1"/>
  <c r="E13" i="6" s="1"/>
  <c r="H13" i="6" a="1"/>
  <c r="H13" i="6" s="1"/>
  <c r="L13" i="6" a="1"/>
  <c r="L13" i="6" s="1"/>
  <c r="Q16" i="6" a="1"/>
  <c r="Q16" i="6" s="1"/>
  <c r="U16" i="6" a="1"/>
  <c r="U16" i="6" s="1"/>
  <c r="Z16" i="6" a="1"/>
  <c r="Z16" i="6" s="1"/>
  <c r="AE16" i="6" a="1"/>
  <c r="AE16" i="6" s="1"/>
  <c r="F17" i="6" a="1"/>
  <c r="F17" i="6" s="1"/>
  <c r="J17" i="6" a="1"/>
  <c r="J17" i="6" s="1"/>
  <c r="K20" i="6" a="1"/>
  <c r="K20" i="6" s="1"/>
  <c r="Q20" i="6" a="1"/>
  <c r="Q20" i="6" s="1"/>
  <c r="X20" i="6" a="1"/>
  <c r="X20" i="6" s="1"/>
  <c r="AD20" i="6" a="1"/>
  <c r="AD20" i="6" s="1"/>
  <c r="E21" i="6" a="1"/>
  <c r="E21" i="6" s="1"/>
  <c r="U24" i="6" a="1"/>
  <c r="U24" i="6" s="1"/>
  <c r="AC24" i="6" a="1"/>
  <c r="AC24" i="6" s="1"/>
  <c r="I28" i="6" a="1"/>
  <c r="I28" i="6" s="1"/>
  <c r="P28" i="6" a="1"/>
  <c r="P28" i="6" s="1"/>
  <c r="W28" i="6" a="1"/>
  <c r="W28" i="6" s="1"/>
  <c r="AD28" i="6" a="1"/>
  <c r="AD28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 s="1"/>
  <c r="AF5" i="6" a="1"/>
  <c r="AF5" i="6" s="1"/>
  <c r="C6" i="6" a="1"/>
  <c r="C6" i="6" s="1"/>
  <c r="D6" i="6" a="1"/>
  <c r="D6" i="6" s="1"/>
  <c r="E6" i="6" a="1"/>
  <c r="E6" i="6" s="1"/>
  <c r="G6" i="6" a="1"/>
  <c r="G6" i="6" s="1"/>
  <c r="H6" i="6" a="1"/>
  <c r="H6" i="6" s="1"/>
  <c r="I6" i="6" a="1"/>
  <c r="I6" i="6" s="1"/>
  <c r="J6" i="6" a="1"/>
  <c r="J6" i="6" s="1"/>
  <c r="K6" i="6" a="1"/>
  <c r="K6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U6" i="6" a="1"/>
  <c r="U6" i="6" s="1"/>
  <c r="X6" i="6" a="1"/>
  <c r="X6" i="6" s="1"/>
  <c r="Z6" i="6" a="1"/>
  <c r="Z6" i="6" s="1"/>
  <c r="AC6" i="6" a="1"/>
  <c r="AC6" i="6" s="1"/>
  <c r="AF6" i="6" a="1"/>
  <c r="AF6" i="6" s="1"/>
  <c r="E7" i="6" a="1"/>
  <c r="E7" i="6" s="1"/>
  <c r="I7" i="6" a="1"/>
  <c r="I7" i="6" s="1"/>
  <c r="K7" i="6" a="1"/>
  <c r="K7" i="6" s="1"/>
  <c r="T14" i="6" a="1"/>
  <c r="T14" i="6" s="1"/>
  <c r="W7" i="6" a="1"/>
  <c r="W7" i="6" s="1"/>
  <c r="C8" i="6" a="1"/>
  <c r="C8" i="6" s="1"/>
  <c r="J8" i="6" a="1"/>
  <c r="J8" i="6" s="1"/>
  <c r="T8" i="6" a="1"/>
  <c r="T8" i="6" s="1"/>
  <c r="Y10" i="6" a="1"/>
  <c r="Y10" i="6" s="1"/>
  <c r="AC10" i="6" a="1"/>
  <c r="AC10" i="6" s="1"/>
  <c r="AF10" i="6" a="1"/>
  <c r="AF10" i="6" s="1"/>
  <c r="F11" i="6" a="1"/>
  <c r="F11" i="6" s="1"/>
  <c r="J11" i="6" a="1"/>
  <c r="J11" i="6" s="1"/>
  <c r="P11" i="6" a="1"/>
  <c r="P11" i="6" s="1"/>
  <c r="AA13" i="6" a="1"/>
  <c r="AA13" i="6" s="1"/>
  <c r="AE13" i="6" a="1"/>
  <c r="AE13" i="6" s="1"/>
  <c r="E14" i="6" a="1"/>
  <c r="E14" i="6" s="1"/>
  <c r="J14" i="6" a="1"/>
  <c r="J14" i="6" s="1"/>
  <c r="Q14" i="6" a="1"/>
  <c r="Q14" i="6" s="1"/>
  <c r="V14" i="6" a="1"/>
  <c r="V14" i="6" s="1"/>
  <c r="AB14" i="6" a="1"/>
  <c r="AB14" i="6" s="1"/>
  <c r="C15" i="6" a="1"/>
  <c r="C15" i="6" s="1"/>
  <c r="H15" i="6" a="1"/>
  <c r="H15" i="6" s="1"/>
  <c r="M15" i="6" a="1"/>
  <c r="M15" i="6" s="1"/>
  <c r="T15" i="6" a="1"/>
  <c r="T15" i="6" s="1"/>
  <c r="Z15" i="6" a="1"/>
  <c r="Z15" i="6" s="1"/>
  <c r="AD15" i="6" a="1"/>
  <c r="AD15" i="6" s="1"/>
  <c r="E16" i="6" a="1"/>
  <c r="E16" i="6" s="1"/>
  <c r="K16" i="6" a="1"/>
  <c r="K16" i="6" s="1"/>
  <c r="X16" i="6" a="1"/>
  <c r="X16" i="6" s="1"/>
  <c r="U20" i="6" a="1"/>
  <c r="U20" i="6" s="1"/>
  <c r="R24" i="6" a="1"/>
  <c r="R24" i="6" s="1"/>
  <c r="K17" i="6" a="1"/>
  <c r="K17" i="6" s="1"/>
  <c r="S17" i="6" a="1"/>
  <c r="S17" i="6" s="1"/>
  <c r="Z17" i="6" a="1"/>
  <c r="Z17" i="6" s="1"/>
  <c r="AD17" i="6" a="1"/>
  <c r="AD17" i="6" s="1"/>
  <c r="J21" i="6" a="1"/>
  <c r="J21" i="6" s="1"/>
  <c r="R21" i="6" a="1"/>
  <c r="R21" i="6" s="1"/>
  <c r="K24" i="6" a="1"/>
  <c r="K24" i="6" s="1"/>
  <c r="N27" i="6" a="1"/>
  <c r="N27" i="6" s="1"/>
  <c r="U27" i="6" a="1"/>
  <c r="U27" i="6" s="1"/>
  <c r="K31" i="6" a="1"/>
  <c r="K31" i="6" s="1"/>
  <c r="AD8" i="6" a="1"/>
  <c r="AD8" i="6" s="1"/>
  <c r="C9" i="6" a="1"/>
  <c r="C9" i="6" s="1"/>
  <c r="F9" i="6" a="1"/>
  <c r="F9" i="6" s="1"/>
  <c r="K9" i="6" a="1"/>
  <c r="K9" i="6" s="1"/>
  <c r="O9" i="6" a="1"/>
  <c r="O9" i="6" s="1"/>
  <c r="F12" i="6" a="1"/>
  <c r="F12" i="6" s="1"/>
  <c r="I12" i="6" a="1"/>
  <c r="I12" i="6" s="1"/>
  <c r="O12" i="6" a="1"/>
  <c r="O12" i="6" s="1"/>
  <c r="T12" i="6" a="1"/>
  <c r="T12" i="6" s="1"/>
  <c r="X12" i="6" a="1"/>
  <c r="X12" i="6" s="1"/>
  <c r="AC12" i="6" a="1"/>
  <c r="AC12" i="6" s="1"/>
  <c r="C13" i="6" a="1"/>
  <c r="C13" i="6" s="1"/>
  <c r="G13" i="6" a="1"/>
  <c r="G13" i="6" s="1"/>
  <c r="J13" i="6" a="1"/>
  <c r="J13" i="6" s="1"/>
  <c r="R16" i="6" a="1"/>
  <c r="R16" i="6" s="1"/>
  <c r="W16" i="6" a="1"/>
  <c r="W16" i="6" s="1"/>
  <c r="AC16" i="6" a="1"/>
  <c r="AC16" i="6" s="1"/>
  <c r="E17" i="6" a="1"/>
  <c r="E17" i="6" s="1"/>
  <c r="H20" i="6" a="1"/>
  <c r="H20" i="6" s="1"/>
  <c r="N20" i="6" a="1"/>
  <c r="N20" i="6" s="1"/>
  <c r="V20" i="6" a="1"/>
  <c r="V20" i="6" s="1"/>
  <c r="AB20" i="6" a="1"/>
  <c r="AB20" i="6" s="1"/>
  <c r="F21" i="6" a="1"/>
  <c r="F21" i="6" s="1"/>
  <c r="W24" i="6" a="1"/>
  <c r="W24" i="6" s="1"/>
  <c r="AE24" i="6" a="1"/>
  <c r="AE24" i="6" s="1"/>
  <c r="N28" i="6" a="1"/>
  <c r="N28" i="6" s="1"/>
  <c r="X28" i="6" a="1"/>
  <c r="X28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C10" i="6" a="1"/>
  <c r="C10" i="6" s="1"/>
  <c r="D10" i="6" a="1"/>
  <c r="D10" i="6" s="1"/>
  <c r="E10" i="6" a="1"/>
  <c r="E10" i="6" s="1"/>
  <c r="F10" i="6" a="1"/>
  <c r="F10" i="6" s="1"/>
  <c r="G10" i="6" a="1"/>
  <c r="G10" i="6" s="1"/>
  <c r="H10" i="6" a="1"/>
  <c r="H10" i="6" s="1"/>
  <c r="I10" i="6" a="1"/>
  <c r="I10" i="6" s="1"/>
  <c r="K10" i="6" a="1"/>
  <c r="K10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 s="1"/>
  <c r="AB10" i="6" a="1"/>
  <c r="AB10" i="6" s="1"/>
  <c r="AE10" i="6" a="1"/>
  <c r="AE10" i="6" s="1"/>
  <c r="E11" i="6" a="1"/>
  <c r="E11" i="6" s="1"/>
  <c r="I11" i="6" a="1"/>
  <c r="I11" i="6" s="1"/>
  <c r="M11" i="6" a="1"/>
  <c r="M11" i="6" s="1"/>
  <c r="X13" i="6" a="1"/>
  <c r="X13" i="6" s="1"/>
  <c r="AB13" i="6" a="1"/>
  <c r="AB13" i="6" s="1"/>
  <c r="C14" i="6" a="1"/>
  <c r="C14" i="6" s="1"/>
  <c r="G14" i="6" a="1"/>
  <c r="G14" i="6" s="1"/>
  <c r="M14" i="6" a="1"/>
  <c r="M14" i="6" s="1"/>
  <c r="R27" i="6" a="1"/>
  <c r="R27" i="6" s="1"/>
  <c r="X14" i="6" a="1"/>
  <c r="X14" i="6" s="1"/>
  <c r="AC14" i="6" a="1"/>
  <c r="AC14" i="6" s="1"/>
  <c r="E15" i="6" a="1"/>
  <c r="E15" i="6" s="1"/>
  <c r="K15" i="6" a="1"/>
  <c r="K15" i="6" s="1"/>
  <c r="Q15" i="6" a="1"/>
  <c r="Q15" i="6" s="1"/>
  <c r="U15" i="6" a="1"/>
  <c r="U15" i="6" s="1"/>
  <c r="AA15" i="6" a="1"/>
  <c r="AA15" i="6" s="1"/>
  <c r="C16" i="6" a="1"/>
  <c r="C16" i="6" s="1"/>
  <c r="I16" i="6" a="1"/>
  <c r="I16" i="6" s="1"/>
  <c r="L16" i="6" a="1"/>
  <c r="L16" i="6" s="1"/>
  <c r="AB16" i="6" a="1"/>
  <c r="AB16" i="6" s="1"/>
  <c r="Z20" i="6" a="1"/>
  <c r="Z20" i="6" s="1"/>
  <c r="V28" i="6" a="1"/>
  <c r="V28" i="6" s="1"/>
  <c r="O17" i="6" a="1"/>
  <c r="O17" i="6" s="1"/>
  <c r="U17" i="6" a="1"/>
  <c r="U17" i="6" s="1"/>
  <c r="AB17" i="6" a="1"/>
  <c r="AB17" i="6" s="1"/>
  <c r="H21" i="6" a="1"/>
  <c r="H21" i="6" s="1"/>
  <c r="P21" i="6" a="1"/>
  <c r="P21" i="6" s="1"/>
  <c r="E24" i="6" a="1"/>
  <c r="E24" i="6" s="1"/>
  <c r="N24" i="6" a="1"/>
  <c r="N24" i="6" s="1"/>
  <c r="Q27" i="6" a="1"/>
  <c r="Q27" i="6" s="1"/>
  <c r="F31" i="6" a="1"/>
  <c r="F3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 s="1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C12" i="6" a="1"/>
  <c r="C12" i="6" s="1"/>
  <c r="D12" i="6" a="1"/>
  <c r="D12" i="6" s="1"/>
  <c r="E12" i="6" a="1"/>
  <c r="E12" i="6" s="1"/>
  <c r="H12" i="6" a="1"/>
  <c r="H12" i="6" s="1"/>
  <c r="K12" i="6" a="1"/>
  <c r="K12" i="6" s="1"/>
  <c r="P12" i="6" a="1"/>
  <c r="P12" i="6" s="1"/>
  <c r="S12" i="6" a="1"/>
  <c r="S12" i="6" s="1"/>
  <c r="V12" i="6" a="1"/>
  <c r="V12" i="6" s="1"/>
  <c r="Z12" i="6" a="1"/>
  <c r="Z12" i="6" s="1"/>
  <c r="AD12" i="6" a="1"/>
  <c r="AD12" i="6" s="1"/>
  <c r="D13" i="6" a="1"/>
  <c r="D13" i="6" s="1"/>
  <c r="K13" i="6" a="1"/>
  <c r="K13" i="6" s="1"/>
  <c r="T16" i="6" a="1"/>
  <c r="T16" i="6" s="1"/>
  <c r="Y16" i="6" a="1"/>
  <c r="Y16" i="6" s="1"/>
  <c r="AD16" i="6" a="1"/>
  <c r="AD16" i="6" s="1"/>
  <c r="D17" i="6" a="1"/>
  <c r="D17" i="6" s="1"/>
  <c r="I17" i="6" a="1"/>
  <c r="I17" i="6" s="1"/>
  <c r="J20" i="6" a="1"/>
  <c r="J20" i="6" s="1"/>
  <c r="P20" i="6" a="1"/>
  <c r="P20" i="6" s="1"/>
  <c r="W20" i="6" a="1"/>
  <c r="W20" i="6" s="1"/>
  <c r="AC20" i="6" a="1"/>
  <c r="AC20" i="6" s="1"/>
  <c r="D21" i="6" a="1"/>
  <c r="D21" i="6" s="1"/>
  <c r="T24" i="6" a="1"/>
  <c r="T24" i="6" s="1"/>
  <c r="AB24" i="6" a="1"/>
  <c r="AB24" i="6" s="1"/>
  <c r="G28" i="6" a="1"/>
  <c r="G28" i="6" s="1"/>
  <c r="O28" i="6" a="1"/>
  <c r="O28" i="6" s="1"/>
  <c r="S28" i="6" a="1"/>
  <c r="S28" i="6" s="1"/>
  <c r="Z28" i="6" a="1"/>
  <c r="Z28" i="6" s="1"/>
  <c r="O13" i="6" a="1"/>
  <c r="O13" i="6" s="1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 s="1"/>
  <c r="V13" i="6" a="1"/>
  <c r="V13" i="6" s="1"/>
  <c r="W13" i="6" a="1"/>
  <c r="W13" i="6" s="1"/>
  <c r="AC13" i="6" a="1"/>
  <c r="AC13" i="6" s="1"/>
  <c r="D14" i="6" a="1"/>
  <c r="D14" i="6" s="1"/>
  <c r="L14" i="6" a="1"/>
  <c r="L14" i="6" s="1"/>
  <c r="S14" i="6" a="1"/>
  <c r="S14" i="6" s="1"/>
  <c r="Y14" i="6" a="1"/>
  <c r="Y14" i="6" s="1"/>
  <c r="D15" i="6" a="1"/>
  <c r="D15" i="6" s="1"/>
  <c r="J15" i="6" a="1"/>
  <c r="J15" i="6" s="1"/>
  <c r="R15" i="6" a="1"/>
  <c r="R15" i="6" s="1"/>
  <c r="Y15" i="6" a="1"/>
  <c r="Y15" i="6" s="1"/>
  <c r="AF15" i="6" a="1"/>
  <c r="AF15" i="6" s="1"/>
  <c r="H16" i="6" a="1"/>
  <c r="H16" i="6" s="1"/>
  <c r="O16" i="6" a="1"/>
  <c r="O16" i="6" s="1"/>
  <c r="I20" i="6" a="1"/>
  <c r="I20" i="6" s="1"/>
  <c r="C25" i="6" a="1"/>
  <c r="C25" i="6" s="1"/>
  <c r="M17" i="6" a="1"/>
  <c r="M17" i="6" s="1"/>
  <c r="W17" i="6" a="1"/>
  <c r="W17" i="6" s="1"/>
  <c r="AE17" i="6" a="1"/>
  <c r="AE17" i="6" s="1"/>
  <c r="M21" i="6" a="1"/>
  <c r="M21" i="6" s="1"/>
  <c r="G24" i="6" a="1"/>
  <c r="G24" i="6" s="1"/>
  <c r="P24" i="6" a="1"/>
  <c r="P24" i="6" s="1"/>
  <c r="V27" i="6" a="1"/>
  <c r="V27" i="6" s="1"/>
  <c r="M31" i="6" a="1"/>
  <c r="M31" i="6" s="1"/>
  <c r="AA14" i="6" a="1"/>
  <c r="AA14" i="6" s="1"/>
  <c r="AD14" i="6" a="1"/>
  <c r="AD14" i="6" s="1"/>
  <c r="G15" i="6" a="1"/>
  <c r="G15" i="6" s="1"/>
  <c r="N15" i="6" a="1"/>
  <c r="N15" i="6" s="1"/>
  <c r="V15" i="6" a="1"/>
  <c r="V15" i="6" s="1"/>
  <c r="AC15" i="6" a="1"/>
  <c r="AC15" i="6" s="1"/>
  <c r="F16" i="6" a="1"/>
  <c r="F16" i="6" s="1"/>
  <c r="M16" i="6" a="1"/>
  <c r="M16" i="6" s="1"/>
  <c r="G17" i="6" a="1"/>
  <c r="G17" i="6" s="1"/>
  <c r="Y24" i="6" a="1"/>
  <c r="Y24" i="6" s="1"/>
  <c r="N17" i="6" a="1"/>
  <c r="N17" i="6" s="1"/>
  <c r="X17" i="6" a="1"/>
  <c r="X17" i="6" s="1"/>
  <c r="K28" i="6" a="1"/>
  <c r="K28" i="6" s="1"/>
  <c r="N21" i="6" a="1"/>
  <c r="N21" i="6" s="1"/>
  <c r="I24" i="6" a="1"/>
  <c r="I24" i="6" s="1"/>
  <c r="M27" i="6" a="1"/>
  <c r="M27" i="6" s="1"/>
  <c r="D31" i="6" a="1"/>
  <c r="D31" i="6" s="1"/>
  <c r="AF17" i="6" a="1"/>
  <c r="AF17" i="6" s="1"/>
  <c r="C18" i="6" a="1"/>
  <c r="C18" i="6" s="1"/>
  <c r="D18" i="6" a="1"/>
  <c r="D18" i="6" s="1"/>
  <c r="E18" i="6" a="1"/>
  <c r="E18" i="6" s="1"/>
  <c r="F18" i="6" a="1"/>
  <c r="F18" i="6" s="1"/>
  <c r="G18" i="6" a="1"/>
  <c r="G18" i="6" s="1"/>
  <c r="H18" i="6" a="1"/>
  <c r="H18" i="6" s="1"/>
  <c r="I18" i="6" a="1"/>
  <c r="I18" i="6" s="1"/>
  <c r="J18" i="6" a="1"/>
  <c r="J18" i="6" s="1"/>
  <c r="K18" i="6" a="1"/>
  <c r="K18" i="6" s="1"/>
  <c r="L18" i="6" a="1"/>
  <c r="L18" i="6" s="1"/>
  <c r="M18" i="6" a="1"/>
  <c r="M18" i="6" s="1"/>
  <c r="N18" i="6" a="1"/>
  <c r="N18" i="6" s="1"/>
  <c r="O18" i="6" a="1"/>
  <c r="O18" i="6" s="1"/>
  <c r="P18" i="6" a="1"/>
  <c r="P18" i="6" s="1"/>
  <c r="Q18" i="6" a="1"/>
  <c r="Q18" i="6" s="1"/>
  <c r="S18" i="6" a="1"/>
  <c r="S18" i="6" s="1"/>
  <c r="T18" i="6" a="1"/>
  <c r="T18" i="6" s="1"/>
  <c r="U18" i="6" a="1"/>
  <c r="U18" i="6" s="1"/>
  <c r="V18" i="6" a="1"/>
  <c r="V18" i="6" s="1"/>
  <c r="W18" i="6" a="1"/>
  <c r="W18" i="6" s="1"/>
  <c r="X18" i="6" a="1"/>
  <c r="X18" i="6" s="1"/>
  <c r="Y18" i="6" a="1"/>
  <c r="Y18" i="6" s="1"/>
  <c r="Z18" i="6" a="1"/>
  <c r="Z18" i="6" s="1"/>
  <c r="AA18" i="6" a="1"/>
  <c r="AA18" i="6" s="1"/>
  <c r="AB18" i="6" a="1"/>
  <c r="AB18" i="6" s="1"/>
  <c r="AC18" i="6" a="1"/>
  <c r="AC18" i="6" s="1"/>
  <c r="AD18" i="6" a="1"/>
  <c r="AD18" i="6" s="1"/>
  <c r="AE18" i="6" a="1"/>
  <c r="AE18" i="6" s="1"/>
  <c r="AF18" i="6" a="1"/>
  <c r="AF18" i="6" s="1"/>
  <c r="C19" i="6" a="1"/>
  <c r="C19" i="6" s="1"/>
  <c r="D19" i="6" a="1"/>
  <c r="D19" i="6" s="1"/>
  <c r="E19" i="6" a="1"/>
  <c r="E19" i="6" s="1"/>
  <c r="F19" i="6" a="1"/>
  <c r="F19" i="6" s="1"/>
  <c r="G19" i="6" a="1"/>
  <c r="G19" i="6" s="1"/>
  <c r="H19" i="6" a="1"/>
  <c r="H19" i="6" s="1"/>
  <c r="I19" i="6" a="1"/>
  <c r="I19" i="6" s="1"/>
  <c r="J19" i="6" a="1"/>
  <c r="J19" i="6" s="1"/>
  <c r="K19" i="6" a="1"/>
  <c r="K19" i="6" s="1"/>
  <c r="L19" i="6" a="1"/>
  <c r="L19" i="6" s="1"/>
  <c r="M19" i="6" a="1"/>
  <c r="M19" i="6" s="1"/>
  <c r="N19" i="6" a="1"/>
  <c r="N19" i="6" s="1"/>
  <c r="O19" i="6" a="1"/>
  <c r="O19" i="6" s="1"/>
  <c r="P19" i="6" a="1"/>
  <c r="P19" i="6" s="1"/>
  <c r="Q19" i="6" a="1"/>
  <c r="Q19" i="6" s="1"/>
  <c r="R19" i="6" a="1"/>
  <c r="R19" i="6" s="1"/>
  <c r="T19" i="6" a="1"/>
  <c r="T19" i="6" s="1"/>
  <c r="U19" i="6" a="1"/>
  <c r="U19" i="6" s="1"/>
  <c r="V19" i="6" a="1"/>
  <c r="V19" i="6" s="1"/>
  <c r="W19" i="6" a="1"/>
  <c r="W19" i="6" s="1"/>
  <c r="X19" i="6" a="1"/>
  <c r="X19" i="6" s="1"/>
  <c r="Y19" i="6" a="1"/>
  <c r="Y19" i="6" s="1"/>
  <c r="Z19" i="6" a="1"/>
  <c r="Z19" i="6" s="1"/>
  <c r="AA19" i="6" a="1"/>
  <c r="AA19" i="6" s="1"/>
  <c r="AB19" i="6" a="1"/>
  <c r="AB19" i="6" s="1"/>
  <c r="AC19" i="6" a="1"/>
  <c r="AC19" i="6" s="1"/>
  <c r="AD19" i="6" a="1"/>
  <c r="AD19" i="6" s="1"/>
  <c r="AE19" i="6" a="1"/>
  <c r="AE19" i="6" s="1"/>
  <c r="AF19" i="6" a="1"/>
  <c r="AF19" i="6" s="1"/>
  <c r="C20" i="6" a="1"/>
  <c r="C20" i="6" s="1"/>
  <c r="D20" i="6" a="1"/>
  <c r="D20" i="6" s="1"/>
  <c r="E20" i="6" a="1"/>
  <c r="E20" i="6" s="1"/>
  <c r="F20" i="6" a="1"/>
  <c r="F20" i="6" s="1"/>
  <c r="G20" i="6" a="1"/>
  <c r="G20" i="6" s="1"/>
  <c r="M20" i="6" a="1"/>
  <c r="M20" i="6" s="1"/>
  <c r="S20" i="6" a="1"/>
  <c r="S20" i="6" s="1"/>
  <c r="AA20" i="6" a="1"/>
  <c r="AA20" i="6" s="1"/>
  <c r="C21" i="6" a="1"/>
  <c r="C21" i="6" s="1"/>
  <c r="V24" i="6" a="1"/>
  <c r="V24" i="6" s="1"/>
  <c r="AD24" i="6" a="1"/>
  <c r="AD24" i="6" s="1"/>
  <c r="L21" i="6" a="1"/>
  <c r="L21" i="6" s="1"/>
  <c r="F24" i="6" a="1"/>
  <c r="F24" i="6" s="1"/>
  <c r="L27" i="6" a="1"/>
  <c r="L27" i="6" s="1"/>
  <c r="W27" i="6" a="1"/>
  <c r="W27" i="6" s="1"/>
  <c r="T21" i="6" a="1"/>
  <c r="T21" i="6" s="1"/>
  <c r="V21" i="6" a="1"/>
  <c r="V21" i="6" s="1"/>
  <c r="W21" i="6" a="1"/>
  <c r="W21" i="6" s="1"/>
  <c r="X21" i="6" a="1"/>
  <c r="X21" i="6" s="1"/>
  <c r="Y21" i="6" a="1"/>
  <c r="Y21" i="6" s="1"/>
  <c r="Z21" i="6" a="1"/>
  <c r="Z21" i="6" s="1"/>
  <c r="AA21" i="6" a="1"/>
  <c r="AA21" i="6" s="1"/>
  <c r="AB21" i="6" a="1"/>
  <c r="AB21" i="6" s="1"/>
  <c r="AC21" i="6" a="1"/>
  <c r="AC21" i="6" s="1"/>
  <c r="AD21" i="6" a="1"/>
  <c r="AD21" i="6" s="1"/>
  <c r="AE21" i="6" a="1"/>
  <c r="AE21" i="6" s="1"/>
  <c r="AF21" i="6" a="1"/>
  <c r="AF21" i="6" s="1"/>
  <c r="C22" i="6" a="1"/>
  <c r="C22" i="6" s="1"/>
  <c r="D22" i="6" a="1"/>
  <c r="D22" i="6" s="1"/>
  <c r="E22" i="6" a="1"/>
  <c r="E22" i="6" s="1"/>
  <c r="F22" i="6" a="1"/>
  <c r="F22" i="6" s="1"/>
  <c r="G22" i="6" a="1"/>
  <c r="G22" i="6" s="1"/>
  <c r="H22" i="6" a="1"/>
  <c r="H22" i="6" s="1"/>
  <c r="I22" i="6" a="1"/>
  <c r="I22" i="6" s="1"/>
  <c r="J22" i="6" a="1"/>
  <c r="J22" i="6" s="1"/>
  <c r="K22" i="6" a="1"/>
  <c r="K22" i="6" s="1"/>
  <c r="L22" i="6" a="1"/>
  <c r="L22" i="6" s="1"/>
  <c r="M22" i="6" a="1"/>
  <c r="M22" i="6" s="1"/>
  <c r="N22" i="6" a="1"/>
  <c r="N22" i="6" s="1"/>
  <c r="O22" i="6" a="1"/>
  <c r="O22" i="6" s="1"/>
  <c r="P22" i="6" a="1"/>
  <c r="P22" i="6" s="1"/>
  <c r="Q22" i="6" a="1"/>
  <c r="Q22" i="6" s="1"/>
  <c r="R22" i="6" a="1"/>
  <c r="R22" i="6" s="1"/>
  <c r="S22" i="6" a="1"/>
  <c r="S22" i="6" s="1"/>
  <c r="T22" i="6" a="1"/>
  <c r="T22" i="6" s="1"/>
  <c r="U22" i="6" a="1"/>
  <c r="U22" i="6" s="1"/>
  <c r="W22" i="6" a="1"/>
  <c r="W22" i="6" s="1"/>
  <c r="X22" i="6" a="1"/>
  <c r="X22" i="6" s="1"/>
  <c r="Y22" i="6" a="1"/>
  <c r="Y22" i="6" s="1"/>
  <c r="Z22" i="6" a="1"/>
  <c r="Z22" i="6" s="1"/>
  <c r="AA22" i="6" a="1"/>
  <c r="AA22" i="6" s="1"/>
  <c r="AB22" i="6" a="1"/>
  <c r="AB22" i="6" s="1"/>
  <c r="AC22" i="6" a="1"/>
  <c r="AC22" i="6" s="1"/>
  <c r="AD22" i="6" a="1"/>
  <c r="AD22" i="6" s="1"/>
  <c r="AE22" i="6" a="1"/>
  <c r="AE22" i="6" s="1"/>
  <c r="AF22" i="6" a="1"/>
  <c r="AF22" i="6" s="1"/>
  <c r="C23" i="6" a="1"/>
  <c r="C23" i="6" s="1"/>
  <c r="D23" i="6" a="1"/>
  <c r="D23" i="6" s="1"/>
  <c r="E23" i="6" a="1"/>
  <c r="E23" i="6" s="1"/>
  <c r="F23" i="6" a="1"/>
  <c r="F23" i="6" s="1"/>
  <c r="G23" i="6" a="1"/>
  <c r="G23" i="6" s="1"/>
  <c r="H23" i="6" a="1"/>
  <c r="H23" i="6" s="1"/>
  <c r="I23" i="6" a="1"/>
  <c r="I23" i="6" s="1"/>
  <c r="J23" i="6" a="1"/>
  <c r="J23" i="6" s="1"/>
  <c r="K23" i="6" a="1"/>
  <c r="K23" i="6" s="1"/>
  <c r="L23" i="6" a="1"/>
  <c r="L23" i="6" s="1"/>
  <c r="M23" i="6" a="1"/>
  <c r="M23" i="6" s="1"/>
  <c r="N23" i="6" a="1"/>
  <c r="N23" i="6" s="1"/>
  <c r="O23" i="6" a="1"/>
  <c r="O23" i="6" s="1"/>
  <c r="P23" i="6" a="1"/>
  <c r="P23" i="6" s="1"/>
  <c r="Q23" i="6" a="1"/>
  <c r="Q23" i="6" s="1"/>
  <c r="R23" i="6" a="1"/>
  <c r="R23" i="6" s="1"/>
  <c r="S23" i="6" a="1"/>
  <c r="S23" i="6" s="1"/>
  <c r="T23" i="6" a="1"/>
  <c r="T23" i="6" s="1"/>
  <c r="U23" i="6" a="1"/>
  <c r="U23" i="6" s="1"/>
  <c r="V23" i="6" a="1"/>
  <c r="V23" i="6" s="1"/>
  <c r="X23" i="6" a="1"/>
  <c r="X23" i="6" s="1"/>
  <c r="Y23" i="6" a="1"/>
  <c r="Y23" i="6" s="1"/>
  <c r="Z23" i="6" a="1"/>
  <c r="Z23" i="6" s="1"/>
  <c r="AA23" i="6" a="1"/>
  <c r="AA23" i="6" s="1"/>
  <c r="AB23" i="6" a="1"/>
  <c r="AB23" i="6" s="1"/>
  <c r="AC23" i="6" a="1"/>
  <c r="AC23" i="6" s="1"/>
  <c r="AD23" i="6" a="1"/>
  <c r="AD23" i="6" s="1"/>
  <c r="AE23" i="6" a="1"/>
  <c r="AE23" i="6" s="1"/>
  <c r="AF23" i="6" a="1"/>
  <c r="AF23" i="6" s="1"/>
  <c r="C24" i="6" a="1"/>
  <c r="C24" i="6" s="1"/>
  <c r="D24" i="6" a="1"/>
  <c r="D24" i="6" s="1"/>
  <c r="M24" i="6" a="1"/>
  <c r="M24" i="6" s="1"/>
  <c r="T27" i="6" a="1"/>
  <c r="T27" i="6" s="1"/>
  <c r="J31" i="6" a="1"/>
  <c r="J31" i="6" s="1"/>
  <c r="Q24" i="6" a="1"/>
  <c r="Q24" i="6" s="1"/>
  <c r="Z24" i="6" a="1"/>
  <c r="Z24" i="6" s="1"/>
  <c r="AF24" i="6" a="1"/>
  <c r="AF24" i="6" s="1"/>
  <c r="L28" i="6" a="1"/>
  <c r="L28" i="6" s="1"/>
  <c r="T28" i="6" a="1"/>
  <c r="T28" i="6" s="1"/>
  <c r="AC28" i="6" a="1"/>
  <c r="AC28" i="6" s="1"/>
  <c r="D25" i="6" a="1"/>
  <c r="D25" i="6" s="1"/>
  <c r="E25" i="6" a="1"/>
  <c r="E25" i="6" s="1"/>
  <c r="F25" i="6" a="1"/>
  <c r="F25" i="6" s="1"/>
  <c r="G25" i="6" a="1"/>
  <c r="G25" i="6" s="1"/>
  <c r="H25" i="6" a="1"/>
  <c r="H25" i="6" s="1"/>
  <c r="I25" i="6" a="1"/>
  <c r="I25" i="6" s="1"/>
  <c r="J25" i="6" a="1"/>
  <c r="J25" i="6" s="1"/>
  <c r="K25" i="6" a="1"/>
  <c r="K25" i="6" s="1"/>
  <c r="L25" i="6" a="1"/>
  <c r="L25" i="6" s="1"/>
  <c r="M25" i="6" a="1"/>
  <c r="M25" i="6" s="1"/>
  <c r="N25" i="6" a="1"/>
  <c r="N25" i="6" s="1"/>
  <c r="O25" i="6" a="1"/>
  <c r="O25" i="6" s="1"/>
  <c r="P25" i="6" a="1"/>
  <c r="P25" i="6" s="1"/>
  <c r="Q25" i="6" a="1"/>
  <c r="Q25" i="6" s="1"/>
  <c r="R25" i="6" a="1"/>
  <c r="R25" i="6" s="1"/>
  <c r="S25" i="6" a="1"/>
  <c r="S25" i="6" s="1"/>
  <c r="T25" i="6" a="1"/>
  <c r="T25" i="6" s="1"/>
  <c r="U25" i="6" a="1"/>
  <c r="U25" i="6" s="1"/>
  <c r="V25" i="6" a="1"/>
  <c r="V25" i="6" s="1"/>
  <c r="W25" i="6" a="1"/>
  <c r="W25" i="6" s="1"/>
  <c r="X25" i="6" a="1"/>
  <c r="X25" i="6" s="1"/>
  <c r="Z25" i="6" a="1"/>
  <c r="Z25" i="6" s="1"/>
  <c r="AA25" i="6" a="1"/>
  <c r="AA25" i="6" s="1"/>
  <c r="AB25" i="6" a="1"/>
  <c r="AB25" i="6" s="1"/>
  <c r="AC25" i="6" a="1"/>
  <c r="AC25" i="6" s="1"/>
  <c r="AD25" i="6" a="1"/>
  <c r="AD25" i="6" s="1"/>
  <c r="AE25" i="6" a="1"/>
  <c r="AE25" i="6" s="1"/>
  <c r="AF25" i="6" a="1"/>
  <c r="AF25" i="6" s="1"/>
  <c r="C26" i="6" a="1"/>
  <c r="C26" i="6" s="1"/>
  <c r="D26" i="6" a="1"/>
  <c r="D26" i="6" s="1"/>
  <c r="E26" i="6" a="1"/>
  <c r="E26" i="6" s="1"/>
  <c r="F26" i="6" a="1"/>
  <c r="F26" i="6" s="1"/>
  <c r="G26" i="6" a="1"/>
  <c r="G26" i="6" s="1"/>
  <c r="H26" i="6" a="1"/>
  <c r="H26" i="6" s="1"/>
  <c r="I26" i="6" a="1"/>
  <c r="I26" i="6" s="1"/>
  <c r="J26" i="6" a="1"/>
  <c r="J26" i="6" s="1"/>
  <c r="K26" i="6" a="1"/>
  <c r="K26" i="6" s="1"/>
  <c r="L26" i="6" a="1"/>
  <c r="L26" i="6" s="1"/>
  <c r="M26" i="6" a="1"/>
  <c r="M26" i="6" s="1"/>
  <c r="N26" i="6" a="1"/>
  <c r="N26" i="6" s="1"/>
  <c r="O26" i="6" a="1"/>
  <c r="O26" i="6" s="1"/>
  <c r="P26" i="6" a="1"/>
  <c r="P26" i="6" s="1"/>
  <c r="Q26" i="6" a="1"/>
  <c r="Q26" i="6" s="1"/>
  <c r="R26" i="6" a="1"/>
  <c r="R26" i="6" s="1"/>
  <c r="S26" i="6" a="1"/>
  <c r="S26" i="6" s="1"/>
  <c r="T26" i="6" a="1"/>
  <c r="T26" i="6" s="1"/>
  <c r="U26" i="6" a="1"/>
  <c r="U26" i="6" s="1"/>
  <c r="V26" i="6" a="1"/>
  <c r="V26" i="6" s="1"/>
  <c r="W26" i="6" a="1"/>
  <c r="W26" i="6" s="1"/>
  <c r="X26" i="6" a="1"/>
  <c r="X26" i="6" s="1"/>
  <c r="Y26" i="6" a="1"/>
  <c r="Y26" i="6" s="1"/>
  <c r="AA26" i="6" a="1"/>
  <c r="AA26" i="6" s="1"/>
  <c r="AB26" i="6" a="1"/>
  <c r="AB26" i="6" s="1"/>
  <c r="AC26" i="6" a="1"/>
  <c r="AC26" i="6" s="1"/>
  <c r="AD26" i="6" a="1"/>
  <c r="AD26" i="6" s="1"/>
  <c r="AE26" i="6" a="1"/>
  <c r="AE26" i="6" s="1"/>
  <c r="AF26" i="6" a="1"/>
  <c r="AF26" i="6" s="1"/>
  <c r="C27" i="6" a="1"/>
  <c r="C27" i="6" s="1"/>
  <c r="D27" i="6" a="1"/>
  <c r="D27" i="6" s="1"/>
  <c r="E27" i="6" a="1"/>
  <c r="E27" i="6" s="1"/>
  <c r="F27" i="6" a="1"/>
  <c r="F27" i="6" s="1"/>
  <c r="G27" i="6" a="1"/>
  <c r="G27" i="6" s="1"/>
  <c r="H27" i="6" a="1"/>
  <c r="H27" i="6" s="1"/>
  <c r="I27" i="6" a="1"/>
  <c r="I27" i="6" s="1"/>
  <c r="J27" i="6" a="1"/>
  <c r="J27" i="6" s="1"/>
  <c r="K27" i="6" a="1"/>
  <c r="K27" i="6" s="1"/>
  <c r="S27" i="6" a="1"/>
  <c r="S27" i="6" s="1"/>
  <c r="I31" i="6" a="1"/>
  <c r="I31" i="6" s="1"/>
  <c r="Y27" i="6" a="1"/>
  <c r="Y27" i="6" s="1"/>
  <c r="Z27" i="6" a="1"/>
  <c r="Z27" i="6" s="1"/>
  <c r="AB27" i="6" a="1"/>
  <c r="AB27" i="6" s="1"/>
  <c r="AC27" i="6" a="1"/>
  <c r="AC27" i="6" s="1"/>
  <c r="AD27" i="6" a="1"/>
  <c r="AD27" i="6" s="1"/>
  <c r="AE27" i="6" a="1"/>
  <c r="AE27" i="6" s="1"/>
  <c r="AF27" i="6" a="1"/>
  <c r="AF27" i="6" s="1"/>
  <c r="C28" i="6" a="1"/>
  <c r="C28" i="6" s="1"/>
  <c r="D28" i="6" a="1"/>
  <c r="D28" i="6" s="1"/>
  <c r="E28" i="6" a="1"/>
  <c r="E28" i="6" s="1"/>
  <c r="F28" i="6" a="1"/>
  <c r="F28" i="6" s="1"/>
  <c r="J28" i="6" a="1"/>
  <c r="J28" i="6" s="1"/>
  <c r="R28" i="6" a="1"/>
  <c r="R28" i="6" s="1"/>
  <c r="AE28" i="6" a="1"/>
  <c r="AE28" i="6" s="1"/>
  <c r="AF28" i="6" a="1"/>
  <c r="AF28" i="6" s="1"/>
  <c r="C29" i="6" a="1"/>
  <c r="C29" i="6" s="1"/>
  <c r="D29" i="6" a="1"/>
  <c r="D29" i="6" s="1"/>
  <c r="E29" i="6" a="1"/>
  <c r="E29" i="6" s="1"/>
  <c r="F29" i="6" a="1"/>
  <c r="F29" i="6" s="1"/>
  <c r="G29" i="6" a="1"/>
  <c r="G29" i="6" s="1"/>
  <c r="H29" i="6" a="1"/>
  <c r="H29" i="6" s="1"/>
  <c r="I29" i="6" a="1"/>
  <c r="I29" i="6" s="1"/>
  <c r="J29" i="6" a="1"/>
  <c r="J29" i="6" s="1"/>
  <c r="K29" i="6" a="1"/>
  <c r="K29" i="6" s="1"/>
  <c r="L29" i="6" a="1"/>
  <c r="L29" i="6" s="1"/>
  <c r="M29" i="6" a="1"/>
  <c r="M29" i="6" s="1"/>
  <c r="N29" i="6" a="1"/>
  <c r="N29" i="6" s="1"/>
  <c r="O29" i="6" a="1"/>
  <c r="O29" i="6" s="1"/>
  <c r="P29" i="6" a="1"/>
  <c r="P29" i="6" s="1"/>
  <c r="Q29" i="6" a="1"/>
  <c r="Q29" i="6" s="1"/>
  <c r="R29" i="6" a="1"/>
  <c r="R29" i="6" s="1"/>
  <c r="S29" i="6" a="1"/>
  <c r="S29" i="6" s="1"/>
  <c r="T29" i="6" a="1"/>
  <c r="T29" i="6" s="1"/>
  <c r="U29" i="6" a="1"/>
  <c r="U29" i="6" s="1"/>
  <c r="V29" i="6" a="1"/>
  <c r="V29" i="6" s="1"/>
  <c r="W29" i="6" a="1"/>
  <c r="W29" i="6" s="1"/>
  <c r="X29" i="6" a="1"/>
  <c r="X29" i="6" s="1"/>
  <c r="Y29" i="6" a="1"/>
  <c r="Y29" i="6" s="1"/>
  <c r="Z29" i="6" a="1"/>
  <c r="Z29" i="6" s="1"/>
  <c r="AA29" i="6" a="1"/>
  <c r="AA29" i="6" s="1"/>
  <c r="AB29" i="6" a="1"/>
  <c r="AB29" i="6" s="1"/>
  <c r="AD29" i="6" a="1"/>
  <c r="AD29" i="6" s="1"/>
  <c r="AE29" i="6" a="1"/>
  <c r="AE29" i="6" s="1"/>
  <c r="AF29" i="6" a="1"/>
  <c r="AF29" i="6" s="1"/>
  <c r="C30" i="6" a="1"/>
  <c r="C30" i="6" s="1"/>
  <c r="D30" i="6" a="1"/>
  <c r="D30" i="6" s="1"/>
  <c r="E30" i="6" a="1"/>
  <c r="E30" i="6" s="1"/>
  <c r="F30" i="6" a="1"/>
  <c r="F30" i="6" s="1"/>
  <c r="G30" i="6" a="1"/>
  <c r="G30" i="6" s="1"/>
  <c r="H30" i="6" a="1"/>
  <c r="H30" i="6" s="1"/>
  <c r="I30" i="6" a="1"/>
  <c r="I30" i="6" s="1"/>
  <c r="J30" i="6" a="1"/>
  <c r="J30" i="6" s="1"/>
  <c r="K30" i="6" a="1"/>
  <c r="K30" i="6" s="1"/>
  <c r="L30" i="6" a="1"/>
  <c r="L30" i="6" s="1"/>
  <c r="M30" i="6" a="1"/>
  <c r="M30" i="6" s="1"/>
  <c r="N30" i="6" a="1"/>
  <c r="N30" i="6" s="1"/>
  <c r="O30" i="6" a="1"/>
  <c r="O30" i="6" s="1"/>
  <c r="P30" i="6" a="1"/>
  <c r="P30" i="6" s="1"/>
  <c r="Q30" i="6" a="1"/>
  <c r="Q30" i="6" s="1"/>
  <c r="R30" i="6" a="1"/>
  <c r="R30" i="6" s="1"/>
  <c r="S30" i="6" a="1"/>
  <c r="S30" i="6" s="1"/>
  <c r="T30" i="6" a="1"/>
  <c r="T30" i="6" s="1"/>
  <c r="U30" i="6" a="1"/>
  <c r="U30" i="6" s="1"/>
  <c r="V30" i="6" a="1"/>
  <c r="V30" i="6" s="1"/>
  <c r="W30" i="6" a="1"/>
  <c r="W30" i="6" s="1"/>
  <c r="X30" i="6" a="1"/>
  <c r="X30" i="6" s="1"/>
  <c r="Y30" i="6" a="1"/>
  <c r="Y30" i="6" s="1"/>
  <c r="Z30" i="6" a="1"/>
  <c r="Z30" i="6" s="1"/>
  <c r="AA30" i="6" a="1"/>
  <c r="AA30" i="6" s="1"/>
  <c r="AB30" i="6" a="1"/>
  <c r="AB30" i="6" s="1"/>
  <c r="AC30" i="6" a="1"/>
  <c r="AC30" i="6" s="1"/>
  <c r="AE30" i="6" a="1"/>
  <c r="AE30" i="6" s="1"/>
  <c r="AF30" i="6" a="1"/>
  <c r="AF30" i="6" s="1"/>
  <c r="C31" i="6" a="1"/>
  <c r="C31" i="6" s="1"/>
  <c r="H31" i="6" a="1"/>
  <c r="H31" i="6" s="1"/>
  <c r="N31" i="6" a="1"/>
  <c r="N31" i="6" s="1"/>
  <c r="O31" i="6" a="1"/>
  <c r="O31" i="6" s="1"/>
  <c r="P31" i="6" a="1"/>
  <c r="P31" i="6" s="1"/>
  <c r="Q31" i="6" a="1"/>
  <c r="Q31" i="6" s="1"/>
  <c r="R31" i="6" a="1"/>
  <c r="R31" i="6" s="1"/>
  <c r="S31" i="6" a="1"/>
  <c r="S31" i="6" s="1"/>
  <c r="T31" i="6" a="1"/>
  <c r="T31" i="6" s="1"/>
  <c r="U31" i="6" a="1"/>
  <c r="U31" i="6" s="1"/>
  <c r="V31" i="6" a="1"/>
  <c r="V31" i="6" s="1"/>
  <c r="W31" i="6" a="1"/>
  <c r="W31" i="6" s="1"/>
  <c r="X31" i="6" a="1"/>
  <c r="X31" i="6" s="1"/>
  <c r="Y31" i="6" a="1"/>
  <c r="Y31" i="6" s="1"/>
  <c r="Z31" i="6" a="1"/>
  <c r="Z31" i="6" s="1"/>
  <c r="AA31" i="6" a="1"/>
  <c r="AA31" i="6" s="1"/>
  <c r="AB31" i="6" a="1"/>
  <c r="AB31" i="6" s="1"/>
  <c r="AC31" i="6" a="1"/>
  <c r="AC31" i="6" s="1"/>
  <c r="AD31" i="6" a="1"/>
  <c r="AD31" i="6" s="1"/>
  <c r="AF31" i="6" a="1"/>
  <c r="AF31" i="6" s="1"/>
  <c r="I14" i="6" a="1"/>
  <c r="I14" i="6" s="1"/>
  <c r="D32" i="6" a="1"/>
  <c r="D32" i="6" s="1"/>
  <c r="F32" i="6" a="1"/>
  <c r="F32" i="6" s="1"/>
  <c r="H32" i="6" a="1"/>
  <c r="H32" i="6" s="1"/>
  <c r="J32" i="6" a="1"/>
  <c r="J32" i="6" s="1"/>
  <c r="K32" i="6" a="1"/>
  <c r="K32" i="6" s="1"/>
  <c r="M32" i="6" a="1"/>
  <c r="M32" i="6" s="1"/>
  <c r="O32" i="6" a="1"/>
  <c r="O32" i="6" s="1"/>
  <c r="Q32" i="6" a="1"/>
  <c r="Q32" i="6" s="1"/>
  <c r="S32" i="6" a="1"/>
  <c r="S32" i="6" s="1"/>
  <c r="T32" i="6" a="1"/>
  <c r="T32" i="6" s="1"/>
  <c r="V32" i="6" a="1"/>
  <c r="V32" i="6" s="1"/>
  <c r="X32" i="6" a="1"/>
  <c r="X32" i="6" s="1"/>
  <c r="Z32" i="6" a="1"/>
  <c r="Z32" i="6" s="1"/>
  <c r="AA32" i="6" a="1"/>
  <c r="AA32" i="6" s="1"/>
  <c r="AC32" i="6" a="1"/>
  <c r="AC32" i="6" s="1"/>
  <c r="AE32" i="6" a="1"/>
  <c r="AE32" i="6" s="1"/>
  <c r="E3" i="6" a="1"/>
  <c r="E3" i="6" s="1"/>
  <c r="G3" i="6" a="1"/>
  <c r="G3" i="6" s="1"/>
  <c r="H3" i="6" a="1"/>
  <c r="H3" i="6" s="1"/>
  <c r="J3" i="6" a="1"/>
  <c r="J3" i="6" s="1"/>
  <c r="L3" i="6" a="1"/>
  <c r="L3" i="6" s="1"/>
  <c r="N3" i="6" a="1"/>
  <c r="N3" i="6" s="1"/>
  <c r="P3" i="6" a="1"/>
  <c r="P3" i="6" s="1"/>
  <c r="R3" i="6" a="1"/>
  <c r="R3" i="6" s="1"/>
  <c r="S3" i="6" a="1"/>
  <c r="S3" i="6" s="1"/>
  <c r="U3" i="6" a="1"/>
  <c r="U3" i="6" s="1"/>
  <c r="W3" i="6" a="1"/>
  <c r="W3" i="6" s="1"/>
  <c r="Y3" i="6" a="1"/>
  <c r="Y3" i="6" s="1"/>
  <c r="AA3" i="6" a="1"/>
  <c r="AA3" i="6" s="1"/>
  <c r="AC3" i="6" a="1"/>
  <c r="AC3" i="6" s="1"/>
  <c r="AE3" i="6" a="1"/>
  <c r="AE3" i="6" s="1"/>
  <c r="C4" i="6" a="1"/>
  <c r="C4" i="6" s="1"/>
  <c r="F4" i="6" a="1"/>
  <c r="F4" i="6" s="1"/>
  <c r="H4" i="6" a="1"/>
  <c r="H4" i="6" s="1"/>
  <c r="J4" i="6" a="1"/>
  <c r="J4" i="6" s="1"/>
  <c r="M4" i="6" a="1"/>
  <c r="M4" i="6" s="1"/>
  <c r="O4" i="6" a="1"/>
  <c r="O4" i="6" s="1"/>
  <c r="Q4" i="6" a="1"/>
  <c r="Q4" i="6" s="1"/>
  <c r="L17" i="6" a="1"/>
  <c r="L17" i="6" s="1"/>
  <c r="T17" i="6" a="1"/>
  <c r="T17" i="6" s="1"/>
  <c r="AA17" i="6" a="1"/>
  <c r="AA17" i="6" s="1"/>
  <c r="G21" i="6" a="1"/>
  <c r="G21" i="6" s="1"/>
  <c r="K21" i="6" a="1"/>
  <c r="K21" i="6" s="1"/>
  <c r="S21" i="6" a="1"/>
  <c r="S21" i="6" s="1"/>
  <c r="L24" i="6" a="1"/>
  <c r="L24" i="6" s="1"/>
  <c r="P27" i="6" a="1"/>
  <c r="P27" i="6" s="1"/>
  <c r="X27" i="6" a="1"/>
  <c r="X27" i="6" s="1"/>
  <c r="L31" i="6" a="1"/>
  <c r="L31" i="6" s="1"/>
  <c r="T4" i="6" a="1"/>
  <c r="T4" i="6" s="1"/>
  <c r="V4" i="6" a="1"/>
  <c r="V4" i="6" s="1"/>
  <c r="X4" i="6" a="1"/>
  <c r="X4" i="6" s="1"/>
  <c r="Z4" i="6" a="1"/>
  <c r="Z4" i="6" s="1"/>
  <c r="AB4" i="6" a="1"/>
  <c r="AB4" i="6" s="1"/>
  <c r="AE4" i="6" a="1"/>
  <c r="AE4" i="6" s="1"/>
  <c r="C5" i="6" a="1"/>
  <c r="C5" i="6" s="1"/>
  <c r="F5" i="6" a="1"/>
  <c r="F5" i="6" s="1"/>
  <c r="H5" i="6" a="1"/>
  <c r="H5" i="6" s="1"/>
  <c r="J5" i="6" a="1"/>
  <c r="J5" i="6" s="1"/>
  <c r="M5" i="6" a="1"/>
  <c r="M5" i="6" s="1"/>
  <c r="O5" i="6" a="1"/>
  <c r="O5" i="6" s="1"/>
  <c r="Q5" i="6" a="1"/>
  <c r="Q5" i="6" s="1"/>
  <c r="S5" i="6" a="1"/>
  <c r="S5" i="6" s="1"/>
  <c r="O7" i="6" a="1"/>
  <c r="O7" i="6" s="1"/>
  <c r="S7" i="6" a="1"/>
  <c r="S7" i="6" s="1"/>
  <c r="V7" i="6" a="1"/>
  <c r="V7" i="6" s="1"/>
  <c r="Y7" i="6" a="1"/>
  <c r="Y7" i="6" s="1"/>
  <c r="AB7" i="6" a="1"/>
  <c r="AB7" i="6" s="1"/>
  <c r="AE7" i="6" a="1"/>
  <c r="AE7" i="6" s="1"/>
  <c r="E8" i="6" a="1"/>
  <c r="E8" i="6" s="1"/>
  <c r="I8" i="6" a="1"/>
  <c r="I8" i="6" s="1"/>
  <c r="L8" i="6" a="1"/>
  <c r="L8" i="6" s="1"/>
  <c r="O8" i="6" a="1"/>
  <c r="O8" i="6" s="1"/>
  <c r="R8" i="6" a="1"/>
  <c r="R8" i="6" s="1"/>
  <c r="U8" i="6" a="1"/>
  <c r="U8" i="6" s="1"/>
  <c r="Y8" i="6" a="1"/>
  <c r="Y8" i="6" s="1"/>
  <c r="AB8" i="6" a="1"/>
  <c r="AB8" i="6" s="1"/>
  <c r="AE8" i="6" a="1"/>
  <c r="AE8" i="6" s="1"/>
  <c r="D9" i="6" a="1"/>
  <c r="D9" i="6" s="1"/>
  <c r="G9" i="6" a="1"/>
  <c r="G9" i="6" s="1"/>
  <c r="L9" i="6" a="1"/>
  <c r="L9" i="6" s="1"/>
  <c r="N9" i="6" a="1"/>
  <c r="N9" i="6" s="1"/>
  <c r="Q9" i="6" a="1"/>
  <c r="Q9" i="6" s="1"/>
  <c r="N12" i="6" a="1"/>
  <c r="N12" i="6" s="1"/>
  <c r="R12" i="6" a="1"/>
  <c r="R12" i="6" s="1"/>
  <c r="W12" i="6" a="1"/>
  <c r="W12" i="6" s="1"/>
  <c r="AA12" i="6" a="1"/>
  <c r="AA12" i="6" s="1"/>
  <c r="AF12" i="6" a="1"/>
  <c r="AF12" i="6" s="1"/>
  <c r="F13" i="6" a="1"/>
  <c r="F13" i="6" s="1"/>
  <c r="I13" i="6" a="1"/>
  <c r="I13" i="6" s="1"/>
  <c r="N13" i="6" a="1"/>
  <c r="N13" i="6" s="1"/>
  <c r="V16" i="6" a="1"/>
  <c r="V16" i="6" s="1"/>
  <c r="AA16" i="6" a="1"/>
  <c r="AA16" i="6" s="1"/>
  <c r="C17" i="6" a="1"/>
  <c r="C17" i="6" s="1"/>
  <c r="H17" i="6" a="1"/>
  <c r="H17" i="6" s="1"/>
  <c r="L20" i="6" a="1"/>
  <c r="L20" i="6" s="1"/>
  <c r="R20" i="6" a="1"/>
  <c r="R20" i="6" s="1"/>
  <c r="Y20" i="6" a="1"/>
  <c r="Y20" i="6" s="1"/>
  <c r="AE20" i="6" a="1"/>
  <c r="AE20" i="6" s="1"/>
  <c r="S24" i="6" a="1"/>
  <c r="S24" i="6" s="1"/>
  <c r="AA24" i="6" a="1"/>
  <c r="AA24" i="6" s="1"/>
  <c r="H28" i="6" a="1"/>
  <c r="H28" i="6" s="1"/>
  <c r="Q28" i="6" a="1"/>
  <c r="Q28" i="6" s="1"/>
  <c r="Y28" i="6" a="1"/>
  <c r="Y28" i="6" s="1"/>
  <c r="G31" i="6" a="1"/>
  <c r="G31" i="6" s="1"/>
  <c r="R14" i="6" a="1"/>
  <c r="R14" i="6" s="1"/>
  <c r="W14" i="6" a="1"/>
  <c r="W14" i="6" s="1"/>
  <c r="AE14" i="6" a="1"/>
  <c r="AE14" i="6" s="1"/>
  <c r="I15" i="6" a="1"/>
  <c r="I15" i="6" s="1"/>
  <c r="P15" i="6" a="1"/>
  <c r="P15" i="6" s="1"/>
  <c r="W15" i="6" a="1"/>
  <c r="W15" i="6" s="1"/>
  <c r="AE15" i="6" a="1"/>
  <c r="AE15" i="6" s="1"/>
  <c r="G16" i="6" a="1"/>
  <c r="G16" i="6" s="1"/>
  <c r="N16" i="6" a="1"/>
  <c r="N16" i="6" s="1"/>
  <c r="O20" i="6" a="1"/>
  <c r="O20" i="6" s="1"/>
  <c r="M28" i="6" a="1"/>
  <c r="M28" i="6" s="1"/>
  <c r="P17" i="6" a="1"/>
  <c r="P17" i="6" s="1"/>
  <c r="Y17" i="6" a="1"/>
  <c r="Y17" i="6" s="1"/>
  <c r="U28" i="6" a="1"/>
  <c r="U28" i="6" s="1"/>
  <c r="O21" i="6" a="1"/>
  <c r="O21" i="6" s="1"/>
  <c r="J24" i="6" a="1"/>
  <c r="J24" i="6" s="1"/>
  <c r="O27" i="6" a="1"/>
  <c r="O27" i="6" s="1"/>
  <c r="E31" i="6" a="1"/>
  <c r="E31" i="6" s="1"/>
  <c r="C32" i="6" a="1"/>
  <c r="C32" i="6" s="1"/>
  <c r="G32" i="6" a="1"/>
  <c r="G32" i="6" s="1"/>
  <c r="L32" i="6" a="1"/>
  <c r="L32" i="6" s="1"/>
  <c r="N32" i="6" a="1"/>
  <c r="N32" i="6" s="1"/>
  <c r="R32" i="6" a="1"/>
  <c r="R32" i="6" s="1"/>
  <c r="W32" i="6" a="1"/>
  <c r="W32" i="6" s="1"/>
  <c r="AB32" i="6" a="1"/>
  <c r="AB32" i="6" s="1"/>
  <c r="D3" i="6" a="1"/>
  <c r="D3" i="6" s="1"/>
  <c r="I3" i="6" a="1"/>
  <c r="I3" i="6" s="1"/>
  <c r="K3" i="6" a="1"/>
  <c r="K3" i="6" s="1"/>
  <c r="O3" i="6" a="1"/>
  <c r="O3" i="6" s="1"/>
  <c r="T3" i="6" a="1"/>
  <c r="T3" i="6" s="1"/>
  <c r="X3" i="6" a="1"/>
  <c r="X3" i="6" s="1"/>
  <c r="AB3" i="6" a="1"/>
  <c r="AB3" i="6" s="1"/>
  <c r="AD3" i="6" a="1"/>
  <c r="AD3" i="6" s="1"/>
  <c r="E4" i="6" a="1"/>
  <c r="E4" i="6" s="1"/>
  <c r="I4" i="6" a="1"/>
  <c r="I4" i="6" s="1"/>
  <c r="L4" i="6" a="1"/>
  <c r="L4" i="6" s="1"/>
  <c r="P4" i="6" a="1"/>
  <c r="P4" i="6" s="1"/>
  <c r="R4" i="6" a="1"/>
  <c r="R4" i="6" s="1"/>
  <c r="U4" i="6" a="1"/>
  <c r="U4" i="6" s="1"/>
  <c r="Y4" i="6" a="1"/>
  <c r="Y4" i="6" s="1"/>
  <c r="AC4" i="6" a="1"/>
  <c r="AC4" i="6" s="1"/>
  <c r="AF4" i="6" a="1"/>
  <c r="AF4" i="6" s="1"/>
  <c r="D5" i="6" a="1"/>
  <c r="D5" i="6" s="1"/>
  <c r="I5" i="6" a="1"/>
  <c r="I5" i="6" s="1"/>
  <c r="L5" i="6" a="1"/>
  <c r="L5" i="6" s="1"/>
  <c r="P5" i="6" a="1"/>
  <c r="P5" i="6" s="1"/>
  <c r="T5" i="6" a="1"/>
  <c r="T5" i="6" s="1"/>
  <c r="R7" i="6" a="1"/>
  <c r="R7" i="6" s="1"/>
  <c r="U7" i="6" a="1"/>
  <c r="U7" i="6" s="1"/>
  <c r="AA7" i="6" a="1"/>
  <c r="AA7" i="6" s="1"/>
  <c r="AF7" i="6" a="1"/>
  <c r="AF7" i="6" s="1"/>
  <c r="G8" i="6" a="1"/>
  <c r="G8" i="6" s="1"/>
  <c r="M8" i="6" a="1"/>
  <c r="M8" i="6" s="1"/>
  <c r="P8" i="6" a="1"/>
  <c r="P8" i="6" s="1"/>
  <c r="V8" i="6" a="1"/>
  <c r="V8" i="6" s="1"/>
  <c r="Z8" i="6" a="1"/>
  <c r="Z8" i="6" s="1"/>
  <c r="AF8" i="6" a="1"/>
  <c r="AF8" i="6" s="1"/>
  <c r="H9" i="6" a="1"/>
  <c r="H9" i="6" s="1"/>
  <c r="J9" i="6" a="1"/>
  <c r="J9" i="6" s="1"/>
  <c r="P9" i="6" a="1"/>
  <c r="P9" i="6" s="1"/>
  <c r="J12" i="6" a="1"/>
  <c r="J12" i="6" s="1"/>
  <c r="Q12" i="6" a="1"/>
  <c r="Q12" i="6" s="1"/>
  <c r="Y12" i="6" a="1"/>
  <c r="Y12" i="6" s="1"/>
  <c r="AB12" i="6" a="1"/>
  <c r="AB12" i="6" s="1"/>
  <c r="S6" i="6" a="1"/>
  <c r="S6" i="6" s="1"/>
  <c r="V6" i="6" a="1"/>
  <c r="V6" i="6" s="1"/>
  <c r="Y6" i="6" a="1"/>
  <c r="Y6" i="6" s="1"/>
  <c r="AB6" i="6" a="1"/>
  <c r="AB6" i="6" s="1"/>
  <c r="AD6" i="6" a="1"/>
  <c r="AD6" i="6" s="1"/>
  <c r="C7" i="6" a="1"/>
  <c r="C7" i="6" s="1"/>
  <c r="F7" i="6" a="1"/>
  <c r="F7" i="6" s="1"/>
  <c r="J7" i="6" a="1"/>
  <c r="J7" i="6" s="1"/>
  <c r="L7" i="6" a="1"/>
  <c r="L7" i="6" s="1"/>
  <c r="Q7" i="6" a="1"/>
  <c r="Q7" i="6" s="1"/>
  <c r="Z7" i="6" a="1"/>
  <c r="Z7" i="6" s="1"/>
  <c r="F8" i="6" a="1"/>
  <c r="F8" i="6" s="1"/>
  <c r="N8" i="6" a="1"/>
  <c r="N8" i="6" s="1"/>
  <c r="W8" i="6" a="1"/>
  <c r="W8" i="6" s="1"/>
  <c r="Z10" i="6" a="1"/>
  <c r="Z10" i="6" s="1"/>
  <c r="AD10" i="6" a="1"/>
  <c r="AD10" i="6" s="1"/>
  <c r="C11" i="6" a="1"/>
  <c r="C11" i="6" s="1"/>
  <c r="G11" i="6" a="1"/>
  <c r="G11" i="6" s="1"/>
  <c r="L11" i="6" a="1"/>
  <c r="L11" i="6" s="1"/>
  <c r="O11" i="6" a="1"/>
  <c r="O11" i="6" s="1"/>
  <c r="Z13" i="6" a="1"/>
  <c r="Z13" i="6" s="1"/>
  <c r="AD13" i="6" a="1"/>
  <c r="AD13" i="6" s="1"/>
  <c r="F14" i="6" a="1"/>
  <c r="F14" i="6" s="1"/>
  <c r="K14" i="6" a="1"/>
  <c r="K14" i="6" s="1"/>
  <c r="P14" i="6" a="1"/>
  <c r="P14" i="6" s="1"/>
  <c r="U14" i="6" a="1"/>
  <c r="U14" i="6" s="1"/>
  <c r="Z14" i="6" a="1"/>
  <c r="Z14" i="6" s="1"/>
  <c r="AF14" i="6" a="1"/>
  <c r="AF14" i="6" s="1"/>
  <c r="F15" i="6" a="1"/>
  <c r="F15" i="6" s="1"/>
  <c r="L15" i="6" a="1"/>
  <c r="L15" i="6" s="1"/>
  <c r="S15" i="6" a="1"/>
  <c r="S15" i="6" s="1"/>
  <c r="X15" i="6" a="1"/>
  <c r="X15" i="6" s="1"/>
  <c r="AB15" i="6" a="1"/>
  <c r="AB15" i="6" s="1"/>
  <c r="D16" i="6" a="1"/>
  <c r="D16" i="6" s="1"/>
  <c r="J16" i="6" a="1"/>
  <c r="J16" i="6" s="1"/>
  <c r="S16" i="6" a="1"/>
  <c r="S16" i="6" s="1"/>
  <c r="AF16" i="6" a="1"/>
  <c r="AF16" i="6" s="1"/>
  <c r="AF20" i="6" a="1"/>
  <c r="AF20" i="6" s="1"/>
  <c r="AA28" i="6" a="1"/>
  <c r="AA28" i="6" s="1"/>
  <c r="R17" i="6" a="1"/>
  <c r="R17" i="6" s="1"/>
  <c r="V17" i="6" a="1"/>
  <c r="V17" i="6" s="1"/>
  <c r="AC17" i="6" a="1"/>
  <c r="AC17" i="6" s="1"/>
  <c r="I21" i="6" a="1"/>
  <c r="I21" i="6" s="1"/>
  <c r="Q21" i="6" a="1"/>
  <c r="Q21" i="6" s="1"/>
  <c r="H24" i="6" a="1"/>
  <c r="H24" i="6" s="1"/>
  <c r="O24" i="6" a="1"/>
  <c r="O24" i="6" s="1"/>
  <c r="B32" i="6" a="1"/>
  <c r="B32" i="6" s="1"/>
  <c r="B18" i="6" a="1"/>
  <c r="B18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3" i="6" a="1"/>
  <c r="B3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41" i="6" s="1"/>
  <c r="B2" i="6" a="1"/>
  <c r="B2" i="6" s="1"/>
  <c r="B39" i="6" a="1"/>
  <c r="B39" i="6" s="1"/>
  <c r="B40" i="6" a="1"/>
  <c r="B40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<sst xmlns="http://schemas.openxmlformats.org/spreadsheetml/2006/main" count="841" uniqueCount="103">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</sst>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19" workbookViewId="0">
      <selection activeCell="D31" sqref="D31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B31" s="2"/>
    </row>
    <row r="32" spans="1:7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8"/>
  <sheetViews>
    <sheetView tabSelected="1" topLeftCell="A324" workbookViewId="0">
      <selection activeCell="J338" sqref="J338"/>
    </sheetView>
  </sheetViews>
  <sheetFormatPr defaultRowHeight="14.5" x14ac:dyDescent="0.35"/>
  <cols>
    <col min="2" max="2" width="22.90625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1</v>
      </c>
      <c r="I297">
        <v>1</v>
      </c>
      <c r="J297">
        <v>2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38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5"/>
  <sheetViews>
    <sheetView topLeftCell="A41" workbookViewId="0">
      <selection activeCell="E54" sqref="E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11</v>
      </c>
      <c r="D4">
        <f>SUMIF('Team Lineups'!C:C,A4,'Team Lineups'!E:E)</f>
        <v>74</v>
      </c>
      <c r="E4">
        <f>SUMIF('Team Lineups'!C:C,A4,'Team Lineups'!F:F)</f>
        <v>69</v>
      </c>
      <c r="F4">
        <f t="shared" si="0"/>
        <v>5</v>
      </c>
      <c r="G4">
        <f>COUNTIFS('Team Lineups'!C:C,A4,'Team Lineups'!G:G,"Win")</f>
        <v>5</v>
      </c>
      <c r="H4">
        <f>COUNTIFS('Team Lineups'!C:C,A4,'Team Lineups'!G:G,"Draw")</f>
        <v>2</v>
      </c>
      <c r="I4">
        <f>COUNTIFS('Team Lineups'!C:C,A4,'Team Lineups'!G:G,"Loss")</f>
        <v>4</v>
      </c>
      <c r="J4" s="3">
        <f t="shared" si="3"/>
        <v>0.45454545454545453</v>
      </c>
      <c r="K4" s="3">
        <f t="shared" si="4"/>
        <v>0.36363636363636365</v>
      </c>
      <c r="L4">
        <f>SUMIF('Team Lineups'!C:C,A4,'Team Lineups'!H:H)</f>
        <v>3</v>
      </c>
      <c r="M4">
        <f t="shared" si="1"/>
        <v>0.27272727272727271</v>
      </c>
      <c r="N4">
        <f>SUMIF('Team Lineups'!C:C,A4,'Team Lineups'!I:I)</f>
        <v>3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16</v>
      </c>
      <c r="D5">
        <f>SUMIF('Team Lineups'!C:C,A5,'Team Lineups'!E:E)</f>
        <v>89</v>
      </c>
      <c r="E5">
        <f>SUMIF('Team Lineups'!C:C,A5,'Team Lineups'!F:F)</f>
        <v>113</v>
      </c>
      <c r="F5">
        <f t="shared" si="0"/>
        <v>-24</v>
      </c>
      <c r="G5">
        <f>COUNTIFS('Team Lineups'!C:C,A5,'Team Lineups'!G:G,"Win")</f>
        <v>2</v>
      </c>
      <c r="H5">
        <f>COUNTIFS('Team Lineups'!C:C,A5,'Team Lineups'!G:G,"Draw")</f>
        <v>3</v>
      </c>
      <c r="I5">
        <f>COUNTIFS('Team Lineups'!C:C,A5,'Team Lineups'!G:G,"Loss")</f>
        <v>11</v>
      </c>
      <c r="J5" s="3">
        <f t="shared" si="3"/>
        <v>0.125</v>
      </c>
      <c r="K5" s="3">
        <f t="shared" si="4"/>
        <v>0.6875</v>
      </c>
      <c r="L5">
        <f>SUMIF('Team Lineups'!C:C,A5,'Team Lineups'!H:H)</f>
        <v>22</v>
      </c>
      <c r="M5">
        <f t="shared" si="1"/>
        <v>1.375</v>
      </c>
      <c r="N5">
        <f>SUMIF('Team Lineups'!C:C,A5,'Team Lineups'!I:I)</f>
        <v>20</v>
      </c>
      <c r="O5">
        <f>COUNTIF(Matches!G:G,A5)</f>
        <v>2</v>
      </c>
      <c r="P5">
        <f t="shared" si="2"/>
        <v>0.125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11</v>
      </c>
      <c r="D6">
        <f>SUMIF('Team Lineups'!C:C,A6,'Team Lineups'!E:E)</f>
        <v>66</v>
      </c>
      <c r="E6">
        <f>SUMIF('Team Lineups'!C:C,A6,'Team Lineups'!F:F)</f>
        <v>56</v>
      </c>
      <c r="F6">
        <f t="shared" si="0"/>
        <v>10</v>
      </c>
      <c r="G6">
        <f>COUNTIFS('Team Lineups'!C:C,A6,'Team Lineups'!G:G,"Win")</f>
        <v>5</v>
      </c>
      <c r="H6">
        <f>COUNTIFS('Team Lineups'!C:C,A6,'Team Lineups'!G:G,"Draw")</f>
        <v>4</v>
      </c>
      <c r="I6">
        <f>COUNTIFS('Team Lineups'!C:C,A6,'Team Lineups'!G:G,"Loss")</f>
        <v>2</v>
      </c>
      <c r="J6" s="3">
        <f t="shared" si="3"/>
        <v>0.45454545454545453</v>
      </c>
      <c r="K6" s="3">
        <f t="shared" si="4"/>
        <v>0.18181818181818182</v>
      </c>
      <c r="L6">
        <f>SUMIF('Team Lineups'!C:C,A6,'Team Lineups'!H:H)</f>
        <v>11</v>
      </c>
      <c r="M6">
        <f t="shared" si="1"/>
        <v>1</v>
      </c>
      <c r="N6">
        <f>SUMIF('Team Lineups'!C:C,A6,'Team Lineups'!I:I)</f>
        <v>7</v>
      </c>
      <c r="O6">
        <f>COUNTIF(Matches!G:G,A6)</f>
        <v>0</v>
      </c>
      <c r="P6">
        <f t="shared" si="2"/>
        <v>0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20</v>
      </c>
      <c r="D7">
        <f>SUMIF('Team Lineups'!C:C,A7,'Team Lineups'!E:E)</f>
        <v>136</v>
      </c>
      <c r="E7">
        <f>SUMIF('Team Lineups'!C:C,A7,'Team Lineups'!F:F)</f>
        <v>143</v>
      </c>
      <c r="F7">
        <f t="shared" si="0"/>
        <v>-7</v>
      </c>
      <c r="G7">
        <f>COUNTIFS('Team Lineups'!C:C,A7,'Team Lineups'!G:G,"Win")</f>
        <v>7</v>
      </c>
      <c r="H7">
        <f>COUNTIFS('Team Lineups'!C:C,A7,'Team Lineups'!G:G,"Draw")</f>
        <v>4</v>
      </c>
      <c r="I7">
        <f>COUNTIFS('Team Lineups'!C:C,A7,'Team Lineups'!G:G,"Loss")</f>
        <v>8</v>
      </c>
      <c r="J7" s="3">
        <f t="shared" si="3"/>
        <v>0.35</v>
      </c>
      <c r="K7" s="3">
        <f t="shared" si="4"/>
        <v>0.4</v>
      </c>
      <c r="L7">
        <f>SUMIF('Team Lineups'!C:C,A7,'Team Lineups'!H:H)</f>
        <v>25</v>
      </c>
      <c r="M7">
        <f t="shared" si="1"/>
        <v>1.25</v>
      </c>
      <c r="N7">
        <f>SUMIF('Team Lineups'!C:C,A7,'Team Lineups'!I:I)</f>
        <v>20</v>
      </c>
      <c r="O7">
        <f>COUNTIF(Matches!G:G,A7)</f>
        <v>1</v>
      </c>
      <c r="P7">
        <f t="shared" si="2"/>
        <v>0.05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17</v>
      </c>
      <c r="D8">
        <f>SUMIF('Team Lineups'!C:C,A8,'Team Lineups'!E:E)</f>
        <v>114</v>
      </c>
      <c r="E8">
        <f>SUMIF('Team Lineups'!C:C,A8,'Team Lineups'!F:F)</f>
        <v>111</v>
      </c>
      <c r="F8">
        <f t="shared" si="0"/>
        <v>3</v>
      </c>
      <c r="G8">
        <f>COUNTIFS('Team Lineups'!C:C,A8,'Team Lineups'!G:G,"Win")</f>
        <v>8</v>
      </c>
      <c r="H8">
        <f>COUNTIFS('Team Lineups'!C:C,A8,'Team Lineups'!G:G,"Draw")</f>
        <v>4</v>
      </c>
      <c r="I8">
        <f>COUNTIFS('Team Lineups'!C:C,A8,'Team Lineups'!G:G,"Loss")</f>
        <v>5</v>
      </c>
      <c r="J8" s="3">
        <f t="shared" si="3"/>
        <v>0.47058823529411764</v>
      </c>
      <c r="K8" s="3">
        <f t="shared" si="4"/>
        <v>0.29411764705882354</v>
      </c>
      <c r="L8">
        <f>SUMIF('Team Lineups'!C:C,A8,'Team Lineups'!H:H)</f>
        <v>35</v>
      </c>
      <c r="M8">
        <f t="shared" si="1"/>
        <v>2.0588235294117645</v>
      </c>
      <c r="N8">
        <f>SUMIF('Team Lineups'!C:C,A8,'Team Lineups'!I:I)</f>
        <v>17</v>
      </c>
      <c r="O8">
        <f>COUNTIF(Matches!G:G,A8)</f>
        <v>3</v>
      </c>
      <c r="P8">
        <f t="shared" si="2"/>
        <v>0.17647058823529413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13</v>
      </c>
      <c r="D9">
        <f>SUMIF('Team Lineups'!C:C,A9,'Team Lineups'!E:E)</f>
        <v>68</v>
      </c>
      <c r="E9">
        <f>SUMIF('Team Lineups'!C:C,A9,'Team Lineups'!F:F)</f>
        <v>77</v>
      </c>
      <c r="F9">
        <f t="shared" si="0"/>
        <v>-9</v>
      </c>
      <c r="G9">
        <f>COUNTIFS('Team Lineups'!C:C,A9,'Team Lineups'!G:G,"Win")</f>
        <v>4</v>
      </c>
      <c r="H9">
        <f>COUNTIFS('Team Lineups'!C:C,A9,'Team Lineups'!G:G,"Draw")</f>
        <v>2</v>
      </c>
      <c r="I9">
        <f>COUNTIFS('Team Lineups'!C:C,A9,'Team Lineups'!G:G,"Loss")</f>
        <v>7</v>
      </c>
      <c r="J9" s="3">
        <f t="shared" si="3"/>
        <v>0.30769230769230771</v>
      </c>
      <c r="K9" s="3">
        <f t="shared" si="4"/>
        <v>0.53846153846153844</v>
      </c>
      <c r="L9">
        <f>SUMIF('Team Lineups'!C:C,A9,'Team Lineups'!H:H)</f>
        <v>9</v>
      </c>
      <c r="M9">
        <f t="shared" si="1"/>
        <v>0.69230769230769229</v>
      </c>
      <c r="N9">
        <f>SUMIF('Team Lineups'!C:C,A9,'Team Lineups'!I:I)</f>
        <v>5</v>
      </c>
      <c r="O9">
        <f>COUNTIF(Matches!G:G,A9)</f>
        <v>1</v>
      </c>
      <c r="P9">
        <f t="shared" si="2"/>
        <v>7.6923076923076927E-2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19</v>
      </c>
      <c r="D12">
        <f>SUMIF('Team Lineups'!C:C,A12,'Team Lineups'!E:E)</f>
        <v>124</v>
      </c>
      <c r="E12">
        <f>SUMIF('Team Lineups'!C:C,A12,'Team Lineups'!F:F)</f>
        <v>131</v>
      </c>
      <c r="F12">
        <f t="shared" si="0"/>
        <v>-7</v>
      </c>
      <c r="G12">
        <f>COUNTIFS('Team Lineups'!C:C,A12,'Team Lineups'!G:G,"Win")</f>
        <v>7</v>
      </c>
      <c r="H12">
        <f>COUNTIFS('Team Lineups'!C:C,A12,'Team Lineups'!G:G,"Draw")</f>
        <v>2</v>
      </c>
      <c r="I12">
        <f>COUNTIFS('Team Lineups'!C:C,A12,'Team Lineups'!G:G,"Loss")</f>
        <v>10</v>
      </c>
      <c r="J12" s="3">
        <f t="shared" si="3"/>
        <v>0.36842105263157893</v>
      </c>
      <c r="K12" s="3">
        <f t="shared" si="4"/>
        <v>0.52631578947368418</v>
      </c>
      <c r="L12">
        <f>SUMIF('Team Lineups'!C:C,A12,'Team Lineups'!H:H)</f>
        <v>30</v>
      </c>
      <c r="M12">
        <f t="shared" si="1"/>
        <v>1.5789473684210527</v>
      </c>
      <c r="N12">
        <f>SUMIF('Team Lineups'!C:C,A12,'Team Lineups'!I:I)</f>
        <v>9</v>
      </c>
      <c r="O12">
        <f>COUNTIF(Matches!G:G,A12)</f>
        <v>1</v>
      </c>
      <c r="P12">
        <f t="shared" si="2"/>
        <v>5.2631578947368418E-2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5</v>
      </c>
      <c r="D14">
        <f>SUMIF('Team Lineups'!C:C,A14,'Team Lineups'!E:E)</f>
        <v>33</v>
      </c>
      <c r="E14">
        <f>SUMIF('Team Lineups'!C:C,A14,'Team Lineups'!F:F)</f>
        <v>48</v>
      </c>
      <c r="F14">
        <f t="shared" si="0"/>
        <v>-15</v>
      </c>
      <c r="G14">
        <f>COUNTIFS('Team Lineups'!C:C,A14,'Team Lineups'!G:G,"Win")</f>
        <v>1</v>
      </c>
      <c r="H14">
        <f>COUNTIFS('Team Lineups'!C:C,A14,'Team Lineups'!G:G,"Draw")</f>
        <v>0</v>
      </c>
      <c r="I14">
        <f>COUNTIFS('Team Lineups'!C:C,A14,'Team Lineups'!G:G,"Loss")</f>
        <v>4</v>
      </c>
      <c r="J14" s="3">
        <f t="shared" si="3"/>
        <v>0.2</v>
      </c>
      <c r="K14" s="3">
        <f t="shared" si="4"/>
        <v>0.8</v>
      </c>
      <c r="L14">
        <f>SUMIF('Team Lineups'!C:C,A14,'Team Lineups'!H:H)</f>
        <v>0</v>
      </c>
      <c r="M14">
        <f t="shared" si="1"/>
        <v>0</v>
      </c>
      <c r="N14">
        <f>SUMIF('Team Lineups'!C:C,A14,'Team Lineups'!I:I)</f>
        <v>3</v>
      </c>
      <c r="O14">
        <f>COUNTIF(Matches!G:G,A14)</f>
        <v>1</v>
      </c>
      <c r="P14">
        <f t="shared" si="2"/>
        <v>0.2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5</v>
      </c>
      <c r="D15">
        <f>SUMIF('Team Lineups'!C:C,A15,'Team Lineups'!E:E)</f>
        <v>33</v>
      </c>
      <c r="E15">
        <f>SUMIF('Team Lineups'!C:C,A15,'Team Lineups'!F:F)</f>
        <v>23</v>
      </c>
      <c r="F15">
        <f t="shared" si="0"/>
        <v>10</v>
      </c>
      <c r="G15">
        <f>COUNTIFS('Team Lineups'!C:C,A15,'Team Lineups'!G:G,"Win")</f>
        <v>2</v>
      </c>
      <c r="H15">
        <f>COUNTIFS('Team Lineups'!C:C,A15,'Team Lineups'!G:G,"Draw")</f>
        <v>2</v>
      </c>
      <c r="I15">
        <f>COUNTIFS('Team Lineups'!C:C,A15,'Team Lineups'!G:G,"Loss")</f>
        <v>1</v>
      </c>
      <c r="J15" s="3">
        <f t="shared" si="3"/>
        <v>0.4</v>
      </c>
      <c r="K15" s="3">
        <f t="shared" si="4"/>
        <v>0.2</v>
      </c>
      <c r="L15">
        <f>SUMIF('Team Lineups'!C:C,A15,'Team Lineups'!H:H)</f>
        <v>1</v>
      </c>
      <c r="M15">
        <f t="shared" si="1"/>
        <v>0.2</v>
      </c>
      <c r="N15">
        <f>SUMIF('Team Lineups'!C:C,A15,'Team Lineups'!I:I)</f>
        <v>5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17</v>
      </c>
      <c r="D16">
        <f>SUMIF('Team Lineups'!C:C,A16,'Team Lineups'!E:E)</f>
        <v>88</v>
      </c>
      <c r="E16">
        <f>SUMIF('Team Lineups'!C:C,A16,'Team Lineups'!F:F)</f>
        <v>101</v>
      </c>
      <c r="F16">
        <f t="shared" si="0"/>
        <v>-13</v>
      </c>
      <c r="G16">
        <f>COUNTIFS('Team Lineups'!C:C,A16,'Team Lineups'!G:G,"Win")</f>
        <v>4</v>
      </c>
      <c r="H16">
        <f>COUNTIFS('Team Lineups'!C:C,A16,'Team Lineups'!G:G,"Draw")</f>
        <v>4</v>
      </c>
      <c r="I16">
        <f>COUNTIFS('Team Lineups'!C:C,A16,'Team Lineups'!G:G,"Loss")</f>
        <v>9</v>
      </c>
      <c r="J16" s="3">
        <f t="shared" si="3"/>
        <v>0.23529411764705882</v>
      </c>
      <c r="K16" s="3">
        <f t="shared" si="4"/>
        <v>0.52941176470588236</v>
      </c>
      <c r="L16">
        <f>SUMIF('Team Lineups'!C:C,A16,'Team Lineups'!H:H)</f>
        <v>7</v>
      </c>
      <c r="M16">
        <f t="shared" si="1"/>
        <v>0.41176470588235292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17</v>
      </c>
      <c r="D17">
        <f>SUMIF('Team Lineups'!C:C,A17,'Team Lineups'!E:E)</f>
        <v>102</v>
      </c>
      <c r="E17">
        <f>SUMIF('Team Lineups'!C:C,A17,'Team Lineups'!F:F)</f>
        <v>90</v>
      </c>
      <c r="F17">
        <f t="shared" si="0"/>
        <v>12</v>
      </c>
      <c r="G17">
        <f>COUNTIFS('Team Lineups'!C:C,A17,'Team Lineups'!G:G,"Win")</f>
        <v>9</v>
      </c>
      <c r="H17">
        <f>COUNTIFS('Team Lineups'!C:C,A17,'Team Lineups'!G:G,"Draw")</f>
        <v>4</v>
      </c>
      <c r="I17">
        <f>COUNTIFS('Team Lineups'!C:C,A17,'Team Lineups'!G:G,"Loss")</f>
        <v>4</v>
      </c>
      <c r="J17" s="3">
        <f t="shared" si="3"/>
        <v>0.52941176470588236</v>
      </c>
      <c r="K17" s="3">
        <f t="shared" si="4"/>
        <v>0.23529411764705882</v>
      </c>
      <c r="L17">
        <f>SUMIF('Team Lineups'!C:C,A17,'Team Lineups'!H:H)</f>
        <v>7</v>
      </c>
      <c r="M17">
        <f t="shared" si="1"/>
        <v>0.41176470588235292</v>
      </c>
      <c r="N17">
        <f>SUMIF('Team Lineups'!C:C,A17,'Team Lineups'!I:I)</f>
        <v>12</v>
      </c>
      <c r="O17">
        <f>COUNTIF(Matches!G:G,A17)</f>
        <v>1</v>
      </c>
      <c r="P17">
        <f t="shared" si="2"/>
        <v>5.8823529411764705E-2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14</v>
      </c>
      <c r="D18">
        <f>SUMIF('Team Lineups'!C:C,A18,'Team Lineups'!E:E)</f>
        <v>99</v>
      </c>
      <c r="E18">
        <f>SUMIF('Team Lineups'!C:C,A18,'Team Lineups'!F:F)</f>
        <v>109</v>
      </c>
      <c r="F18">
        <f t="shared" si="0"/>
        <v>-10</v>
      </c>
      <c r="G18">
        <f>COUNTIFS('Team Lineups'!C:C,A18,'Team Lineups'!G:G,"Win")</f>
        <v>6</v>
      </c>
      <c r="H18">
        <f>COUNTIFS('Team Lineups'!C:C,A18,'Team Lineups'!G:G,"Draw")</f>
        <v>2</v>
      </c>
      <c r="I18">
        <f>COUNTIFS('Team Lineups'!C:C,A18,'Team Lineups'!G:G,"Loss")</f>
        <v>6</v>
      </c>
      <c r="J18" s="3">
        <f t="shared" si="3"/>
        <v>0.42857142857142855</v>
      </c>
      <c r="K18" s="3">
        <f t="shared" si="4"/>
        <v>0.42857142857142855</v>
      </c>
      <c r="L18">
        <f>SUMIF('Team Lineups'!C:C,A18,'Team Lineups'!H:H)</f>
        <v>9</v>
      </c>
      <c r="M18">
        <f t="shared" si="1"/>
        <v>0.6428571428571429</v>
      </c>
      <c r="N18">
        <f>SUMIF('Team Lineups'!C:C,A18,'Team Lineups'!I:I)</f>
        <v>5</v>
      </c>
      <c r="O18">
        <f>COUNTIF(Matches!G:G,A18)</f>
        <v>1</v>
      </c>
      <c r="P18">
        <f t="shared" si="2"/>
        <v>7.1428571428571425E-2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7</v>
      </c>
      <c r="D21">
        <f>SUMIF('Team Lineups'!C:C,A21,'Team Lineups'!E:E)</f>
        <v>49</v>
      </c>
      <c r="E21">
        <f>SUMIF('Team Lineups'!C:C,A21,'Team Lineups'!F:F)</f>
        <v>53</v>
      </c>
      <c r="F21">
        <f t="shared" si="0"/>
        <v>-4</v>
      </c>
      <c r="G21">
        <f>COUNTIFS('Team Lineups'!C:C,A21,'Team Lineups'!G:G,"Win")</f>
        <v>2</v>
      </c>
      <c r="H21">
        <f>COUNTIFS('Team Lineups'!C:C,A21,'Team Lineups'!G:G,"Draw")</f>
        <v>1</v>
      </c>
      <c r="I21">
        <f>COUNTIFS('Team Lineups'!C:C,A21,'Team Lineups'!G:G,"Loss")</f>
        <v>4</v>
      </c>
      <c r="J21" s="3">
        <f t="shared" si="3"/>
        <v>0.2857142857142857</v>
      </c>
      <c r="K21" s="3">
        <f t="shared" si="4"/>
        <v>0.5714285714285714</v>
      </c>
      <c r="L21">
        <f>SUMIF('Team Lineups'!C:C,A21,'Team Lineups'!H:H)</f>
        <v>3</v>
      </c>
      <c r="M21">
        <f t="shared" si="1"/>
        <v>0.42857142857142855</v>
      </c>
      <c r="N21">
        <f>SUMIF('Team Lineups'!C:C,A21,'Team Lineups'!I:I)</f>
        <v>9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0</v>
      </c>
      <c r="D22">
        <f>SUMIF('Team Lineups'!C:C,A22,'Team Lineups'!E:E)</f>
        <v>0</v>
      </c>
      <c r="E22">
        <f>SUMIF('Team Lineups'!C:C,A22,'Team Lineups'!F:F)</f>
        <v>0</v>
      </c>
      <c r="F22">
        <f t="shared" si="0"/>
        <v>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0</v>
      </c>
      <c r="J22" s="3" t="e">
        <f t="shared" si="3"/>
        <v>#DIV/0!</v>
      </c>
      <c r="K22" s="3" t="e">
        <f t="shared" si="4"/>
        <v>#DIV/0!</v>
      </c>
      <c r="L22">
        <f>SUMIF('Team Lineups'!C:C,A22,'Team Lineups'!H:H)</f>
        <v>0</v>
      </c>
      <c r="M22" t="e">
        <f t="shared" si="1"/>
        <v>#DIV/0!</v>
      </c>
      <c r="N22">
        <f>SUMIF('Team Lineups'!C:C,A22,'Team Lineups'!I:I)</f>
        <v>0</v>
      </c>
      <c r="O22">
        <f>COUNTIF(Matches!G:G,A22)</f>
        <v>0</v>
      </c>
      <c r="P22" t="e">
        <f t="shared" si="2"/>
        <v>#DIV/0!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19</v>
      </c>
      <c r="D23">
        <f>SUMIF('Team Lineups'!C:C,A23,'Team Lineups'!E:E)</f>
        <v>122</v>
      </c>
      <c r="E23">
        <f>SUMIF('Team Lineups'!C:C,A23,'Team Lineups'!F:F)</f>
        <v>114</v>
      </c>
      <c r="F23">
        <f t="shared" si="0"/>
        <v>8</v>
      </c>
      <c r="G23">
        <f>COUNTIFS('Team Lineups'!C:C,A23,'Team Lineups'!G:G,"Win")</f>
        <v>8</v>
      </c>
      <c r="H23">
        <f>COUNTIFS('Team Lineups'!C:C,A23,'Team Lineups'!G:G,"Draw")</f>
        <v>4</v>
      </c>
      <c r="I23">
        <f>COUNTIFS('Team Lineups'!C:C,A23,'Team Lineups'!G:G,"Loss")</f>
        <v>7</v>
      </c>
      <c r="J23" s="3">
        <f t="shared" si="3"/>
        <v>0.42105263157894735</v>
      </c>
      <c r="K23" s="3">
        <f t="shared" si="4"/>
        <v>0.36842105263157893</v>
      </c>
      <c r="L23">
        <f>SUMIF('Team Lineups'!C:C,A23,'Team Lineups'!H:H)</f>
        <v>25</v>
      </c>
      <c r="M23">
        <f t="shared" si="1"/>
        <v>1.3157894736842106</v>
      </c>
      <c r="N23">
        <f>SUMIF('Team Lineups'!C:C,A23,'Team Lineups'!I:I)</f>
        <v>10</v>
      </c>
      <c r="O23">
        <f>COUNTIF(Matches!G:G,A23)</f>
        <v>4</v>
      </c>
      <c r="P23">
        <f t="shared" si="2"/>
        <v>0.21052631578947367</v>
      </c>
      <c r="Q23">
        <f>SUMIF('Team Lineups'!C:C,A23,'Team Lineups'!J:J)</f>
        <v>2</v>
      </c>
    </row>
    <row r="24" spans="1:17" x14ac:dyDescent="0.35">
      <c r="A24" t="s">
        <v>25</v>
      </c>
      <c r="C24">
        <f>COUNTIF('Team Lineups'!C:C,A24)</f>
        <v>20</v>
      </c>
      <c r="D24">
        <f>SUMIF('Team Lineups'!C:C,A24,'Team Lineups'!E:E)</f>
        <v>125</v>
      </c>
      <c r="E24">
        <f>SUMIF('Team Lineups'!C:C,A24,'Team Lineups'!F:F)</f>
        <v>128</v>
      </c>
      <c r="F24">
        <f t="shared" si="0"/>
        <v>-3</v>
      </c>
      <c r="G24">
        <f>COUNTIFS('Team Lineups'!C:C,A24,'Team Lineups'!G:G,"Win")</f>
        <v>5</v>
      </c>
      <c r="H24">
        <f>COUNTIFS('Team Lineups'!C:C,A24,'Team Lineups'!G:G,"Draw")</f>
        <v>5</v>
      </c>
      <c r="I24">
        <f>COUNTIFS('Team Lineups'!C:C,A24,'Team Lineups'!G:G,"Loss")</f>
        <v>10</v>
      </c>
      <c r="J24" s="3">
        <f t="shared" si="3"/>
        <v>0.25</v>
      </c>
      <c r="K24" s="3">
        <f t="shared" si="4"/>
        <v>0.5</v>
      </c>
      <c r="L24">
        <f>SUMIF('Team Lineups'!C:C,A24,'Team Lineups'!H:H)</f>
        <v>11</v>
      </c>
      <c r="M24">
        <f t="shared" si="1"/>
        <v>0.55000000000000004</v>
      </c>
      <c r="N24">
        <f>SUMIF('Team Lineups'!C:C,A24,'Team Lineups'!I:I)</f>
        <v>9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18</v>
      </c>
      <c r="D25">
        <f>SUMIF('Team Lineups'!C:C,A25,'Team Lineups'!E:E)</f>
        <v>126</v>
      </c>
      <c r="E25">
        <f>SUMIF('Team Lineups'!C:C,A25,'Team Lineups'!F:F)</f>
        <v>104</v>
      </c>
      <c r="F25">
        <f t="shared" si="0"/>
        <v>22</v>
      </c>
      <c r="G25">
        <f>COUNTIFS('Team Lineups'!C:C,A25,'Team Lineups'!G:G,"Win")</f>
        <v>10</v>
      </c>
      <c r="H25">
        <f>COUNTIFS('Team Lineups'!C:C,A25,'Team Lineups'!G:G,"Draw")</f>
        <v>4</v>
      </c>
      <c r="I25">
        <f>COUNTIFS('Team Lineups'!C:C,A25,'Team Lineups'!G:G,"Loss")</f>
        <v>4</v>
      </c>
      <c r="J25" s="3">
        <f t="shared" si="3"/>
        <v>0.55555555555555558</v>
      </c>
      <c r="K25" s="3">
        <f t="shared" si="4"/>
        <v>0.22222222222222221</v>
      </c>
      <c r="L25">
        <f>SUMIF('Team Lineups'!C:C,A25,'Team Lineups'!H:H)</f>
        <v>28</v>
      </c>
      <c r="M25">
        <f t="shared" si="1"/>
        <v>1.5555555555555556</v>
      </c>
      <c r="N25">
        <f>SUMIF('Team Lineups'!C:C,A25,'Team Lineups'!I:I)</f>
        <v>9</v>
      </c>
      <c r="O25">
        <f>COUNTIF(Matches!G:G,A25)</f>
        <v>2</v>
      </c>
      <c r="P25">
        <f t="shared" si="2"/>
        <v>0.1111111111111111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8</v>
      </c>
      <c r="D26">
        <f>SUMIF('Team Lineups'!C:C,A26,'Team Lineups'!E:E)</f>
        <v>37</v>
      </c>
      <c r="E26">
        <f>SUMIF('Team Lineups'!C:C,A26,'Team Lineups'!F:F)</f>
        <v>42</v>
      </c>
      <c r="F26">
        <f t="shared" si="0"/>
        <v>-5</v>
      </c>
      <c r="G26">
        <f>COUNTIFS('Team Lineups'!C:C,A26,'Team Lineups'!G:G,"Win")</f>
        <v>2</v>
      </c>
      <c r="H26">
        <f>COUNTIFS('Team Lineups'!C:C,A26,'Team Lineups'!G:G,"Draw")</f>
        <v>1</v>
      </c>
      <c r="I26">
        <f>COUNTIFS('Team Lineups'!C:C,A26,'Team Lineups'!G:G,"Loss")</f>
        <v>5</v>
      </c>
      <c r="J26" s="3">
        <f t="shared" si="3"/>
        <v>0.25</v>
      </c>
      <c r="K26" s="3">
        <f t="shared" si="4"/>
        <v>0.625</v>
      </c>
      <c r="L26">
        <f>SUMIF('Team Lineups'!C:C,A26,'Team Lineups'!H:H)</f>
        <v>0</v>
      </c>
      <c r="M26">
        <f t="shared" si="1"/>
        <v>0</v>
      </c>
      <c r="N26">
        <f>SUMIF('Team Lineups'!C:C,A26,'Team Lineups'!I:I)</f>
        <v>3</v>
      </c>
      <c r="O26">
        <f>COUNTIF(Matches!G:G,A26)</f>
        <v>1</v>
      </c>
      <c r="P26">
        <f t="shared" si="2"/>
        <v>0.125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15</v>
      </c>
      <c r="D33">
        <f>SUMIF('Team Lineups'!C:C,A33,'Team Lineups'!E:E)</f>
        <v>107</v>
      </c>
      <c r="E33">
        <f>SUMIF('Team Lineups'!C:C,A33,'Team Lineups'!F:F)</f>
        <v>102</v>
      </c>
      <c r="F33">
        <f t="shared" si="5"/>
        <v>5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5</v>
      </c>
      <c r="J33" s="3">
        <f t="shared" si="6"/>
        <v>0.46666666666666667</v>
      </c>
      <c r="K33" s="3">
        <f t="shared" si="4"/>
        <v>0.33333333333333331</v>
      </c>
      <c r="L33">
        <f>SUMIF('Team Lineups'!C:C,A33,'Team Lineups'!H:H)</f>
        <v>45</v>
      </c>
      <c r="M33">
        <f t="shared" si="7"/>
        <v>3</v>
      </c>
      <c r="N33">
        <f>SUMIF('Team Lineups'!C:C,A33,'Team Lineups'!I:I)</f>
        <v>15</v>
      </c>
      <c r="O33">
        <f>COUNTIF(Matches!G:G,A33)</f>
        <v>2</v>
      </c>
      <c r="P33">
        <f t="shared" si="8"/>
        <v>0.13333333333333333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6</v>
      </c>
      <c r="D34">
        <f>SUMIF('Team Lineups'!C:C,A34,'Team Lineups'!E:E)</f>
        <v>37</v>
      </c>
      <c r="E34">
        <f>SUMIF('Team Lineups'!C:C,A34,'Team Lineups'!F:F)</f>
        <v>26</v>
      </c>
      <c r="F34">
        <f t="shared" si="5"/>
        <v>11</v>
      </c>
      <c r="G34">
        <f>COUNTIFS('Team Lineups'!C:C,A34,'Team Lineups'!G:G,"Win")</f>
        <v>3</v>
      </c>
      <c r="H34">
        <f>COUNTIFS('Team Lineups'!C:C,A34,'Team Lineups'!G:G,"Draw")</f>
        <v>1</v>
      </c>
      <c r="I34">
        <f>COUNTIFS('Team Lineups'!C:C,A34,'Team Lineups'!G:G,"Loss")</f>
        <v>2</v>
      </c>
      <c r="J34" s="3">
        <f t="shared" si="6"/>
        <v>0.5</v>
      </c>
      <c r="K34" s="3">
        <f t="shared" si="4"/>
        <v>0.33333333333333331</v>
      </c>
      <c r="L34">
        <f>SUMIF('Team Lineups'!C:C,A34,'Team Lineups'!H:H)</f>
        <v>6</v>
      </c>
      <c r="M34">
        <f t="shared" si="7"/>
        <v>1</v>
      </c>
      <c r="N34">
        <f>SUMIF('Team Lineups'!C:C,A34,'Team Lineups'!I:I)</f>
        <v>4</v>
      </c>
      <c r="O34">
        <f>COUNTIF(Matches!G:G,A34)</f>
        <v>2</v>
      </c>
      <c r="P34">
        <f t="shared" si="8"/>
        <v>0.33333333333333331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5</v>
      </c>
      <c r="D35">
        <f>SUMIF('Team Lineups'!C:C,A35,'Team Lineups'!E:E)</f>
        <v>20</v>
      </c>
      <c r="E35">
        <f>SUMIF('Team Lineups'!C:C,A35,'Team Lineups'!F:F)</f>
        <v>32</v>
      </c>
      <c r="F35">
        <f t="shared" ref="F35" si="9">D35-E35</f>
        <v>-12</v>
      </c>
      <c r="G35">
        <f>COUNTIFS('Team Lineups'!C:C,A35,'Team Lineups'!G:G,"Win")</f>
        <v>0</v>
      </c>
      <c r="H35">
        <f>COUNTIFS('Team Lineups'!C:C,A35,'Team Lineups'!G:G,"Draw")</f>
        <v>0</v>
      </c>
      <c r="I35">
        <f>COUNTIFS('Team Lineups'!C:C,A35,'Team Lineups'!G:G,"Loss")</f>
        <v>5</v>
      </c>
      <c r="J35" s="3">
        <f t="shared" ref="J35" si="10">G35/C35</f>
        <v>0</v>
      </c>
      <c r="K35" s="3">
        <f t="shared" si="4"/>
        <v>1</v>
      </c>
      <c r="L35">
        <f>SUMIF('Team Lineups'!C:C,A35,'Team Lineups'!H:H)</f>
        <v>1</v>
      </c>
      <c r="M35">
        <f t="shared" ref="M35" si="11">L35/C35</f>
        <v>0.2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6</v>
      </c>
      <c r="D37">
        <f>SUMIF('Team Lineups'!C:C,A37,'Team Lineups'!E:E)</f>
        <v>32</v>
      </c>
      <c r="E37">
        <f>SUMIF('Team Lineups'!C:C,A37,'Team Lineups'!F:F)</f>
        <v>36</v>
      </c>
      <c r="F37">
        <f t="shared" ref="F37:F42" si="17">D37-E37</f>
        <v>-4</v>
      </c>
      <c r="G37">
        <f>COUNTIFS('Team Lineups'!C:C,A37,'Team Lineups'!G:G,"Win")</f>
        <v>4</v>
      </c>
      <c r="H37">
        <f>COUNTIFS('Team Lineups'!C:C,A37,'Team Lineups'!G:G,"Draw")</f>
        <v>1</v>
      </c>
      <c r="I37">
        <f>COUNTIFS('Team Lineups'!C:C,A37,'Team Lineups'!G:G,"Loss")</f>
        <v>1</v>
      </c>
      <c r="J37" s="3">
        <f t="shared" ref="J37:J42" si="18">G37/C37</f>
        <v>0.66666666666666663</v>
      </c>
      <c r="K37" s="3">
        <f t="shared" ref="K37:K42" si="19">I37/C37</f>
        <v>0.16666666666666666</v>
      </c>
      <c r="L37">
        <f>SUMIF('Team Lineups'!C:C,A37,'Team Lineups'!H:H)</f>
        <v>3</v>
      </c>
      <c r="M37">
        <f t="shared" ref="M37:M42" si="20">L37/C37</f>
        <v>0.5</v>
      </c>
      <c r="N37">
        <f>SUMIF('Team Lineups'!C:C,A37,'Team Lineups'!I:I)</f>
        <v>4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2</v>
      </c>
      <c r="D38">
        <f>SUMIF('Team Lineups'!C:C,A38,'Team Lineups'!E:E)</f>
        <v>10</v>
      </c>
      <c r="E38">
        <f>SUMIF('Team Lineups'!C:C,A38,'Team Lineups'!F:F)</f>
        <v>6</v>
      </c>
      <c r="F38">
        <f t="shared" si="17"/>
        <v>4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0</v>
      </c>
      <c r="J38" s="3">
        <f t="shared" si="18"/>
        <v>1</v>
      </c>
      <c r="K38" s="3">
        <f t="shared" si="19"/>
        <v>0</v>
      </c>
      <c r="L38">
        <f>SUMIF('Team Lineups'!C:C,A38,'Team Lineups'!H:H)</f>
        <v>1</v>
      </c>
      <c r="M38">
        <f t="shared" si="20"/>
        <v>0.5</v>
      </c>
      <c r="N38">
        <f>SUMIF('Team Lineups'!C:C,A38,'Team Lineups'!I:I)</f>
        <v>0</v>
      </c>
      <c r="O38">
        <f>COUNTIF(Matches!G:G,A38)</f>
        <v>2</v>
      </c>
      <c r="P38">
        <f t="shared" si="21"/>
        <v>1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4</v>
      </c>
      <c r="D41">
        <f>SUMIF('Team Lineups'!C:C,A41,'Team Lineups'!E:E)</f>
        <v>20</v>
      </c>
      <c r="E41">
        <f>SUMIF('Team Lineups'!C:C,A41,'Team Lineups'!F:F)</f>
        <v>22</v>
      </c>
      <c r="F41">
        <f t="shared" si="17"/>
        <v>-2</v>
      </c>
      <c r="G41">
        <f>COUNTIFS('Team Lineups'!C:C,A41,'Team Lineups'!G:G,"Win")</f>
        <v>1</v>
      </c>
      <c r="H41">
        <f>COUNTIFS('Team Lineups'!C:C,A41,'Team Lineups'!G:G,"Draw")</f>
        <v>1</v>
      </c>
      <c r="I41">
        <f>COUNTIFS('Team Lineups'!C:C,A41,'Team Lineups'!G:G,"Loss")</f>
        <v>2</v>
      </c>
      <c r="J41" s="3">
        <f t="shared" si="18"/>
        <v>0.25</v>
      </c>
      <c r="K41" s="3">
        <f t="shared" si="19"/>
        <v>0.5</v>
      </c>
      <c r="L41">
        <f>SUMIF('Team Lineups'!C:C,A41,'Team Lineups'!H:H)</f>
        <v>5</v>
      </c>
      <c r="M41">
        <f t="shared" si="20"/>
        <v>1.25</v>
      </c>
      <c r="N41">
        <f>SUMIF('Team Lineups'!C:C,A41,'Team Lineups'!I:I)</f>
        <v>1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6</v>
      </c>
      <c r="D42">
        <f>SUMIF('Team Lineups'!C:C,A42,'Team Lineups'!E:E)</f>
        <v>40</v>
      </c>
      <c r="E42">
        <f>SUMIF('Team Lineups'!C:C,A42,'Team Lineups'!F:F)</f>
        <v>37</v>
      </c>
      <c r="F42">
        <f t="shared" si="17"/>
        <v>3</v>
      </c>
      <c r="G42">
        <f>COUNTIFS('Team Lineups'!C:C,A42,'Team Lineups'!G:G,"Win")</f>
        <v>3</v>
      </c>
      <c r="H42">
        <f>COUNTIFS('Team Lineups'!C:C,A42,'Team Lineups'!G:G,"Draw")</f>
        <v>1</v>
      </c>
      <c r="I42">
        <f>COUNTIFS('Team Lineups'!C:C,A42,'Team Lineups'!G:G,"Loss")</f>
        <v>2</v>
      </c>
      <c r="J42" s="3">
        <f t="shared" si="18"/>
        <v>0.5</v>
      </c>
      <c r="K42" s="3">
        <f t="shared" si="19"/>
        <v>0.33333333333333331</v>
      </c>
      <c r="L42">
        <f>SUMIF('Team Lineups'!C:C,A42,'Team Lineups'!H:H)</f>
        <v>4</v>
      </c>
      <c r="M42">
        <f t="shared" si="20"/>
        <v>0.66666666666666663</v>
      </c>
      <c r="N42">
        <f>SUMIF('Team Lineups'!C:C,A42,'Team Lineups'!I:I)</f>
        <v>2</v>
      </c>
      <c r="O42">
        <f>COUNTIF(Matches!G:G,A42)</f>
        <v>0</v>
      </c>
      <c r="P42">
        <f t="shared" si="21"/>
        <v>0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1</v>
      </c>
      <c r="D44">
        <f>SUMIF('Team Lineups'!C:C,A44,'Team Lineups'!E:E)</f>
        <v>14</v>
      </c>
      <c r="E44">
        <f>SUMIF('Team Lineups'!C:C,A44,'Team Lineups'!F:F)</f>
        <v>10</v>
      </c>
      <c r="F44">
        <f t="shared" ref="F44" si="27">D44-E44</f>
        <v>4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ref="J44" si="28">G44/C44</f>
        <v>1</v>
      </c>
      <c r="K44" s="3">
        <f t="shared" ref="K44" si="29">I44/C44</f>
        <v>0</v>
      </c>
      <c r="L44">
        <f>SUMIF('Team Lineups'!C:C,A44,'Team Lineups'!H:H)</f>
        <v>1</v>
      </c>
      <c r="M44">
        <f t="shared" ref="M44" si="30">L44/C44</f>
        <v>1</v>
      </c>
      <c r="N44">
        <f>SUMIF('Team Lineups'!C:C,A44,'Team Lineups'!I:I)</f>
        <v>1</v>
      </c>
      <c r="O44">
        <f>COUNTIF(Matches!G:G,A44)</f>
        <v>0</v>
      </c>
      <c r="P44">
        <f t="shared" ref="P44" si="31">O44/C44</f>
        <v>0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2</v>
      </c>
      <c r="D45">
        <f>SUMIF('Team Lineups'!C:C,A45,'Team Lineups'!E:E)</f>
        <v>6</v>
      </c>
      <c r="E45">
        <f>SUMIF('Team Lineups'!C:C,A45,'Team Lineups'!F:F)</f>
        <v>15</v>
      </c>
      <c r="F45">
        <f t="shared" ref="F45" si="32">D45-E45</f>
        <v>-9</v>
      </c>
      <c r="G45">
        <f>COUNTIFS('Team Lineups'!C:C,A45,'Team Lineups'!G:G,"Win")</f>
        <v>1</v>
      </c>
      <c r="H45">
        <f>COUNTIFS('Team Lineups'!C:C,A45,'Team Lineups'!G:G,"Draw")</f>
        <v>0</v>
      </c>
      <c r="I45">
        <f>COUNTIFS('Team Lineups'!C:C,A45,'Team Lineups'!G:G,"Loss")</f>
        <v>1</v>
      </c>
      <c r="J45" s="3">
        <f t="shared" ref="J45" si="33">G45/C45</f>
        <v>0.5</v>
      </c>
      <c r="K45" s="3">
        <f t="shared" ref="K45" si="34">I45/C45</f>
        <v>0.5</v>
      </c>
      <c r="L45">
        <f>SUMIF('Team Lineups'!C:C,A45,'Team Lineups'!H:H)</f>
        <v>1</v>
      </c>
      <c r="M45">
        <f t="shared" ref="M45" si="35">L45/C45</f>
        <v>0.5</v>
      </c>
      <c r="N45">
        <f>SUMIF('Team Lineups'!C:C,A45,'Team Lineups'!I:I)</f>
        <v>0</v>
      </c>
      <c r="O45">
        <f>COUNTIF(Matches!G:G,A45)</f>
        <v>1</v>
      </c>
      <c r="P45">
        <f t="shared" ref="P45" si="36">O45/C45</f>
        <v>0.5</v>
      </c>
      <c r="Q45">
        <f>SUMIF('Team Lineups'!C:C,A45,'Team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3"/>
  <sheetViews>
    <sheetView topLeftCell="K1" workbookViewId="0">
      <selection activeCell="AQ42" sqref="AQ42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3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16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5</v>
      </c>
      <c r="E2" cm="1">
        <f t="array" ref="E2">SUMPRODUCT(('Team Lineups'!$K$2:$K$2000&lt;&gt;"")*('Team Lineups'!$C$2:$C$2000=$A2)*COUNTIFS('Team Lineups'!$K$2:$K$2000,'Team Lineups'!$K$2:$K$2000,'Team Lineups'!$C$2:$C$2000,E$1))</f>
        <v>5</v>
      </c>
      <c r="F2" cm="1">
        <f t="array" ref="F2">SUMPRODUCT(('Team Lineups'!$K$2:$K$2000&lt;&gt;"")*('Team Lineups'!$C$2:$C$2000=$A2)*COUNTIFS('Team Lineups'!$K$2:$K$2000,'Team Lineups'!$K$2:$K$2000,'Team Lineups'!$C$2:$C$2000,F$1))</f>
        <v>2</v>
      </c>
      <c r="G2" cm="1">
        <f t="array" ref="G2">SUMPRODUCT(('Team Lineups'!$K$2:$K$2000&lt;&gt;"")*('Team Lineups'!$C$2:$C$2000=$A2)*COUNTIFS('Team Lineups'!$K$2:$K$2000,'Team Lineups'!$K$2:$K$2000,'Team Lineups'!$C$2:$C$2000,G$1))</f>
        <v>5</v>
      </c>
      <c r="H2" cm="1">
        <f t="array" ref="H2">SUMPRODUCT(('Team Lineups'!$K$2:$K$2000&lt;&gt;"")*('Team Lineups'!$C$2:$C$2000=$A2)*COUNTIFS('Team Lineups'!$K$2:$K$2000,'Team Lineups'!$K$2:$K$2000,'Team Lineups'!$C$2:$C$2000,H$1))</f>
        <v>4</v>
      </c>
      <c r="I2" cm="1">
        <f t="array" ref="I2">SUMPRODUCT(('Team Lineups'!$K$2:$K$2000&lt;&gt;"")*('Team Lineups'!$C$2:$C$2000=$A2)*COUNTIFS('Team Lineups'!$K$2:$K$2000,'Team Lineups'!$K$2:$K$2000,'Team Lineups'!$C$2:$C$2000,I$1))</f>
        <v>8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5</v>
      </c>
      <c r="N2" cm="1">
        <f t="array" ref="N2">SUMPRODUCT(('Team Lineups'!$K$2:$K$2000&lt;&gt;"")*('Team Lineups'!$C$2:$C$2000=$A2)*COUNTIFS('Team Lineups'!$K$2:$K$2000,'Team Lineups'!$K$2:$K$2000,'Team Lineups'!$C$2:$C$2000,N$1))</f>
        <v>8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1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4</v>
      </c>
      <c r="AB2" cm="1">
        <f t="array" ref="AB2">SUMPRODUCT(('Team Lineups'!$K$2:$K$2000&lt;&gt;"")*('Team Lineups'!$C$2:$C$2000=$A2)*COUNTIFS('Team Lineups'!$K$2:$K$2000,'Team Lineups'!$K$2:$K$2000,'Team Lineups'!$C$2:$C$2000,AB$1))</f>
        <v>0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2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3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1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5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17</v>
      </c>
      <c r="E4" cm="1">
        <f t="array" ref="E4">SUMPRODUCT(('Team Lineups'!$K$2:$K$2000&lt;&gt;"")*('Team Lineups'!$C$2:$C$2000=$A4)*COUNTIFS('Team Lineups'!$K$2:$K$2000,'Team Lineups'!$K$2:$K$2000,'Team Lineups'!$C$2:$C$2000,E$1))</f>
        <v>5</v>
      </c>
      <c r="F4" cm="1">
        <f t="array" ref="F4">SUMPRODUCT(('Team Lineups'!$K$2:$K$2000&lt;&gt;"")*('Team Lineups'!$C$2:$C$2000=$A4)*COUNTIFS('Team Lineups'!$K$2:$K$2000,'Team Lineups'!$K$2:$K$2000,'Team Lineups'!$C$2:$C$2000,F$1))</f>
        <v>8</v>
      </c>
      <c r="G4" cm="1">
        <f t="array" ref="G4">SUMPRODUCT(('Team Lineups'!$K$2:$K$2000&lt;&gt;"")*('Team Lineups'!$C$2:$C$2000=$A4)*COUNTIFS('Team Lineups'!$K$2:$K$2000,'Team Lineups'!$K$2:$K$2000,'Team Lineups'!$C$2:$C$2000,G$1))</f>
        <v>1</v>
      </c>
      <c r="H4" cm="1">
        <f t="array" ref="H4">SUMPRODUCT(('Team Lineups'!$K$2:$K$2000&lt;&gt;"")*('Team Lineups'!$C$2:$C$2000=$A4)*COUNTIFS('Team Lineups'!$K$2:$K$2000,'Team Lineups'!$K$2:$K$2000,'Team Lineups'!$C$2:$C$2000,H$1))</f>
        <v>5</v>
      </c>
      <c r="I4" cm="1">
        <f t="array" ref="I4">SUMPRODUCT(('Team Lineups'!$K$2:$K$2000&lt;&gt;"")*('Team Lineups'!$C$2:$C$2000=$A4)*COUNTIFS('Team Lineups'!$K$2:$K$2000,'Team Lineups'!$K$2:$K$2000,'Team Lineups'!$C$2:$C$2000,I$1))</f>
        <v>6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3</v>
      </c>
      <c r="N4" cm="1">
        <f t="array" ref="N4">SUMPRODUCT(('Team Lineups'!$K$2:$K$2000&lt;&gt;"")*('Team Lineups'!$C$2:$C$2000=$A4)*COUNTIFS('Team Lineups'!$K$2:$K$2000,'Team Lineups'!$K$2:$K$2000,'Team Lineups'!$C$2:$C$2000,N$1))</f>
        <v>7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3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3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0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0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1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1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5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5</v>
      </c>
      <c r="E5" cm="1">
        <f t="array" ref="E5">SUMPRODUCT(('Team Lineups'!$K$2:$K$2000&lt;&gt;"")*('Team Lineups'!$C$2:$C$2000=$A5)*COUNTIFS('Team Lineups'!$K$2:$K$2000,'Team Lineups'!$K$2:$K$2000,'Team Lineups'!$C$2:$C$2000,E$1))</f>
        <v>17</v>
      </c>
      <c r="F5" cm="1">
        <f t="array" ref="F5">SUMPRODUCT(('Team Lineups'!$K$2:$K$2000&lt;&gt;"")*('Team Lineups'!$C$2:$C$2000=$A5)*COUNTIFS('Team Lineups'!$K$2:$K$2000,'Team Lineups'!$K$2:$K$2000,'Team Lineups'!$C$2:$C$2000,F$1))</f>
        <v>6</v>
      </c>
      <c r="G5" cm="1">
        <f t="array" ref="G5">SUMPRODUCT(('Team Lineups'!$K$2:$K$2000&lt;&gt;"")*('Team Lineups'!$C$2:$C$2000=$A5)*COUNTIFS('Team Lineups'!$K$2:$K$2000,'Team Lineups'!$K$2:$K$2000,'Team Lineups'!$C$2:$C$2000,G$1))</f>
        <v>7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2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5</v>
      </c>
      <c r="M5" cm="1">
        <f t="array" ref="M5">SUMPRODUCT(('Team Lineups'!$K$2:$K$2000&lt;&gt;"")*('Team Lineups'!$C$2:$C$2000=$A5)*COUNTIFS('Team Lineups'!$K$2:$K$2000,'Team Lineups'!$K$2:$K$2000,'Team Lineups'!$C$2:$C$2000,M$1))</f>
        <v>4</v>
      </c>
      <c r="N5" cm="1">
        <f t="array" ref="N5">SUMPRODUCT(('Team Lineups'!$K$2:$K$2000&lt;&gt;"")*('Team Lineups'!$C$2:$C$2000=$A5)*COUNTIFS('Team Lineups'!$K$2:$K$2000,'Team Lineups'!$K$2:$K$2000,'Team Lineups'!$C$2:$C$2000,N$1))</f>
        <v>4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5</v>
      </c>
      <c r="R5" cm="1">
        <f t="array" ref="R5">SUMPRODUCT(('Team Lineups'!$K$2:$K$2000&lt;&gt;"")*('Team Lineups'!$C$2:$C$2000=$A5)*COUNTIFS('Team Lineups'!$K$2:$K$2000,'Team Lineups'!$K$2:$K$2000,'Team Lineups'!$C$2:$C$2000,R$1))</f>
        <v>3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0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2</v>
      </c>
      <c r="AA5" cm="1">
        <f t="array" ref="AA5">SUMPRODUCT(('Team Lineups'!$K$2:$K$2000&lt;&gt;"")*('Team Lineups'!$C$2:$C$2000=$A5)*COUNTIFS('Team Lineups'!$K$2:$K$2000,'Team Lineups'!$K$2:$K$2000,'Team Lineups'!$C$2:$C$2000,AA$1))</f>
        <v>7</v>
      </c>
      <c r="AB5" cm="1">
        <f t="array" ref="AB5">SUMPRODUCT(('Team Lineups'!$K$2:$K$2000&lt;&gt;"")*('Team Lineups'!$C$2:$C$2000=$A5)*COUNTIFS('Team Lineups'!$K$2:$K$2000,'Team Lineups'!$K$2:$K$2000,'Team Lineups'!$C$2:$C$2000,AB$1))</f>
        <v>2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0</v>
      </c>
      <c r="AE5" cm="1">
        <f t="array" ref="AE5">SUMPRODUCT(('Team Lineups'!$K$2:$K$2000&lt;&gt;"")*('Team Lineups'!$C$2:$C$2000=$A5)*COUNTIFS('Team Lineups'!$K$2:$K$2000,'Team Lineups'!$K$2:$K$2000,'Team Lineups'!$C$2:$C$2000,AE$1))</f>
        <v>1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2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0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4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1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1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2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8</v>
      </c>
      <c r="E6" cm="1">
        <f t="array" ref="E6">SUMPRODUCT(('Team Lineups'!$K$2:$K$2000&lt;&gt;"")*('Team Lineups'!$C$2:$C$2000=$A6)*COUNTIFS('Team Lineups'!$K$2:$K$2000,'Team Lineups'!$K$2:$K$2000,'Team Lineups'!$C$2:$C$2000,E$1))</f>
        <v>6</v>
      </c>
      <c r="F6" cm="1">
        <f t="array" ref="F6">SUMPRODUCT(('Team Lineups'!$K$2:$K$2000&lt;&gt;"")*('Team Lineups'!$C$2:$C$2000=$A6)*COUNTIFS('Team Lineups'!$K$2:$K$2000,'Team Lineups'!$K$2:$K$2000,'Team Lineups'!$C$2:$C$2000,F$1))</f>
        <v>14</v>
      </c>
      <c r="G6" cm="1">
        <f t="array" ref="G6">SUMPRODUCT(('Team Lineups'!$K$2:$K$2000&lt;&gt;"")*('Team Lineups'!$C$2:$C$2000=$A6)*COUNTIFS('Team Lineups'!$K$2:$K$2000,'Team Lineups'!$K$2:$K$2000,'Team Lineups'!$C$2:$C$2000,G$1))</f>
        <v>1</v>
      </c>
      <c r="H6" cm="1">
        <f t="array" ref="H6">SUMPRODUCT(('Team Lineups'!$K$2:$K$2000&lt;&gt;"")*('Team Lineups'!$C$2:$C$2000=$A6)*COUNTIFS('Team Lineups'!$K$2:$K$2000,'Team Lineups'!$K$2:$K$2000,'Team Lineups'!$C$2:$C$2000,H$1))</f>
        <v>3</v>
      </c>
      <c r="I6" cm="1">
        <f t="array" ref="I6">SUMPRODUCT(('Team Lineups'!$K$2:$K$2000&lt;&gt;"")*('Team Lineups'!$C$2:$C$2000=$A6)*COUNTIFS('Team Lineups'!$K$2:$K$2000,'Team Lineups'!$K$2:$K$2000,'Team Lineups'!$C$2:$C$2000,I$1))</f>
        <v>4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5</v>
      </c>
      <c r="M6" cm="1">
        <f t="array" ref="M6">SUMPRODUCT(('Team Lineups'!$K$2:$K$2000&lt;&gt;"")*('Team Lineups'!$C$2:$C$2000=$A6)*COUNTIFS('Team Lineups'!$K$2:$K$2000,'Team Lineups'!$K$2:$K$2000,'Team Lineups'!$C$2:$C$2000,M$1))</f>
        <v>6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3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4</v>
      </c>
      <c r="R6" cm="1">
        <f t="array" ref="R6">SUMPRODUCT(('Team Lineups'!$K$2:$K$2000&lt;&gt;"")*('Team Lineups'!$C$2:$C$2000=$A6)*COUNTIFS('Team Lineups'!$K$2:$K$2000,'Team Lineups'!$K$2:$K$2000,'Team Lineups'!$C$2:$C$2000,R$1))</f>
        <v>5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0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4</v>
      </c>
      <c r="AB6" cm="1">
        <f t="array" ref="AB6">SUMPRODUCT(('Team Lineups'!$K$2:$K$2000&lt;&gt;"")*('Team Lineups'!$C$2:$C$2000=$A6)*COUNTIFS('Team Lineups'!$K$2:$K$2000,'Team Lineups'!$K$2:$K$2000,'Team Lineups'!$C$2:$C$2000,AB$1))</f>
        <v>1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0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0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1</v>
      </c>
      <c r="AO6" cm="1">
        <f t="array" ref="AO6">SUMPRODUCT(('Team Lineups'!$K$2:$K$2000&lt;&gt;"")*('Team Lineups'!$C$2:$C$2000=$A6)*COUNTIFS('Team Lineups'!$K$2:$K$2000,'Team Lineups'!$K$2:$K$2000,'Team Lineups'!$C$2:$C$2000,AO$1))</f>
        <v>0</v>
      </c>
      <c r="AP6" cm="1">
        <f t="array" ref="AP6">SUMPRODUCT(('Team Lineups'!$K$2:$K$2000&lt;&gt;"")*('Team Lineups'!$C$2:$C$2000=$A6)*COUNTIFS('Team Lineups'!$K$2:$K$2000,'Team Lineups'!$K$2:$K$2000,'Team Lineups'!$C$2:$C$2000,AP$1))</f>
        <v>1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5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1</v>
      </c>
      <c r="E7" cm="1">
        <f t="array" ref="E7">SUMPRODUCT(('Team Lineups'!$K$2:$K$2000&lt;&gt;"")*('Team Lineups'!$C$2:$C$2000=$A7)*COUNTIFS('Team Lineups'!$K$2:$K$2000,'Team Lineups'!$K$2:$K$2000,'Team Lineups'!$C$2:$C$2000,E$1))</f>
        <v>7</v>
      </c>
      <c r="F7" cm="1">
        <f t="array" ref="F7">SUMPRODUCT(('Team Lineups'!$K$2:$K$2000&lt;&gt;"")*('Team Lineups'!$C$2:$C$2000=$A7)*COUNTIFS('Team Lineups'!$K$2:$K$2000,'Team Lineups'!$K$2:$K$2000,'Team Lineups'!$C$2:$C$2000,F$1))</f>
        <v>1</v>
      </c>
      <c r="G7" cm="1">
        <f t="array" ref="G7">SUMPRODUCT(('Team Lineups'!$K$2:$K$2000&lt;&gt;"")*('Team Lineups'!$C$2:$C$2000=$A7)*COUNTIFS('Team Lineups'!$K$2:$K$2000,'Team Lineups'!$K$2:$K$2000,'Team Lineups'!$C$2:$C$2000,G$1))</f>
        <v>19</v>
      </c>
      <c r="H7" cm="1">
        <f t="array" ref="H7">SUMPRODUCT(('Team Lineups'!$K$2:$K$2000&lt;&gt;"")*('Team Lineups'!$C$2:$C$2000=$A7)*COUNTIFS('Team Lineups'!$K$2:$K$2000,'Team Lineups'!$K$2:$K$2000,'Team Lineups'!$C$2:$C$2000,H$1))</f>
        <v>5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4</v>
      </c>
      <c r="M7" cm="1">
        <f t="array" ref="M7">SUMPRODUCT(('Team Lineups'!$K$2:$K$2000&lt;&gt;"")*('Team Lineups'!$C$2:$C$2000=$A7)*COUNTIFS('Team Lineups'!$K$2:$K$2000,'Team Lineups'!$K$2:$K$2000,'Team Lineups'!$C$2:$C$2000,M$1))</f>
        <v>10</v>
      </c>
      <c r="N7" cm="1">
        <f t="array" ref="N7">SUMPRODUCT(('Team Lineups'!$K$2:$K$2000&lt;&gt;"")*('Team Lineups'!$C$2:$C$2000=$A7)*COUNTIFS('Team Lineups'!$K$2:$K$2000,'Team Lineups'!$K$2:$K$2000,'Team Lineups'!$C$2:$C$2000,N$1))</f>
        <v>3</v>
      </c>
      <c r="O7" cm="1">
        <f t="array" ref="O7">SUMPRODUCT(('Team Lineups'!$K$2:$K$2000&lt;&gt;"")*('Team Lineups'!$C$2:$C$2000=$A7)*COUNTIFS('Team Lineups'!$K$2:$K$2000,'Team Lineups'!$K$2:$K$2000,'Team Lineups'!$C$2:$C$2000,O$1))</f>
        <v>1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5</v>
      </c>
      <c r="R7" cm="1">
        <f t="array" ref="R7">SUMPRODUCT(('Team Lineups'!$K$2:$K$2000&lt;&gt;"")*('Team Lineups'!$C$2:$C$2000=$A7)*COUNTIFS('Team Lineups'!$K$2:$K$2000,'Team Lineups'!$K$2:$K$2000,'Team Lineups'!$C$2:$C$2000,R$1))</f>
        <v>5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1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3</v>
      </c>
      <c r="AA7" cm="1">
        <f t="array" ref="AA7">SUMPRODUCT(('Team Lineups'!$K$2:$K$2000&lt;&gt;"")*('Team Lineups'!$C$2:$C$2000=$A7)*COUNTIFS('Team Lineups'!$K$2:$K$2000,'Team Lineups'!$K$2:$K$2000,'Team Lineups'!$C$2:$C$2000,AA$1))</f>
        <v>7</v>
      </c>
      <c r="AB7" cm="1">
        <f t="array" ref="AB7">SUMPRODUCT(('Team Lineups'!$K$2:$K$2000&lt;&gt;"")*('Team Lineups'!$C$2:$C$2000=$A7)*COUNTIFS('Team Lineups'!$K$2:$K$2000,'Team Lineups'!$K$2:$K$2000,'Team Lineups'!$C$2:$C$2000,AB$1))</f>
        <v>2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3</v>
      </c>
      <c r="AE7" cm="1">
        <f t="array" ref="AE7">SUMPRODUCT(('Team Lineups'!$K$2:$K$2000&lt;&gt;"")*('Team Lineups'!$C$2:$C$2000=$A7)*COUNTIFS('Team Lineups'!$K$2:$K$2000,'Team Lineups'!$K$2:$K$2000,'Team Lineups'!$C$2:$C$2000,AE$1))</f>
        <v>1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0</v>
      </c>
      <c r="AH7" cm="1">
        <f t="array" ref="AH7">SUMPRODUCT(('Team Lineups'!$K$2:$K$2000&lt;&gt;"")*('Team Lineups'!$C$2:$C$2000=$A7)*COUNTIFS('Team Lineups'!$K$2:$K$2000,'Team Lineups'!$K$2:$K$2000,'Team Lineups'!$C$2:$C$2000,AH$1))</f>
        <v>0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0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2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1</v>
      </c>
      <c r="AO7" cm="1">
        <f t="array" ref="AO7">SUMPRODUCT(('Team Lineups'!$K$2:$K$2000&lt;&gt;"")*('Team Lineups'!$C$2:$C$2000=$A7)*COUNTIFS('Team Lineups'!$K$2:$K$2000,'Team Lineups'!$K$2:$K$2000,'Team Lineups'!$C$2:$C$2000,AO$1))</f>
        <v>1</v>
      </c>
      <c r="AP7" cm="1">
        <f t="array" ref="AP7">SUMPRODUCT(('Team Lineups'!$K$2:$K$2000&lt;&gt;"")*('Team Lineups'!$C$2:$C$2000=$A7)*COUNTIFS('Team Lineups'!$K$2:$K$2000,'Team Lineups'!$K$2:$K$2000,'Team Lineups'!$C$2:$C$2000,AP$1))</f>
        <v>0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4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5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3</v>
      </c>
      <c r="G8" cm="1">
        <f t="array" ref="G8">SUMPRODUCT(('Team Lineups'!$K$2:$K$2000&lt;&gt;"")*('Team Lineups'!$C$2:$C$2000=$A8)*COUNTIFS('Team Lineups'!$K$2:$K$2000,'Team Lineups'!$K$2:$K$2000,'Team Lineups'!$C$2:$C$2000,G$1))</f>
        <v>5</v>
      </c>
      <c r="H8" cm="1">
        <f t="array" ref="H8">SUMPRODUCT(('Team Lineups'!$K$2:$K$2000&lt;&gt;"")*('Team Lineups'!$C$2:$C$2000=$A8)*COUNTIFS('Team Lineups'!$K$2:$K$2000,'Team Lineups'!$K$2:$K$2000,'Team Lineups'!$C$2:$C$2000,H$1))</f>
        <v>17</v>
      </c>
      <c r="I8" cm="1">
        <f t="array" ref="I8">SUMPRODUCT(('Team Lineups'!$K$2:$K$2000&lt;&gt;"")*('Team Lineups'!$C$2:$C$2000=$A8)*COUNTIFS('Team Lineups'!$K$2:$K$2000,'Team Lineups'!$K$2:$K$2000,'Team Lineups'!$C$2:$C$2000,I$1))</f>
        <v>7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6</v>
      </c>
      <c r="N8" cm="1">
        <f t="array" ref="N8">SUMPRODUCT(('Team Lineups'!$K$2:$K$2000&lt;&gt;"")*('Team Lineups'!$C$2:$C$2000=$A8)*COUNTIFS('Team Lineups'!$K$2:$K$2000,'Team Lineups'!$K$2:$K$2000,'Team Lineups'!$C$2:$C$2000,N$1))</f>
        <v>4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10</v>
      </c>
      <c r="R8" cm="1">
        <f t="array" ref="R8">SUMPRODUCT(('Team Lineups'!$K$2:$K$2000&lt;&gt;"")*('Team Lineups'!$C$2:$C$2000=$A8)*COUNTIFS('Team Lineups'!$K$2:$K$2000,'Team Lineups'!$K$2:$K$2000,'Team Lineups'!$C$2:$C$2000,R$1))</f>
        <v>4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2</v>
      </c>
      <c r="AA8" cm="1">
        <f t="array" ref="AA8">SUMPRODUCT(('Team Lineups'!$K$2:$K$2000&lt;&gt;"")*('Team Lineups'!$C$2:$C$2000=$A8)*COUNTIFS('Team Lineups'!$K$2:$K$2000,'Team Lineups'!$K$2:$K$2000,'Team Lineups'!$C$2:$C$2000,AA$1))</f>
        <v>2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1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2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0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8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6</v>
      </c>
      <c r="E9" cm="1">
        <f t="array" ref="E9">SUMPRODUCT(('Team Lineups'!$K$2:$K$2000&lt;&gt;"")*('Team Lineups'!$C$2:$C$2000=$A9)*COUNTIFS('Team Lineups'!$K$2:$K$2000,'Team Lineups'!$K$2:$K$2000,'Team Lineups'!$C$2:$C$2000,E$1))</f>
        <v>2</v>
      </c>
      <c r="F9" cm="1">
        <f t="array" ref="F9">SUMPRODUCT(('Team Lineups'!$K$2:$K$2000&lt;&gt;"")*('Team Lineups'!$C$2:$C$2000=$A9)*COUNTIFS('Team Lineups'!$K$2:$K$2000,'Team Lineups'!$K$2:$K$2000,'Team Lineups'!$C$2:$C$2000,F$1))</f>
        <v>4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7</v>
      </c>
      <c r="I9" cm="1">
        <f t="array" ref="I9">SUMPRODUCT(('Team Lineups'!$K$2:$K$2000&lt;&gt;"")*('Team Lineups'!$C$2:$C$2000=$A9)*COUNTIFS('Team Lineups'!$K$2:$K$2000,'Team Lineups'!$K$2:$K$2000,'Team Lineups'!$C$2:$C$2000,I$1))</f>
        <v>20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5</v>
      </c>
      <c r="M9" cm="1">
        <f t="array" ref="M9">SUMPRODUCT(('Team Lineups'!$K$2:$K$2000&lt;&gt;"")*('Team Lineups'!$C$2:$C$2000=$A9)*COUNTIFS('Team Lineups'!$K$2:$K$2000,'Team Lineups'!$K$2:$K$2000,'Team Lineups'!$C$2:$C$2000,M$1))</f>
        <v>7</v>
      </c>
      <c r="N9" cm="1">
        <f t="array" ref="N9">SUMPRODUCT(('Team Lineups'!$K$2:$K$2000&lt;&gt;"")*('Team Lineups'!$C$2:$C$2000=$A9)*COUNTIFS('Team Lineups'!$K$2:$K$2000,'Team Lineups'!$K$2:$K$2000,'Team Lineups'!$C$2:$C$2000,N$1))</f>
        <v>5</v>
      </c>
      <c r="O9" cm="1">
        <f t="array" ref="O9">SUMPRODUCT(('Team Lineups'!$K$2:$K$2000&lt;&gt;"")*('Team Lineups'!$C$2:$C$2000=$A9)*COUNTIFS('Team Lineups'!$K$2:$K$2000,'Team Lineups'!$K$2:$K$2000,'Team Lineups'!$C$2:$C$2000,O$1))</f>
        <v>3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5</v>
      </c>
      <c r="R9" cm="1">
        <f t="array" ref="R9">SUMPRODUCT(('Team Lineups'!$K$2:$K$2000&lt;&gt;"")*('Team Lineups'!$C$2:$C$2000=$A9)*COUNTIFS('Team Lineups'!$K$2:$K$2000,'Team Lineups'!$K$2:$K$2000,'Team Lineups'!$C$2:$C$2000,R$1))</f>
        <v>4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2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6</v>
      </c>
      <c r="AB9" cm="1">
        <f t="array" ref="AB9">SUMPRODUCT(('Team Lineups'!$K$2:$K$2000&lt;&gt;"")*('Team Lineups'!$C$2:$C$2000=$A9)*COUNTIFS('Team Lineups'!$K$2:$K$2000,'Team Lineups'!$K$2:$K$2000,'Team Lineups'!$C$2:$C$2000,AB$1))</f>
        <v>2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3</v>
      </c>
      <c r="AE9" cm="1">
        <f t="array" ref="AE9">SUMPRODUCT(('Team Lineups'!$K$2:$K$2000&lt;&gt;"")*('Team Lineups'!$C$2:$C$2000=$A9)*COUNTIFS('Team Lineups'!$K$2:$K$2000,'Team Lineups'!$K$2:$K$2000,'Team Lineups'!$C$2:$C$2000,AE$1))</f>
        <v>1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3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1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2</v>
      </c>
      <c r="AO9" cm="1">
        <f t="array" ref="AO9">SUMPRODUCT(('Team Lineups'!$K$2:$K$2000&lt;&gt;"")*('Team Lineups'!$C$2:$C$2000=$A9)*COUNTIFS('Team Lineups'!$K$2:$K$2000,'Team Lineups'!$K$2:$K$2000,'Team Lineups'!$C$2:$C$2000,AO$1))</f>
        <v>0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5</v>
      </c>
      <c r="F12" cm="1">
        <f t="array" ref="F12">SUMPRODUCT(('Team Lineups'!$K$2:$K$2000&lt;&gt;"")*('Team Lineups'!$C$2:$C$2000=$A12)*COUNTIFS('Team Lineups'!$K$2:$K$2000,'Team Lineups'!$K$2:$K$2000,'Team Lineups'!$C$2:$C$2000,F$1))</f>
        <v>5</v>
      </c>
      <c r="G12" cm="1">
        <f t="array" ref="G12">SUMPRODUCT(('Team Lineups'!$K$2:$K$2000&lt;&gt;"")*('Team Lineups'!$C$2:$C$2000=$A12)*COUNTIFS('Team Lineups'!$K$2:$K$2000,'Team Lineups'!$K$2:$K$2000,'Team Lineups'!$C$2:$C$2000,G$1))</f>
        <v>4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5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18</v>
      </c>
      <c r="M12" cm="1">
        <f t="array" ref="M12">SUMPRODUCT(('Team Lineups'!$K$2:$K$2000&lt;&gt;"")*('Team Lineups'!$C$2:$C$2000=$A12)*COUNTIFS('Team Lineups'!$K$2:$K$2000,'Team Lineups'!$K$2:$K$2000,'Team Lineups'!$C$2:$C$2000,M$1))</f>
        <v>6</v>
      </c>
      <c r="N12" cm="1">
        <f t="array" ref="N12">SUMPRODUCT(('Team Lineups'!$K$2:$K$2000&lt;&gt;"")*('Team Lineups'!$C$2:$C$2000=$A12)*COUNTIFS('Team Lineups'!$K$2:$K$2000,'Team Lineups'!$K$2:$K$2000,'Team Lineups'!$C$2:$C$2000,N$1))</f>
        <v>5</v>
      </c>
      <c r="O12" cm="1">
        <f t="array" ref="O12">SUMPRODUCT(('Team Lineups'!$K$2:$K$2000&lt;&gt;"")*('Team Lineups'!$C$2:$C$2000=$A12)*COUNTIFS('Team Lineups'!$K$2:$K$2000,'Team Lineups'!$K$2:$K$2000,'Team Lineups'!$C$2:$C$2000,O$1))</f>
        <v>3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4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3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4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3</v>
      </c>
      <c r="AE12" cm="1">
        <f t="array" ref="AE12">SUMPRODUCT(('Team Lineups'!$K$2:$K$2000&lt;&gt;"")*('Team Lineups'!$C$2:$C$2000=$A12)*COUNTIFS('Team Lineups'!$K$2:$K$2000,'Team Lineups'!$K$2:$K$2000,'Team Lineups'!$C$2:$C$2000,AE$1))</f>
        <v>0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0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1</v>
      </c>
      <c r="AO12" cm="1">
        <f t="array" ref="AO12">SUMPRODUCT(('Team Lineups'!$K$2:$K$2000&lt;&gt;"")*('Team Lineups'!$C$2:$C$2000=$A12)*COUNTIFS('Team Lineups'!$K$2:$K$2000,'Team Lineups'!$K$2:$K$2000,'Team Lineups'!$C$2:$C$2000,AO$1))</f>
        <v>0</v>
      </c>
      <c r="AP12" cm="1">
        <f t="array" ref="AP12">SUMPRODUCT(('Team Lineups'!$K$2:$K$2000&lt;&gt;"")*('Team Lineups'!$C$2:$C$2000=$A12)*COUNTIFS('Team Lineups'!$K$2:$K$2000,'Team Lineups'!$K$2:$K$2000,'Team Lineups'!$C$2:$C$2000,AP$1))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5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3</v>
      </c>
      <c r="E13" cm="1">
        <f t="array" ref="E13">SUMPRODUCT(('Team Lineups'!$K$2:$K$2000&lt;&gt;"")*('Team Lineups'!$C$2:$C$2000=$A13)*COUNTIFS('Team Lineups'!$K$2:$K$2000,'Team Lineups'!$K$2:$K$2000,'Team Lineups'!$C$2:$C$2000,E$1))</f>
        <v>4</v>
      </c>
      <c r="F13" cm="1">
        <f t="array" ref="F13">SUMPRODUCT(('Team Lineups'!$K$2:$K$2000&lt;&gt;"")*('Team Lineups'!$C$2:$C$2000=$A13)*COUNTIFS('Team Lineups'!$K$2:$K$2000,'Team Lineups'!$K$2:$K$2000,'Team Lineups'!$C$2:$C$2000,F$1))</f>
        <v>6</v>
      </c>
      <c r="G13" cm="1">
        <f t="array" ref="G13">SUMPRODUCT(('Team Lineups'!$K$2:$K$2000&lt;&gt;"")*('Team Lineups'!$C$2:$C$2000=$A13)*COUNTIFS('Team Lineups'!$K$2:$K$2000,'Team Lineups'!$K$2:$K$2000,'Team Lineups'!$C$2:$C$2000,G$1))</f>
        <v>10</v>
      </c>
      <c r="H13" cm="1">
        <f t="array" ref="H13">SUMPRODUCT(('Team Lineups'!$K$2:$K$2000&lt;&gt;"")*('Team Lineups'!$C$2:$C$2000=$A13)*COUNTIFS('Team Lineups'!$K$2:$K$2000,'Team Lineups'!$K$2:$K$2000,'Team Lineups'!$C$2:$C$2000,H$1))</f>
        <v>6</v>
      </c>
      <c r="I13" cm="1">
        <f t="array" ref="I13">SUMPRODUCT(('Team Lineups'!$K$2:$K$2000&lt;&gt;"")*('Team Lineups'!$C$2:$C$2000=$A13)*COUNTIFS('Team Lineups'!$K$2:$K$2000,'Team Lineups'!$K$2:$K$2000,'Team Lineups'!$C$2:$C$2000,I$1))</f>
        <v>7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6</v>
      </c>
      <c r="M13" cm="1">
        <f t="array" ref="M13">SUMPRODUCT(('Team Lineups'!$K$2:$K$2000&lt;&gt;"")*('Team Lineups'!$C$2:$C$2000=$A13)*COUNTIFS('Team Lineups'!$K$2:$K$2000,'Team Lineups'!$K$2:$K$2000,'Team Lineups'!$C$2:$C$2000,M$1))</f>
        <v>20</v>
      </c>
      <c r="N13" cm="1">
        <f t="array" ref="N13">SUMPRODUCT(('Team Lineups'!$K$2:$K$2000&lt;&gt;"")*('Team Lineups'!$C$2:$C$2000=$A13)*COUNTIFS('Team Lineups'!$K$2:$K$2000,'Team Lineups'!$K$2:$K$2000,'Team Lineups'!$C$2:$C$2000,N$1))</f>
        <v>4</v>
      </c>
      <c r="O13" cm="1">
        <f t="array" ref="O13">SUMPRODUCT(('Team Lineups'!$K$2:$K$2000&lt;&gt;"")*('Team Lineups'!$C$2:$C$2000=$A13)*COUNTIFS('Team Lineups'!$K$2:$K$2000,'Team Lineups'!$K$2:$K$2000,'Team Lineups'!$C$2:$C$2000,O$1))</f>
        <v>3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7</v>
      </c>
      <c r="R13" cm="1">
        <f t="array" ref="R13">SUMPRODUCT(('Team Lineups'!$K$2:$K$2000&lt;&gt;"")*('Team Lineups'!$C$2:$C$2000=$A13)*COUNTIFS('Team Lineups'!$K$2:$K$2000,'Team Lineups'!$K$2:$K$2000,'Team Lineups'!$C$2:$C$2000,R$1))</f>
        <v>4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1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5</v>
      </c>
      <c r="AA13" cm="1">
        <f t="array" ref="AA13">SUMPRODUCT(('Team Lineups'!$K$2:$K$2000&lt;&gt;"")*('Team Lineups'!$C$2:$C$2000=$A13)*COUNTIFS('Team Lineups'!$K$2:$K$2000,'Team Lineups'!$K$2:$K$2000,'Team Lineups'!$C$2:$C$2000,AA$1))</f>
        <v>4</v>
      </c>
      <c r="AB13" cm="1">
        <f t="array" ref="AB13">SUMPRODUCT(('Team Lineups'!$K$2:$K$2000&lt;&gt;"")*('Team Lineups'!$C$2:$C$2000=$A13)*COUNTIFS('Team Lineups'!$K$2:$K$2000,'Team Lineups'!$K$2:$K$2000,'Team Lineups'!$C$2:$C$2000,AB$1))</f>
        <v>1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1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1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1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8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7</v>
      </c>
      <c r="E14" cm="1">
        <f t="array" ref="E14">SUMPRODUCT(('Team Lineups'!$K$2:$K$2000&lt;&gt;"")*('Team Lineups'!$C$2:$C$2000=$A14)*COUNTIFS('Team Lineups'!$K$2:$K$2000,'Team Lineups'!$K$2:$K$2000,'Team Lineups'!$C$2:$C$2000,E$1))</f>
        <v>4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3</v>
      </c>
      <c r="H14" cm="1">
        <f t="array" ref="H14">SUMPRODUCT(('Team Lineups'!$K$2:$K$2000&lt;&gt;"")*('Team Lineups'!$C$2:$C$2000=$A14)*COUNTIFS('Team Lineups'!$K$2:$K$2000,'Team Lineups'!$K$2:$K$2000,'Team Lineups'!$C$2:$C$2000,H$1))</f>
        <v>4</v>
      </c>
      <c r="I14" cm="1">
        <f t="array" ref="I14">SUMPRODUCT(('Team Lineups'!$K$2:$K$2000&lt;&gt;"")*('Team Lineups'!$C$2:$C$2000=$A14)*COUNTIFS('Team Lineups'!$K$2:$K$2000,'Team Lineups'!$K$2:$K$2000,'Team Lineups'!$C$2:$C$2000,I$1))</f>
        <v>5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5</v>
      </c>
      <c r="M14" cm="1">
        <f t="array" ref="M14">SUMPRODUCT(('Team Lineups'!$K$2:$K$2000&lt;&gt;"")*('Team Lineups'!$C$2:$C$2000=$A14)*COUNTIFS('Team Lineups'!$K$2:$K$2000,'Team Lineups'!$K$2:$K$2000,'Team Lineups'!$C$2:$C$2000,M$1))</f>
        <v>4</v>
      </c>
      <c r="N14" cm="1">
        <f t="array" ref="N14">SUMPRODUCT(('Team Lineups'!$K$2:$K$2000&lt;&gt;"")*('Team Lineups'!$C$2:$C$2000=$A14)*COUNTIFS('Team Lineups'!$K$2:$K$2000,'Team Lineups'!$K$2:$K$2000,'Team Lineups'!$C$2:$C$2000,N$1))</f>
        <v>13</v>
      </c>
      <c r="O14" cm="1">
        <f t="array" ref="O14">SUMPRODUCT(('Team Lineups'!$K$2:$K$2000&lt;&gt;"")*('Team Lineups'!$C$2:$C$2000=$A14)*COUNTIFS('Team Lineups'!$K$2:$K$2000,'Team Lineups'!$K$2:$K$2000,'Team Lineups'!$C$2:$C$2000,O$1))</f>
        <v>2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2</v>
      </c>
      <c r="R14" cm="1">
        <f t="array" ref="R14">SUMPRODUCT(('Team Lineups'!$K$2:$K$2000&lt;&gt;"")*('Team Lineups'!$C$2:$C$2000=$A14)*COUNTIFS('Team Lineups'!$K$2:$K$2000,'Team Lineups'!$K$2:$K$2000,'Team Lineups'!$C$2:$C$2000,R$1))</f>
        <v>0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2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3</v>
      </c>
      <c r="AB14" cm="1">
        <f t="array" ref="AB14">SUMPRODUCT(('Team Lineups'!$K$2:$K$2000&lt;&gt;"")*('Team Lineups'!$C$2:$C$2000=$A14)*COUNTIFS('Team Lineups'!$K$2:$K$2000,'Team Lineups'!$K$2:$K$2000,'Team Lineups'!$C$2:$C$2000,AB$1))</f>
        <v>1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1</v>
      </c>
      <c r="AE14" cm="1">
        <f t="array" ref="AE14">SUMPRODUCT(('Team Lineups'!$K$2:$K$2000&lt;&gt;"")*('Team Lineups'!$C$2:$C$2000=$A14)*COUNTIFS('Team Lineups'!$K$2:$K$2000,'Team Lineups'!$K$2:$K$2000,'Team Lineups'!$C$2:$C$2000,AE$1))</f>
        <v>0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1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3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0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0</v>
      </c>
      <c r="AP14" cm="1">
        <f t="array" ref="AP14">SUMPRODUCT(('Team Lineups'!$K$2:$K$2000&lt;&gt;"")*('Team Lineups'!$C$2:$C$2000=$A14)*COUNTIFS('Team Lineups'!$K$2:$K$2000,'Team Lineups'!$K$2:$K$2000,'Team Lineups'!$C$2:$C$2000,AP$1))</f>
        <v>1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3</v>
      </c>
      <c r="G15" cm="1">
        <f t="array" ref="G15">SUMPRODUCT(('Team Lineups'!$K$2:$K$2000&lt;&gt;"")*('Team Lineups'!$C$2:$C$2000=$A15)*COUNTIFS('Team Lineups'!$K$2:$K$2000,'Team Lineups'!$K$2:$K$2000,'Team Lineups'!$C$2:$C$2000,G$1))</f>
        <v>1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3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3</v>
      </c>
      <c r="M15" cm="1">
        <f t="array" ref="M15">SUMPRODUCT(('Team Lineups'!$K$2:$K$2000&lt;&gt;"")*('Team Lineups'!$C$2:$C$2000=$A15)*COUNTIFS('Team Lineups'!$K$2:$K$2000,'Team Lineups'!$K$2:$K$2000,'Team Lineups'!$C$2:$C$2000,M$1))</f>
        <v>3</v>
      </c>
      <c r="N15" cm="1">
        <f t="array" ref="N15">SUMPRODUCT(('Team Lineups'!$K$2:$K$2000&lt;&gt;"")*('Team Lineups'!$C$2:$C$2000=$A15)*COUNTIFS('Team Lineups'!$K$2:$K$2000,'Team Lineups'!$K$2:$K$2000,'Team Lineups'!$C$2:$C$2000,N$1))</f>
        <v>2</v>
      </c>
      <c r="O15" cm="1">
        <f t="array" ref="O15">SUMPRODUCT(('Team Lineups'!$K$2:$K$2000&lt;&gt;"")*('Team Lineups'!$C$2:$C$2000=$A15)*COUNTIFS('Team Lineups'!$K$2:$K$2000,'Team Lineups'!$K$2:$K$2000,'Team Lineups'!$C$2:$C$2000,O$1))</f>
        <v>8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5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2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2</v>
      </c>
      <c r="AB15" cm="1">
        <f t="array" ref="AB15">SUMPRODUCT(('Team Lineups'!$K$2:$K$2000&lt;&gt;"")*('Team Lineups'!$C$2:$C$2000=$A15)*COUNTIFS('Team Lineups'!$K$2:$K$2000,'Team Lineups'!$K$2:$K$2000,'Team Lineups'!$C$2:$C$2000,AB$1))</f>
        <v>2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0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0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</row>
    <row r="17" spans="1:42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5</v>
      </c>
      <c r="F17" cm="1">
        <f t="array" ref="F17">SUMPRODUCT(('Team Lineups'!$K$2:$K$2000&lt;&gt;"")*('Team Lineups'!$C$2:$C$2000=$A17)*COUNTIFS('Team Lineups'!$K$2:$K$2000,'Team Lineups'!$K$2:$K$2000,'Team Lineups'!$C$2:$C$2000,F$1))</f>
        <v>4</v>
      </c>
      <c r="G17" cm="1">
        <f t="array" ref="G17">SUMPRODUCT(('Team Lineups'!$K$2:$K$2000&lt;&gt;"")*('Team Lineups'!$C$2:$C$2000=$A17)*COUNTIFS('Team Lineups'!$K$2:$K$2000,'Team Lineups'!$K$2:$K$2000,'Team Lineups'!$C$2:$C$2000,G$1))</f>
        <v>5</v>
      </c>
      <c r="H17" cm="1">
        <f t="array" ref="H17">SUMPRODUCT(('Team Lineups'!$K$2:$K$2000&lt;&gt;"")*('Team Lineups'!$C$2:$C$2000=$A17)*COUNTIFS('Team Lineups'!$K$2:$K$2000,'Team Lineups'!$K$2:$K$2000,'Team Lineups'!$C$2:$C$2000,H$1))</f>
        <v>10</v>
      </c>
      <c r="I17" cm="1">
        <f t="array" ref="I17">SUMPRODUCT(('Team Lineups'!$K$2:$K$2000&lt;&gt;"")*('Team Lineups'!$C$2:$C$2000=$A17)*COUNTIFS('Team Lineups'!$K$2:$K$2000,'Team Lineups'!$K$2:$K$2000,'Team Lineups'!$C$2:$C$2000,I$1))</f>
        <v>5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4</v>
      </c>
      <c r="M17" cm="1">
        <f t="array" ref="M17">SUMPRODUCT(('Team Lineups'!$K$2:$K$2000&lt;&gt;"")*('Team Lineups'!$C$2:$C$2000=$A17)*COUNTIFS('Team Lineups'!$K$2:$K$2000,'Team Lineups'!$K$2:$K$2000,'Team Lineups'!$C$2:$C$2000,M$1))</f>
        <v>7</v>
      </c>
      <c r="N17" cm="1">
        <f t="array" ref="N17">SUMPRODUCT(('Team Lineups'!$K$2:$K$2000&lt;&gt;"")*('Team Lineups'!$C$2:$C$2000=$A17)*COUNTIFS('Team Lineups'!$K$2:$K$2000,'Team Lineups'!$K$2:$K$2000,'Team Lineups'!$C$2:$C$2000,N$1))</f>
        <v>2</v>
      </c>
      <c r="O17" cm="1">
        <f t="array" ref="O17">SUMPRODUCT(('Team Lineups'!$K$2:$K$2000&lt;&gt;"")*('Team Lineups'!$C$2:$C$2000=$A17)*COUNTIFS('Team Lineups'!$K$2:$K$2000,'Team Lineups'!$K$2:$K$2000,'Team Lineups'!$C$2:$C$2000,O$1))</f>
        <v>5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19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1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2</v>
      </c>
      <c r="AA17" cm="1">
        <f t="array" ref="AA17">SUMPRODUCT(('Team Lineups'!$K$2:$K$2000&lt;&gt;"")*('Team Lineups'!$C$2:$C$2000=$A17)*COUNTIFS('Team Lineups'!$K$2:$K$2000,'Team Lineups'!$K$2:$K$2000,'Team Lineups'!$C$2:$C$2000,AA$1))</f>
        <v>3</v>
      </c>
      <c r="AB17" cm="1">
        <f t="array" ref="AB17">SUMPRODUCT(('Team Lineups'!$K$2:$K$2000&lt;&gt;"")*('Team Lineups'!$C$2:$C$2000=$A17)*COUNTIFS('Team Lineups'!$K$2:$K$2000,'Team Lineups'!$K$2:$K$2000,'Team Lineups'!$C$2:$C$2000,AB$1))</f>
        <v>3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4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1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1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2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1</v>
      </c>
      <c r="AO17" cm="1">
        <f t="array" ref="AO17">SUMPRODUCT(('Team Lineups'!$K$2:$K$2000&lt;&gt;"")*('Team Lineups'!$C$2:$C$2000=$A17)*COUNTIFS('Team Lineups'!$K$2:$K$2000,'Team Lineups'!$K$2:$K$2000,'Team Lineups'!$C$2:$C$2000,AO$1))</f>
        <v>1</v>
      </c>
      <c r="AP17" cm="1">
        <f t="array" ref="AP17">SUMPRODUCT(('Team Lineups'!$K$2:$K$2000&lt;&gt;"")*('Team Lineups'!$C$2:$C$2000=$A17)*COUNTIFS('Team Lineups'!$K$2:$K$2000,'Team Lineups'!$K$2:$K$2000,'Team Lineups'!$C$2:$C$2000,AP$1))</f>
        <v>0</v>
      </c>
    </row>
    <row r="18" spans="1:42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1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3</v>
      </c>
      <c r="E18" cm="1">
        <f t="array" ref="E18">SUMPRODUCT(('Team Lineups'!$K$2:$K$2000&lt;&gt;"")*('Team Lineups'!$C$2:$C$2000=$A18)*COUNTIFS('Team Lineups'!$K$2:$K$2000,'Team Lineups'!$K$2:$K$2000,'Team Lineups'!$C$2:$C$2000,E$1))</f>
        <v>3</v>
      </c>
      <c r="F18" cm="1">
        <f t="array" ref="F18">SUMPRODUCT(('Team Lineups'!$K$2:$K$2000&lt;&gt;"")*('Team Lineups'!$C$2:$C$2000=$A18)*COUNTIFS('Team Lineups'!$K$2:$K$2000,'Team Lineups'!$K$2:$K$2000,'Team Lineups'!$C$2:$C$2000,F$1))</f>
        <v>5</v>
      </c>
      <c r="G18" cm="1">
        <f t="array" ref="G18">SUMPRODUCT(('Team Lineups'!$K$2:$K$2000&lt;&gt;"")*('Team Lineups'!$C$2:$C$2000=$A18)*COUNTIFS('Team Lineups'!$K$2:$K$2000,'Team Lineups'!$K$2:$K$2000,'Team Lineups'!$C$2:$C$2000,G$1))</f>
        <v>5</v>
      </c>
      <c r="H18" cm="1">
        <f t="array" ref="H18">SUMPRODUCT(('Team Lineups'!$K$2:$K$2000&lt;&gt;"")*('Team Lineups'!$C$2:$C$2000=$A18)*COUNTIFS('Team Lineups'!$K$2:$K$2000,'Team Lineups'!$K$2:$K$2000,'Team Lineups'!$C$2:$C$2000,H$1))</f>
        <v>4</v>
      </c>
      <c r="I18" cm="1">
        <f t="array" ref="I18">SUMPRODUCT(('Team Lineups'!$K$2:$K$2000&lt;&gt;"")*('Team Lineups'!$C$2:$C$2000=$A18)*COUNTIFS('Team Lineups'!$K$2:$K$2000,'Team Lineups'!$K$2:$K$2000,'Team Lineups'!$C$2:$C$2000,I$1))</f>
        <v>4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4</v>
      </c>
      <c r="N18" cm="1">
        <f t="array" ref="N18">SUMPRODUCT(('Team Lineups'!$K$2:$K$2000&lt;&gt;"")*('Team Lineups'!$C$2:$C$2000=$A18)*COUNTIFS('Team Lineups'!$K$2:$K$2000,'Team Lineups'!$K$2:$K$2000,'Team Lineups'!$C$2:$C$2000,N$1))</f>
        <v>0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11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0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2</v>
      </c>
      <c r="AA18" cm="1">
        <f t="array" ref="AA18">SUMPRODUCT(('Team Lineups'!$K$2:$K$2000&lt;&gt;"")*('Team Lineups'!$C$2:$C$2000=$A18)*COUNTIFS('Team Lineups'!$K$2:$K$2000,'Team Lineups'!$K$2:$K$2000,'Team Lineups'!$C$2:$C$2000,AA$1))</f>
        <v>4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3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0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0</v>
      </c>
    </row>
    <row r="19" spans="1:42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</row>
    <row r="20" spans="1:42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3</v>
      </c>
      <c r="E20" cm="1">
        <f t="array" ref="E20">SUMPRODUCT(('Team Lineups'!$K$2:$K$2000&lt;&gt;"")*('Team Lineups'!$C$2:$C$2000=$A20)*COUNTIFS('Team Lineups'!$K$2:$K$2000,'Team Lineups'!$K$2:$K$2000,'Team Lineups'!$C$2:$C$2000,E$1))</f>
        <v>0</v>
      </c>
      <c r="F20" cm="1">
        <f t="array" ref="F20">SUMPRODUCT(('Team Lineups'!$K$2:$K$2000&lt;&gt;"")*('Team Lineups'!$C$2:$C$2000=$A20)*COUNTIFS('Team Lineups'!$K$2:$K$2000,'Team Lineups'!$K$2:$K$2000,'Team Lineups'!$C$2:$C$2000,F$1))</f>
        <v>0</v>
      </c>
      <c r="G20" cm="1">
        <f t="array" ref="G20">SUMPRODUCT(('Team Lineups'!$K$2:$K$2000&lt;&gt;"")*('Team Lineups'!$C$2:$C$2000=$A20)*COUNTIFS('Team Lineups'!$K$2:$K$2000,'Team Lineups'!$K$2:$K$2000,'Team Lineups'!$C$2:$C$2000,G$1))</f>
        <v>1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2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3</v>
      </c>
      <c r="M20" cm="1">
        <f t="array" ref="M20">SUMPRODUCT(('Team Lineups'!$K$2:$K$2000&lt;&gt;"")*('Team Lineups'!$C$2:$C$2000=$A20)*COUNTIFS('Team Lineups'!$K$2:$K$2000,'Team Lineups'!$K$2:$K$2000,'Team Lineups'!$C$2:$C$2000,M$1))</f>
        <v>1</v>
      </c>
      <c r="N20" cm="1">
        <f t="array" ref="N20">SUMPRODUCT(('Team Lineups'!$K$2:$K$2000&lt;&gt;"")*('Team Lineups'!$C$2:$C$2000=$A20)*COUNTIFS('Team Lineups'!$K$2:$K$2000,'Team Lineups'!$K$2:$K$2000,'Team Lineups'!$C$2:$C$2000,N$1))</f>
        <v>2</v>
      </c>
      <c r="O20" cm="1">
        <f t="array" ref="O20">SUMPRODUCT(('Team Lineups'!$K$2:$K$2000&lt;&gt;"")*('Team Lineups'!$C$2:$C$2000=$A20)*COUNTIFS('Team Lineups'!$K$2:$K$2000,'Team Lineups'!$K$2:$K$2000,'Team Lineups'!$C$2:$C$2000,O$1))</f>
        <v>2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1</v>
      </c>
      <c r="R20" cm="1">
        <f t="array" ref="R20">SUMPRODUCT(('Team Lineups'!$K$2:$K$2000&lt;&gt;"")*('Team Lineups'!$C$2:$C$2000=$A20)*COUNTIFS('Team Lineups'!$K$2:$K$2000,'Team Lineups'!$K$2:$K$2000,'Team Lineups'!$C$2:$C$2000,R$1))</f>
        <v>0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5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1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2</v>
      </c>
      <c r="AE20" cm="1">
        <f t="array" ref="AE20">SUMPRODUCT(('Team Lineups'!$K$2:$K$2000&lt;&gt;"")*('Team Lineups'!$C$2:$C$2000=$A20)*COUNTIFS('Team Lineups'!$K$2:$K$2000,'Team Lineups'!$K$2:$K$2000,'Team Lineups'!$C$2:$C$2000,AE$1))</f>
        <v>1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0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0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0</v>
      </c>
      <c r="AP20" cm="1">
        <f t="array" ref="AP20">SUMPRODUCT(('Team Lineups'!$K$2:$K$2000&lt;&gt;"")*('Team Lineups'!$C$2:$C$2000=$A20)*COUNTIFS('Team Lineups'!$K$2:$K$2000,'Team Lineups'!$K$2:$K$2000,'Team Lineups'!$C$2:$C$2000,AP$1))</f>
        <v>0</v>
      </c>
    </row>
    <row r="21" spans="1:42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</row>
    <row r="22" spans="1:42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</row>
    <row r="23" spans="1:42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  <c r="AP23" cm="1">
        <f t="array" ref="AP23">SUMPRODUCT(('Team Lineups'!$K$2:$K$2000&lt;&gt;"")*('Team Lineups'!$C$2:$C$2000=$A23)*COUNTIFS('Team Lineups'!$K$2:$K$2000,'Team Lineups'!$K$2:$K$2000,'Team Lineups'!$C$2:$C$2000,AP$1))</f>
        <v>0</v>
      </c>
    </row>
    <row r="24" spans="1:42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</row>
    <row r="25" spans="1:42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</row>
    <row r="26" spans="1:42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0</v>
      </c>
      <c r="E26" cm="1">
        <f t="array" ref="E26">SUMPRODUCT(('Team Lineups'!$K$2:$K$2000&lt;&gt;"")*('Team Lineups'!$C$2:$C$2000=$A26)*COUNTIFS('Team Lineups'!$K$2:$K$2000,'Team Lineups'!$K$2:$K$2000,'Team Lineups'!$C$2:$C$2000,E$1))</f>
        <v>2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3</v>
      </c>
      <c r="H26" cm="1">
        <f t="array" ref="H26">SUMPRODUCT(('Team Lineups'!$K$2:$K$2000&lt;&gt;"")*('Team Lineups'!$C$2:$C$2000=$A26)*COUNTIFS('Team Lineups'!$K$2:$K$2000,'Team Lineups'!$K$2:$K$2000,'Team Lineups'!$C$2:$C$2000,H$1))</f>
        <v>2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5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2</v>
      </c>
      <c r="R26" cm="1">
        <f t="array" ref="R26">SUMPRODUCT(('Team Lineups'!$K$2:$K$2000&lt;&gt;"")*('Team Lineups'!$C$2:$C$2000=$A26)*COUNTIFS('Team Lineups'!$K$2:$K$2000,'Team Lineups'!$K$2:$K$2000,'Team Lineups'!$C$2:$C$2000,R$1))</f>
        <v>2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7</v>
      </c>
      <c r="AA26" cm="1">
        <f t="array" ref="AA26">SUMPRODUCT(('Team Lineups'!$K$2:$K$2000&lt;&gt;"")*('Team Lineups'!$C$2:$C$2000=$A26)*COUNTIFS('Team Lineups'!$K$2:$K$2000,'Team Lineups'!$K$2:$K$2000,'Team Lineups'!$C$2:$C$2000,AA$1))</f>
        <v>0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2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</row>
    <row r="27" spans="1:42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4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7</v>
      </c>
      <c r="F27" cm="1">
        <f t="array" ref="F27">SUMPRODUCT(('Team Lineups'!$K$2:$K$2000&lt;&gt;"")*('Team Lineups'!$C$2:$C$2000=$A27)*COUNTIFS('Team Lineups'!$K$2:$K$2000,'Team Lineups'!$K$2:$K$2000,'Team Lineups'!$C$2:$C$2000,F$1))</f>
        <v>4</v>
      </c>
      <c r="G27" cm="1">
        <f t="array" ref="G27">SUMPRODUCT(('Team Lineups'!$K$2:$K$2000&lt;&gt;"")*('Team Lineups'!$C$2:$C$2000=$A27)*COUNTIFS('Team Lineups'!$K$2:$K$2000,'Team Lineups'!$K$2:$K$2000,'Team Lineups'!$C$2:$C$2000,G$1))</f>
        <v>7</v>
      </c>
      <c r="H27" cm="1">
        <f t="array" ref="H27">SUMPRODUCT(('Team Lineups'!$K$2:$K$2000&lt;&gt;"")*('Team Lineups'!$C$2:$C$2000=$A27)*COUNTIFS('Team Lineups'!$K$2:$K$2000,'Team Lineups'!$K$2:$K$2000,'Team Lineups'!$C$2:$C$2000,H$1))</f>
        <v>2</v>
      </c>
      <c r="I27" cm="1">
        <f t="array" ref="I27">SUMPRODUCT(('Team Lineups'!$K$2:$K$2000&lt;&gt;"")*('Team Lineups'!$C$2:$C$2000=$A27)*COUNTIFS('Team Lineups'!$K$2:$K$2000,'Team Lineups'!$K$2:$K$2000,'Team Lineups'!$C$2:$C$2000,I$1))</f>
        <v>6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4</v>
      </c>
      <c r="M27" cm="1">
        <f t="array" ref="M27">SUMPRODUCT(('Team Lineups'!$K$2:$K$2000&lt;&gt;"")*('Team Lineups'!$C$2:$C$2000=$A27)*COUNTIFS('Team Lineups'!$K$2:$K$2000,'Team Lineups'!$K$2:$K$2000,'Team Lineups'!$C$2:$C$2000,M$1))</f>
        <v>4</v>
      </c>
      <c r="N27" cm="1">
        <f t="array" ref="N27">SUMPRODUCT(('Team Lineups'!$K$2:$K$2000&lt;&gt;"")*('Team Lineups'!$C$2:$C$2000=$A27)*COUNTIFS('Team Lineups'!$K$2:$K$2000,'Team Lineups'!$K$2:$K$2000,'Team Lineups'!$C$2:$C$2000,N$1))</f>
        <v>3</v>
      </c>
      <c r="O27" cm="1">
        <f t="array" ref="O27">SUMPRODUCT(('Team Lineups'!$K$2:$K$2000&lt;&gt;"")*('Team Lineups'!$C$2:$C$2000=$A27)*COUNTIFS('Team Lineups'!$K$2:$K$2000,'Team Lineups'!$K$2:$K$2000,'Team Lineups'!$C$2:$C$2000,O$1))</f>
        <v>2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3</v>
      </c>
      <c r="R27" cm="1">
        <f t="array" ref="R27">SUMPRODUCT(('Team Lineups'!$K$2:$K$2000&lt;&gt;"")*('Team Lineups'!$C$2:$C$2000=$A27)*COUNTIFS('Team Lineups'!$K$2:$K$2000,'Team Lineups'!$K$2:$K$2000,'Team Lineups'!$C$2:$C$2000,R$1))</f>
        <v>4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1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0</v>
      </c>
      <c r="AA27" cm="1">
        <f t="array" ref="AA27">SUMPRODUCT(('Team Lineups'!$K$2:$K$2000&lt;&gt;"")*('Team Lineups'!$C$2:$C$2000=$A27)*COUNTIFS('Team Lineups'!$K$2:$K$2000,'Team Lineups'!$K$2:$K$2000,'Team Lineups'!$C$2:$C$2000,AA$1))</f>
        <v>15</v>
      </c>
      <c r="AB27" cm="1">
        <f t="array" ref="AB27">SUMPRODUCT(('Team Lineups'!$K$2:$K$2000&lt;&gt;"")*('Team Lineups'!$C$2:$C$2000=$A27)*COUNTIFS('Team Lineups'!$K$2:$K$2000,'Team Lineups'!$K$2:$K$2000,'Team Lineups'!$C$2:$C$2000,AB$1))</f>
        <v>4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1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1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1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1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1</v>
      </c>
      <c r="AO27" cm="1">
        <f t="array" ref="AO27">SUMPRODUCT(('Team Lineups'!$K$2:$K$2000&lt;&gt;"")*('Team Lineups'!$C$2:$C$2000=$A27)*COUNTIFS('Team Lineups'!$K$2:$K$2000,'Team Lineups'!$K$2:$K$2000,'Team Lineups'!$C$2:$C$2000,AO$1))</f>
        <v>1</v>
      </c>
      <c r="AP27" cm="1">
        <f t="array" ref="AP27">SUMPRODUCT(('Team Lineups'!$K$2:$K$2000&lt;&gt;"")*('Team Lineups'!$C$2:$C$2000=$A27)*COUNTIFS('Team Lineups'!$K$2:$K$2000,'Team Lineups'!$K$2:$K$2000,'Team Lineups'!$C$2:$C$2000,AP$1))</f>
        <v>1</v>
      </c>
    </row>
    <row r="28" spans="1:42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0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2</v>
      </c>
      <c r="F28" cm="1">
        <f t="array" ref="F28">SUMPRODUCT(('Team Lineups'!$K$2:$K$2000&lt;&gt;"")*('Team Lineups'!$C$2:$C$2000=$A28)*COUNTIFS('Team Lineups'!$K$2:$K$2000,'Team Lineups'!$K$2:$K$2000,'Team Lineups'!$C$2:$C$2000,F$1))</f>
        <v>1</v>
      </c>
      <c r="G28" cm="1">
        <f t="array" ref="G28">SUMPRODUCT(('Team Lineups'!$K$2:$K$2000&lt;&gt;"")*('Team Lineups'!$C$2:$C$2000=$A28)*COUNTIFS('Team Lineups'!$K$2:$K$2000,'Team Lineups'!$K$2:$K$2000,'Team Lineups'!$C$2:$C$2000,G$1))</f>
        <v>2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2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1</v>
      </c>
      <c r="N28" cm="1">
        <f t="array" ref="N28">SUMPRODUCT(('Team Lineups'!$K$2:$K$2000&lt;&gt;"")*('Team Lineups'!$C$2:$C$2000=$A28)*COUNTIFS('Team Lineups'!$K$2:$K$2000,'Team Lineups'!$K$2:$K$2000,'Team Lineups'!$C$2:$C$2000,N$1))</f>
        <v>1</v>
      </c>
      <c r="O28" cm="1">
        <f t="array" ref="O28">SUMPRODUCT(('Team Lineups'!$K$2:$K$2000&lt;&gt;"")*('Team Lineups'!$C$2:$C$2000=$A28)*COUNTIFS('Team Lineups'!$K$2:$K$2000,'Team Lineups'!$K$2:$K$2000,'Team Lineups'!$C$2:$C$2000,O$1))</f>
        <v>2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3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4</v>
      </c>
      <c r="AB28" cm="1">
        <f t="array" ref="AB28">SUMPRODUCT(('Team Lineups'!$K$2:$K$2000&lt;&gt;"")*('Team Lineups'!$C$2:$C$2000=$A28)*COUNTIFS('Team Lineups'!$K$2:$K$2000,'Team Lineups'!$K$2:$K$2000,'Team Lineups'!$C$2:$C$2000,AB$1))</f>
        <v>11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3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0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2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1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0</v>
      </c>
    </row>
    <row r="29" spans="1:42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</row>
    <row r="30" spans="1:42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2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0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3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3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3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1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2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1</v>
      </c>
      <c r="AB30" cm="1">
        <f t="array" ref="AB30">SUMPRODUCT(('Team Lineups'!$K$2:$K$2000&lt;&gt;"")*('Team Lineups'!$C$2:$C$2000=$A30)*COUNTIFS('Team Lineups'!$K$2:$K$2000,'Team Lineups'!$K$2:$K$2000,'Team Lineups'!$C$2:$C$2000,AB$1))</f>
        <v>3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6</v>
      </c>
      <c r="AE30" cm="1">
        <f t="array" ref="AE30">SUMPRODUCT(('Team Lineups'!$K$2:$K$2000&lt;&gt;"")*('Team Lineups'!$C$2:$C$2000=$A30)*COUNTIFS('Team Lineups'!$K$2:$K$2000,'Team Lineups'!$K$2:$K$2000,'Team Lineups'!$C$2:$C$2000,AE$1))</f>
        <v>0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0</v>
      </c>
      <c r="AH30" cm="1">
        <f t="array" ref="AH30">SUMPRODUCT(('Team Lineups'!$K$2:$K$2000&lt;&gt;"")*('Team Lineups'!$C$2:$C$2000=$A30)*COUNTIFS('Team Lineups'!$K$2:$K$2000,'Team Lineups'!$K$2:$K$2000,'Team Lineups'!$C$2:$C$2000,AH$1))</f>
        <v>0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0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0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0</v>
      </c>
      <c r="AO30" cm="1">
        <f t="array" ref="AO30">SUMPRODUCT(('Team Lineups'!$K$2:$K$2000&lt;&gt;"")*('Team Lineups'!$C$2:$C$2000=$A30)*COUNTIFS('Team Lineups'!$K$2:$K$2000,'Team Lineups'!$K$2:$K$2000,'Team Lineups'!$C$2:$C$2000,AO$1))</f>
        <v>0</v>
      </c>
      <c r="AP30" cm="1">
        <f t="array" ref="AP30">SUMPRODUCT(('Team Lineups'!$K$2:$K$2000&lt;&gt;"")*('Team Lineups'!$C$2:$C$2000=$A30)*COUNTIFS('Team Lineups'!$K$2:$K$2000,'Team Lineups'!$K$2:$K$2000,'Team Lineups'!$C$2:$C$2000,AP$1))</f>
        <v>0</v>
      </c>
    </row>
    <row r="31" spans="1:42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1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1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1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0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0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4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1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0</v>
      </c>
      <c r="AE31" cm="1">
        <f t="array" ref="AE31">SUMPRODUCT(('Team Lineups'!$K$2:$K$2000&lt;&gt;"")*('Team Lineups'!$C$2:$C$2000=$A31)*COUNTIFS('Team Lineups'!$K$2:$K$2000,'Team Lineups'!$K$2:$K$2000,'Team Lineups'!$C$2:$C$2000,AE$1))</f>
        <v>5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0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</row>
    <row r="32" spans="1:42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</row>
    <row r="33" spans="1:42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2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0</v>
      </c>
      <c r="H33" cm="1">
        <f t="array" ref="H33">SUMPRODUCT(('Team Lineups'!$K$2:$K$2000&lt;&gt;"")*('Team Lineups'!$C$2:$C$2000=$A33)*COUNTIFS('Team Lineups'!$K$2:$K$2000,'Team Lineups'!$K$2:$K$2000,'Team Lineups'!$C$2:$C$2000,H$1))</f>
        <v>1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1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1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1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0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6</v>
      </c>
      <c r="AH33" cm="1">
        <f t="array" ref="AH33">SUMPRODUCT(('Team Lineups'!$K$2:$K$2000&lt;&gt;"")*('Team Lineups'!$C$2:$C$2000=$A33)*COUNTIFS('Team Lineups'!$K$2:$K$2000,'Team Lineups'!$K$2:$K$2000,'Team Lineups'!$C$2:$C$2000,AH$1))</f>
        <v>2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0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0</v>
      </c>
      <c r="AP33" cm="1">
        <f t="array" ref="AP33">SUMPRODUCT(('Team Lineups'!$K$2:$K$2000&lt;&gt;"")*('Team Lineups'!$C$2:$C$2000=$A33)*COUNTIFS('Team Lineups'!$K$2:$K$2000,'Team Lineups'!$K$2:$K$2000,'Team Lineups'!$C$2:$C$2000,AP$1))</f>
        <v>2</v>
      </c>
    </row>
    <row r="34" spans="1:42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0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0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2</v>
      </c>
      <c r="AH34" cm="1">
        <f t="array" ref="AH34">SUMPRODUCT(('Team Lineups'!$K$2:$K$2000&lt;&gt;"")*('Team Lineups'!$C$2:$C$2000=$A34)*COUNTIFS('Team Lineups'!$K$2:$K$2000,'Team Lineups'!$K$2:$K$2000,'Team Lineups'!$C$2:$C$2000,AH$1))</f>
        <v>2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</row>
    <row r="35" spans="1:42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</row>
    <row r="36" spans="1:42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3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0</v>
      </c>
      <c r="F36" cm="1">
        <f t="array" ref="F36">SUMPRODUCT(('Team Lineups'!$K$2:$K$2000&lt;&gt;"")*('Team Lineups'!$C$2:$C$2000=$A36)*COUNTIFS('Team Lineups'!$K$2:$K$2000,'Team Lineups'!$K$2:$K$2000,'Team Lineups'!$C$2:$C$2000,F$1))</f>
        <v>0</v>
      </c>
      <c r="G36" cm="1">
        <f t="array" ref="G36">SUMPRODUCT(('Team Lineups'!$K$2:$K$2000&lt;&gt;"")*('Team Lineups'!$C$2:$C$2000=$A36)*COUNTIFS('Team Lineups'!$K$2:$K$2000,'Team Lineups'!$K$2:$K$2000,'Team Lineups'!$C$2:$C$2000,G$1))</f>
        <v>0</v>
      </c>
      <c r="H36" cm="1">
        <f t="array" ref="H36">SUMPRODUCT(('Team Lineups'!$K$2:$K$2000&lt;&gt;"")*('Team Lineups'!$C$2:$C$2000=$A36)*COUNTIFS('Team Lineups'!$K$2:$K$2000,'Team Lineups'!$K$2:$K$2000,'Team Lineups'!$C$2:$C$2000,H$1))</f>
        <v>2</v>
      </c>
      <c r="I36" cm="1">
        <f t="array" ref="I36">SUMPRODUCT(('Team Lineups'!$K$2:$K$2000&lt;&gt;"")*('Team Lineups'!$C$2:$C$2000=$A36)*COUNTIFS('Team Lineups'!$K$2:$K$2000,'Team Lineups'!$K$2:$K$2000,'Team Lineups'!$C$2:$C$2000,I$1))</f>
        <v>3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0</v>
      </c>
      <c r="M36" cm="1">
        <f t="array" ref="M36">SUMPRODUCT(('Team Lineups'!$K$2:$K$2000&lt;&gt;"")*('Team Lineups'!$C$2:$C$2000=$A36)*COUNTIFS('Team Lineups'!$K$2:$K$2000,'Team Lineups'!$K$2:$K$2000,'Team Lineups'!$C$2:$C$2000,M$1))</f>
        <v>1</v>
      </c>
      <c r="N36" cm="1">
        <f t="array" ref="N36">SUMPRODUCT(('Team Lineups'!$K$2:$K$2000&lt;&gt;"")*('Team Lineups'!$C$2:$C$2000=$A36)*COUNTIFS('Team Lineups'!$K$2:$K$2000,'Team Lineups'!$K$2:$K$2000,'Team Lineups'!$C$2:$C$2000,N$1))</f>
        <v>3</v>
      </c>
      <c r="O36" cm="1">
        <f t="array" ref="O36">SUMPRODUCT(('Team Lineups'!$K$2:$K$2000&lt;&gt;"")*('Team Lineups'!$C$2:$C$2000=$A36)*COUNTIFS('Team Lineups'!$K$2:$K$2000,'Team Lineups'!$K$2:$K$2000,'Team Lineups'!$C$2:$C$2000,O$1))</f>
        <v>0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1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0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1</v>
      </c>
      <c r="AB36" cm="1">
        <f t="array" ref="AB36">SUMPRODUCT(('Team Lineups'!$K$2:$K$2000&lt;&gt;"")*('Team Lineups'!$C$2:$C$2000=$A36)*COUNTIFS('Team Lineups'!$K$2:$K$2000,'Team Lineups'!$K$2:$K$2000,'Team Lineups'!$C$2:$C$2000,AB$1))</f>
        <v>0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0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0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4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0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0</v>
      </c>
      <c r="AO36" cm="1">
        <f t="array" ref="AO36">SUMPRODUCT(('Team Lineups'!$K$2:$K$2000&lt;&gt;"")*('Team Lineups'!$C$2:$C$2000=$A36)*COUNTIFS('Team Lineups'!$K$2:$K$2000,'Team Lineups'!$K$2:$K$2000,'Team Lineups'!$C$2:$C$2000,AO$1))</f>
        <v>0</v>
      </c>
      <c r="AP36" cm="1">
        <f t="array" ref="AP36">SUMPRODUCT(('Team Lineups'!$K$2:$K$2000&lt;&gt;"")*('Team Lineups'!$C$2:$C$2000=$A36)*COUNTIFS('Team Lineups'!$K$2:$K$2000,'Team Lineups'!$K$2:$K$2000,'Team Lineups'!$C$2:$C$2000,AP$1))</f>
        <v>0</v>
      </c>
    </row>
    <row r="37" spans="1:42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</row>
    <row r="38" spans="1:42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1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0</v>
      </c>
      <c r="E38" cm="1">
        <f t="array" ref="E38">SUMPRODUCT(('Team Lineups'!$K$2:$K$2000&lt;&gt;"")*('Team Lineups'!$C$2:$C$2000=$A38)*COUNTIFS('Team Lineups'!$K$2:$K$2000,'Team Lineups'!$K$2:$K$2000,'Team Lineups'!$C$2:$C$2000,E$1))</f>
        <v>4</v>
      </c>
      <c r="F38" cm="1">
        <f t="array" ref="F38">SUMPRODUCT(('Team Lineups'!$K$2:$K$2000&lt;&gt;"")*('Team Lineups'!$C$2:$C$2000=$A38)*COUNTIFS('Team Lineups'!$K$2:$K$2000,'Team Lineups'!$K$2:$K$2000,'Team Lineups'!$C$2:$C$2000,F$1))</f>
        <v>0</v>
      </c>
      <c r="G38" cm="1">
        <f t="array" ref="G38">SUMPRODUCT(('Team Lineups'!$K$2:$K$2000&lt;&gt;"")*('Team Lineups'!$C$2:$C$2000=$A38)*COUNTIFS('Team Lineups'!$K$2:$K$2000,'Team Lineups'!$K$2:$K$2000,'Team Lineups'!$C$2:$C$2000,G$1))</f>
        <v>2</v>
      </c>
      <c r="H38" cm="1">
        <f t="array" ref="H38">SUMPRODUCT(('Team Lineups'!$K$2:$K$2000&lt;&gt;"")*('Team Lineups'!$C$2:$C$2000=$A38)*COUNTIFS('Team Lineups'!$K$2:$K$2000,'Team Lineups'!$K$2:$K$2000,'Team Lineups'!$C$2:$C$2000,H$1))</f>
        <v>0</v>
      </c>
      <c r="I38" cm="1">
        <f t="array" ref="I38">SUMPRODUCT(('Team Lineups'!$K$2:$K$2000&lt;&gt;"")*('Team Lineups'!$C$2:$C$2000=$A38)*COUNTIFS('Team Lineups'!$K$2:$K$2000,'Team Lineups'!$K$2:$K$2000,'Team Lineups'!$C$2:$C$2000,I$1))</f>
        <v>1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1</v>
      </c>
      <c r="N38" cm="1">
        <f t="array" ref="N38">SUMPRODUCT(('Team Lineups'!$K$2:$K$2000&lt;&gt;"")*('Team Lineups'!$C$2:$C$2000=$A38)*COUNTIFS('Team Lineups'!$K$2:$K$2000,'Team Lineups'!$K$2:$K$2000,'Team Lineups'!$C$2:$C$2000,N$1))</f>
        <v>0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2</v>
      </c>
      <c r="R38" cm="1">
        <f t="array" ref="R38">SUMPRODUCT(('Team Lineups'!$K$2:$K$2000&lt;&gt;"")*('Team Lineups'!$C$2:$C$2000=$A38)*COUNTIFS('Team Lineups'!$K$2:$K$2000,'Team Lineups'!$K$2:$K$2000,'Team Lineups'!$C$2:$C$2000,R$1))</f>
        <v>3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0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2</v>
      </c>
      <c r="AA38" cm="1">
        <f t="array" ref="AA38">SUMPRODUCT(('Team Lineups'!$K$2:$K$2000&lt;&gt;"")*('Team Lineups'!$C$2:$C$2000=$A38)*COUNTIFS('Team Lineups'!$K$2:$K$2000,'Team Lineups'!$K$2:$K$2000,'Team Lineups'!$C$2:$C$2000,AA$1))</f>
        <v>1</v>
      </c>
      <c r="AB38" cm="1">
        <f t="array" ref="AB38">SUMPRODUCT(('Team Lineups'!$K$2:$K$2000&lt;&gt;"")*('Team Lineups'!$C$2:$C$2000=$A38)*COUNTIFS('Team Lineups'!$K$2:$K$2000,'Team Lineups'!$K$2:$K$2000,'Team Lineups'!$C$2:$C$2000,AB$1))</f>
        <v>2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0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0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6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2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  <c r="AP38" cm="1">
        <f t="array" ref="AP38">SUMPRODUCT(('Team Lineups'!$K$2:$K$2000&lt;&gt;"")*('Team Lineups'!$C$2:$C$2000=$A38)*COUNTIFS('Team Lineups'!$K$2:$K$2000,'Team Lineups'!$K$2:$K$2000,'Team Lineups'!$C$2:$C$2000,AP$1))</f>
        <v>0</v>
      </c>
    </row>
    <row r="39" spans="1:42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</row>
    <row r="40" spans="1:42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1</v>
      </c>
      <c r="E40" cm="1">
        <f t="array" ref="E40">SUMPRODUCT(('Team Lineups'!$K$2:$K$2000&lt;&gt;"")*('Team Lineups'!$C$2:$C$2000=$A40)*COUNTIFS('Team Lineups'!$K$2:$K$2000,'Team Lineups'!$K$2:$K$2000,'Team Lineups'!$C$2:$C$2000,E$1))</f>
        <v>1</v>
      </c>
      <c r="F40" cm="1">
        <f t="array" ref="F40">SUMPRODUCT(('Team Lineups'!$K$2:$K$2000&lt;&gt;"")*('Team Lineups'!$C$2:$C$2000=$A40)*COUNTIFS('Team Lineups'!$K$2:$K$2000,'Team Lineups'!$K$2:$K$2000,'Team Lineups'!$C$2:$C$2000,F$1))</f>
        <v>1</v>
      </c>
      <c r="G40" cm="1">
        <f t="array" ref="G40">SUMPRODUCT(('Team Lineups'!$K$2:$K$2000&lt;&gt;"")*('Team Lineups'!$C$2:$C$2000=$A40)*COUNTIFS('Team Lineups'!$K$2:$K$2000,'Team Lineups'!$K$2:$K$2000,'Team Lineups'!$C$2:$C$2000,G$1))</f>
        <v>1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2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1</v>
      </c>
      <c r="M40" cm="1">
        <f t="array" ref="M40">SUMPRODUCT(('Team Lineups'!$K$2:$K$2000&lt;&gt;"")*('Team Lineups'!$C$2:$C$2000=$A40)*COUNTIFS('Team Lineups'!$K$2:$K$2000,'Team Lineups'!$K$2:$K$2000,'Team Lineups'!$C$2:$C$2000,M$1))</f>
        <v>1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1</v>
      </c>
      <c r="R40" cm="1">
        <f t="array" ref="R40">SUMPRODUCT(('Team Lineups'!$K$2:$K$2000&lt;&gt;"")*('Team Lineups'!$C$2:$C$2000=$A40)*COUNTIFS('Team Lineups'!$K$2:$K$2000,'Team Lineups'!$K$2:$K$2000,'Team Lineups'!$C$2:$C$2000,R$1))</f>
        <v>0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1</v>
      </c>
      <c r="AB40" cm="1">
        <f t="array" ref="AB40">SUMPRODUCT(('Team Lineups'!$K$2:$K$2000&lt;&gt;"")*('Team Lineups'!$C$2:$C$2000=$A40)*COUNTIFS('Team Lineups'!$K$2:$K$2000,'Team Lineups'!$K$2:$K$2000,'Team Lineups'!$C$2:$C$2000,AB$1))</f>
        <v>1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0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0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2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5</v>
      </c>
      <c r="AO40" cm="1">
        <f t="array" ref="AO40">SUMPRODUCT(('Team Lineups'!$K$2:$K$2000&lt;&gt;"")*('Team Lineups'!$C$2:$C$2000=$A40)*COUNTIFS('Team Lineups'!$K$2:$K$2000,'Team Lineups'!$K$2:$K$2000,'Team Lineups'!$C$2:$C$2000,AO$1))</f>
        <v>0</v>
      </c>
      <c r="AP40" cm="1">
        <f t="array" ref="AP40">SUMPRODUCT(('Team Lineups'!$K$2:$K$2000&lt;&gt;"")*('Team Lineups'!$C$2:$C$2000=$A40)*COUNTIFS('Team Lineups'!$K$2:$K$2000,'Team Lineups'!$K$2:$K$2000,'Team Lineups'!$C$2:$C$2000,AP$1))</f>
        <v>1</v>
      </c>
    </row>
    <row r="41" spans="1:42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0</v>
      </c>
      <c r="G41" cm="1">
        <f t="array" ref="G41">SUMPRODUCT(('Team Lineups'!$K$2:$K$2000&lt;&gt;"")*('Team Lineups'!$C$2:$C$2000=$A41)*COUNTIFS('Team Lineups'!$K$2:$K$2000,'Team Lineups'!$K$2:$K$2000,'Team Lineups'!$C$2:$C$2000,G$1))</f>
        <v>1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0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0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0</v>
      </c>
      <c r="O41" cm="1">
        <f t="array" ref="O41">SUMPRODUCT(('Team Lineups'!$K$2:$K$2000&lt;&gt;"")*('Team Lineups'!$C$2:$C$2000=$A41)*COUNTIFS('Team Lineups'!$K$2:$K$2000,'Team Lineups'!$K$2:$K$2000,'Team Lineups'!$C$2:$C$2000,O$1))</f>
        <v>0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1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0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1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0</v>
      </c>
      <c r="AE41" cm="1">
        <f t="array" ref="AE41">SUMPRODUCT(('Team Lineups'!$K$2:$K$2000&lt;&gt;"")*('Team Lineups'!$C$2:$C$2000=$A41)*COUNTIFS('Team Lineups'!$K$2:$K$2000,'Team Lineups'!$K$2:$K$2000,'Team Lineups'!$C$2:$C$2000,AE$1))</f>
        <v>0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0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0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0</v>
      </c>
      <c r="AO41" cm="1">
        <f t="array" ref="AO41">SUMPRODUCT(('Team Lineups'!$K$2:$K$2000&lt;&gt;"")*('Team Lineups'!$C$2:$C$2000=$A41)*COUNTIFS('Team Lineups'!$K$2:$K$2000,'Team Lineups'!$K$2:$K$2000,'Team Lineups'!$C$2:$C$2000,AO$1))</f>
        <v>1</v>
      </c>
      <c r="AP41" cm="1">
        <f t="array" ref="AP41">SUMPRODUCT(('Team Lineups'!$K$2:$K$2000&lt;&gt;"")*('Team Lineups'!$C$2:$C$2000=$A41)*COUNTIFS('Team Lineups'!$K$2:$K$2000,'Team Lineups'!$K$2:$K$2000,'Team Lineups'!$C$2:$C$2000,AP$1))</f>
        <v>0</v>
      </c>
    </row>
    <row r="42" spans="1:42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0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1</v>
      </c>
      <c r="E42" cm="1">
        <f t="array" ref="E42">SUMPRODUCT(('Team Lineups'!$K$2:$K$2000&lt;&gt;"")*('Team Lineups'!$C$2:$C$2000=$A42)*COUNTIFS('Team Lineups'!$K$2:$K$2000,'Team Lineups'!$K$2:$K$2000,'Team Lineups'!$C$2:$C$2000,E$1))</f>
        <v>1</v>
      </c>
      <c r="F42" cm="1">
        <f t="array" ref="F42">SUMPRODUCT(('Team Lineups'!$K$2:$K$2000&lt;&gt;"")*('Team Lineups'!$C$2:$C$2000=$A42)*COUNTIFS('Team Lineups'!$K$2:$K$2000,'Team Lineups'!$K$2:$K$2000,'Team Lineups'!$C$2:$C$2000,F$1))</f>
        <v>1</v>
      </c>
      <c r="G42" cm="1">
        <f t="array" ref="G42">SUMPRODUCT(('Team Lineups'!$K$2:$K$2000&lt;&gt;"")*('Team Lineups'!$C$2:$C$2000=$A42)*COUNTIFS('Team Lineups'!$K$2:$K$2000,'Team Lineups'!$K$2:$K$2000,'Team Lineups'!$C$2:$C$2000,G$1))</f>
        <v>0</v>
      </c>
      <c r="H42" cm="1">
        <f t="array" ref="H42">SUMPRODUCT(('Team Lineups'!$K$2:$K$2000&lt;&gt;"")*('Team Lineups'!$C$2:$C$2000=$A42)*COUNTIFS('Team Lineups'!$K$2:$K$2000,'Team Lineups'!$K$2:$K$2000,'Team Lineups'!$C$2:$C$2000,H$1))</f>
        <v>0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0</v>
      </c>
      <c r="M42" cm="1">
        <f t="array" ref="M42">SUMPRODUCT(('Team Lineups'!$K$2:$K$2000&lt;&gt;"")*('Team Lineups'!$C$2:$C$2000=$A42)*COUNTIFS('Team Lineups'!$K$2:$K$2000,'Team Lineups'!$K$2:$K$2000,'Team Lineups'!$C$2:$C$2000,M$1))</f>
        <v>0</v>
      </c>
      <c r="N42" cm="1">
        <f t="array" ref="N42">SUMPRODUCT(('Team Lineups'!$K$2:$K$2000&lt;&gt;"")*('Team Lineups'!$C$2:$C$2000=$A42)*COUNTIFS('Team Lineups'!$K$2:$K$2000,'Team Lineups'!$K$2:$K$2000,'Team Lineups'!$C$2:$C$2000,N$1))</f>
        <v>1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0</v>
      </c>
      <c r="R42" cm="1">
        <f t="array" ref="R42">SUMPRODUCT(('Team Lineups'!$K$2:$K$2000&lt;&gt;"")*('Team Lineups'!$C$2:$C$2000=$A42)*COUNTIFS('Team Lineups'!$K$2:$K$2000,'Team Lineups'!$K$2:$K$2000,'Team Lineups'!$C$2:$C$2000,R$1))</f>
        <v>0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0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0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1</v>
      </c>
      <c r="AB42" cm="1">
        <f t="array" ref="AB42">SUMPRODUCT(('Team Lineups'!$K$2:$K$2000&lt;&gt;"")*('Team Lineups'!$C$2:$C$2000=$A42)*COUNTIFS('Team Lineups'!$K$2:$K$2000,'Team Lineups'!$K$2:$K$2000,'Team Lineups'!$C$2:$C$2000,AB$1))</f>
        <v>0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0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2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0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0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1</v>
      </c>
      <c r="AO42" cm="1">
        <f t="array" ref="AO42">SUMPRODUCT(('Team Lineups'!$K$2:$K$2000&lt;&gt;"")*('Team Lineups'!$C$2:$C$2000=$A42)*COUNTIFS('Team Lineups'!$K$2:$K$2000,'Team Lineups'!$K$2:$K$2000,'Team Lineups'!$C$2:$C$2000,AO$1))</f>
        <v>0</v>
      </c>
      <c r="AP42" cm="1">
        <f t="array" ref="AP42">SUMPRODUCT(('Team Lineups'!$K$2:$K$2000&lt;&gt;"")*('Team Lineups'!$C$2:$C$2000=$A42)*COUNTIFS('Team Lineups'!$K$2:$K$2000,'Team Lineups'!$K$2:$K$2000,'Team Lineups'!$C$2:$C$2000,AP$1))</f>
        <v>2</v>
      </c>
    </row>
    <row r="43" spans="1:42" x14ac:dyDescent="0.35">
      <c r="A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2026-04-24T12:45:48Z</dcterms:modified>
</cp:coreProperties>
</file>