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B95E0B55-2FBA-4BB9-9A5B-1B8D3E2961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9" i="2" l="1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G339" i="2" s="1"/>
  <c r="F339" i="2"/>
  <c r="E340" i="2"/>
  <c r="G340" i="2" s="1"/>
  <c r="F340" i="2"/>
  <c r="E341" i="2"/>
  <c r="F341" i="2"/>
  <c r="G341" i="2"/>
  <c r="E342" i="2"/>
  <c r="G342" i="2" s="1"/>
  <c r="F342" i="2"/>
  <c r="E343" i="2"/>
  <c r="G343" i="2" s="1"/>
  <c r="F343" i="2"/>
  <c r="E344" i="2"/>
  <c r="G344" i="2" s="1"/>
  <c r="F344" i="2"/>
  <c r="E345" i="2"/>
  <c r="F345" i="2"/>
  <c r="G345" i="2"/>
  <c r="E346" i="2"/>
  <c r="G346" i="2" s="1"/>
  <c r="F346" i="2"/>
  <c r="E347" i="2"/>
  <c r="G347" i="2" s="1"/>
  <c r="F347" i="2"/>
  <c r="E348" i="2"/>
  <c r="G348" i="2" s="1"/>
  <c r="F348" i="2"/>
  <c r="E349" i="2"/>
  <c r="F349" i="2"/>
  <c r="G349" i="2"/>
  <c r="E350" i="2"/>
  <c r="G350" i="2" s="1"/>
  <c r="F350" i="2"/>
  <c r="E351" i="2"/>
  <c r="G351" i="2" s="1"/>
  <c r="F351" i="2"/>
  <c r="E352" i="2"/>
  <c r="G352" i="2" s="1"/>
  <c r="F352" i="2"/>
  <c r="E353" i="2"/>
  <c r="F353" i="2"/>
  <c r="G353" i="2"/>
  <c r="E354" i="2"/>
  <c r="G354" i="2" s="1"/>
  <c r="F354" i="2"/>
  <c r="E355" i="2"/>
  <c r="G355" i="2" s="1"/>
  <c r="F355" i="2"/>
  <c r="E356" i="2"/>
  <c r="G356" i="2" s="1"/>
  <c r="F356" i="2"/>
  <c r="E357" i="2"/>
  <c r="F357" i="2"/>
  <c r="G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G331" i="2"/>
  <c r="E332" i="2"/>
  <c r="F332" i="2"/>
  <c r="E333" i="2"/>
  <c r="F333" i="2"/>
  <c r="E334" i="2"/>
  <c r="G334" i="2" s="1"/>
  <c r="F334" i="2"/>
  <c r="E335" i="2"/>
  <c r="F335" i="2"/>
  <c r="E336" i="2"/>
  <c r="F336" i="2"/>
  <c r="E337" i="2"/>
  <c r="F337" i="2"/>
  <c r="G337" i="2" s="1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D44" i="3" s="1"/>
  <c r="F265" i="2"/>
  <c r="E44" i="3" s="1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G123" i="2" s="1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G107" i="2" s="1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G103" i="2" s="1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G63" i="2" s="1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358" i="2" l="1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D14" i="3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44" i="3" s="1"/>
  <c r="J44" i="3" s="1"/>
  <c r="G268" i="2"/>
  <c r="G252" i="2"/>
  <c r="G257" i="2"/>
  <c r="G262" i="2"/>
  <c r="G228" i="2"/>
  <c r="G230" i="2"/>
  <c r="G263" i="2"/>
  <c r="G98" i="2"/>
  <c r="G251" i="2"/>
  <c r="D41" i="3"/>
  <c r="G73" i="2"/>
  <c r="G37" i="2"/>
  <c r="G28" i="2"/>
  <c r="G258" i="2"/>
  <c r="M44" i="3"/>
  <c r="P44" i="3"/>
  <c r="P43" i="3"/>
  <c r="K13" i="3"/>
  <c r="F44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45" i="3" l="1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 l="1"/>
  <c r="J5" i="3" s="1"/>
  <c r="I5" i="3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<sst xmlns="http://schemas.openxmlformats.org/spreadsheetml/2006/main" count="887" uniqueCount="105">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</sst>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1" workbookViewId="0">
      <selection activeCell="G33" sqref="G33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8"/>
  <sheetViews>
    <sheetView topLeftCell="A343" workbookViewId="0">
      <selection activeCell="J359" sqref="J359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1</v>
      </c>
      <c r="I297">
        <v>1</v>
      </c>
      <c r="J297">
        <v>2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58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12</v>
      </c>
      <c r="D4">
        <f>SUMIF('Team Lineups'!C:C,A4,'Team Lineups'!E:E)</f>
        <v>84</v>
      </c>
      <c r="E4">
        <f>SUMIF('Team Lineups'!C:C,A4,'Team Lineups'!F:F)</f>
        <v>74</v>
      </c>
      <c r="F4">
        <f t="shared" si="0"/>
        <v>10</v>
      </c>
      <c r="G4">
        <f>COUNTIFS('Team Lineups'!C:C,A4,'Team Lineups'!G:G,"Win")</f>
        <v>6</v>
      </c>
      <c r="H4">
        <f>COUNTIFS('Team Lineups'!C:C,A4,'Team Lineups'!G:G,"Draw")</f>
        <v>2</v>
      </c>
      <c r="I4">
        <f>COUNTIFS('Team Lineups'!C:C,A4,'Team Lineups'!G:G,"Loss")</f>
        <v>4</v>
      </c>
      <c r="J4" s="3">
        <f t="shared" si="3"/>
        <v>0.5</v>
      </c>
      <c r="K4" s="3">
        <f t="shared" si="4"/>
        <v>0.33333333333333331</v>
      </c>
      <c r="L4">
        <f>SUMIF('Team Lineups'!C:C,A4,'Team Lineups'!H:H)</f>
        <v>5</v>
      </c>
      <c r="M4">
        <f t="shared" si="1"/>
        <v>0.41666666666666669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16</v>
      </c>
      <c r="D5">
        <f>SUMIF('Team Lineups'!C:C,A5,'Team Lineups'!E:E)</f>
        <v>89</v>
      </c>
      <c r="E5">
        <f>SUMIF('Team Lineups'!C:C,A5,'Team Lineups'!F:F)</f>
        <v>113</v>
      </c>
      <c r="F5">
        <f t="shared" si="0"/>
        <v>-24</v>
      </c>
      <c r="G5">
        <f>COUNTIFS('Team Lineups'!C:C,A5,'Team Lineups'!G:G,"Win")</f>
        <v>2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0.125</v>
      </c>
      <c r="K5" s="3">
        <f t="shared" si="4"/>
        <v>0.6875</v>
      </c>
      <c r="L5">
        <f>SUMIF('Team Lineups'!C:C,A5,'Team Lineups'!H:H)</f>
        <v>22</v>
      </c>
      <c r="M5">
        <f t="shared" si="1"/>
        <v>1.375</v>
      </c>
      <c r="N5">
        <f>SUMIF('Team Lineups'!C:C,A5,'Team Lineups'!I:I)</f>
        <v>20</v>
      </c>
      <c r="O5">
        <f>COUNTIF(Matches!G:G,A5)</f>
        <v>2</v>
      </c>
      <c r="P5">
        <f t="shared" si="2"/>
        <v>0.125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12</v>
      </c>
      <c r="D6">
        <f>SUMIF('Team Lineups'!C:C,A6,'Team Lineups'!E:E)</f>
        <v>71</v>
      </c>
      <c r="E6">
        <f>SUMIF('Team Lineups'!C:C,A6,'Team Lineups'!F:F)</f>
        <v>66</v>
      </c>
      <c r="F6">
        <f t="shared" si="0"/>
        <v>5</v>
      </c>
      <c r="G6">
        <f>COUNTIFS('Team Lineups'!C:C,A6,'Team Lineups'!G:G,"Win")</f>
        <v>5</v>
      </c>
      <c r="H6">
        <f>COUNTIFS('Team Lineups'!C:C,A6,'Team Lineups'!G:G,"Draw")</f>
        <v>4</v>
      </c>
      <c r="I6">
        <f>COUNTIFS('Team Lineups'!C:C,A6,'Team Lineups'!G:G,"Loss")</f>
        <v>3</v>
      </c>
      <c r="J6" s="3">
        <f t="shared" si="3"/>
        <v>0.41666666666666669</v>
      </c>
      <c r="K6" s="3">
        <f t="shared" si="4"/>
        <v>0.25</v>
      </c>
      <c r="L6">
        <f>SUMIF('Team Lineups'!C:C,A6,'Team Lineups'!H:H)</f>
        <v>12</v>
      </c>
      <c r="M6">
        <f t="shared" si="1"/>
        <v>1</v>
      </c>
      <c r="N6">
        <f>SUMIF('Team Lineups'!C:C,A6,'Team Lineups'!I:I)</f>
        <v>9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21</v>
      </c>
      <c r="D7">
        <f>SUMIF('Team Lineups'!C:C,A7,'Team Lineups'!E:E)</f>
        <v>141</v>
      </c>
      <c r="E7">
        <f>SUMIF('Team Lineups'!C:C,A7,'Team Lineups'!F:F)</f>
        <v>153</v>
      </c>
      <c r="F7">
        <f t="shared" si="0"/>
        <v>-12</v>
      </c>
      <c r="G7">
        <f>COUNTIFS('Team Lineups'!C:C,A7,'Team Lineups'!G:G,"Win")</f>
        <v>7</v>
      </c>
      <c r="H7">
        <f>COUNTIFS('Team Lineups'!C:C,A7,'Team Lineups'!G:G,"Draw")</f>
        <v>4</v>
      </c>
      <c r="I7">
        <f>COUNTIFS('Team Lineups'!C:C,A7,'Team Lineups'!G:G,"Loss")</f>
        <v>9</v>
      </c>
      <c r="J7" s="3">
        <f t="shared" si="3"/>
        <v>0.33333333333333331</v>
      </c>
      <c r="K7" s="3">
        <f t="shared" si="4"/>
        <v>0.42857142857142855</v>
      </c>
      <c r="L7">
        <f>SUMIF('Team Lineups'!C:C,A7,'Team Lineups'!H:H)</f>
        <v>25</v>
      </c>
      <c r="M7">
        <f t="shared" si="1"/>
        <v>1.1904761904761905</v>
      </c>
      <c r="N7">
        <f>SUMIF('Team Lineups'!C:C,A7,'Team Lineups'!I:I)</f>
        <v>20</v>
      </c>
      <c r="O7">
        <f>COUNTIF(Matches!G:G,A7)</f>
        <v>1</v>
      </c>
      <c r="P7">
        <f t="shared" si="2"/>
        <v>4.7619047619047616E-2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18</v>
      </c>
      <c r="D8">
        <f>SUMIF('Team Lineups'!C:C,A8,'Team Lineups'!E:E)</f>
        <v>124</v>
      </c>
      <c r="E8">
        <f>SUMIF('Team Lineups'!C:C,A8,'Team Lineups'!F:F)</f>
        <v>116</v>
      </c>
      <c r="F8">
        <f t="shared" si="0"/>
        <v>8</v>
      </c>
      <c r="G8">
        <f>COUNTIFS('Team Lineups'!C:C,A8,'Team Lineups'!G:G,"Win")</f>
        <v>9</v>
      </c>
      <c r="H8">
        <f>COUNTIFS('Team Lineups'!C:C,A8,'Team Lineups'!G:G,"Draw")</f>
        <v>4</v>
      </c>
      <c r="I8">
        <f>COUNTIFS('Team Lineups'!C:C,A8,'Team Lineups'!G:G,"Loss")</f>
        <v>5</v>
      </c>
      <c r="J8" s="3">
        <f t="shared" si="3"/>
        <v>0.5</v>
      </c>
      <c r="K8" s="3">
        <f t="shared" si="4"/>
        <v>0.27777777777777779</v>
      </c>
      <c r="L8">
        <f>SUMIF('Team Lineups'!C:C,A8,'Team Lineups'!H:H)</f>
        <v>39</v>
      </c>
      <c r="M8">
        <f t="shared" si="1"/>
        <v>2.1666666666666665</v>
      </c>
      <c r="N8">
        <f>SUMIF('Team Lineups'!C:C,A8,'Team Lineups'!I:I)</f>
        <v>17</v>
      </c>
      <c r="O8">
        <f>COUNTIF(Matches!G:G,A8)</f>
        <v>4</v>
      </c>
      <c r="P8">
        <f t="shared" si="2"/>
        <v>0.22222222222222221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14</v>
      </c>
      <c r="D9">
        <f>SUMIF('Team Lineups'!C:C,A9,'Team Lineups'!E:E)</f>
        <v>73</v>
      </c>
      <c r="E9">
        <f>SUMIF('Team Lineups'!C:C,A9,'Team Lineups'!F:F)</f>
        <v>87</v>
      </c>
      <c r="F9">
        <f t="shared" si="0"/>
        <v>-14</v>
      </c>
      <c r="G9">
        <f>COUNTIFS('Team Lineups'!C:C,A9,'Team Lineups'!G:G,"Win")</f>
        <v>4</v>
      </c>
      <c r="H9">
        <f>COUNTIFS('Team Lineups'!C:C,A9,'Team Lineups'!G:G,"Draw")</f>
        <v>2</v>
      </c>
      <c r="I9">
        <f>COUNTIFS('Team Lineups'!C:C,A9,'Team Lineups'!G:G,"Loss")</f>
        <v>8</v>
      </c>
      <c r="J9" s="3">
        <f t="shared" si="3"/>
        <v>0.2857142857142857</v>
      </c>
      <c r="K9" s="3">
        <f t="shared" si="4"/>
        <v>0.5714285714285714</v>
      </c>
      <c r="L9">
        <f>SUMIF('Team Lineups'!C:C,A9,'Team Lineups'!H:H)</f>
        <v>9</v>
      </c>
      <c r="M9">
        <f t="shared" si="1"/>
        <v>0.6428571428571429</v>
      </c>
      <c r="N9">
        <f>SUMIF('Team Lineups'!C:C,A9,'Team Lineups'!I:I)</f>
        <v>5</v>
      </c>
      <c r="O9">
        <f>COUNTIF(Matches!G:G,A9)</f>
        <v>1</v>
      </c>
      <c r="P9">
        <f t="shared" si="2"/>
        <v>7.1428571428571425E-2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20</v>
      </c>
      <c r="D12">
        <f>SUMIF('Team Lineups'!C:C,A12,'Team Lineups'!E:E)</f>
        <v>129</v>
      </c>
      <c r="E12">
        <f>SUMIF('Team Lineups'!C:C,A12,'Team Lineups'!F:F)</f>
        <v>141</v>
      </c>
      <c r="F12">
        <f t="shared" si="0"/>
        <v>-12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11</v>
      </c>
      <c r="J12" s="3">
        <f t="shared" si="3"/>
        <v>0.35</v>
      </c>
      <c r="K12" s="3">
        <f t="shared" si="4"/>
        <v>0.55000000000000004</v>
      </c>
      <c r="L12">
        <f>SUMIF('Team Lineups'!C:C,A12,'Team Lineups'!H:H)</f>
        <v>33</v>
      </c>
      <c r="M12">
        <f t="shared" si="1"/>
        <v>1.65</v>
      </c>
      <c r="N12">
        <f>SUMIF('Team Lineups'!C:C,A12,'Team Lineups'!I:I)</f>
        <v>9</v>
      </c>
      <c r="O12">
        <f>COUNTIF(Matches!G:G,A12)</f>
        <v>1</v>
      </c>
      <c r="P12">
        <f t="shared" si="2"/>
        <v>0.05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6</v>
      </c>
      <c r="D14">
        <f>SUMIF('Team Lineups'!C:C,A14,'Team Lineups'!E:E)</f>
        <v>40</v>
      </c>
      <c r="E14">
        <f>SUMIF('Team Lineups'!C:C,A14,'Team Lineups'!F:F)</f>
        <v>58</v>
      </c>
      <c r="F14">
        <f t="shared" si="0"/>
        <v>-18</v>
      </c>
      <c r="G14">
        <f>COUNTIFS('Team Lineups'!C:C,A14,'Team Lineups'!G:G,"Win")</f>
        <v>1</v>
      </c>
      <c r="H14">
        <f>COUNTIFS('Team Lineups'!C:C,A14,'Team Lineups'!G:G,"Draw")</f>
        <v>0</v>
      </c>
      <c r="I14">
        <f>COUNTIFS('Team Lineups'!C:C,A14,'Team Lineups'!G:G,"Loss")</f>
        <v>5</v>
      </c>
      <c r="J14" s="3">
        <f t="shared" si="3"/>
        <v>0.16666666666666666</v>
      </c>
      <c r="K14" s="3">
        <f t="shared" si="4"/>
        <v>0.83333333333333337</v>
      </c>
      <c r="L14">
        <f>SUMIF('Team Lineups'!C:C,A14,'Team Lineups'!H:H)</f>
        <v>2</v>
      </c>
      <c r="M14">
        <f t="shared" si="1"/>
        <v>0.33333333333333331</v>
      </c>
      <c r="N14">
        <f>SUMIF('Team Lineups'!C:C,A14,'Team Lineups'!I:I)</f>
        <v>4</v>
      </c>
      <c r="O14">
        <f>COUNTIF(Matches!G:G,A14)</f>
        <v>1</v>
      </c>
      <c r="P14">
        <f t="shared" si="2"/>
        <v>0.16666666666666666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6</v>
      </c>
      <c r="D15">
        <f>SUMIF('Team Lineups'!C:C,A15,'Team Lineups'!E:E)</f>
        <v>43</v>
      </c>
      <c r="E15">
        <f>SUMIF('Team Lineups'!C:C,A15,'Team Lineups'!F:F)</f>
        <v>30</v>
      </c>
      <c r="F15">
        <f t="shared" si="0"/>
        <v>13</v>
      </c>
      <c r="G15">
        <f>COUNTIFS('Team Lineups'!C:C,A15,'Team Lineups'!G:G,"Win")</f>
        <v>3</v>
      </c>
      <c r="H15">
        <f>COUNTIFS('Team Lineups'!C:C,A15,'Team Lineups'!G:G,"Draw")</f>
        <v>2</v>
      </c>
      <c r="I15">
        <f>COUNTIFS('Team Lineups'!C:C,A15,'Team Lineups'!G:G,"Loss")</f>
        <v>1</v>
      </c>
      <c r="J15" s="3">
        <f t="shared" si="3"/>
        <v>0.5</v>
      </c>
      <c r="K15" s="3">
        <f t="shared" si="4"/>
        <v>0.16666666666666666</v>
      </c>
      <c r="L15">
        <f>SUMIF('Team Lineups'!C:C,A15,'Team Lineups'!H:H)</f>
        <v>3</v>
      </c>
      <c r="M15">
        <f t="shared" si="1"/>
        <v>0.5</v>
      </c>
      <c r="N15">
        <f>SUMIF('Team Lineups'!C:C,A15,'Team Lineups'!I:I)</f>
        <v>7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17</v>
      </c>
      <c r="D16">
        <f>SUMIF('Team Lineups'!C:C,A16,'Team Lineups'!E:E)</f>
        <v>88</v>
      </c>
      <c r="E16">
        <f>SUMIF('Team Lineups'!C:C,A16,'Team Lineups'!F:F)</f>
        <v>101</v>
      </c>
      <c r="F16">
        <f t="shared" si="0"/>
        <v>-13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9</v>
      </c>
      <c r="J16" s="3">
        <f t="shared" si="3"/>
        <v>0.23529411764705882</v>
      </c>
      <c r="K16" s="3">
        <f t="shared" si="4"/>
        <v>0.52941176470588236</v>
      </c>
      <c r="L16">
        <f>SUMIF('Team Lineups'!C:C,A16,'Team Lineups'!H:H)</f>
        <v>7</v>
      </c>
      <c r="M16">
        <f t="shared" si="1"/>
        <v>0.41176470588235292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18</v>
      </c>
      <c r="D17">
        <f>SUMIF('Team Lineups'!C:C,A17,'Team Lineups'!E:E)</f>
        <v>112</v>
      </c>
      <c r="E17">
        <f>SUMIF('Team Lineups'!C:C,A17,'Team Lineups'!F:F)</f>
        <v>97</v>
      </c>
      <c r="F17">
        <f t="shared" si="0"/>
        <v>15</v>
      </c>
      <c r="G17">
        <f>COUNTIFS('Team Lineups'!C:C,A17,'Team Lineups'!G:G,"Win")</f>
        <v>10</v>
      </c>
      <c r="H17">
        <f>COUNTIFS('Team Lineups'!C:C,A17,'Team Lineups'!G:G,"Draw")</f>
        <v>4</v>
      </c>
      <c r="I17">
        <f>COUNTIFS('Team Lineups'!C:C,A17,'Team Lineups'!G:G,"Loss")</f>
        <v>4</v>
      </c>
      <c r="J17" s="3">
        <f t="shared" si="3"/>
        <v>0.55555555555555558</v>
      </c>
      <c r="K17" s="3">
        <f t="shared" si="4"/>
        <v>0.22222222222222221</v>
      </c>
      <c r="L17">
        <f>SUMIF('Team Lineups'!C:C,A17,'Team Lineups'!H:H)</f>
        <v>9</v>
      </c>
      <c r="M17">
        <f t="shared" si="1"/>
        <v>0.5</v>
      </c>
      <c r="N17">
        <f>SUMIF('Team Lineups'!C:C,A17,'Team Lineups'!I:I)</f>
        <v>16</v>
      </c>
      <c r="O17">
        <f>COUNTIF(Matches!G:G,A17)</f>
        <v>1</v>
      </c>
      <c r="P17">
        <f t="shared" si="2"/>
        <v>5.5555555555555552E-2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15</v>
      </c>
      <c r="D18">
        <f>SUMIF('Team Lineups'!C:C,A18,'Team Lineups'!E:E)</f>
        <v>106</v>
      </c>
      <c r="E18">
        <f>SUMIF('Team Lineups'!C:C,A18,'Team Lineups'!F:F)</f>
        <v>119</v>
      </c>
      <c r="F18">
        <f t="shared" si="0"/>
        <v>-13</v>
      </c>
      <c r="G18">
        <f>COUNTIFS('Team Lineups'!C:C,A18,'Team Lineups'!G:G,"Win")</f>
        <v>6</v>
      </c>
      <c r="H18">
        <f>COUNTIFS('Team Lineups'!C:C,A18,'Team Lineups'!G:G,"Draw")</f>
        <v>2</v>
      </c>
      <c r="I18">
        <f>COUNTIFS('Team Lineups'!C:C,A18,'Team Lineups'!G:G,"Loss")</f>
        <v>7</v>
      </c>
      <c r="J18" s="3">
        <f t="shared" si="3"/>
        <v>0.4</v>
      </c>
      <c r="K18" s="3">
        <f t="shared" si="4"/>
        <v>0.46666666666666667</v>
      </c>
      <c r="L18">
        <f>SUMIF('Team Lineups'!C:C,A18,'Team Lineups'!H:H)</f>
        <v>10</v>
      </c>
      <c r="M18">
        <f t="shared" si="1"/>
        <v>0.66666666666666663</v>
      </c>
      <c r="N18">
        <f>SUMIF('Team Lineups'!C:C,A18,'Team Lineups'!I:I)</f>
        <v>7</v>
      </c>
      <c r="O18">
        <f>COUNTIF(Matches!G:G,A18)</f>
        <v>1</v>
      </c>
      <c r="P18">
        <f t="shared" si="2"/>
        <v>6.6666666666666666E-2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8</v>
      </c>
      <c r="D21">
        <f>SUMIF('Team Lineups'!C:C,A21,'Team Lineups'!E:E)</f>
        <v>59</v>
      </c>
      <c r="E21">
        <f>SUMIF('Team Lineups'!C:C,A21,'Team Lineups'!F:F)</f>
        <v>58</v>
      </c>
      <c r="F21">
        <f t="shared" si="0"/>
        <v>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4</v>
      </c>
      <c r="J21" s="3">
        <f t="shared" si="3"/>
        <v>0.375</v>
      </c>
      <c r="K21" s="3">
        <f t="shared" si="4"/>
        <v>0.5</v>
      </c>
      <c r="L21">
        <f>SUMIF('Team Lineups'!C:C,A21,'Team Lineups'!H:H)</f>
        <v>4</v>
      </c>
      <c r="M21">
        <f t="shared" si="1"/>
        <v>0.5</v>
      </c>
      <c r="N21">
        <f>SUMIF('Team Lineups'!C:C,A21,'Team Lineups'!I:I)</f>
        <v>12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20</v>
      </c>
      <c r="D23">
        <f>SUMIF('Team Lineups'!C:C,A23,'Team Lineups'!E:E)</f>
        <v>132</v>
      </c>
      <c r="E23">
        <f>SUMIF('Team Lineups'!C:C,A23,'Team Lineups'!F:F)</f>
        <v>119</v>
      </c>
      <c r="F23">
        <f t="shared" si="0"/>
        <v>13</v>
      </c>
      <c r="G23">
        <f>COUNTIFS('Team Lineups'!C:C,A23,'Team Lineups'!G:G,"Win")</f>
        <v>9</v>
      </c>
      <c r="H23">
        <f>COUNTIFS('Team Lineups'!C:C,A23,'Team Lineups'!G:G,"Draw")</f>
        <v>4</v>
      </c>
      <c r="I23">
        <f>COUNTIFS('Team Lineups'!C:C,A23,'Team Lineups'!G:G,"Loss")</f>
        <v>7</v>
      </c>
      <c r="J23" s="3">
        <f t="shared" si="3"/>
        <v>0.45</v>
      </c>
      <c r="K23" s="3">
        <f t="shared" si="4"/>
        <v>0.35</v>
      </c>
      <c r="L23">
        <f>SUMIF('Team Lineups'!C:C,A23,'Team Lineups'!H:H)</f>
        <v>26</v>
      </c>
      <c r="M23">
        <f t="shared" si="1"/>
        <v>1.3</v>
      </c>
      <c r="N23">
        <f>SUMIF('Team Lineups'!C:C,A23,'Team Lineups'!I:I)</f>
        <v>11</v>
      </c>
      <c r="O23">
        <f>COUNTIF(Matches!G:G,A23)</f>
        <v>4</v>
      </c>
      <c r="P23">
        <f t="shared" si="2"/>
        <v>0.2</v>
      </c>
      <c r="Q23">
        <f>SUMIF('Team Lineups'!C:C,A23,'Team Lineups'!J:J)</f>
        <v>2</v>
      </c>
    </row>
    <row r="24" spans="1:17" x14ac:dyDescent="0.35">
      <c r="A24" t="s">
        <v>25</v>
      </c>
      <c r="C24">
        <f>COUNTIF('Team Lineups'!C:C,A24)</f>
        <v>21</v>
      </c>
      <c r="D24">
        <f>SUMIF('Team Lineups'!C:C,A24,'Team Lineups'!E:E)</f>
        <v>135</v>
      </c>
      <c r="E24">
        <f>SUMIF('Team Lineups'!C:C,A24,'Team Lineups'!F:F)</f>
        <v>135</v>
      </c>
      <c r="F24">
        <f t="shared" si="0"/>
        <v>0</v>
      </c>
      <c r="G24">
        <f>COUNTIFS('Team Lineups'!C:C,A24,'Team Lineups'!G:G,"Win")</f>
        <v>6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0.2857142857142857</v>
      </c>
      <c r="K24" s="3">
        <f t="shared" si="4"/>
        <v>0.47619047619047616</v>
      </c>
      <c r="L24">
        <f>SUMIF('Team Lineups'!C:C,A24,'Team Lineups'!H:H)</f>
        <v>12</v>
      </c>
      <c r="M24">
        <f t="shared" si="1"/>
        <v>0.5714285714285714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19</v>
      </c>
      <c r="D25">
        <f>SUMIF('Team Lineups'!C:C,A25,'Team Lineups'!E:E)</f>
        <v>133</v>
      </c>
      <c r="E25">
        <f>SUMIF('Team Lineups'!C:C,A25,'Team Lineups'!F:F)</f>
        <v>114</v>
      </c>
      <c r="F25">
        <f t="shared" si="0"/>
        <v>19</v>
      </c>
      <c r="G25">
        <f>COUNTIFS('Team Lineups'!C:C,A25,'Team Lineups'!G:G,"Win")</f>
        <v>10</v>
      </c>
      <c r="H25">
        <f>COUNTIFS('Team Lineups'!C:C,A25,'Team Lineups'!G:G,"Draw")</f>
        <v>4</v>
      </c>
      <c r="I25">
        <f>COUNTIFS('Team Lineups'!C:C,A25,'Team Lineups'!G:G,"Loss")</f>
        <v>5</v>
      </c>
      <c r="J25" s="3">
        <f t="shared" si="3"/>
        <v>0.52631578947368418</v>
      </c>
      <c r="K25" s="3">
        <f t="shared" si="4"/>
        <v>0.26315789473684209</v>
      </c>
      <c r="L25">
        <f>SUMIF('Team Lineups'!C:C,A25,'Team Lineups'!H:H)</f>
        <v>29</v>
      </c>
      <c r="M25">
        <f t="shared" si="1"/>
        <v>1.5263157894736843</v>
      </c>
      <c r="N25">
        <f>SUMIF('Team Lineups'!C:C,A25,'Team Lineups'!I:I)</f>
        <v>11</v>
      </c>
      <c r="O25">
        <f>COUNTIF(Matches!G:G,A25)</f>
        <v>2</v>
      </c>
      <c r="P25">
        <f t="shared" si="2"/>
        <v>0.10526315789473684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9</v>
      </c>
      <c r="D26">
        <f>SUMIF('Team Lineups'!C:C,A26,'Team Lineups'!E:E)</f>
        <v>42</v>
      </c>
      <c r="E26">
        <f>SUMIF('Team Lineups'!C:C,A26,'Team Lineups'!F:F)</f>
        <v>52</v>
      </c>
      <c r="F26">
        <f t="shared" si="0"/>
        <v>-10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6</v>
      </c>
      <c r="J26" s="3">
        <f t="shared" si="3"/>
        <v>0.22222222222222221</v>
      </c>
      <c r="K26" s="3">
        <f t="shared" si="4"/>
        <v>0.66666666666666663</v>
      </c>
      <c r="L26">
        <f>SUMIF('Team Lineups'!C:C,A26,'Team Lineups'!H:H)</f>
        <v>1</v>
      </c>
      <c r="M26">
        <f t="shared" si="1"/>
        <v>0.1111111111111111</v>
      </c>
      <c r="N26">
        <f>SUMIF('Team Lineups'!C:C,A26,'Team Lineups'!I:I)</f>
        <v>5</v>
      </c>
      <c r="O26">
        <f>COUNTIF(Matches!G:G,A26)</f>
        <v>1</v>
      </c>
      <c r="P26">
        <f t="shared" si="2"/>
        <v>0.1111111111111111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15</v>
      </c>
      <c r="D33">
        <f>SUMIF('Team Lineups'!C:C,A33,'Team Lineups'!E:E)</f>
        <v>107</v>
      </c>
      <c r="E33">
        <f>SUMIF('Team Lineups'!C:C,A33,'Team Lineups'!F:F)</f>
        <v>102</v>
      </c>
      <c r="F33">
        <f t="shared" si="5"/>
        <v>5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5</v>
      </c>
      <c r="J33" s="3">
        <f t="shared" si="6"/>
        <v>0.46666666666666667</v>
      </c>
      <c r="K33" s="3">
        <f t="shared" si="4"/>
        <v>0.33333333333333331</v>
      </c>
      <c r="L33">
        <f>SUMIF('Team Lineups'!C:C,A33,'Team Lineups'!H:H)</f>
        <v>45</v>
      </c>
      <c r="M33">
        <f t="shared" si="7"/>
        <v>3</v>
      </c>
      <c r="N33">
        <f>SUMIF('Team Lineups'!C:C,A33,'Team Lineups'!I:I)</f>
        <v>15</v>
      </c>
      <c r="O33">
        <f>COUNTIF(Matches!G:G,A33)</f>
        <v>2</v>
      </c>
      <c r="P33">
        <f t="shared" si="8"/>
        <v>0.13333333333333333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7</v>
      </c>
      <c r="D34">
        <f>SUMIF('Team Lineups'!C:C,A34,'Team Lineups'!E:E)</f>
        <v>47</v>
      </c>
      <c r="E34">
        <f>SUMIF('Team Lineups'!C:C,A34,'Team Lineups'!F:F)</f>
        <v>33</v>
      </c>
      <c r="F34">
        <f t="shared" si="5"/>
        <v>14</v>
      </c>
      <c r="G34">
        <f>COUNTIFS('Team Lineups'!C:C,A34,'Team Lineups'!G:G,"Win")</f>
        <v>4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0.5714285714285714</v>
      </c>
      <c r="K34" s="3">
        <f t="shared" si="4"/>
        <v>0.2857142857142857</v>
      </c>
      <c r="L34">
        <f>SUMIF('Team Lineups'!C:C,A34,'Team Lineups'!H:H)</f>
        <v>10</v>
      </c>
      <c r="M34">
        <f t="shared" si="7"/>
        <v>1.4285714285714286</v>
      </c>
      <c r="N34">
        <f>SUMIF('Team Lineups'!C:C,A34,'Team Lineups'!I:I)</f>
        <v>4</v>
      </c>
      <c r="O34">
        <f>COUNTIF(Matches!G:G,A34)</f>
        <v>2</v>
      </c>
      <c r="P34">
        <f t="shared" si="8"/>
        <v>0.2857142857142857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6</v>
      </c>
      <c r="D35">
        <f>SUMIF('Team Lineups'!C:C,A35,'Team Lineups'!E:E)</f>
        <v>30</v>
      </c>
      <c r="E35">
        <f>SUMIF('Team Lineups'!C:C,A35,'Team Lineups'!F:F)</f>
        <v>39</v>
      </c>
      <c r="F35">
        <f t="shared" ref="F35" si="9">D35-E35</f>
        <v>-9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5</v>
      </c>
      <c r="J35" s="3">
        <f t="shared" ref="J35" si="10">G35/C35</f>
        <v>0.16666666666666666</v>
      </c>
      <c r="K35" s="3">
        <f t="shared" si="4"/>
        <v>0.83333333333333337</v>
      </c>
      <c r="L35">
        <f>SUMIF('Team Lineups'!C:C,A35,'Team Lineups'!H:H)</f>
        <v>2</v>
      </c>
      <c r="M35">
        <f t="shared" ref="M35" si="11">L35/C35</f>
        <v>0.33333333333333331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6</v>
      </c>
      <c r="D37">
        <f>SUMIF('Team Lineups'!C:C,A37,'Team Lineups'!E:E)</f>
        <v>32</v>
      </c>
      <c r="E37">
        <f>SUMIF('Team Lineups'!C:C,A37,'Team Lineups'!F:F)</f>
        <v>36</v>
      </c>
      <c r="F37">
        <f t="shared" ref="F37:F42" si="17">D37-E37</f>
        <v>-4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1</v>
      </c>
      <c r="J37" s="3">
        <f t="shared" ref="J37:J42" si="18">G37/C37</f>
        <v>0.66666666666666663</v>
      </c>
      <c r="K37" s="3">
        <f t="shared" ref="K37:K42" si="19">I37/C37</f>
        <v>0.16666666666666666</v>
      </c>
      <c r="L37">
        <f>SUMIF('Team Lineups'!C:C,A37,'Team Lineups'!H:H)</f>
        <v>3</v>
      </c>
      <c r="M37">
        <f t="shared" ref="M37:M42" si="20">L37/C37</f>
        <v>0.5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5</v>
      </c>
      <c r="D41">
        <f>SUMIF('Team Lineups'!C:C,A41,'Team Lineups'!E:E)</f>
        <v>27</v>
      </c>
      <c r="E41">
        <f>SUMIF('Team Lineups'!C:C,A41,'Team Lineups'!F:F)</f>
        <v>32</v>
      </c>
      <c r="F41">
        <f t="shared" si="17"/>
        <v>-5</v>
      </c>
      <c r="G41">
        <f>COUNTIFS('Team Lineups'!C:C,A41,'Team Lineups'!G:G,"Win")</f>
        <v>1</v>
      </c>
      <c r="H41">
        <f>COUNTIFS('Team Lineups'!C:C,A41,'Team Lineups'!G:G,"Draw")</f>
        <v>1</v>
      </c>
      <c r="I41">
        <f>COUNTIFS('Team Lineups'!C:C,A41,'Team Lineups'!G:G,"Loss")</f>
        <v>3</v>
      </c>
      <c r="J41" s="3">
        <f t="shared" si="18"/>
        <v>0.2</v>
      </c>
      <c r="K41" s="3">
        <f t="shared" si="19"/>
        <v>0.6</v>
      </c>
      <c r="L41">
        <f>SUMIF('Team Lineups'!C:C,A41,'Team Lineups'!H:H)</f>
        <v>8</v>
      </c>
      <c r="M41">
        <f t="shared" si="20"/>
        <v>1.6</v>
      </c>
      <c r="N41">
        <f>SUMIF('Team Lineups'!C:C,A41,'Team Lineups'!I:I)</f>
        <v>2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7</v>
      </c>
      <c r="D42">
        <f>SUMIF('Team Lineups'!C:C,A42,'Team Lineups'!E:E)</f>
        <v>50</v>
      </c>
      <c r="E42">
        <f>SUMIF('Team Lineups'!C:C,A42,'Team Lineups'!F:F)</f>
        <v>42</v>
      </c>
      <c r="F42">
        <f t="shared" si="17"/>
        <v>8</v>
      </c>
      <c r="G42">
        <f>COUNTIFS('Team Lineups'!C:C,A42,'Team Lineups'!G:G,"Win")</f>
        <v>4</v>
      </c>
      <c r="H42">
        <f>COUNTIFS('Team Lineups'!C:C,A42,'Team Lineups'!G:G,"Draw")</f>
        <v>1</v>
      </c>
      <c r="I42">
        <f>COUNTIFS('Team Lineups'!C:C,A42,'Team Lineups'!G:G,"Loss")</f>
        <v>2</v>
      </c>
      <c r="J42" s="3">
        <f t="shared" si="18"/>
        <v>0.5714285714285714</v>
      </c>
      <c r="K42" s="3">
        <f t="shared" si="19"/>
        <v>0.2857142857142857</v>
      </c>
      <c r="L42">
        <f>SUMIF('Team Lineups'!C:C,A42,'Team Lineups'!H:H)</f>
        <v>6</v>
      </c>
      <c r="M42">
        <f t="shared" si="20"/>
        <v>0.8571428571428571</v>
      </c>
      <c r="N42">
        <f>SUMIF('Team Lineups'!C:C,A42,'Team Lineups'!I:I)</f>
        <v>5</v>
      </c>
      <c r="O42">
        <f>COUNTIF(Matches!G:G,A42)</f>
        <v>0</v>
      </c>
      <c r="P42">
        <f t="shared" si="21"/>
        <v>0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1</v>
      </c>
      <c r="D44">
        <f>SUMIF('Team Lineups'!C:C,A44,'Team Lineups'!E:E)</f>
        <v>14</v>
      </c>
      <c r="E44">
        <f>SUMIF('Team Lineups'!C:C,A44,'Team Lineups'!F:F)</f>
        <v>10</v>
      </c>
      <c r="F44">
        <f t="shared" ref="F44" si="27">D44-E44</f>
        <v>4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1</v>
      </c>
      <c r="M44">
        <f t="shared" ref="M44" si="30">L44/C44</f>
        <v>1</v>
      </c>
      <c r="N44">
        <f>SUMIF('Team Lineups'!C:C,A44,'Team Lineups'!I:I)</f>
        <v>1</v>
      </c>
      <c r="O44">
        <f>COUNTIF(Matches!G:G,A44)</f>
        <v>0</v>
      </c>
      <c r="P44">
        <f t="shared" ref="P44" si="31">O44/C44</f>
        <v>0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3</v>
      </c>
      <c r="D45">
        <f>SUMIF('Team Lineups'!C:C,A45,'Team Lineups'!E:E)</f>
        <v>13</v>
      </c>
      <c r="E45">
        <f>SUMIF('Team Lineups'!C:C,A45,'Team Lineups'!F:F)</f>
        <v>25</v>
      </c>
      <c r="F45">
        <f t="shared" ref="F45" si="32">D45-E45</f>
        <v>-12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2</v>
      </c>
      <c r="J45" s="3">
        <f t="shared" ref="J45" si="33">G45/C45</f>
        <v>0.33333333333333331</v>
      </c>
      <c r="K45" s="3">
        <f t="shared" ref="K45" si="34">I45/C45</f>
        <v>0.66666666666666663</v>
      </c>
      <c r="L45">
        <f>SUMIF('Team Lineups'!C:C,A45,'Team Lineups'!H:H)</f>
        <v>1</v>
      </c>
      <c r="M45">
        <f t="shared" ref="M45" si="35">L45/C45</f>
        <v>0.33333333333333331</v>
      </c>
      <c r="N45">
        <f>SUMIF('Team Lineups'!C:C,A45,'Team Lineups'!I:I)</f>
        <v>0</v>
      </c>
      <c r="O45">
        <f>COUNTIF(Matches!G:G,A45)</f>
        <v>2</v>
      </c>
      <c r="P45">
        <f t="shared" ref="P45" si="36">O45/C45</f>
        <v>0.66666666666666663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3"/>
  <sheetViews>
    <sheetView topLeftCell="AJ1" workbookViewId="0">
      <selection activeCell="AQ42" sqref="AQ42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3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16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5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5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8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1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18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8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4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1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1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1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5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cm="1">
        <f t="array" ref="E5">SUMPRODUCT(('Team Lineups'!$K$2:$K$2000&lt;&gt;"")*('Team Lineups'!$C$2:$C$2000=$A5)*COUNTIFS('Team Lineups'!$K$2:$K$2000,'Team Lineups'!$K$2:$K$2000,'Team Lineups'!$C$2:$C$2000,E$1))</f>
        <v>18</v>
      </c>
      <c r="F5" cm="1">
        <f t="array" ref="F5">SUMPRODUCT(('Team Lineups'!$K$2:$K$2000&lt;&gt;"")*('Team Lineups'!$C$2:$C$2000=$A5)*COUNTIFS('Team Lineups'!$K$2:$K$2000,'Team Lineups'!$K$2:$K$2000,'Team Lineups'!$C$2:$C$2000,F$1))</f>
        <v>6</v>
      </c>
      <c r="G5" cm="1">
        <f t="array" ref="G5">SUMPRODUCT(('Team Lineups'!$K$2:$K$2000&lt;&gt;"")*('Team Lineups'!$C$2:$C$2000=$A5)*COUNTIFS('Team Lineups'!$K$2:$K$2000,'Team Lineups'!$K$2:$K$2000,'Team Lineups'!$C$2:$C$2000,G$1))</f>
        <v>7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3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4</v>
      </c>
      <c r="N5" cm="1">
        <f t="array" ref="N5">SUMPRODUCT(('Team Lineups'!$K$2:$K$2000&lt;&gt;"")*('Team Lineups'!$C$2:$C$2000=$A5)*COUNTIFS('Team Lineups'!$K$2:$K$2000,'Team Lineups'!$K$2:$K$2000,'Team Lineups'!$C$2:$C$2000,N$1))</f>
        <v>4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3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2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1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4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1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1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8</v>
      </c>
      <c r="E6" cm="1">
        <f t="array" ref="E6">SUMPRODUCT(('Team Lineups'!$K$2:$K$2000&lt;&gt;"")*('Team Lineups'!$C$2:$C$2000=$A6)*COUNTIFS('Team Lineups'!$K$2:$K$2000,'Team Lineups'!$K$2:$K$2000,'Team Lineups'!$C$2:$C$2000,E$1))</f>
        <v>6</v>
      </c>
      <c r="F6" cm="1">
        <f t="array" ref="F6">SUMPRODUCT(('Team Lineups'!$K$2:$K$2000&lt;&gt;"")*('Team Lineups'!$C$2:$C$2000=$A6)*COUNTIFS('Team Lineups'!$K$2:$K$2000,'Team Lineups'!$K$2:$K$2000,'Team Lineups'!$C$2:$C$2000,F$1))</f>
        <v>15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6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4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1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0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2</v>
      </c>
      <c r="AO6" cm="1">
        <f t="array" ref="AO6">SUMPRODUCT(('Team Lineups'!$K$2:$K$2000&lt;&gt;"")*('Team Lineups'!$C$2:$C$2000=$A6)*COUNTIFS('Team Lineups'!$K$2:$K$2000,'Team Lineups'!$K$2:$K$2000,'Team Lineups'!$C$2:$C$2000,AO$1))</f>
        <v>0</v>
      </c>
      <c r="AP6" cm="1">
        <f t="array" ref="AP6">SUMPRODUCT(('Team Lineups'!$K$2:$K$2000&lt;&gt;"")*('Team Lineups'!$C$2:$C$2000=$A6)*COUNTIFS('Team Lineups'!$K$2:$K$2000,'Team Lineups'!$K$2:$K$2000,'Team Lineups'!$C$2:$C$2000,AP$1))</f>
        <v>2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5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7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cm="1">
        <f t="array" ref="G7">SUMPRODUCT(('Team Lineups'!$K$2:$K$2000&lt;&gt;"")*('Team Lineups'!$C$2:$C$2000=$A7)*COUNTIFS('Team Lineups'!$K$2:$K$2000,'Team Lineups'!$K$2:$K$2000,'Team Lineups'!$C$2:$C$2000,G$1))</f>
        <v>20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5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3</v>
      </c>
      <c r="AE7" cm="1">
        <f t="array" ref="AE7">SUMPRODUCT(('Team Lineups'!$K$2:$K$2000&lt;&gt;"")*('Team Lineups'!$C$2:$C$2000=$A7)*COUNTIFS('Team Lineups'!$K$2:$K$2000,'Team Lineups'!$K$2:$K$2000,'Team Lineups'!$C$2:$C$2000,AE$1))</f>
        <v>1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3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1</v>
      </c>
      <c r="AO7" cm="1">
        <f t="array" ref="AO7">SUMPRODUCT(('Team Lineups'!$K$2:$K$2000&lt;&gt;"")*('Team Lineups'!$C$2:$C$2000=$A7)*COUNTIFS('Team Lineups'!$K$2:$K$2000,'Team Lineups'!$K$2:$K$2000,'Team Lineups'!$C$2:$C$2000,AO$1))</f>
        <v>1</v>
      </c>
      <c r="AP7" cm="1">
        <f t="array" ref="AP7">SUMPRODUCT(('Team Lineups'!$K$2:$K$2000&lt;&gt;"")*('Team Lineups'!$C$2:$C$2000=$A7)*COUNTIFS('Team Lineups'!$K$2:$K$2000,'Team Lineups'!$K$2:$K$2000,'Team Lineups'!$C$2:$C$2000,AP$1))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17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6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4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2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3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21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5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3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6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4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3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2</v>
      </c>
      <c r="AO9" cm="1">
        <f t="array" ref="AO9">SUMPRODUCT(('Team Lineups'!$K$2:$K$2000&lt;&gt;"")*('Team Lineups'!$C$2:$C$2000=$A9)*COUNTIFS('Team Lineups'!$K$2:$K$2000,'Team Lineups'!$K$2:$K$2000,'Team Lineups'!$C$2:$C$2000,AO$1))</f>
        <v>0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6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19</v>
      </c>
      <c r="M12" cm="1">
        <f t="array" ref="M12">SUMPRODUCT(('Team Lineups'!$K$2:$K$2000&lt;&gt;"")*('Team Lineups'!$C$2:$C$2000=$A12)*COUNTIFS('Team Lineups'!$K$2:$K$2000,'Team Lineups'!$K$2:$K$2000,'Team Lineups'!$C$2:$C$2000,M$1))</f>
        <v>6</v>
      </c>
      <c r="N12" cm="1">
        <f t="array" ref="N12">SUMPRODUCT(('Team Lineups'!$K$2:$K$2000&lt;&gt;"")*('Team Lineups'!$C$2:$C$2000=$A12)*COUNTIFS('Team Lineups'!$K$2:$K$2000,'Team Lineups'!$K$2:$K$2000,'Team Lineups'!$C$2:$C$2000,N$1))</f>
        <v>5</v>
      </c>
      <c r="O12" cm="1">
        <f t="array" ref="O12">SUMPRODUCT(('Team Lineups'!$K$2:$K$2000&lt;&gt;"")*('Team Lineups'!$C$2:$C$2000=$A12)*COUNTIFS('Team Lineups'!$K$2:$K$2000,'Team Lineups'!$K$2:$K$2000,'Team Lineups'!$C$2:$C$2000,O$1))</f>
        <v>3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3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4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3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1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0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4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6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6</v>
      </c>
      <c r="M13" cm="1">
        <f t="array" ref="M13">SUMPRODUCT(('Team Lineups'!$K$2:$K$2000&lt;&gt;"")*('Team Lineups'!$C$2:$C$2000=$A13)*COUNTIFS('Team Lineups'!$K$2:$K$2000,'Team Lineups'!$K$2:$K$2000,'Team Lineups'!$C$2:$C$2000,M$1))</f>
        <v>21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4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8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5</v>
      </c>
      <c r="AA13" cm="1">
        <f t="array" ref="AA13">SUMPRODUCT(('Team Lineups'!$K$2:$K$2000&lt;&gt;"")*('Team Lineups'!$C$2:$C$2000=$A13)*COUNTIFS('Team Lineups'!$K$2:$K$2000,'Team Lineups'!$K$2:$K$2000,'Team Lineups'!$C$2:$C$2000,AA$1))</f>
        <v>4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1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1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1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8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4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5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5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14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3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3</v>
      </c>
      <c r="AB14" cm="1">
        <f t="array" ref="AB14">SUMPRODUCT(('Team Lineups'!$K$2:$K$2000&lt;&gt;"")*('Team Lineups'!$C$2:$C$2000=$A14)*COUNTIFS('Team Lineups'!$K$2:$K$2000,'Team Lineups'!$K$2:$K$2000,'Team Lineups'!$C$2:$C$2000,AB$1))</f>
        <v>2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3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0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0</v>
      </c>
      <c r="AP14" cm="1">
        <f t="array" ref="AP14">SUMPRODUCT(('Team Lineups'!$K$2:$K$2000&lt;&gt;"")*('Team Lineups'!$C$2:$C$2000=$A14)*COUNTIFS('Team Lineups'!$K$2:$K$2000,'Team Lineups'!$K$2:$K$2000,'Team Lineups'!$C$2:$C$2000,AP$1))</f>
        <v>1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3</v>
      </c>
      <c r="M15" cm="1">
        <f t="array" ref="M15">SUMPRODUCT(('Team Lineups'!$K$2:$K$2000&lt;&gt;"")*('Team Lineups'!$C$2:$C$2000=$A15)*COUNTIFS('Team Lineups'!$K$2:$K$2000,'Team Lineups'!$K$2:$K$2000,'Team Lineups'!$C$2:$C$2000,M$1))</f>
        <v>4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9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6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2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2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0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4</v>
      </c>
      <c r="G17" cm="1">
        <f t="array" ref="G17">SUMPRODUCT(('Team Lineups'!$K$2:$K$2000&lt;&gt;"")*('Team Lineups'!$C$2:$C$2000=$A17)*COUNTIFS('Team Lineups'!$K$2:$K$2000,'Team Lineups'!$K$2:$K$2000,'Team Lineups'!$C$2:$C$2000,G$1))</f>
        <v>5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8</v>
      </c>
      <c r="N17" cm="1">
        <f t="array" ref="N17">SUMPRODUCT(('Team Lineups'!$K$2:$K$2000&lt;&gt;"")*('Team Lineups'!$C$2:$C$2000=$A17)*COUNTIFS('Team Lineups'!$K$2:$K$2000,'Team Lineups'!$K$2:$K$2000,'Team Lineups'!$C$2:$C$2000,N$1))</f>
        <v>3</v>
      </c>
      <c r="O17" cm="1">
        <f t="array" ref="O17">SUMPRODUCT(('Team Lineups'!$K$2:$K$2000&lt;&gt;"")*('Team Lineups'!$C$2:$C$2000=$A17)*COUNTIFS('Team Lineups'!$K$2:$K$2000,'Team Lineups'!$K$2:$K$2000,'Team Lineups'!$C$2:$C$2000,O$1))</f>
        <v>6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20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3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1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2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1</v>
      </c>
      <c r="AO17" cm="1">
        <f t="array" ref="AO17">SUMPRODUCT(('Team Lineups'!$K$2:$K$2000&lt;&gt;"")*('Team Lineups'!$C$2:$C$2000=$A17)*COUNTIFS('Team Lineups'!$K$2:$K$2000,'Team Lineups'!$K$2:$K$2000,'Team Lineups'!$C$2:$C$2000,AO$1))</f>
        <v>1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4</v>
      </c>
      <c r="E18" cm="1">
        <f t="array" ref="E18">SUMPRODUCT(('Team Lineups'!$K$2:$K$2000&lt;&gt;"")*('Team Lineups'!$C$2:$C$2000=$A18)*COUNTIFS('Team Lineups'!$K$2:$K$2000,'Team Lineups'!$K$2:$K$2000,'Team Lineups'!$C$2:$C$2000,E$1))</f>
        <v>3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4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12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3</v>
      </c>
      <c r="AA18" cm="1">
        <f t="array" ref="AA18">SUMPRODUCT(('Team Lineups'!$K$2:$K$2000&lt;&gt;"")*('Team Lineups'!$C$2:$C$2000=$A18)*COUNTIFS('Team Lineups'!$K$2:$K$2000,'Team Lineups'!$K$2:$K$2000,'Team Lineups'!$C$2:$C$2000,AA$1))</f>
        <v>4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4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0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0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3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3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2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6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1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3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0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0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5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3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8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3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2</v>
      </c>
      <c r="I27" cm="1">
        <f t="array" ref="I27">SUMPRODUCT(('Team Lineups'!$K$2:$K$2000&lt;&gt;"")*('Team Lineups'!$C$2:$C$2000=$A27)*COUNTIFS('Team Lineups'!$K$2:$K$2000,'Team Lineups'!$K$2:$K$2000,'Team Lineups'!$C$2:$C$2000,I$1))</f>
        <v>6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4</v>
      </c>
      <c r="M27" cm="1">
        <f t="array" ref="M27">SUMPRODUCT(('Team Lineups'!$K$2:$K$2000&lt;&gt;"")*('Team Lineups'!$C$2:$C$2000=$A27)*COUNTIFS('Team Lineups'!$K$2:$K$2000,'Team Lineups'!$K$2:$K$2000,'Team Lineups'!$C$2:$C$2000,M$1))</f>
        <v>4</v>
      </c>
      <c r="N27" cm="1">
        <f t="array" ref="N27">SUMPRODUCT(('Team Lineups'!$K$2:$K$2000&lt;&gt;"")*('Team Lineups'!$C$2:$C$2000=$A27)*COUNTIFS('Team Lineups'!$K$2:$K$2000,'Team Lineups'!$K$2:$K$2000,'Team Lineups'!$C$2:$C$2000,N$1))</f>
        <v>3</v>
      </c>
      <c r="O27" cm="1">
        <f t="array" ref="O27">SUMPRODUCT(('Team Lineups'!$K$2:$K$2000&lt;&gt;"")*('Team Lineups'!$C$2:$C$2000=$A27)*COUNTIFS('Team Lineups'!$K$2:$K$2000,'Team Lineups'!$K$2:$K$2000,'Team Lineups'!$C$2:$C$2000,O$1))</f>
        <v>2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3</v>
      </c>
      <c r="R27" cm="1">
        <f t="array" ref="R27">SUMPRODUCT(('Team Lineups'!$K$2:$K$2000&lt;&gt;"")*('Team Lineups'!$C$2:$C$2000=$A27)*COUNTIFS('Team Lineups'!$K$2:$K$2000,'Team Lineups'!$K$2:$K$2000,'Team Lineups'!$C$2:$C$2000,R$1))</f>
        <v>4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1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cm="1">
        <f t="array" ref="AA27">SUMPRODUCT(('Team Lineups'!$K$2:$K$2000&lt;&gt;"")*('Team Lineups'!$C$2:$C$2000=$A27)*COUNTIFS('Team Lineups'!$K$2:$K$2000,'Team Lineups'!$K$2:$K$2000,'Team Lineups'!$C$2:$C$2000,AA$1))</f>
        <v>15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1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1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1</v>
      </c>
      <c r="AO27" cm="1">
        <f t="array" ref="AO27">SUMPRODUCT(('Team Lineups'!$K$2:$K$2000&lt;&gt;"")*('Team Lineups'!$C$2:$C$2000=$A27)*COUNTIFS('Team Lineups'!$K$2:$K$2000,'Team Lineups'!$K$2:$K$2000,'Team Lineups'!$C$2:$C$2000,AO$1))</f>
        <v>1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2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2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12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3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2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1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0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1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3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4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3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3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3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7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0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0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0</v>
      </c>
      <c r="AP30" cm="1">
        <f t="array" ref="AP30">SUMPRODUCT(('Team Lineups'!$K$2:$K$2000&lt;&gt;"")*('Team Lineups'!$C$2:$C$2000=$A30)*COUNTIFS('Team Lineups'!$K$2:$K$2000,'Team Lineups'!$K$2:$K$2000,'Team Lineups'!$C$2:$C$2000,AP$1))</f>
        <v>0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1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6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6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1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3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1</v>
      </c>
      <c r="M36" cm="1">
        <f t="array" ref="M36">SUMPRODUCT(('Team Lineups'!$K$2:$K$2000&lt;&gt;"")*('Team Lineups'!$C$2:$C$2000=$A36)*COUNTIFS('Team Lineups'!$K$2:$K$2000,'Team Lineups'!$K$2:$K$2000,'Team Lineups'!$C$2:$C$2000,M$1))</f>
        <v>1</v>
      </c>
      <c r="N36" cm="1">
        <f t="array" ref="N36">SUMPRODUCT(('Team Lineups'!$K$2:$K$2000&lt;&gt;"")*('Team Lineups'!$C$2:$C$2000=$A36)*COUNTIFS('Team Lineups'!$K$2:$K$2000,'Team Lineups'!$K$2:$K$2000,'Team Lineups'!$C$2:$C$2000,N$1))</f>
        <v>3</v>
      </c>
      <c r="O36" cm="1">
        <f t="array" ref="O36">SUMPRODUCT(('Team Lineups'!$K$2:$K$2000&lt;&gt;"")*('Team Lineups'!$C$2:$C$2000=$A36)*COUNTIFS('Team Lineups'!$K$2:$K$2000,'Team Lineups'!$K$2:$K$2000,'Team Lineups'!$C$2:$C$2000,O$1))</f>
        <v>0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1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0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1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0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5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1</v>
      </c>
      <c r="AO36" cm="1">
        <f t="array" ref="AO36">SUMPRODUCT(('Team Lineups'!$K$2:$K$2000&lt;&gt;"")*('Team Lineups'!$C$2:$C$2000=$A36)*COUNTIFS('Team Lineups'!$K$2:$K$2000,'Team Lineups'!$K$2:$K$2000,'Team Lineups'!$C$2:$C$2000,AO$1))</f>
        <v>0</v>
      </c>
      <c r="AP36" cm="1">
        <f t="array" ref="AP36">SUMPRODUCT(('Team Lineups'!$K$2:$K$2000&lt;&gt;"")*('Team Lineups'!$C$2:$C$2000=$A36)*COUNTIFS('Team Lineups'!$K$2:$K$2000,'Team Lineups'!$K$2:$K$2000,'Team Lineups'!$C$2:$C$2000,AP$1))</f>
        <v>1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1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1</v>
      </c>
      <c r="E38" cm="1">
        <f t="array" ref="E38">SUMPRODUCT(('Team Lineups'!$K$2:$K$2000&lt;&gt;"")*('Team Lineups'!$C$2:$C$2000=$A38)*COUNTIFS('Team Lineups'!$K$2:$K$2000,'Team Lineups'!$K$2:$K$2000,'Team Lineups'!$C$2:$C$2000,E$1))</f>
        <v>4</v>
      </c>
      <c r="F38" cm="1">
        <f t="array" ref="F38">SUMPRODUCT(('Team Lineups'!$K$2:$K$2000&lt;&gt;"")*('Team Lineups'!$C$2:$C$2000=$A38)*COUNTIFS('Team Lineups'!$K$2:$K$2000,'Team Lineups'!$K$2:$K$2000,'Team Lineups'!$C$2:$C$2000,F$1))</f>
        <v>0</v>
      </c>
      <c r="G38" cm="1">
        <f t="array" ref="G38">SUMPRODUCT(('Team Lineups'!$K$2:$K$2000&lt;&gt;"")*('Team Lineups'!$C$2:$C$2000=$A38)*COUNTIFS('Team Lineups'!$K$2:$K$2000,'Team Lineups'!$K$2:$K$2000,'Team Lineups'!$C$2:$C$2000,G$1))</f>
        <v>3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1</v>
      </c>
      <c r="N38" cm="1">
        <f t="array" ref="N38">SUMPRODUCT(('Team Lineups'!$K$2:$K$2000&lt;&gt;"")*('Team Lineups'!$C$2:$C$2000=$A38)*COUNTIFS('Team Lineups'!$K$2:$K$2000,'Team Lineups'!$K$2:$K$2000,'Team Lineups'!$C$2:$C$2000,N$1))</f>
        <v>0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2</v>
      </c>
      <c r="R38" cm="1">
        <f t="array" ref="R38">SUMPRODUCT(('Team Lineups'!$K$2:$K$2000&lt;&gt;"")*('Team Lineups'!$C$2:$C$2000=$A38)*COUNTIFS('Team Lineups'!$K$2:$K$2000,'Team Lineups'!$K$2:$K$2000,'Team Lineups'!$C$2:$C$2000,R$1))</f>
        <v>4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3</v>
      </c>
      <c r="AA38" cm="1">
        <f t="array" ref="AA38">SUMPRODUCT(('Team Lineups'!$K$2:$K$2000&lt;&gt;"")*('Team Lineups'!$C$2:$C$2000=$A38)*COUNTIFS('Team Lineups'!$K$2:$K$2000,'Team Lineups'!$K$2:$K$2000,'Team Lineups'!$C$2:$C$2000,AA$1))</f>
        <v>1</v>
      </c>
      <c r="AB38" cm="1">
        <f t="array" ref="AB38">SUMPRODUCT(('Team Lineups'!$K$2:$K$2000&lt;&gt;"")*('Team Lineups'!$C$2:$C$2000=$A38)*COUNTIFS('Team Lineups'!$K$2:$K$2000,'Team Lineups'!$K$2:$K$2000,'Team Lineups'!$C$2:$C$2000,AB$1))</f>
        <v>2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0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7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2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0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1</v>
      </c>
      <c r="E40" cm="1">
        <f t="array" ref="E40">SUMPRODUCT(('Team Lineups'!$K$2:$K$2000&lt;&gt;"")*('Team Lineups'!$C$2:$C$2000=$A40)*COUNTIFS('Team Lineups'!$K$2:$K$2000,'Team Lineups'!$K$2:$K$2000,'Team Lineups'!$C$2:$C$2000,E$1))</f>
        <v>1</v>
      </c>
      <c r="F40" cm="1">
        <f t="array" ref="F40">SUMPRODUCT(('Team Lineups'!$K$2:$K$2000&lt;&gt;"")*('Team Lineups'!$C$2:$C$2000=$A40)*COUNTIFS('Team Lineups'!$K$2:$K$2000,'Team Lineups'!$K$2:$K$2000,'Team Lineups'!$C$2:$C$2000,F$1))</f>
        <v>2</v>
      </c>
      <c r="G40" cm="1">
        <f t="array" ref="G40">SUMPRODUCT(('Team Lineups'!$K$2:$K$2000&lt;&gt;"")*('Team Lineups'!$C$2:$C$2000=$A40)*COUNTIFS('Team Lineups'!$K$2:$K$2000,'Team Lineups'!$K$2:$K$2000,'Team Lineups'!$C$2:$C$2000,G$1))</f>
        <v>1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2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1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1</v>
      </c>
      <c r="R40" cm="1">
        <f t="array" ref="R40">SUMPRODUCT(('Team Lineups'!$K$2:$K$2000&lt;&gt;"")*('Team Lineups'!$C$2:$C$2000=$A40)*COUNTIFS('Team Lineups'!$K$2:$K$2000,'Team Lineups'!$K$2:$K$2000,'Team Lineups'!$C$2:$C$2000,R$1))</f>
        <v>0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1</v>
      </c>
      <c r="AB40" cm="1">
        <f t="array" ref="AB40">SUMPRODUCT(('Team Lineups'!$K$2:$K$2000&lt;&gt;"")*('Team Lineups'!$C$2:$C$2000=$A40)*COUNTIFS('Team Lineups'!$K$2:$K$2000,'Team Lineups'!$K$2:$K$2000,'Team Lineups'!$C$2:$C$2000,AB$1))</f>
        <v>1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1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2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6</v>
      </c>
      <c r="AO40" cm="1">
        <f t="array" ref="AO40">SUMPRODUCT(('Team Lineups'!$K$2:$K$2000&lt;&gt;"")*('Team Lineups'!$C$2:$C$2000=$A40)*COUNTIFS('Team Lineups'!$K$2:$K$2000,'Team Lineups'!$K$2:$K$2000,'Team Lineups'!$C$2:$C$2000,AO$1))</f>
        <v>0</v>
      </c>
      <c r="AP40" cm="1">
        <f t="array" ref="AP40">SUMPRODUCT(('Team Lineups'!$K$2:$K$2000&lt;&gt;"")*('Team Lineups'!$C$2:$C$2000=$A40)*COUNTIFS('Team Lineups'!$K$2:$K$2000,'Team Lineups'!$K$2:$K$2000,'Team Lineups'!$C$2:$C$2000,AP$1))</f>
        <v>2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0</v>
      </c>
      <c r="G41" cm="1">
        <f t="array" ref="G41">SUMPRODUCT(('Team Lineups'!$K$2:$K$2000&lt;&gt;"")*('Team Lineups'!$C$2:$C$2000=$A41)*COUNTIFS('Team Lineups'!$K$2:$K$2000,'Team Lineups'!$K$2:$K$2000,'Team Lineups'!$C$2:$C$2000,G$1))</f>
        <v>1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0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0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0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1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0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1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0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0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0</v>
      </c>
      <c r="AO41" cm="1">
        <f t="array" ref="AO41">SUMPRODUCT(('Team Lineups'!$K$2:$K$2000&lt;&gt;"")*('Team Lineups'!$C$2:$C$2000=$A41)*COUNTIFS('Team Lineups'!$K$2:$K$2000,'Team Lineups'!$K$2:$K$2000,'Team Lineups'!$C$2:$C$2000,AO$1))</f>
        <v>1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0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1</v>
      </c>
      <c r="E42" cm="1">
        <f t="array" ref="E42">SUMPRODUCT(('Team Lineups'!$K$2:$K$2000&lt;&gt;"")*('Team Lineups'!$C$2:$C$2000=$A42)*COUNTIFS('Team Lineups'!$K$2:$K$2000,'Team Lineups'!$K$2:$K$2000,'Team Lineups'!$C$2:$C$2000,E$1))</f>
        <v>1</v>
      </c>
      <c r="F42" cm="1">
        <f t="array" ref="F42">SUMPRODUCT(('Team Lineups'!$K$2:$K$2000&lt;&gt;"")*('Team Lineups'!$C$2:$C$2000=$A42)*COUNTIFS('Team Lineups'!$K$2:$K$2000,'Team Lineups'!$K$2:$K$2000,'Team Lineups'!$C$2:$C$2000,F$1))</f>
        <v>2</v>
      </c>
      <c r="G42" cm="1">
        <f t="array" ref="G42">SUMPRODUCT(('Team Lineups'!$K$2:$K$2000&lt;&gt;"")*('Team Lineups'!$C$2:$C$2000=$A42)*COUNTIFS('Team Lineups'!$K$2:$K$2000,'Team Lineups'!$K$2:$K$2000,'Team Lineups'!$C$2:$C$2000,G$1))</f>
        <v>0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0</v>
      </c>
      <c r="N42" cm="1">
        <f t="array" ref="N42">SUMPRODUCT(('Team Lineups'!$K$2:$K$2000&lt;&gt;"")*('Team Lineups'!$C$2:$C$2000=$A42)*COUNTIFS('Team Lineups'!$K$2:$K$2000,'Team Lineups'!$K$2:$K$2000,'Team Lineups'!$C$2:$C$2000,N$1))</f>
        <v>1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0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0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0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1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0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2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3</v>
      </c>
    </row>
    <row r="43" spans="1:42" x14ac:dyDescent="0.35">
      <c r="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2026-05-07T10:08:43Z</dcterms:modified>
</cp:coreProperties>
</file>