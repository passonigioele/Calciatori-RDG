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D3A6D7A1-5B53-40DB-82D0-9B230598BCB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0" i="2" l="1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G359" i="2" s="1"/>
  <c r="F359" i="2"/>
  <c r="E360" i="2"/>
  <c r="G360" i="2" s="1"/>
  <c r="F360" i="2"/>
  <c r="E361" i="2"/>
  <c r="G361" i="2" s="1"/>
  <c r="F361" i="2"/>
  <c r="E362" i="2"/>
  <c r="F362" i="2"/>
  <c r="G362" i="2"/>
  <c r="E363" i="2"/>
  <c r="G363" i="2" s="1"/>
  <c r="F363" i="2"/>
  <c r="E364" i="2"/>
  <c r="G364" i="2" s="1"/>
  <c r="F364" i="2"/>
  <c r="E365" i="2"/>
  <c r="G365" i="2" s="1"/>
  <c r="F365" i="2"/>
  <c r="E366" i="2"/>
  <c r="F366" i="2"/>
  <c r="G366" i="2"/>
  <c r="E367" i="2"/>
  <c r="G367" i="2" s="1"/>
  <c r="F367" i="2"/>
  <c r="E368" i="2"/>
  <c r="G368" i="2" s="1"/>
  <c r="F368" i="2"/>
  <c r="E369" i="2"/>
  <c r="G369" i="2" s="1"/>
  <c r="F369" i="2"/>
  <c r="E370" i="2"/>
  <c r="F370" i="2"/>
  <c r="G370" i="2"/>
  <c r="E371" i="2"/>
  <c r="G371" i="2" s="1"/>
  <c r="F371" i="2"/>
  <c r="E372" i="2"/>
  <c r="G372" i="2" s="1"/>
  <c r="F372" i="2"/>
  <c r="E373" i="2"/>
  <c r="G373" i="2" s="1"/>
  <c r="F373" i="2"/>
  <c r="E374" i="2"/>
  <c r="F374" i="2"/>
  <c r="G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D44" i="3" s="1"/>
  <c r="F265" i="2"/>
  <c r="E44" i="3" s="1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G151" i="2" s="1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G143" i="2" s="1"/>
  <c r="K142" i="2"/>
  <c r="F142" i="2"/>
  <c r="E142" i="2"/>
  <c r="K141" i="2"/>
  <c r="F141" i="2"/>
  <c r="E141" i="2"/>
  <c r="K140" i="2"/>
  <c r="F140" i="2"/>
  <c r="E140" i="2"/>
  <c r="K139" i="2"/>
  <c r="F139" i="2"/>
  <c r="E139" i="2"/>
  <c r="G139" i="2" s="1"/>
  <c r="K138" i="2"/>
  <c r="F138" i="2"/>
  <c r="E138" i="2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G128" i="2" s="1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G123" i="2" s="1"/>
  <c r="K122" i="2"/>
  <c r="F122" i="2"/>
  <c r="E122" i="2"/>
  <c r="K121" i="2"/>
  <c r="F121" i="2"/>
  <c r="E121" i="2"/>
  <c r="K120" i="2"/>
  <c r="F120" i="2"/>
  <c r="E120" i="2"/>
  <c r="G120" i="2" s="1"/>
  <c r="K119" i="2"/>
  <c r="F119" i="2"/>
  <c r="E119" i="2"/>
  <c r="G119" i="2" s="1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G107" i="2" s="1"/>
  <c r="K106" i="2"/>
  <c r="F106" i="2"/>
  <c r="E106" i="2"/>
  <c r="K105" i="2"/>
  <c r="F105" i="2"/>
  <c r="E105" i="2"/>
  <c r="K104" i="2"/>
  <c r="F104" i="2"/>
  <c r="E104" i="2"/>
  <c r="G104" i="2" s="1"/>
  <c r="K103" i="2"/>
  <c r="F103" i="2"/>
  <c r="E103" i="2"/>
  <c r="G103" i="2" s="1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G99" i="2" s="1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G80" i="2" s="1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G63" i="2" s="1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357" i="2" l="1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D14" i="3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E14" i="3"/>
  <c r="J11" i="3"/>
  <c r="G276" i="2"/>
  <c r="G254" i="2"/>
  <c r="G253" i="2"/>
  <c r="G259" i="2"/>
  <c r="G30" i="2"/>
  <c r="G271" i="2"/>
  <c r="G273" i="2"/>
  <c r="G275" i="2"/>
  <c r="G282" i="2"/>
  <c r="G264" i="2"/>
  <c r="G248" i="2"/>
  <c r="G265" i="2"/>
  <c r="G44" i="3" s="1"/>
  <c r="J44" i="3" s="1"/>
  <c r="G268" i="2"/>
  <c r="G252" i="2"/>
  <c r="G257" i="2"/>
  <c r="G262" i="2"/>
  <c r="G228" i="2"/>
  <c r="G230" i="2"/>
  <c r="G263" i="2"/>
  <c r="G98" i="2"/>
  <c r="G251" i="2"/>
  <c r="D41" i="3"/>
  <c r="G73" i="2"/>
  <c r="G37" i="2"/>
  <c r="G28" i="2"/>
  <c r="G258" i="2"/>
  <c r="M44" i="3"/>
  <c r="P44" i="3"/>
  <c r="P43" i="3"/>
  <c r="K13" i="3"/>
  <c r="F44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E41" i="3"/>
  <c r="G199" i="2"/>
  <c r="G175" i="2"/>
  <c r="G79" i="2"/>
  <c r="G180" i="2"/>
  <c r="E234" i="2"/>
  <c r="D4" i="3" s="1"/>
  <c r="F241" i="2"/>
  <c r="E235" i="2"/>
  <c r="D39" i="3" s="1"/>
  <c r="F240" i="2"/>
  <c r="F242" i="2"/>
  <c r="E40" i="3" s="1"/>
  <c r="E233" i="2"/>
  <c r="F239" i="2"/>
  <c r="E237" i="2"/>
  <c r="D42" i="3" s="1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K22" i="3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E18" i="3"/>
  <c r="F161" i="2"/>
  <c r="F162" i="2"/>
  <c r="F160" i="2"/>
  <c r="E3" i="3" s="1"/>
  <c r="F163" i="2"/>
  <c r="E34" i="3" s="1"/>
  <c r="E156" i="2"/>
  <c r="E155" i="2"/>
  <c r="E157" i="2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E21" i="3" s="1"/>
  <c r="G61" i="2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45" i="3" l="1"/>
  <c r="H44" i="3"/>
  <c r="F14" i="3"/>
  <c r="I44" i="3"/>
  <c r="K44" i="3" s="1"/>
  <c r="I45" i="3"/>
  <c r="K45" i="3" s="1"/>
  <c r="G45" i="3"/>
  <c r="J45" i="3" s="1"/>
  <c r="H45" i="3"/>
  <c r="F43" i="3"/>
  <c r="F41" i="3"/>
  <c r="I43" i="3"/>
  <c r="K43" i="3" s="1"/>
  <c r="G43" i="3"/>
  <c r="J43" i="3" s="1"/>
  <c r="H43" i="3"/>
  <c r="I14" i="3"/>
  <c r="K14" i="3" s="1"/>
  <c r="H14" i="3"/>
  <c r="G14" i="3"/>
  <c r="J14" i="3" s="1"/>
  <c r="F38" i="3"/>
  <c r="I41" i="3"/>
  <c r="K41" i="3" s="1"/>
  <c r="H41" i="3"/>
  <c r="G41" i="3"/>
  <c r="J41" i="3" s="1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F4" i="3" s="1"/>
  <c r="H38" i="3"/>
  <c r="I38" i="3"/>
  <c r="K38" i="3" s="1"/>
  <c r="G38" i="3"/>
  <c r="J38" i="3" s="1"/>
  <c r="F40" i="3"/>
  <c r="F29" i="3"/>
  <c r="F26" i="3"/>
  <c r="F33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21" i="3"/>
  <c r="F7" i="3"/>
  <c r="F19" i="3"/>
  <c r="D35" i="3"/>
  <c r="G155" i="2"/>
  <c r="D34" i="3"/>
  <c r="F34" i="3" s="1"/>
  <c r="G163" i="2"/>
  <c r="D36" i="3"/>
  <c r="F36" i="3" s="1"/>
  <c r="G169" i="2"/>
  <c r="G164" i="2"/>
  <c r="G168" i="2"/>
  <c r="G21" i="3" s="1"/>
  <c r="J21" i="3" s="1"/>
  <c r="G167" i="2"/>
  <c r="G19" i="3" s="1"/>
  <c r="J19" i="3" s="1"/>
  <c r="G165" i="2"/>
  <c r="G170" i="2"/>
  <c r="G172" i="2"/>
  <c r="F18" i="3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G5" i="3" l="1"/>
  <c r="J5" i="3" s="1"/>
  <c r="I5" i="3"/>
  <c r="K5" i="3" s="1"/>
  <c r="AP12" i="6" a="1"/>
  <c r="AP12" i="6" s="1"/>
  <c r="AP19" i="6" a="1"/>
  <c r="AP19" i="6" s="1"/>
  <c r="AP24" i="6" a="1"/>
  <c r="AP24" i="6" s="1"/>
  <c r="AP30" i="6" a="1"/>
  <c r="AP30" i="6" s="1"/>
  <c r="AP37" i="6" a="1"/>
  <c r="AP37" i="6" s="1"/>
  <c r="J42" i="6" a="1"/>
  <c r="J42" i="6" s="1"/>
  <c r="S42" i="6" a="1"/>
  <c r="S42" i="6" s="1"/>
  <c r="Z42" i="6" a="1"/>
  <c r="Z42" i="6" s="1"/>
  <c r="AG42" i="6" a="1"/>
  <c r="AG42" i="6" s="1"/>
  <c r="AN42" i="6" a="1"/>
  <c r="AN42" i="6" s="1"/>
  <c r="D42" i="6" a="1"/>
  <c r="D42" i="6" s="1"/>
  <c r="E42" i="6" a="1"/>
  <c r="E42" i="6" s="1"/>
  <c r="F42" i="6" a="1"/>
  <c r="F42" i="6" s="1"/>
  <c r="G42" i="6" a="1"/>
  <c r="G42" i="6" s="1"/>
  <c r="H42" i="6" a="1"/>
  <c r="H42" i="6" s="1"/>
  <c r="I42" i="6" a="1"/>
  <c r="I42" i="6" s="1"/>
  <c r="P42" i="6" a="1"/>
  <c r="P42" i="6" s="1"/>
  <c r="X42" i="6" a="1"/>
  <c r="X42" i="6" s="1"/>
  <c r="AE42" i="6" a="1"/>
  <c r="AE42" i="6" s="1"/>
  <c r="AL42" i="6" a="1"/>
  <c r="AL42" i="6" s="1"/>
  <c r="AP18" i="6" a="1"/>
  <c r="AP18" i="6" s="1"/>
  <c r="AP25" i="6" a="1"/>
  <c r="AP25" i="6" s="1"/>
  <c r="AP31" i="6" a="1"/>
  <c r="AP31" i="6" s="1"/>
  <c r="AP38" i="6" a="1"/>
  <c r="AP38" i="6" s="1"/>
  <c r="L42" i="6" a="1"/>
  <c r="L42" i="6" s="1"/>
  <c r="T42" i="6" a="1"/>
  <c r="T42" i="6" s="1"/>
  <c r="AA42" i="6" a="1"/>
  <c r="AA42" i="6" s="1"/>
  <c r="AH42" i="6" a="1"/>
  <c r="AH42" i="6" s="1"/>
  <c r="AO42" i="6" a="1"/>
  <c r="AO42" i="6" s="1"/>
  <c r="AP14" i="6" a="1"/>
  <c r="AP14" i="6" s="1"/>
  <c r="AP20" i="6" a="1"/>
  <c r="AP20" i="6" s="1"/>
  <c r="AP26" i="6" a="1"/>
  <c r="AP26" i="6" s="1"/>
  <c r="AP32" i="6" a="1"/>
  <c r="AP32" i="6" s="1"/>
  <c r="AP39" i="6" a="1"/>
  <c r="AP39" i="6" s="1"/>
  <c r="K42" i="6" a="1"/>
  <c r="K42" i="6" s="1"/>
  <c r="R42" i="6" a="1"/>
  <c r="R42" i="6" s="1"/>
  <c r="Y42" i="6" a="1"/>
  <c r="Y42" i="6" s="1"/>
  <c r="AF42" i="6" a="1"/>
  <c r="AF42" i="6" s="1"/>
  <c r="AM42" i="6" a="1"/>
  <c r="AM42" i="6" s="1"/>
  <c r="AP11" i="6" a="1"/>
  <c r="AP11" i="6" s="1"/>
  <c r="AP16" i="6" a="1"/>
  <c r="AP16" i="6" s="1"/>
  <c r="AP22" i="6" a="1"/>
  <c r="AP22" i="6" s="1"/>
  <c r="AP27" i="6" a="1"/>
  <c r="AP27" i="6" s="1"/>
  <c r="AP33" i="6" a="1"/>
  <c r="AP33" i="6" s="1"/>
  <c r="AP36" i="6" a="1"/>
  <c r="AP36" i="6" s="1"/>
  <c r="AP42" i="6" a="1"/>
  <c r="AP42" i="6" s="1"/>
  <c r="O42" i="6" a="1"/>
  <c r="O42" i="6" s="1"/>
  <c r="V42" i="6" a="1"/>
  <c r="V42" i="6" s="1"/>
  <c r="AC42" i="6" a="1"/>
  <c r="AC42" i="6" s="1"/>
  <c r="AI42" i="6" a="1"/>
  <c r="AI42" i="6" s="1"/>
  <c r="AP15" i="6" a="1"/>
  <c r="AP15" i="6" s="1"/>
  <c r="AP21" i="6" a="1"/>
  <c r="AP21" i="6" s="1"/>
  <c r="AP28" i="6" a="1"/>
  <c r="AP28" i="6" s="1"/>
  <c r="AP34" i="6" a="1"/>
  <c r="AP34" i="6" s="1"/>
  <c r="AP41" i="6" a="1"/>
  <c r="AP41" i="6" s="1"/>
  <c r="N42" i="6" a="1"/>
  <c r="N42" i="6" s="1"/>
  <c r="U42" i="6" a="1"/>
  <c r="U42" i="6" s="1"/>
  <c r="AB42" i="6" a="1"/>
  <c r="AB42" i="6" s="1"/>
  <c r="AJ42" i="6" a="1"/>
  <c r="AJ42" i="6" s="1"/>
  <c r="AP13" i="6" a="1"/>
  <c r="AP13" i="6" s="1"/>
  <c r="AP17" i="6" a="1"/>
  <c r="AP17" i="6" s="1"/>
  <c r="AP23" i="6" a="1"/>
  <c r="AP23" i="6" s="1"/>
  <c r="AP29" i="6" a="1"/>
  <c r="AP29" i="6" s="1"/>
  <c r="AP35" i="6" a="1"/>
  <c r="AP35" i="6" s="1"/>
  <c r="AP40" i="6" a="1"/>
  <c r="AP40" i="6" s="1"/>
  <c r="M42" i="6" a="1"/>
  <c r="M42" i="6" s="1"/>
  <c r="Q42" i="6" a="1"/>
  <c r="Q42" i="6" s="1"/>
  <c r="W42" i="6" a="1"/>
  <c r="W42" i="6" s="1"/>
  <c r="AD42" i="6" a="1"/>
  <c r="AD42" i="6" s="1"/>
  <c r="AK42" i="6" a="1"/>
  <c r="AK42" i="6" s="1"/>
  <c r="AP8" i="6" a="1"/>
  <c r="AP8" i="6" s="1"/>
  <c r="AP4" i="6" a="1"/>
  <c r="AP4" i="6" s="1"/>
  <c r="AP10" i="6" a="1"/>
  <c r="AP10" i="6" s="1"/>
  <c r="AP5" i="6" a="1"/>
  <c r="AP5" i="6" s="1"/>
  <c r="AP6" i="6" a="1"/>
  <c r="AP6" i="6" s="1"/>
  <c r="AP3" i="6" a="1"/>
  <c r="AP3" i="6" s="1"/>
  <c r="AP7" i="6" a="1"/>
  <c r="AP7" i="6" s="1"/>
  <c r="AP9" i="6" a="1"/>
  <c r="AP9" i="6" s="1"/>
  <c r="C42" i="6" a="1"/>
  <c r="C42" i="6" s="1"/>
  <c r="AP2" i="6" a="1"/>
  <c r="AP2" i="6" s="1"/>
  <c r="AO2" i="6" a="1"/>
  <c r="AO2" i="6" s="1"/>
  <c r="AO15" i="6" a="1"/>
  <c r="AO15" i="6" s="1"/>
  <c r="AO19" i="6" a="1"/>
  <c r="AO19" i="6" s="1"/>
  <c r="AO27" i="6" a="1"/>
  <c r="AO27" i="6" s="1"/>
  <c r="AO31" i="6" a="1"/>
  <c r="AO31" i="6" s="1"/>
  <c r="Z41" i="6" a="1"/>
  <c r="Z41" i="6" s="1"/>
  <c r="AK41" i="6" a="1"/>
  <c r="AK41" i="6" s="1"/>
  <c r="W23" i="6" a="1"/>
  <c r="W23" i="6" s="1"/>
  <c r="AB41" i="6" a="1"/>
  <c r="AB41" i="6" s="1"/>
  <c r="O15" i="6" a="1"/>
  <c r="O15" i="6" s="1"/>
  <c r="AC29" i="6" a="1"/>
  <c r="AC29" i="6" s="1"/>
  <c r="AO7" i="6" a="1"/>
  <c r="AO7" i="6" s="1"/>
  <c r="H41" i="6" a="1"/>
  <c r="H41" i="6" s="1"/>
  <c r="K41" i="6" a="1"/>
  <c r="K41" i="6" s="1"/>
  <c r="U41" i="6" a="1"/>
  <c r="U41" i="6" s="1"/>
  <c r="AJ41" i="6" a="1"/>
  <c r="AJ41" i="6" s="1"/>
  <c r="AB28" i="6" a="1"/>
  <c r="AB28" i="6" s="1"/>
  <c r="L41" i="6" a="1"/>
  <c r="L41" i="6" s="1"/>
  <c r="U21" i="6" a="1"/>
  <c r="U21" i="6" s="1"/>
  <c r="AO34" i="6" a="1"/>
  <c r="AO34" i="6" s="1"/>
  <c r="D4" i="6" a="1"/>
  <c r="D4" i="6" s="1"/>
  <c r="E5" i="6" a="1"/>
  <c r="E5" i="6" s="1"/>
  <c r="AO3" i="6" a="1"/>
  <c r="AO3" i="6" s="1"/>
  <c r="AO6" i="6" a="1"/>
  <c r="AO6" i="6" s="1"/>
  <c r="AO9" i="6" a="1"/>
  <c r="AO9" i="6" s="1"/>
  <c r="AO36" i="6" a="1"/>
  <c r="AO36" i="6" s="1"/>
  <c r="AN41" i="6" a="1"/>
  <c r="AN41" i="6" s="1"/>
  <c r="G41" i="6" a="1"/>
  <c r="G41" i="6" s="1"/>
  <c r="W41" i="6" a="1"/>
  <c r="W41" i="6" s="1"/>
  <c r="R18" i="6" a="1"/>
  <c r="R18" i="6" s="1"/>
  <c r="AH34" i="6" a="1"/>
  <c r="AH34" i="6" s="1"/>
  <c r="P16" i="6" a="1"/>
  <c r="P16" i="6" s="1"/>
  <c r="AO37" i="6" a="1"/>
  <c r="AO37" i="6" s="1"/>
  <c r="AO38" i="6" a="1"/>
  <c r="AO38" i="6" s="1"/>
  <c r="D41" i="6" a="1"/>
  <c r="D41" i="6" s="1"/>
  <c r="J41" i="6" a="1"/>
  <c r="J41" i="6" s="1"/>
  <c r="O41" i="6" a="1"/>
  <c r="O41" i="6" s="1"/>
  <c r="T41" i="6" a="1"/>
  <c r="T41" i="6" s="1"/>
  <c r="Y41" i="6" a="1"/>
  <c r="Y41" i="6" s="1"/>
  <c r="AN40" i="6" a="1"/>
  <c r="AN40" i="6" s="1"/>
  <c r="AK37" i="6" a="1"/>
  <c r="AK37" i="6" s="1"/>
  <c r="M13" i="6" a="1"/>
  <c r="M13" i="6" s="1"/>
  <c r="S41" i="6" a="1"/>
  <c r="S41" i="6" s="1"/>
  <c r="X41" i="6" a="1"/>
  <c r="X41" i="6" s="1"/>
  <c r="AC41" i="6" a="1"/>
  <c r="AC41" i="6" s="1"/>
  <c r="C41" i="6" a="1"/>
  <c r="C41" i="6" s="1"/>
  <c r="I41" i="6" a="1"/>
  <c r="I41" i="6" s="1"/>
  <c r="N41" i="6" a="1"/>
  <c r="N41" i="6" s="1"/>
  <c r="R41" i="6" a="1"/>
  <c r="R41" i="6" s="1"/>
  <c r="V41" i="6" a="1"/>
  <c r="V41" i="6" s="1"/>
  <c r="AA41" i="6" a="1"/>
  <c r="AA41" i="6" s="1"/>
  <c r="AO17" i="6" a="1"/>
  <c r="AO17" i="6" s="1"/>
  <c r="AO18" i="6" a="1"/>
  <c r="AO18" i="6" s="1"/>
  <c r="AO25" i="6" a="1"/>
  <c r="AO25" i="6" s="1"/>
  <c r="AO30" i="6" a="1"/>
  <c r="AO30" i="6" s="1"/>
  <c r="E41" i="6" a="1"/>
  <c r="E41" i="6" s="1"/>
  <c r="AF41" i="6" a="1"/>
  <c r="AF41" i="6" s="1"/>
  <c r="AM39" i="6" a="1"/>
  <c r="AM39" i="6" s="1"/>
  <c r="Z26" i="6" a="1"/>
  <c r="Z26" i="6" s="1"/>
  <c r="Q41" i="6" a="1"/>
  <c r="Q41" i="6" s="1"/>
  <c r="X24" i="6" a="1"/>
  <c r="X24" i="6" s="1"/>
  <c r="C3" i="6" a="1"/>
  <c r="C3" i="6" s="1"/>
  <c r="V22" i="6" a="1"/>
  <c r="V22" i="6" s="1"/>
  <c r="AO4" i="6" a="1"/>
  <c r="AO4" i="6" s="1"/>
  <c r="AO16" i="6" a="1"/>
  <c r="AO16" i="6" s="1"/>
  <c r="AO23" i="6" a="1"/>
  <c r="AO23" i="6" s="1"/>
  <c r="AO39" i="6" a="1"/>
  <c r="AO39" i="6" s="1"/>
  <c r="AH41" i="6" a="1"/>
  <c r="AH41" i="6" s="1"/>
  <c r="AI35" i="6" a="1"/>
  <c r="AI35" i="6" s="1"/>
  <c r="K11" i="6" a="1"/>
  <c r="K11" i="6" s="1"/>
  <c r="AD30" i="6" a="1"/>
  <c r="AD30" i="6" s="1"/>
  <c r="AO5" i="6" a="1"/>
  <c r="AO5" i="6" s="1"/>
  <c r="J10" i="6" a="1"/>
  <c r="J10" i="6" s="1"/>
  <c r="M41" i="6" a="1"/>
  <c r="M41" i="6" s="1"/>
  <c r="AO12" i="6" a="1"/>
  <c r="AO12" i="6" s="1"/>
  <c r="AO26" i="6" a="1"/>
  <c r="AO26" i="6" s="1"/>
  <c r="AD41" i="6" a="1"/>
  <c r="AD41" i="6" s="1"/>
  <c r="AM41" i="6" a="1"/>
  <c r="AM41" i="6" s="1"/>
  <c r="Q17" i="6" a="1"/>
  <c r="Q17" i="6" s="1"/>
  <c r="AJ36" i="6" a="1"/>
  <c r="AJ36" i="6" s="1"/>
  <c r="L12" i="6" a="1"/>
  <c r="L12" i="6" s="1"/>
  <c r="AE31" i="6" a="1"/>
  <c r="AE31" i="6" s="1"/>
  <c r="AO40" i="6" a="1"/>
  <c r="AO40" i="6" s="1"/>
  <c r="AO11" i="6" a="1"/>
  <c r="AO11" i="6" s="1"/>
  <c r="AO21" i="6" a="1"/>
  <c r="AO21" i="6" s="1"/>
  <c r="AO13" i="6" a="1"/>
  <c r="AO13" i="6" s="1"/>
  <c r="AO22" i="6" a="1"/>
  <c r="AO22" i="6" s="1"/>
  <c r="AO35" i="6" a="1"/>
  <c r="AO35" i="6" s="1"/>
  <c r="AG41" i="6" a="1"/>
  <c r="AG41" i="6" s="1"/>
  <c r="AL38" i="6" a="1"/>
  <c r="AL38" i="6" s="1"/>
  <c r="N14" i="6" a="1"/>
  <c r="N14" i="6" s="1"/>
  <c r="AG33" i="6" a="1"/>
  <c r="AG33" i="6" s="1"/>
  <c r="F6" i="6" a="1"/>
  <c r="F6" i="6" s="1"/>
  <c r="S19" i="6" a="1"/>
  <c r="S19" i="6" s="1"/>
  <c r="F41" i="6" a="1"/>
  <c r="F41" i="6" s="1"/>
  <c r="AO10" i="6" a="1"/>
  <c r="AO10" i="6" s="1"/>
  <c r="AO24" i="6" a="1"/>
  <c r="AO24" i="6" s="1"/>
  <c r="AO29" i="6" a="1"/>
  <c r="AO29" i="6" s="1"/>
  <c r="P41" i="6" a="1"/>
  <c r="P41" i="6" s="1"/>
  <c r="AI41" i="6" a="1"/>
  <c r="AI41" i="6" s="1"/>
  <c r="AF32" i="6" a="1"/>
  <c r="AF32" i="6" s="1"/>
  <c r="H8" i="6" a="1"/>
  <c r="H8" i="6" s="1"/>
  <c r="AA27" i="6" a="1"/>
  <c r="AA27" i="6" s="1"/>
  <c r="AO8" i="6" a="1"/>
  <c r="AO8" i="6" s="1"/>
  <c r="G7" i="6" a="1"/>
  <c r="G7" i="6" s="1"/>
  <c r="AO14" i="6" a="1"/>
  <c r="AO14" i="6" s="1"/>
  <c r="AO20" i="6" a="1"/>
  <c r="AO20" i="6" s="1"/>
  <c r="AO28" i="6" a="1"/>
  <c r="AO28" i="6" s="1"/>
  <c r="AO32" i="6" a="1"/>
  <c r="AO32" i="6" s="1"/>
  <c r="AE41" i="6" a="1"/>
  <c r="AE41" i="6" s="1"/>
  <c r="AL41" i="6" a="1"/>
  <c r="AL41" i="6" s="1"/>
  <c r="T20" i="6" a="1"/>
  <c r="T20" i="6" s="1"/>
  <c r="AO41" i="6" a="1"/>
  <c r="AO41" i="6" s="1"/>
  <c r="I9" i="6" a="1"/>
  <c r="I9" i="6" s="1"/>
  <c r="Y25" i="6" a="1"/>
  <c r="Y25" i="6" s="1"/>
  <c r="AO33" i="6" a="1"/>
  <c r="AO33" i="6" s="1"/>
  <c r="AN2" i="6" a="1"/>
  <c r="AN2" i="6" s="1"/>
  <c r="AM2" i="6" a="1"/>
  <c r="AM2" i="6" s="1"/>
  <c r="AN23" i="6" a="1"/>
  <c r="AN23" i="6" s="1"/>
  <c r="AN33" i="6" a="1"/>
  <c r="AN33" i="6" s="1"/>
  <c r="AN35" i="6" a="1"/>
  <c r="AN35" i="6" s="1"/>
  <c r="AN37" i="6" a="1"/>
  <c r="AN37" i="6" s="1"/>
  <c r="H39" i="6" a="1"/>
  <c r="H39" i="6" s="1"/>
  <c r="N39" i="6" a="1"/>
  <c r="N39" i="6" s="1"/>
  <c r="T39" i="6" a="1"/>
  <c r="T39" i="6" s="1"/>
  <c r="W39" i="6" a="1"/>
  <c r="W39" i="6" s="1"/>
  <c r="AC39" i="6" a="1"/>
  <c r="AC39" i="6" s="1"/>
  <c r="AI39" i="6" a="1"/>
  <c r="AI39" i="6" s="1"/>
  <c r="X40" i="6" a="1"/>
  <c r="X40" i="6" s="1"/>
  <c r="AD40" i="6" a="1"/>
  <c r="AD40" i="6" s="1"/>
  <c r="AK40" i="6" a="1"/>
  <c r="AK40" i="6" s="1"/>
  <c r="AN32" i="6" a="1"/>
  <c r="AN32" i="6" s="1"/>
  <c r="AM33" i="6" a="1"/>
  <c r="AM33" i="6" s="1"/>
  <c r="AH40" i="6" a="1"/>
  <c r="AH40" i="6" s="1"/>
  <c r="K40" i="6" a="1"/>
  <c r="K40" i="6" s="1"/>
  <c r="L40" i="6" a="1"/>
  <c r="L40" i="6" s="1"/>
  <c r="M40" i="6" a="1"/>
  <c r="M40" i="6" s="1"/>
  <c r="N40" i="6" a="1"/>
  <c r="N40" i="6" s="1"/>
  <c r="O40" i="6" a="1"/>
  <c r="O40" i="6" s="1"/>
  <c r="P40" i="6" a="1"/>
  <c r="P40" i="6" s="1"/>
  <c r="Q40" i="6" a="1"/>
  <c r="Q40" i="6" s="1"/>
  <c r="R40" i="6" a="1"/>
  <c r="R40" i="6" s="1"/>
  <c r="S40" i="6" a="1"/>
  <c r="S40" i="6" s="1"/>
  <c r="T40" i="6" a="1"/>
  <c r="T40" i="6" s="1"/>
  <c r="AN24" i="6" a="1"/>
  <c r="AN24" i="6" s="1"/>
  <c r="AN27" i="6" a="1"/>
  <c r="AN27" i="6" s="1"/>
  <c r="AM37" i="6" a="1"/>
  <c r="AM37" i="6" s="1"/>
  <c r="C39" i="6" a="1"/>
  <c r="C39" i="6" s="1"/>
  <c r="K39" i="6" a="1"/>
  <c r="K39" i="6" s="1"/>
  <c r="X39" i="6" a="1"/>
  <c r="X39" i="6" s="1"/>
  <c r="AE39" i="6" a="1"/>
  <c r="AE39" i="6" s="1"/>
  <c r="AK39" i="6" a="1"/>
  <c r="AK39" i="6" s="1"/>
  <c r="AB40" i="6" a="1"/>
  <c r="AB40" i="6" s="1"/>
  <c r="AJ40" i="6" a="1"/>
  <c r="AJ40" i="6" s="1"/>
  <c r="AN25" i="6" a="1"/>
  <c r="AN25" i="6" s="1"/>
  <c r="AN28" i="6" a="1"/>
  <c r="AN28" i="6" s="1"/>
  <c r="AM35" i="6" a="1"/>
  <c r="AM35" i="6" s="1"/>
  <c r="AM40" i="6" a="1"/>
  <c r="AM40" i="6" s="1"/>
  <c r="F39" i="6" a="1"/>
  <c r="F39" i="6" s="1"/>
  <c r="L39" i="6" a="1"/>
  <c r="L39" i="6" s="1"/>
  <c r="R39" i="6" a="1"/>
  <c r="R39" i="6" s="1"/>
  <c r="Z39" i="6" a="1"/>
  <c r="Z39" i="6" s="1"/>
  <c r="AF39" i="6" a="1"/>
  <c r="AF39" i="6" s="1"/>
  <c r="V40" i="6" a="1"/>
  <c r="V40" i="6" s="1"/>
  <c r="AA40" i="6" a="1"/>
  <c r="AA40" i="6" s="1"/>
  <c r="AG40" i="6" a="1"/>
  <c r="AG40" i="6" s="1"/>
  <c r="AM25" i="6" a="1"/>
  <c r="AM25" i="6" s="1"/>
  <c r="AM27" i="6" a="1"/>
  <c r="AM27" i="6" s="1"/>
  <c r="AN34" i="6" a="1"/>
  <c r="AN34" i="6" s="1"/>
  <c r="AN36" i="6" a="1"/>
  <c r="AN36" i="6" s="1"/>
  <c r="AL40" i="6" a="1"/>
  <c r="AL40" i="6" s="1"/>
  <c r="G39" i="6" a="1"/>
  <c r="G39" i="6" s="1"/>
  <c r="M39" i="6" a="1"/>
  <c r="M39" i="6" s="1"/>
  <c r="Q39" i="6" a="1"/>
  <c r="Q39" i="6" s="1"/>
  <c r="V39" i="6" a="1"/>
  <c r="V39" i="6" s="1"/>
  <c r="AB39" i="6" a="1"/>
  <c r="AB39" i="6" s="1"/>
  <c r="AH39" i="6" a="1"/>
  <c r="AH39" i="6" s="1"/>
  <c r="U40" i="6" a="1"/>
  <c r="U40" i="6" s="1"/>
  <c r="Z40" i="6" a="1"/>
  <c r="Z40" i="6" s="1"/>
  <c r="AF40" i="6" a="1"/>
  <c r="AF40" i="6" s="1"/>
  <c r="AM24" i="6" a="1"/>
  <c r="AM24" i="6" s="1"/>
  <c r="AM28" i="6" a="1"/>
  <c r="AM28" i="6" s="1"/>
  <c r="AN39" i="6" a="1"/>
  <c r="AN39" i="6" s="1"/>
  <c r="D39" i="6" a="1"/>
  <c r="D39" i="6" s="1"/>
  <c r="J39" i="6" a="1"/>
  <c r="J39" i="6" s="1"/>
  <c r="P39" i="6" a="1"/>
  <c r="P39" i="6" s="1"/>
  <c r="U39" i="6" a="1"/>
  <c r="U39" i="6" s="1"/>
  <c r="Y39" i="6" a="1"/>
  <c r="Y39" i="6" s="1"/>
  <c r="AD39" i="6" a="1"/>
  <c r="AD39" i="6" s="1"/>
  <c r="AJ39" i="6" a="1"/>
  <c r="AJ39" i="6" s="1"/>
  <c r="Y40" i="6" a="1"/>
  <c r="Y40" i="6" s="1"/>
  <c r="AE40" i="6" a="1"/>
  <c r="AE40" i="6" s="1"/>
  <c r="AM26" i="6" a="1"/>
  <c r="AM26" i="6" s="1"/>
  <c r="AN26" i="6" a="1"/>
  <c r="AN26" i="6" s="1"/>
  <c r="AM34" i="6" a="1"/>
  <c r="AM34" i="6" s="1"/>
  <c r="AM36" i="6" a="1"/>
  <c r="AM36" i="6" s="1"/>
  <c r="AL39" i="6" a="1"/>
  <c r="AL39" i="6" s="1"/>
  <c r="E39" i="6" a="1"/>
  <c r="E39" i="6" s="1"/>
  <c r="I39" i="6" a="1"/>
  <c r="I39" i="6" s="1"/>
  <c r="O39" i="6" a="1"/>
  <c r="O39" i="6" s="1"/>
  <c r="S39" i="6" a="1"/>
  <c r="S39" i="6" s="1"/>
  <c r="AA39" i="6" a="1"/>
  <c r="AA39" i="6" s="1"/>
  <c r="AG39" i="6" a="1"/>
  <c r="AG39" i="6" s="1"/>
  <c r="W40" i="6" a="1"/>
  <c r="W40" i="6" s="1"/>
  <c r="AC40" i="6" a="1"/>
  <c r="AC40" i="6" s="1"/>
  <c r="AI40" i="6" a="1"/>
  <c r="AI40" i="6" s="1"/>
  <c r="AM38" i="6" a="1"/>
  <c r="AM38" i="6" s="1"/>
  <c r="AM21" i="6" a="1"/>
  <c r="AM21" i="6" s="1"/>
  <c r="J40" i="6" a="1"/>
  <c r="J40" i="6" s="1"/>
  <c r="AN14" i="6" a="1"/>
  <c r="AN14" i="6" s="1"/>
  <c r="AM18" i="6" a="1"/>
  <c r="AM18" i="6" s="1"/>
  <c r="AM20" i="6" a="1"/>
  <c r="AM20" i="6" s="1"/>
  <c r="G40" i="6" a="1"/>
  <c r="G40" i="6" s="1"/>
  <c r="H40" i="6" a="1"/>
  <c r="H40" i="6" s="1"/>
  <c r="I40" i="6" a="1"/>
  <c r="I40" i="6" s="1"/>
  <c r="AN3" i="6" a="1"/>
  <c r="AN3" i="6" s="1"/>
  <c r="AN4" i="6" a="1"/>
  <c r="AN4" i="6" s="1"/>
  <c r="AM10" i="6" a="1"/>
  <c r="AM10" i="6" s="1"/>
  <c r="AN13" i="6" a="1"/>
  <c r="AN13" i="6" s="1"/>
  <c r="AM5" i="6" a="1"/>
  <c r="AM5" i="6" s="1"/>
  <c r="AN7" i="6" a="1"/>
  <c r="AN7" i="6" s="1"/>
  <c r="AM4" i="6" a="1"/>
  <c r="AM4" i="6" s="1"/>
  <c r="AN9" i="6" a="1"/>
  <c r="AN9" i="6" s="1"/>
  <c r="AM32" i="6" a="1"/>
  <c r="AM32" i="6" s="1"/>
  <c r="AM22" i="6" a="1"/>
  <c r="AM22" i="6" s="1"/>
  <c r="AM23" i="6" a="1"/>
  <c r="AM23" i="6" s="1"/>
  <c r="AM11" i="6" a="1"/>
  <c r="AM11" i="6" s="1"/>
  <c r="AM6" i="6" a="1"/>
  <c r="AM6" i="6" s="1"/>
  <c r="AN30" i="6" a="1"/>
  <c r="AN30" i="6" s="1"/>
  <c r="AM17" i="6" a="1"/>
  <c r="AM17" i="6" s="1"/>
  <c r="AN12" i="6" a="1"/>
  <c r="AN12" i="6" s="1"/>
  <c r="AM16" i="6" a="1"/>
  <c r="AM16" i="6" s="1"/>
  <c r="AM12" i="6" a="1"/>
  <c r="AM12" i="6" s="1"/>
  <c r="AN19" i="6" a="1"/>
  <c r="AN19" i="6" s="1"/>
  <c r="AN20" i="6" a="1"/>
  <c r="AN20" i="6" s="1"/>
  <c r="AN8" i="6" a="1"/>
  <c r="AN8" i="6" s="1"/>
  <c r="AN16" i="6" a="1"/>
  <c r="AN16" i="6" s="1"/>
  <c r="AM31" i="6" a="1"/>
  <c r="AM31" i="6" s="1"/>
  <c r="F40" i="6" a="1"/>
  <c r="F40" i="6" s="1"/>
  <c r="AM9" i="6" a="1"/>
  <c r="AM9" i="6" s="1"/>
  <c r="AN10" i="6" a="1"/>
  <c r="AN10" i="6" s="1"/>
  <c r="AM15" i="6" a="1"/>
  <c r="AM15" i="6" s="1"/>
  <c r="AN21" i="6" a="1"/>
  <c r="AN21" i="6" s="1"/>
  <c r="AM7" i="6" a="1"/>
  <c r="AM7" i="6" s="1"/>
  <c r="AM30" i="6" a="1"/>
  <c r="AM30" i="6" s="1"/>
  <c r="D40" i="6" a="1"/>
  <c r="D40" i="6" s="1"/>
  <c r="AN5" i="6" a="1"/>
  <c r="AN5" i="6" s="1"/>
  <c r="AN15" i="6" a="1"/>
  <c r="AN15" i="6" s="1"/>
  <c r="AN38" i="6" a="1"/>
  <c r="AN38" i="6" s="1"/>
  <c r="AM14" i="6" a="1"/>
  <c r="AM14" i="6" s="1"/>
  <c r="AN29" i="6" a="1"/>
  <c r="AN29" i="6" s="1"/>
  <c r="C40" i="6" a="1"/>
  <c r="C40" i="6" s="1"/>
  <c r="AN6" i="6" a="1"/>
  <c r="AN6" i="6" s="1"/>
  <c r="AM13" i="6" a="1"/>
  <c r="AM13" i="6" s="1"/>
  <c r="AN22" i="6" a="1"/>
  <c r="AN22" i="6" s="1"/>
  <c r="AM19" i="6" a="1"/>
  <c r="AM19" i="6" s="1"/>
  <c r="AN31" i="6" a="1"/>
  <c r="AN31" i="6" s="1"/>
  <c r="E40" i="6" a="1"/>
  <c r="E40" i="6" s="1"/>
  <c r="AN11" i="6" a="1"/>
  <c r="AN11" i="6" s="1"/>
  <c r="AM8" i="6" a="1"/>
  <c r="AM8" i="6" s="1"/>
  <c r="AN17" i="6" a="1"/>
  <c r="AN17" i="6" s="1"/>
  <c r="AM3" i="6" a="1"/>
  <c r="AM3" i="6" s="1"/>
  <c r="AM29" i="6" a="1"/>
  <c r="AM29" i="6" s="1"/>
  <c r="AN18" i="6" a="1"/>
  <c r="AN18" i="6" s="1"/>
  <c r="G17" i="3"/>
  <c r="J17" i="3" s="1"/>
  <c r="AH2" i="6" a="1"/>
  <c r="AH2" i="6" s="1"/>
  <c r="AK2" i="6" a="1"/>
  <c r="AK2" i="6" s="1"/>
  <c r="AI2" i="6" a="1"/>
  <c r="AI2" i="6" s="1"/>
  <c r="AL2" i="6" a="1"/>
  <c r="AL2" i="6" s="1"/>
  <c r="AG2" i="6" a="1"/>
  <c r="AG2" i="6" s="1"/>
  <c r="AJ2" i="6" a="1"/>
  <c r="AJ2" i="6" s="1"/>
  <c r="AG32" i="6" a="1"/>
  <c r="AG32" i="6" s="1"/>
  <c r="AJ32" i="6" a="1"/>
  <c r="AJ32" i="6" s="1"/>
  <c r="AG4" i="6" a="1"/>
  <c r="AG4" i="6" s="1"/>
  <c r="AK4" i="6" a="1"/>
  <c r="AK4" i="6" s="1"/>
  <c r="AL6" i="6" a="1"/>
  <c r="AL6" i="6" s="1"/>
  <c r="AL10" i="6" a="1"/>
  <c r="AL10" i="6" s="1"/>
  <c r="AK11" i="6" a="1"/>
  <c r="AK11" i="6" s="1"/>
  <c r="AG14" i="6" a="1"/>
  <c r="AG14" i="6" s="1"/>
  <c r="AL14" i="6" a="1"/>
  <c r="AL14" i="6" s="1"/>
  <c r="AJ7" i="6" a="1"/>
  <c r="AJ7" i="6" s="1"/>
  <c r="AG8" i="6" a="1"/>
  <c r="AG8" i="6" s="1"/>
  <c r="AH8" i="6" a="1"/>
  <c r="AH8" i="6" s="1"/>
  <c r="AK8" i="6" a="1"/>
  <c r="AK8" i="6" s="1"/>
  <c r="AJ9" i="6" a="1"/>
  <c r="AJ9" i="6" s="1"/>
  <c r="AI11" i="6" a="1"/>
  <c r="AI11" i="6" s="1"/>
  <c r="AL13" i="6" a="1"/>
  <c r="AL13" i="6" s="1"/>
  <c r="AK14" i="6" a="1"/>
  <c r="AK14" i="6" s="1"/>
  <c r="AG17" i="6" a="1"/>
  <c r="AG17" i="6" s="1"/>
  <c r="AI18" i="6" a="1"/>
  <c r="AI18" i="6" s="1"/>
  <c r="AK19" i="6" a="1"/>
  <c r="AK19" i="6" s="1"/>
  <c r="AI27" i="6" a="1"/>
  <c r="AI27" i="6" s="1"/>
  <c r="AH28" i="6" a="1"/>
  <c r="AH28" i="6" s="1"/>
  <c r="AH31" i="6" a="1"/>
  <c r="AH31" i="6" s="1"/>
  <c r="AA38" i="6" a="1"/>
  <c r="AA38" i="6" s="1"/>
  <c r="F33" i="6" a="1"/>
  <c r="F33" i="6" s="1"/>
  <c r="Z33" i="6" a="1"/>
  <c r="Z33" i="6" s="1"/>
  <c r="O35" i="6" a="1"/>
  <c r="O35" i="6" s="1"/>
  <c r="J36" i="6" a="1"/>
  <c r="J36" i="6" s="1"/>
  <c r="AJ20" i="6" a="1"/>
  <c r="AJ20" i="6" s="1"/>
  <c r="AK20" i="6" a="1"/>
  <c r="AK20" i="6" s="1"/>
  <c r="AH21" i="6" a="1"/>
  <c r="AH21" i="6" s="1"/>
  <c r="AI21" i="6" a="1"/>
  <c r="AI21" i="6" s="1"/>
  <c r="AL21" i="6" a="1"/>
  <c r="AL21" i="6" s="1"/>
  <c r="AI22" i="6" a="1"/>
  <c r="AI22" i="6" s="1"/>
  <c r="AJ22" i="6" a="1"/>
  <c r="AJ22" i="6" s="1"/>
  <c r="AG23" i="6" a="1"/>
  <c r="AG23" i="6" s="1"/>
  <c r="AH23" i="6" a="1"/>
  <c r="AH23" i="6" s="1"/>
  <c r="AK23" i="6" a="1"/>
  <c r="AK23" i="6" s="1"/>
  <c r="AH24" i="6" a="1"/>
  <c r="AH24" i="6" s="1"/>
  <c r="AI24" i="6" a="1"/>
  <c r="AI24" i="6" s="1"/>
  <c r="AL24" i="6" a="1"/>
  <c r="AL24" i="6" s="1"/>
  <c r="AL25" i="6" a="1"/>
  <c r="AL25" i="6" s="1"/>
  <c r="AI26" i="6" a="1"/>
  <c r="AI26" i="6" s="1"/>
  <c r="AI36" i="6" a="1"/>
  <c r="AI36" i="6" s="1"/>
  <c r="AL36" i="6" a="1"/>
  <c r="AL36" i="6" s="1"/>
  <c r="AJ37" i="6" a="1"/>
  <c r="AJ37" i="6" s="1"/>
  <c r="AI38" i="6" a="1"/>
  <c r="AI38" i="6" s="1"/>
  <c r="AF35" i="6" a="1"/>
  <c r="AF35" i="6" s="1"/>
  <c r="D38" i="6" a="1"/>
  <c r="D38" i="6" s="1"/>
  <c r="AD33" i="6" a="1"/>
  <c r="AD33" i="6" s="1"/>
  <c r="F34" i="6" a="1"/>
  <c r="F34" i="6" s="1"/>
  <c r="L34" i="6" a="1"/>
  <c r="L34" i="6" s="1"/>
  <c r="C37" i="6" a="1"/>
  <c r="C37" i="6" s="1"/>
  <c r="AL16" i="6" a="1"/>
  <c r="AL16" i="6" s="1"/>
  <c r="AH15" i="6" a="1"/>
  <c r="AH15" i="6" s="1"/>
  <c r="AK26" i="6" a="1"/>
  <c r="AK26" i="6" s="1"/>
  <c r="M33" i="6" a="1"/>
  <c r="M33" i="6" s="1"/>
  <c r="J33" i="6" a="1"/>
  <c r="J33" i="6" s="1"/>
  <c r="AH38" i="6" a="1"/>
  <c r="AH38" i="6" s="1"/>
  <c r="AF34" i="6" a="1"/>
  <c r="AF34" i="6" s="1"/>
  <c r="AF37" i="6" a="1"/>
  <c r="AF37" i="6" s="1"/>
  <c r="N36" i="6" a="1"/>
  <c r="N36" i="6" s="1"/>
  <c r="D34" i="6" a="1"/>
  <c r="D34" i="6" s="1"/>
  <c r="K34" i="6" a="1"/>
  <c r="K34" i="6" s="1"/>
  <c r="G37" i="6" a="1"/>
  <c r="G37" i="6" s="1"/>
  <c r="AJ19" i="6" a="1"/>
  <c r="AJ19" i="6" s="1"/>
  <c r="AL17" i="6" a="1"/>
  <c r="AL17" i="6" s="1"/>
  <c r="AH30" i="6" a="1"/>
  <c r="AH30" i="6" s="1"/>
  <c r="AK30" i="6" a="1"/>
  <c r="AK30" i="6" s="1"/>
  <c r="AK28" i="6" a="1"/>
  <c r="AK28" i="6" s="1"/>
  <c r="AJ29" i="6" a="1"/>
  <c r="AJ29" i="6" s="1"/>
  <c r="AI30" i="6" a="1"/>
  <c r="AI30" i="6" s="1"/>
  <c r="AL30" i="6" a="1"/>
  <c r="AL30" i="6" s="1"/>
  <c r="AK31" i="6" a="1"/>
  <c r="AK31" i="6" s="1"/>
  <c r="AK33" i="6" a="1"/>
  <c r="AK33" i="6" s="1"/>
  <c r="AJ34" i="6" a="1"/>
  <c r="AJ34" i="6" s="1"/>
  <c r="AD38" i="6" a="1"/>
  <c r="AD38" i="6" s="1"/>
  <c r="E33" i="6" a="1"/>
  <c r="E33" i="6" s="1"/>
  <c r="K33" i="6" a="1"/>
  <c r="K33" i="6" s="1"/>
  <c r="Q33" i="6" a="1"/>
  <c r="Q33" i="6" s="1"/>
  <c r="W33" i="6" a="1"/>
  <c r="W33" i="6" s="1"/>
  <c r="J35" i="6" a="1"/>
  <c r="J35" i="6" s="1"/>
  <c r="P35" i="6" a="1"/>
  <c r="P35" i="6" s="1"/>
  <c r="V35" i="6" a="1"/>
  <c r="V35" i="6" s="1"/>
  <c r="AB35" i="6" a="1"/>
  <c r="AB35" i="6" s="1"/>
  <c r="F36" i="6" a="1"/>
  <c r="F36" i="6" s="1"/>
  <c r="M36" i="6" a="1"/>
  <c r="M36" i="6" s="1"/>
  <c r="AL34" i="6" a="1"/>
  <c r="AL34" i="6" s="1"/>
  <c r="AG35" i="6" a="1"/>
  <c r="AG35" i="6" s="1"/>
  <c r="AH35" i="6" a="1"/>
  <c r="AH35" i="6" s="1"/>
  <c r="AJ35" i="6" a="1"/>
  <c r="AJ35" i="6" s="1"/>
  <c r="AK35" i="6" a="1"/>
  <c r="AK35" i="6" s="1"/>
  <c r="AL35" i="6" a="1"/>
  <c r="AL35" i="6" s="1"/>
  <c r="AG36" i="6" a="1"/>
  <c r="AG36" i="6" s="1"/>
  <c r="AH36" i="6" a="1"/>
  <c r="AH36" i="6" s="1"/>
  <c r="AK36" i="6" a="1"/>
  <c r="AK36" i="6" s="1"/>
  <c r="AI37" i="6" a="1"/>
  <c r="AI37" i="6" s="1"/>
  <c r="AJ38" i="6" a="1"/>
  <c r="AJ38" i="6" s="1"/>
  <c r="AF36" i="6" a="1"/>
  <c r="AF36" i="6" s="1"/>
  <c r="E38" i="6" a="1"/>
  <c r="E38" i="6" s="1"/>
  <c r="AE33" i="6" a="1"/>
  <c r="AE33" i="6" s="1"/>
  <c r="I34" i="6" a="1"/>
  <c r="I34" i="6" s="1"/>
  <c r="AC36" i="6" a="1"/>
  <c r="AC36" i="6" s="1"/>
  <c r="AG16" i="6" a="1"/>
  <c r="AG16" i="6" s="1"/>
  <c r="AG28" i="6" a="1"/>
  <c r="AG28" i="6" s="1"/>
  <c r="AJ27" i="6" a="1"/>
  <c r="AJ27" i="6" s="1"/>
  <c r="AJ28" i="6" a="1"/>
  <c r="AJ2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Q38" i="6" a="1"/>
  <c r="Q38" i="6" s="1"/>
  <c r="R38" i="6" a="1"/>
  <c r="R38" i="6" s="1"/>
  <c r="S38" i="6" a="1"/>
  <c r="S38" i="6" s="1"/>
  <c r="T38" i="6" a="1"/>
  <c r="T38" i="6" s="1"/>
  <c r="U38" i="6" a="1"/>
  <c r="U38" i="6" s="1"/>
  <c r="V38" i="6" a="1"/>
  <c r="V38" i="6" s="1"/>
  <c r="W38" i="6" a="1"/>
  <c r="W38" i="6" s="1"/>
  <c r="X38" i="6" a="1"/>
  <c r="X38" i="6" s="1"/>
  <c r="Y38" i="6" a="1"/>
  <c r="Y38" i="6" s="1"/>
  <c r="AC38" i="6" a="1"/>
  <c r="AC38" i="6" s="1"/>
  <c r="C33" i="6" a="1"/>
  <c r="C33" i="6" s="1"/>
  <c r="I33" i="6" a="1"/>
  <c r="I33" i="6" s="1"/>
  <c r="N33" i="6" a="1"/>
  <c r="N33" i="6" s="1"/>
  <c r="R33" i="6" a="1"/>
  <c r="R33" i="6" s="1"/>
  <c r="X33" i="6" a="1"/>
  <c r="X33" i="6" s="1"/>
  <c r="K35" i="6" a="1"/>
  <c r="K35" i="6" s="1"/>
  <c r="Q35" i="6" a="1"/>
  <c r="Q35" i="6" s="1"/>
  <c r="T35" i="6" a="1"/>
  <c r="T35" i="6" s="1"/>
  <c r="AA35" i="6" a="1"/>
  <c r="AA35" i="6" s="1"/>
  <c r="D36" i="6" a="1"/>
  <c r="D36" i="6" s="1"/>
  <c r="I36" i="6" a="1"/>
  <c r="I36" i="6" s="1"/>
  <c r="AA33" i="6" a="1"/>
  <c r="AA33" i="6" s="1"/>
  <c r="E34" i="6" a="1"/>
  <c r="E34" i="6" s="1"/>
  <c r="Z36" i="6" a="1"/>
  <c r="Z36" i="6" s="1"/>
  <c r="D37" i="6" a="1"/>
  <c r="D37" i="6" s="1"/>
  <c r="AL18" i="6" a="1"/>
  <c r="AL18" i="6" s="1"/>
  <c r="AH17" i="6" a="1"/>
  <c r="AH17" i="6" s="1"/>
  <c r="AL31" i="6" a="1"/>
  <c r="AL31" i="6" s="1"/>
  <c r="AI33" i="6" a="1"/>
  <c r="AI33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T34" i="6" a="1"/>
  <c r="T34" i="6" s="1"/>
  <c r="U34" i="6" a="1"/>
  <c r="U34" i="6" s="1"/>
  <c r="V34" i="6" a="1"/>
  <c r="V34" i="6" s="1"/>
  <c r="W34" i="6" a="1"/>
  <c r="W34" i="6" s="1"/>
  <c r="X34" i="6" a="1"/>
  <c r="X34" i="6" s="1"/>
  <c r="Y34" i="6" a="1"/>
  <c r="Y34" i="6" s="1"/>
  <c r="Z34" i="6" a="1"/>
  <c r="Z34" i="6" s="1"/>
  <c r="AA34" i="6" a="1"/>
  <c r="AA34" i="6" s="1"/>
  <c r="AB34" i="6" a="1"/>
  <c r="AB34" i="6" s="1"/>
  <c r="AC34" i="6" a="1"/>
  <c r="AC34" i="6" s="1"/>
  <c r="AD34" i="6" a="1"/>
  <c r="AD34" i="6" s="1"/>
  <c r="AE34" i="6" a="1"/>
  <c r="AE34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M35" i="6" a="1"/>
  <c r="M35" i="6" s="1"/>
  <c r="U35" i="6" a="1"/>
  <c r="U35" i="6" s="1"/>
  <c r="AC35" i="6" a="1"/>
  <c r="AC35" i="6" s="1"/>
  <c r="G36" i="6" a="1"/>
  <c r="G36" i="6" s="1"/>
  <c r="O36" i="6" a="1"/>
  <c r="O36" i="6" s="1"/>
  <c r="S36" i="6" a="1"/>
  <c r="S36" i="6" s="1"/>
  <c r="T36" i="6" a="1"/>
  <c r="T36" i="6" s="1"/>
  <c r="U36" i="6" a="1"/>
  <c r="U36" i="6" s="1"/>
  <c r="V36" i="6" a="1"/>
  <c r="V36" i="6" s="1"/>
  <c r="W36" i="6" a="1"/>
  <c r="W36" i="6" s="1"/>
  <c r="X36" i="6" a="1"/>
  <c r="X36" i="6" s="1"/>
  <c r="Y36" i="6" a="1"/>
  <c r="Y36" i="6" s="1"/>
  <c r="AE36" i="6" a="1"/>
  <c r="AE36" i="6" s="1"/>
  <c r="AJ17" i="6" a="1"/>
  <c r="AJ17" i="6" s="1"/>
  <c r="AL15" i="6" a="1"/>
  <c r="AL15" i="6" s="1"/>
  <c r="AI28" i="6" a="1"/>
  <c r="AI28" i="6" s="1"/>
  <c r="S33" i="6" a="1"/>
  <c r="S33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 s="1"/>
  <c r="T37" i="6" a="1"/>
  <c r="T37" i="6" s="1"/>
  <c r="U37" i="6" a="1"/>
  <c r="U37" i="6" s="1"/>
  <c r="V37" i="6" a="1"/>
  <c r="V37" i="6" s="1"/>
  <c r="W37" i="6" a="1"/>
  <c r="W37" i="6" s="1"/>
  <c r="X37" i="6" a="1"/>
  <c r="X37" i="6" s="1"/>
  <c r="Y37" i="6" a="1"/>
  <c r="Y37" i="6" s="1"/>
  <c r="Z37" i="6" a="1"/>
  <c r="Z37" i="6" s="1"/>
  <c r="AA37" i="6" a="1"/>
  <c r="AA37" i="6" s="1"/>
  <c r="AB37" i="6" a="1"/>
  <c r="AB37" i="6" s="1"/>
  <c r="AC37" i="6" a="1"/>
  <c r="AC37" i="6" s="1"/>
  <c r="AD37" i="6" a="1"/>
  <c r="AD37" i="6" s="1"/>
  <c r="AE37" i="6" a="1"/>
  <c r="AE37" i="6" s="1"/>
  <c r="AH3" i="6" a="1"/>
  <c r="AH3" i="6" s="1"/>
  <c r="AL3" i="6" a="1"/>
  <c r="AL3" i="6" s="1"/>
  <c r="AJ4" i="6" a="1"/>
  <c r="AJ4" i="6" s="1"/>
  <c r="AH5" i="6" a="1"/>
  <c r="AH5" i="6" s="1"/>
  <c r="AL5" i="6" a="1"/>
  <c r="AL5" i="6" s="1"/>
  <c r="AJ6" i="6" a="1"/>
  <c r="AJ6" i="6" s="1"/>
  <c r="AH9" i="6" a="1"/>
  <c r="AH9" i="6" s="1"/>
  <c r="AG10" i="6" a="1"/>
  <c r="AG10" i="6" s="1"/>
  <c r="AG11" i="6" a="1"/>
  <c r="AG11" i="6" s="1"/>
  <c r="AL11" i="6" a="1"/>
  <c r="AL11" i="6" s="1"/>
  <c r="AK12" i="6" a="1"/>
  <c r="AK12" i="6" s="1"/>
  <c r="AJ13" i="6" a="1"/>
  <c r="AJ13" i="6" s="1"/>
  <c r="AI14" i="6" a="1"/>
  <c r="AI14" i="6" s="1"/>
  <c r="AI15" i="6" a="1"/>
  <c r="AI15" i="6" s="1"/>
  <c r="AH20" i="6" a="1"/>
  <c r="AH20" i="6" s="1"/>
  <c r="AJ18" i="6" a="1"/>
  <c r="AJ18" i="6" s="1"/>
  <c r="AG31" i="6" a="1"/>
  <c r="AG31" i="6" s="1"/>
  <c r="AI31" i="6" a="1"/>
  <c r="AI31" i="6" s="1"/>
  <c r="AL28" i="6" a="1"/>
  <c r="AL28" i="6" s="1"/>
  <c r="AK29" i="6" a="1"/>
  <c r="AK29" i="6" s="1"/>
  <c r="AJ30" i="6" a="1"/>
  <c r="AJ30" i="6" s="1"/>
  <c r="AJ31" i="6" a="1"/>
  <c r="AJ31" i="6" s="1"/>
  <c r="AJ33" i="6" a="1"/>
  <c r="AJ33" i="6" s="1"/>
  <c r="AK34" i="6" a="1"/>
  <c r="AK34" i="6" s="1"/>
  <c r="AE38" i="6" a="1"/>
  <c r="AE38" i="6" s="1"/>
  <c r="H33" i="6" a="1"/>
  <c r="H33" i="6" s="1"/>
  <c r="O33" i="6" a="1"/>
  <c r="O33" i="6" s="1"/>
  <c r="V33" i="6" a="1"/>
  <c r="V33" i="6" s="1"/>
  <c r="I35" i="6" a="1"/>
  <c r="I35" i="6" s="1"/>
  <c r="R35" i="6" a="1"/>
  <c r="R35" i="6" s="1"/>
  <c r="Y35" i="6" a="1"/>
  <c r="Y35" i="6" s="1"/>
  <c r="C36" i="6" a="1"/>
  <c r="C36" i="6" s="1"/>
  <c r="K36" i="6" a="1"/>
  <c r="K36" i="6" s="1"/>
  <c r="AK3" i="6" a="1"/>
  <c r="AK3" i="6" s="1"/>
  <c r="AI4" i="6" a="1"/>
  <c r="AI4" i="6" s="1"/>
  <c r="AG5" i="6" a="1"/>
  <c r="AG5" i="6" s="1"/>
  <c r="AK5" i="6" a="1"/>
  <c r="AK5" i="6" s="1"/>
  <c r="AI6" i="6" a="1"/>
  <c r="AI6" i="6" s="1"/>
  <c r="AG7" i="6" a="1"/>
  <c r="AG7" i="6" s="1"/>
  <c r="AL9" i="6" a="1"/>
  <c r="AL9" i="6" s="1"/>
  <c r="AK10" i="6" a="1"/>
  <c r="AK10" i="6" s="1"/>
  <c r="AJ11" i="6" a="1"/>
  <c r="AJ11" i="6" s="1"/>
  <c r="AI12" i="6" a="1"/>
  <c r="AI12" i="6" s="1"/>
  <c r="AI13" i="6" a="1"/>
  <c r="AI13" i="6" s="1"/>
  <c r="AH14" i="6" a="1"/>
  <c r="AH14" i="6" s="1"/>
  <c r="AK25" i="6" a="1"/>
  <c r="AK25" i="6" s="1"/>
  <c r="AL33" i="6" a="1"/>
  <c r="AL33" i="6" s="1"/>
  <c r="AI34" i="6" a="1"/>
  <c r="AI34" i="6" s="1"/>
  <c r="Y33" i="6" a="1"/>
  <c r="Y33" i="6" s="1"/>
  <c r="N35" i="6" a="1"/>
  <c r="N35" i="6" s="1"/>
  <c r="X35" i="6" a="1"/>
  <c r="X35" i="6" s="1"/>
  <c r="AD35" i="6" a="1"/>
  <c r="AD35" i="6" s="1"/>
  <c r="H36" i="6" a="1"/>
  <c r="H36" i="6" s="1"/>
  <c r="Q36" i="6" a="1"/>
  <c r="Q36" i="6" s="1"/>
  <c r="AH32" i="6" a="1"/>
  <c r="AH32" i="6" s="1"/>
  <c r="AI32" i="6" a="1"/>
  <c r="AI32" i="6" s="1"/>
  <c r="AK32" i="6" a="1"/>
  <c r="AK32" i="6" s="1"/>
  <c r="AG3" i="6" a="1"/>
  <c r="AG3" i="6" s="1"/>
  <c r="AJ3" i="6" a="1"/>
  <c r="AJ3" i="6" s="1"/>
  <c r="AH4" i="6" a="1"/>
  <c r="AH4" i="6" s="1"/>
  <c r="AL4" i="6" a="1"/>
  <c r="AL4" i="6" s="1"/>
  <c r="AJ5" i="6" a="1"/>
  <c r="AJ5" i="6" s="1"/>
  <c r="AG6" i="6" a="1"/>
  <c r="AG6" i="6" s="1"/>
  <c r="AK6" i="6" a="1"/>
  <c r="AK6" i="6" s="1"/>
  <c r="AG9" i="6" a="1"/>
  <c r="AG9" i="6" s="1"/>
  <c r="AK9" i="6" a="1"/>
  <c r="AK9" i="6" s="1"/>
  <c r="AI10" i="6" a="1"/>
  <c r="AI10" i="6" s="1"/>
  <c r="AH11" i="6" a="1"/>
  <c r="AH11" i="6" s="1"/>
  <c r="AG12" i="6" a="1"/>
  <c r="AG12" i="6" s="1"/>
  <c r="AL12" i="6" a="1"/>
  <c r="AL12" i="6" s="1"/>
  <c r="AK13" i="6" a="1"/>
  <c r="AK13" i="6" s="1"/>
  <c r="AJ14" i="6" a="1"/>
  <c r="AJ14" i="6" s="1"/>
  <c r="AG15" i="6" a="1"/>
  <c r="AG15" i="6" s="1"/>
  <c r="AK15" i="6" a="1"/>
  <c r="AK15" i="6" s="1"/>
  <c r="AH16" i="6" a="1"/>
  <c r="AH16" i="6" s="1"/>
  <c r="AK16" i="6" a="1"/>
  <c r="AK16" i="6" s="1"/>
  <c r="AI17" i="6" a="1"/>
  <c r="AI17" i="6" s="1"/>
  <c r="AG18" i="6" a="1"/>
  <c r="AG18" i="6" s="1"/>
  <c r="AK18" i="6" a="1"/>
  <c r="AK18" i="6" s="1"/>
  <c r="AI19" i="6" a="1"/>
  <c r="AI19" i="6" s="1"/>
  <c r="AL19" i="6" a="1"/>
  <c r="AL19" i="6" s="1"/>
  <c r="AI25" i="6" a="1"/>
  <c r="AI25" i="6" s="1"/>
  <c r="AG26" i="6" a="1"/>
  <c r="AG26" i="6" s="1"/>
  <c r="AL26" i="6" a="1"/>
  <c r="AL26" i="6" s="1"/>
  <c r="AK27" i="6" a="1"/>
  <c r="AK27" i="6" s="1"/>
  <c r="AI29" i="6" a="1"/>
  <c r="AI29" i="6" s="1"/>
  <c r="P33" i="6" a="1"/>
  <c r="P33" i="6" s="1"/>
  <c r="U33" i="6" a="1"/>
  <c r="U33" i="6" s="1"/>
  <c r="H35" i="6" a="1"/>
  <c r="H35" i="6" s="1"/>
  <c r="L35" i="6" a="1"/>
  <c r="L35" i="6" s="1"/>
  <c r="S35" i="6" a="1"/>
  <c r="S35" i="6" s="1"/>
  <c r="Z35" i="6" a="1"/>
  <c r="Z35" i="6" s="1"/>
  <c r="E36" i="6" a="1"/>
  <c r="E36" i="6" s="1"/>
  <c r="L36" i="6" a="1"/>
  <c r="L36" i="6" s="1"/>
  <c r="P36" i="6" a="1"/>
  <c r="P36" i="6" s="1"/>
  <c r="C34" i="6" a="1"/>
  <c r="C34" i="6" s="1"/>
  <c r="J34" i="6" a="1"/>
  <c r="J34" i="6" s="1"/>
  <c r="AD36" i="6" a="1"/>
  <c r="AD36" i="6" s="1"/>
  <c r="AH18" i="6" a="1"/>
  <c r="AH18" i="6" s="1"/>
  <c r="AJ16" i="6" a="1"/>
  <c r="AJ16" i="6" s="1"/>
  <c r="AH29" i="6" a="1"/>
  <c r="AH29" i="6" s="1"/>
  <c r="AL29" i="6" a="1"/>
  <c r="AL29" i="6" s="1"/>
  <c r="AI3" i="6" a="1"/>
  <c r="AI3" i="6" s="1"/>
  <c r="AH6" i="6" a="1"/>
  <c r="AH6" i="6" s="1"/>
  <c r="AH10" i="6" a="1"/>
  <c r="AH10" i="6" s="1"/>
  <c r="AH13" i="6" a="1"/>
  <c r="AH13" i="6" s="1"/>
  <c r="AI7" i="6" a="1"/>
  <c r="AI7" i="6" s="1"/>
  <c r="AL7" i="6" a="1"/>
  <c r="AL7" i="6" s="1"/>
  <c r="AJ8" i="6" a="1"/>
  <c r="AJ8" i="6" s="1"/>
  <c r="AJ10" i="6" a="1"/>
  <c r="AJ10" i="6" s="1"/>
  <c r="AG13" i="6" a="1"/>
  <c r="AG13" i="6" s="1"/>
  <c r="AI16" i="6" a="1"/>
  <c r="AI16" i="6" s="1"/>
  <c r="AG19" i="6" a="1"/>
  <c r="AG19" i="6" s="1"/>
  <c r="AJ26" i="6" a="1"/>
  <c r="AJ26" i="6" s="1"/>
  <c r="AG30" i="6" a="1"/>
  <c r="AG30" i="6" s="1"/>
  <c r="AG34" i="6" a="1"/>
  <c r="AG34" i="6" s="1"/>
  <c r="T33" i="6" a="1"/>
  <c r="T33" i="6" s="1"/>
  <c r="AE35" i="6" a="1"/>
  <c r="AE35" i="6" s="1"/>
  <c r="AI20" i="6" a="1"/>
  <c r="AI20" i="6" s="1"/>
  <c r="AG21" i="6" a="1"/>
  <c r="AG21" i="6" s="1"/>
  <c r="AK21" i="6" a="1"/>
  <c r="AK21" i="6" s="1"/>
  <c r="AH22" i="6" a="1"/>
  <c r="AH22" i="6" s="1"/>
  <c r="AL22" i="6" a="1"/>
  <c r="AL22" i="6" s="1"/>
  <c r="AJ23" i="6" a="1"/>
  <c r="AJ23" i="6" s="1"/>
  <c r="AG24" i="6" a="1"/>
  <c r="AG24" i="6" s="1"/>
  <c r="AK24" i="6" a="1"/>
  <c r="AK24" i="6" s="1"/>
  <c r="AH25" i="6" a="1"/>
  <c r="AH25" i="6" s="1"/>
  <c r="AL27" i="6" a="1"/>
  <c r="AL27" i="6" s="1"/>
  <c r="AH37" i="6" a="1"/>
  <c r="AH37" i="6" s="1"/>
  <c r="AG38" i="6" a="1"/>
  <c r="AG38" i="6" s="1"/>
  <c r="AF33" i="6" a="1"/>
  <c r="AF33" i="6" s="1"/>
  <c r="C38" i="6" a="1"/>
  <c r="C38" i="6" s="1"/>
  <c r="AC33" i="6" a="1"/>
  <c r="AC33" i="6" s="1"/>
  <c r="H34" i="6" a="1"/>
  <c r="H34" i="6" s="1"/>
  <c r="AB36" i="6" a="1"/>
  <c r="AB36" i="6" s="1"/>
  <c r="F37" i="6" a="1"/>
  <c r="F37" i="6" s="1"/>
  <c r="AH27" i="6" a="1"/>
  <c r="AH27" i="6" s="1"/>
  <c r="AG20" i="6" a="1"/>
  <c r="AG20" i="6" s="1"/>
  <c r="G33" i="6" a="1"/>
  <c r="G33" i="6" s="1"/>
  <c r="D33" i="6" a="1"/>
  <c r="D33" i="6" s="1"/>
  <c r="AL32" i="6" a="1"/>
  <c r="AL32" i="6" s="1"/>
  <c r="AI5" i="6" a="1"/>
  <c r="AI5" i="6" s="1"/>
  <c r="AI9" i="6" a="1"/>
  <c r="AI9" i="6" s="1"/>
  <c r="AJ12" i="6" a="1"/>
  <c r="AJ12" i="6" s="1"/>
  <c r="AH7" i="6" a="1"/>
  <c r="AH7" i="6" s="1"/>
  <c r="AK7" i="6" a="1"/>
  <c r="AK7" i="6" s="1"/>
  <c r="AI8" i="6" a="1"/>
  <c r="AI8" i="6" s="1"/>
  <c r="AL8" i="6" a="1"/>
  <c r="AL8" i="6" s="1"/>
  <c r="AH12" i="6" a="1"/>
  <c r="AH12" i="6" s="1"/>
  <c r="AJ15" i="6" a="1"/>
  <c r="AJ15" i="6" s="1"/>
  <c r="AK17" i="6" a="1"/>
  <c r="AK17" i="6" s="1"/>
  <c r="AJ25" i="6" a="1"/>
  <c r="AJ25" i="6" s="1"/>
  <c r="AG29" i="6" a="1"/>
  <c r="AG29" i="6" s="1"/>
  <c r="AH33" i="6" a="1"/>
  <c r="AH33" i="6" s="1"/>
  <c r="L33" i="6" a="1"/>
  <c r="L33" i="6" s="1"/>
  <c r="W35" i="6" a="1"/>
  <c r="W35" i="6" s="1"/>
  <c r="R36" i="6" a="1"/>
  <c r="R36" i="6" s="1"/>
  <c r="AL20" i="6" a="1"/>
  <c r="AL20" i="6" s="1"/>
  <c r="AJ21" i="6" a="1"/>
  <c r="AJ21" i="6" s="1"/>
  <c r="AG22" i="6" a="1"/>
  <c r="AG22" i="6" s="1"/>
  <c r="AK22" i="6" a="1"/>
  <c r="AK22" i="6" s="1"/>
  <c r="AI23" i="6" a="1"/>
  <c r="AI23" i="6" s="1"/>
  <c r="AL23" i="6" a="1"/>
  <c r="AL23" i="6" s="1"/>
  <c r="AJ24" i="6" a="1"/>
  <c r="AJ24" i="6" s="1"/>
  <c r="AG25" i="6" a="1"/>
  <c r="AG25" i="6" s="1"/>
  <c r="AG27" i="6" a="1"/>
  <c r="AG27" i="6" s="1"/>
  <c r="AG37" i="6" a="1"/>
  <c r="AG37" i="6" s="1"/>
  <c r="AL37" i="6" a="1"/>
  <c r="AL37" i="6" s="1"/>
  <c r="AK38" i="6" a="1"/>
  <c r="AK38" i="6" s="1"/>
  <c r="AF38" i="6" a="1"/>
  <c r="AF38" i="6" s="1"/>
  <c r="AB33" i="6" a="1"/>
  <c r="AB33" i="6" s="1"/>
  <c r="G34" i="6" a="1"/>
  <c r="G34" i="6" s="1"/>
  <c r="AA36" i="6" a="1"/>
  <c r="AA36" i="6" s="1"/>
  <c r="E37" i="6" a="1"/>
  <c r="E37" i="6" s="1"/>
  <c r="AH26" i="6" a="1"/>
  <c r="AH26" i="6" s="1"/>
  <c r="AH19" i="6" a="1"/>
  <c r="AH19" i="6" s="1"/>
  <c r="AB38" i="6" a="1"/>
  <c r="AB38" i="6" s="1"/>
  <c r="Z38" i="6" a="1"/>
  <c r="Z38" i="6" s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O2" i="6" s="1"/>
  <c r="W2" i="6" a="1"/>
  <c r="W2" i="6" s="1"/>
  <c r="S2" i="6" a="1"/>
  <c r="S2" i="6" s="1"/>
  <c r="J2" i="6" a="1"/>
  <c r="J2" i="6" s="1"/>
  <c r="B1" i="6"/>
  <c r="B42" i="6" s="1" a="1"/>
  <c r="B42" i="6" s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41" i="6" s="1"/>
  <c r="B2" i="6" a="1"/>
  <c r="B2" i="6" s="1"/>
  <c r="B39" i="6" a="1"/>
  <c r="B39" i="6" s="1"/>
  <c r="B40" i="6" a="1"/>
  <c r="B40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<sst xmlns="http://schemas.openxmlformats.org/spreadsheetml/2006/main" count="922" uniqueCount="106">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</sst>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25" workbookViewId="0">
      <selection activeCell="D34" sqref="D34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B34" s="2"/>
    </row>
    <row r="35" spans="1:7" x14ac:dyDescent="0.35">
      <c r="B35" s="2"/>
    </row>
    <row r="36" spans="1:7" x14ac:dyDescent="0.35">
      <c r="B36" s="2"/>
    </row>
    <row r="37" spans="1:7" x14ac:dyDescent="0.35">
      <c r="B37" s="2"/>
    </row>
    <row r="38" spans="1:7" x14ac:dyDescent="0.35">
      <c r="B38" s="2"/>
    </row>
    <row r="39" spans="1:7" x14ac:dyDescent="0.35">
      <c r="B39" s="2"/>
    </row>
    <row r="40" spans="1:7" x14ac:dyDescent="0.35">
      <c r="B40" s="2"/>
    </row>
    <row r="41" spans="1:7" x14ac:dyDescent="0.35">
      <c r="B41" s="2"/>
    </row>
    <row r="42" spans="1:7" x14ac:dyDescent="0.35">
      <c r="B42" s="2"/>
    </row>
    <row r="43" spans="1:7" x14ac:dyDescent="0.35">
      <c r="B43" s="2"/>
    </row>
    <row r="44" spans="1:7" x14ac:dyDescent="0.35">
      <c r="B44" s="2"/>
    </row>
    <row r="45" spans="1:7" x14ac:dyDescent="0.35">
      <c r="B45" s="2"/>
    </row>
    <row r="46" spans="1:7" x14ac:dyDescent="0.35">
      <c r="B46" s="2"/>
    </row>
    <row r="47" spans="1:7" x14ac:dyDescent="0.35">
      <c r="B47" s="2"/>
    </row>
    <row r="48" spans="1:7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4"/>
  <sheetViews>
    <sheetView tabSelected="1" topLeftCell="A361" workbookViewId="0">
      <selection activeCell="I373" sqref="I373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1</v>
      </c>
      <c r="I297">
        <v>1</v>
      </c>
      <c r="J297">
        <v>2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74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topLeftCell="A41" workbookViewId="0">
      <selection activeCell="E54" sqref="E54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12</v>
      </c>
      <c r="D4">
        <f>SUMIF('Team Lineups'!C:C,A4,'Team Lineups'!E:E)</f>
        <v>84</v>
      </c>
      <c r="E4">
        <f>SUMIF('Team Lineups'!C:C,A4,'Team Lineups'!F:F)</f>
        <v>74</v>
      </c>
      <c r="F4">
        <f t="shared" si="0"/>
        <v>10</v>
      </c>
      <c r="G4">
        <f>COUNTIFS('Team Lineups'!C:C,A4,'Team Lineups'!G:G,"Win")</f>
        <v>6</v>
      </c>
      <c r="H4">
        <f>COUNTIFS('Team Lineups'!C:C,A4,'Team Lineups'!G:G,"Draw")</f>
        <v>2</v>
      </c>
      <c r="I4">
        <f>COUNTIFS('Team Lineups'!C:C,A4,'Team Lineups'!G:G,"Loss")</f>
        <v>4</v>
      </c>
      <c r="J4" s="3">
        <f t="shared" si="3"/>
        <v>0.5</v>
      </c>
      <c r="K4" s="3">
        <f t="shared" si="4"/>
        <v>0.33333333333333331</v>
      </c>
      <c r="L4">
        <f>SUMIF('Team Lineups'!C:C,A4,'Team Lineups'!H:H)</f>
        <v>5</v>
      </c>
      <c r="M4">
        <f t="shared" si="1"/>
        <v>0.41666666666666669</v>
      </c>
      <c r="N4">
        <f>SUMIF('Team Lineups'!C:C,A4,'Team Lineups'!I:I)</f>
        <v>5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17</v>
      </c>
      <c r="D5">
        <f>SUMIF('Team Lineups'!C:C,A5,'Team Lineups'!E:E)</f>
        <v>93</v>
      </c>
      <c r="E5">
        <f>SUMIF('Team Lineups'!C:C,A5,'Team Lineups'!F:F)</f>
        <v>115</v>
      </c>
      <c r="F5">
        <f t="shared" si="0"/>
        <v>-22</v>
      </c>
      <c r="G5">
        <f>COUNTIFS('Team Lineups'!C:C,A5,'Team Lineups'!G:G,"Win")</f>
        <v>3</v>
      </c>
      <c r="H5">
        <f>COUNTIFS('Team Lineups'!C:C,A5,'Team Lineups'!G:G,"Draw")</f>
        <v>3</v>
      </c>
      <c r="I5">
        <f>COUNTIFS('Team Lineups'!C:C,A5,'Team Lineups'!G:G,"Loss")</f>
        <v>11</v>
      </c>
      <c r="J5" s="3">
        <f t="shared" si="3"/>
        <v>0.17647058823529413</v>
      </c>
      <c r="K5" s="3">
        <f t="shared" si="4"/>
        <v>0.6470588235294118</v>
      </c>
      <c r="L5">
        <f>SUMIF('Team Lineups'!C:C,A5,'Team Lineups'!H:H)</f>
        <v>22</v>
      </c>
      <c r="M5">
        <f t="shared" si="1"/>
        <v>1.2941176470588236</v>
      </c>
      <c r="N5">
        <f>SUMIF('Team Lineups'!C:C,A5,'Team Lineups'!I:I)</f>
        <v>20</v>
      </c>
      <c r="O5">
        <f>COUNTIF(Matches!G:G,A5)</f>
        <v>2</v>
      </c>
      <c r="P5">
        <f t="shared" si="2"/>
        <v>0.11764705882352941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13</v>
      </c>
      <c r="D6">
        <f>SUMIF('Team Lineups'!C:C,A6,'Team Lineups'!E:E)</f>
        <v>75</v>
      </c>
      <c r="E6">
        <f>SUMIF('Team Lineups'!C:C,A6,'Team Lineups'!F:F)</f>
        <v>68</v>
      </c>
      <c r="F6">
        <f t="shared" si="0"/>
        <v>7</v>
      </c>
      <c r="G6">
        <f>COUNTIFS('Team Lineups'!C:C,A6,'Team Lineups'!G:G,"Win")</f>
        <v>6</v>
      </c>
      <c r="H6">
        <f>COUNTIFS('Team Lineups'!C:C,A6,'Team Lineups'!G:G,"Draw")</f>
        <v>4</v>
      </c>
      <c r="I6">
        <f>COUNTIFS('Team Lineups'!C:C,A6,'Team Lineups'!G:G,"Loss")</f>
        <v>3</v>
      </c>
      <c r="J6" s="3">
        <f t="shared" si="3"/>
        <v>0.46153846153846156</v>
      </c>
      <c r="K6" s="3">
        <f t="shared" si="4"/>
        <v>0.23076923076923078</v>
      </c>
      <c r="L6">
        <f>SUMIF('Team Lineups'!C:C,A6,'Team Lineups'!H:H)</f>
        <v>12</v>
      </c>
      <c r="M6">
        <f t="shared" si="1"/>
        <v>0.92307692307692313</v>
      </c>
      <c r="N6">
        <f>SUMIF('Team Lineups'!C:C,A6,'Team Lineups'!I:I)</f>
        <v>9</v>
      </c>
      <c r="O6">
        <f>COUNTIF(Matches!G:G,A6)</f>
        <v>0</v>
      </c>
      <c r="P6">
        <f t="shared" si="2"/>
        <v>0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22</v>
      </c>
      <c r="D7">
        <f>SUMIF('Team Lineups'!C:C,A7,'Team Lineups'!E:E)</f>
        <v>143</v>
      </c>
      <c r="E7">
        <f>SUMIF('Team Lineups'!C:C,A7,'Team Lineups'!F:F)</f>
        <v>157</v>
      </c>
      <c r="F7">
        <f t="shared" si="0"/>
        <v>-14</v>
      </c>
      <c r="G7">
        <f>COUNTIFS('Team Lineups'!C:C,A7,'Team Lineups'!G:G,"Win")</f>
        <v>7</v>
      </c>
      <c r="H7">
        <f>COUNTIFS('Team Lineups'!C:C,A7,'Team Lineups'!G:G,"Draw")</f>
        <v>4</v>
      </c>
      <c r="I7">
        <f>COUNTIFS('Team Lineups'!C:C,A7,'Team Lineups'!G:G,"Loss")</f>
        <v>10</v>
      </c>
      <c r="J7" s="3">
        <f t="shared" si="3"/>
        <v>0.31818181818181818</v>
      </c>
      <c r="K7" s="3">
        <f t="shared" si="4"/>
        <v>0.45454545454545453</v>
      </c>
      <c r="L7">
        <f>SUMIF('Team Lineups'!C:C,A7,'Team Lineups'!H:H)</f>
        <v>25</v>
      </c>
      <c r="M7">
        <f t="shared" si="1"/>
        <v>1.1363636363636365</v>
      </c>
      <c r="N7">
        <f>SUMIF('Team Lineups'!C:C,A7,'Team Lineups'!I:I)</f>
        <v>21</v>
      </c>
      <c r="O7">
        <f>COUNTIF(Matches!G:G,A7)</f>
        <v>1</v>
      </c>
      <c r="P7">
        <f t="shared" si="2"/>
        <v>4.5454545454545456E-2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18</v>
      </c>
      <c r="D8">
        <f>SUMIF('Team Lineups'!C:C,A8,'Team Lineups'!E:E)</f>
        <v>124</v>
      </c>
      <c r="E8">
        <f>SUMIF('Team Lineups'!C:C,A8,'Team Lineups'!F:F)</f>
        <v>116</v>
      </c>
      <c r="F8">
        <f t="shared" si="0"/>
        <v>8</v>
      </c>
      <c r="G8">
        <f>COUNTIFS('Team Lineups'!C:C,A8,'Team Lineups'!G:G,"Win")</f>
        <v>9</v>
      </c>
      <c r="H8">
        <f>COUNTIFS('Team Lineups'!C:C,A8,'Team Lineups'!G:G,"Draw")</f>
        <v>4</v>
      </c>
      <c r="I8">
        <f>COUNTIFS('Team Lineups'!C:C,A8,'Team Lineups'!G:G,"Loss")</f>
        <v>5</v>
      </c>
      <c r="J8" s="3">
        <f t="shared" si="3"/>
        <v>0.5</v>
      </c>
      <c r="K8" s="3">
        <f t="shared" si="4"/>
        <v>0.27777777777777779</v>
      </c>
      <c r="L8">
        <f>SUMIF('Team Lineups'!C:C,A8,'Team Lineups'!H:H)</f>
        <v>39</v>
      </c>
      <c r="M8">
        <f t="shared" si="1"/>
        <v>2.1666666666666665</v>
      </c>
      <c r="N8">
        <f>SUMIF('Team Lineups'!C:C,A8,'Team Lineups'!I:I)</f>
        <v>17</v>
      </c>
      <c r="O8">
        <f>COUNTIF(Matches!G:G,A8)</f>
        <v>4</v>
      </c>
      <c r="P8">
        <f t="shared" si="2"/>
        <v>0.22222222222222221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15</v>
      </c>
      <c r="D9">
        <f>SUMIF('Team Lineups'!C:C,A9,'Team Lineups'!E:E)</f>
        <v>77</v>
      </c>
      <c r="E9">
        <f>SUMIF('Team Lineups'!C:C,A9,'Team Lineups'!F:F)</f>
        <v>89</v>
      </c>
      <c r="F9">
        <f t="shared" si="0"/>
        <v>-12</v>
      </c>
      <c r="G9">
        <f>COUNTIFS('Team Lineups'!C:C,A9,'Team Lineups'!G:G,"Win")</f>
        <v>5</v>
      </c>
      <c r="H9">
        <f>COUNTIFS('Team Lineups'!C:C,A9,'Team Lineups'!G:G,"Draw")</f>
        <v>2</v>
      </c>
      <c r="I9">
        <f>COUNTIFS('Team Lineups'!C:C,A9,'Team Lineups'!G:G,"Loss")</f>
        <v>8</v>
      </c>
      <c r="J9" s="3">
        <f t="shared" si="3"/>
        <v>0.33333333333333331</v>
      </c>
      <c r="K9" s="3">
        <f t="shared" si="4"/>
        <v>0.53333333333333333</v>
      </c>
      <c r="L9">
        <f>SUMIF('Team Lineups'!C:C,A9,'Team Lineups'!H:H)</f>
        <v>9</v>
      </c>
      <c r="M9">
        <f t="shared" si="1"/>
        <v>0.6</v>
      </c>
      <c r="N9">
        <f>SUMIF('Team Lineups'!C:C,A9,'Team Lineups'!I:I)</f>
        <v>5</v>
      </c>
      <c r="O9">
        <f>COUNTIF(Matches!G:G,A9)</f>
        <v>1</v>
      </c>
      <c r="P9">
        <f t="shared" si="2"/>
        <v>6.6666666666666666E-2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21</v>
      </c>
      <c r="D12">
        <f>SUMIF('Team Lineups'!C:C,A12,'Team Lineups'!E:E)</f>
        <v>131</v>
      </c>
      <c r="E12">
        <f>SUMIF('Team Lineups'!C:C,A12,'Team Lineups'!F:F)</f>
        <v>145</v>
      </c>
      <c r="F12">
        <f t="shared" si="0"/>
        <v>-14</v>
      </c>
      <c r="G12">
        <f>COUNTIFS('Team Lineups'!C:C,A12,'Team Lineups'!G:G,"Win")</f>
        <v>7</v>
      </c>
      <c r="H12">
        <f>COUNTIFS('Team Lineups'!C:C,A12,'Team Lineups'!G:G,"Draw")</f>
        <v>2</v>
      </c>
      <c r="I12">
        <f>COUNTIFS('Team Lineups'!C:C,A12,'Team Lineups'!G:G,"Loss")</f>
        <v>12</v>
      </c>
      <c r="J12" s="3">
        <f t="shared" si="3"/>
        <v>0.33333333333333331</v>
      </c>
      <c r="K12" s="3">
        <f t="shared" si="4"/>
        <v>0.5714285714285714</v>
      </c>
      <c r="L12">
        <f>SUMIF('Team Lineups'!C:C,A12,'Team Lineups'!H:H)</f>
        <v>34</v>
      </c>
      <c r="M12">
        <f t="shared" si="1"/>
        <v>1.6190476190476191</v>
      </c>
      <c r="N12">
        <f>SUMIF('Team Lineups'!C:C,A12,'Team Lineups'!I:I)</f>
        <v>9</v>
      </c>
      <c r="O12">
        <f>COUNTIF(Matches!G:G,A12)</f>
        <v>1</v>
      </c>
      <c r="P12">
        <f t="shared" si="2"/>
        <v>4.7619047619047616E-2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6</v>
      </c>
      <c r="D14">
        <f>SUMIF('Team Lineups'!C:C,A14,'Team Lineups'!E:E)</f>
        <v>40</v>
      </c>
      <c r="E14">
        <f>SUMIF('Team Lineups'!C:C,A14,'Team Lineups'!F:F)</f>
        <v>58</v>
      </c>
      <c r="F14">
        <f t="shared" si="0"/>
        <v>-18</v>
      </c>
      <c r="G14">
        <f>COUNTIFS('Team Lineups'!C:C,A14,'Team Lineups'!G:G,"Win")</f>
        <v>1</v>
      </c>
      <c r="H14">
        <f>COUNTIFS('Team Lineups'!C:C,A14,'Team Lineups'!G:G,"Draw")</f>
        <v>0</v>
      </c>
      <c r="I14">
        <f>COUNTIFS('Team Lineups'!C:C,A14,'Team Lineups'!G:G,"Loss")</f>
        <v>5</v>
      </c>
      <c r="J14" s="3">
        <f t="shared" si="3"/>
        <v>0.16666666666666666</v>
      </c>
      <c r="K14" s="3">
        <f t="shared" si="4"/>
        <v>0.83333333333333337</v>
      </c>
      <c r="L14">
        <f>SUMIF('Team Lineups'!C:C,A14,'Team Lineups'!H:H)</f>
        <v>2</v>
      </c>
      <c r="M14">
        <f t="shared" si="1"/>
        <v>0.33333333333333331</v>
      </c>
      <c r="N14">
        <f>SUMIF('Team Lineups'!C:C,A14,'Team Lineups'!I:I)</f>
        <v>4</v>
      </c>
      <c r="O14">
        <f>COUNTIF(Matches!G:G,A14)</f>
        <v>1</v>
      </c>
      <c r="P14">
        <f t="shared" si="2"/>
        <v>0.16666666666666666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7</v>
      </c>
      <c r="D15">
        <f>SUMIF('Team Lineups'!C:C,A15,'Team Lineups'!E:E)</f>
        <v>45</v>
      </c>
      <c r="E15">
        <f>SUMIF('Team Lineups'!C:C,A15,'Team Lineups'!F:F)</f>
        <v>34</v>
      </c>
      <c r="F15">
        <f t="shared" si="0"/>
        <v>11</v>
      </c>
      <c r="G15">
        <f>COUNTIFS('Team Lineups'!C:C,A15,'Team Lineups'!G:G,"Win")</f>
        <v>3</v>
      </c>
      <c r="H15">
        <f>COUNTIFS('Team Lineups'!C:C,A15,'Team Lineups'!G:G,"Draw")</f>
        <v>2</v>
      </c>
      <c r="I15">
        <f>COUNTIFS('Team Lineups'!C:C,A15,'Team Lineups'!G:G,"Loss")</f>
        <v>2</v>
      </c>
      <c r="J15" s="3">
        <f t="shared" si="3"/>
        <v>0.42857142857142855</v>
      </c>
      <c r="K15" s="3">
        <f t="shared" si="4"/>
        <v>0.2857142857142857</v>
      </c>
      <c r="L15">
        <f>SUMIF('Team Lineups'!C:C,A15,'Team Lineups'!H:H)</f>
        <v>3</v>
      </c>
      <c r="M15">
        <f t="shared" si="1"/>
        <v>0.42857142857142855</v>
      </c>
      <c r="N15">
        <f>SUMIF('Team Lineups'!C:C,A15,'Team Lineups'!I:I)</f>
        <v>7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17</v>
      </c>
      <c r="D16">
        <f>SUMIF('Team Lineups'!C:C,A16,'Team Lineups'!E:E)</f>
        <v>88</v>
      </c>
      <c r="E16">
        <f>SUMIF('Team Lineups'!C:C,A16,'Team Lineups'!F:F)</f>
        <v>101</v>
      </c>
      <c r="F16">
        <f t="shared" si="0"/>
        <v>-13</v>
      </c>
      <c r="G16">
        <f>COUNTIFS('Team Lineups'!C:C,A16,'Team Lineups'!G:G,"Win")</f>
        <v>4</v>
      </c>
      <c r="H16">
        <f>COUNTIFS('Team Lineups'!C:C,A16,'Team Lineups'!G:G,"Draw")</f>
        <v>4</v>
      </c>
      <c r="I16">
        <f>COUNTIFS('Team Lineups'!C:C,A16,'Team Lineups'!G:G,"Loss")</f>
        <v>9</v>
      </c>
      <c r="J16" s="3">
        <f t="shared" si="3"/>
        <v>0.23529411764705882</v>
      </c>
      <c r="K16" s="3">
        <f t="shared" si="4"/>
        <v>0.52941176470588236</v>
      </c>
      <c r="L16">
        <f>SUMIF('Team Lineups'!C:C,A16,'Team Lineups'!H:H)</f>
        <v>7</v>
      </c>
      <c r="M16">
        <f t="shared" si="1"/>
        <v>0.41176470588235292</v>
      </c>
      <c r="N16">
        <f>SUMIF('Team Lineups'!C:C,A16,'Team Lineups'!I:I)</f>
        <v>4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19</v>
      </c>
      <c r="D17">
        <f>SUMIF('Team Lineups'!C:C,A17,'Team Lineups'!E:E)</f>
        <v>116</v>
      </c>
      <c r="E17">
        <f>SUMIF('Team Lineups'!C:C,A17,'Team Lineups'!F:F)</f>
        <v>99</v>
      </c>
      <c r="F17">
        <f t="shared" si="0"/>
        <v>17</v>
      </c>
      <c r="G17">
        <f>COUNTIFS('Team Lineups'!C:C,A17,'Team Lineups'!G:G,"Win")</f>
        <v>11</v>
      </c>
      <c r="H17">
        <f>COUNTIFS('Team Lineups'!C:C,A17,'Team Lineups'!G:G,"Draw")</f>
        <v>4</v>
      </c>
      <c r="I17">
        <f>COUNTIFS('Team Lineups'!C:C,A17,'Team Lineups'!G:G,"Loss")</f>
        <v>4</v>
      </c>
      <c r="J17" s="3">
        <f t="shared" si="3"/>
        <v>0.57894736842105265</v>
      </c>
      <c r="K17" s="3">
        <f t="shared" si="4"/>
        <v>0.21052631578947367</v>
      </c>
      <c r="L17">
        <f>SUMIF('Team Lineups'!C:C,A17,'Team Lineups'!H:H)</f>
        <v>9</v>
      </c>
      <c r="M17">
        <f t="shared" si="1"/>
        <v>0.47368421052631576</v>
      </c>
      <c r="N17">
        <f>SUMIF('Team Lineups'!C:C,A17,'Team Lineups'!I:I)</f>
        <v>16</v>
      </c>
      <c r="O17">
        <f>COUNTIF(Matches!G:G,A17)</f>
        <v>1</v>
      </c>
      <c r="P17">
        <f t="shared" si="2"/>
        <v>5.2631578947368418E-2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16</v>
      </c>
      <c r="D18">
        <f>SUMIF('Team Lineups'!C:C,A18,'Team Lineups'!E:E)</f>
        <v>108</v>
      </c>
      <c r="E18">
        <f>SUMIF('Team Lineups'!C:C,A18,'Team Lineups'!F:F)</f>
        <v>123</v>
      </c>
      <c r="F18">
        <f t="shared" si="0"/>
        <v>-15</v>
      </c>
      <c r="G18">
        <f>COUNTIFS('Team Lineups'!C:C,A18,'Team Lineups'!G:G,"Win")</f>
        <v>6</v>
      </c>
      <c r="H18">
        <f>COUNTIFS('Team Lineups'!C:C,A18,'Team Lineups'!G:G,"Draw")</f>
        <v>2</v>
      </c>
      <c r="I18">
        <f>COUNTIFS('Team Lineups'!C:C,A18,'Team Lineups'!G:G,"Loss")</f>
        <v>8</v>
      </c>
      <c r="J18" s="3">
        <f t="shared" si="3"/>
        <v>0.375</v>
      </c>
      <c r="K18" s="3">
        <f t="shared" si="4"/>
        <v>0.5</v>
      </c>
      <c r="L18">
        <f>SUMIF('Team Lineups'!C:C,A18,'Team Lineups'!H:H)</f>
        <v>10</v>
      </c>
      <c r="M18">
        <f t="shared" si="1"/>
        <v>0.625</v>
      </c>
      <c r="N18">
        <f>SUMIF('Team Lineups'!C:C,A18,'Team Lineups'!I:I)</f>
        <v>8</v>
      </c>
      <c r="O18">
        <f>COUNTIF(Matches!G:G,A18)</f>
        <v>1</v>
      </c>
      <c r="P18">
        <f t="shared" si="2"/>
        <v>6.25E-2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8</v>
      </c>
      <c r="D21">
        <f>SUMIF('Team Lineups'!C:C,A21,'Team Lineups'!E:E)</f>
        <v>59</v>
      </c>
      <c r="E21">
        <f>SUMIF('Team Lineups'!C:C,A21,'Team Lineups'!F:F)</f>
        <v>58</v>
      </c>
      <c r="F21">
        <f t="shared" si="0"/>
        <v>1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4</v>
      </c>
      <c r="J21" s="3">
        <f t="shared" si="3"/>
        <v>0.375</v>
      </c>
      <c r="K21" s="3">
        <f t="shared" si="4"/>
        <v>0.5</v>
      </c>
      <c r="L21">
        <f>SUMIF('Team Lineups'!C:C,A21,'Team Lineups'!H:H)</f>
        <v>4</v>
      </c>
      <c r="M21">
        <f t="shared" si="1"/>
        <v>0.5</v>
      </c>
      <c r="N21">
        <f>SUMIF('Team Lineups'!C:C,A21,'Team Lineups'!I:I)</f>
        <v>12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3"/>
        <v>#DIV/0!</v>
      </c>
      <c r="K22" s="3" t="e">
        <f t="shared" si="4"/>
        <v>#DIV/0!</v>
      </c>
      <c r="L22">
        <f>SUMIF('Team Lineups'!C:C,A22,'Team Lineups'!H:H)</f>
        <v>0</v>
      </c>
      <c r="M22" t="e">
        <f t="shared" si="1"/>
        <v>#DIV/0!</v>
      </c>
      <c r="N22">
        <f>SUMIF('Team Lineups'!C:C,A22,'Team Lineups'!I:I)</f>
        <v>0</v>
      </c>
      <c r="O22">
        <f>COUNTIF(Matches!G:G,A22)</f>
        <v>0</v>
      </c>
      <c r="P22" t="e">
        <f t="shared" si="2"/>
        <v>#DIV/0!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21</v>
      </c>
      <c r="D23">
        <f>SUMIF('Team Lineups'!C:C,A23,'Team Lineups'!E:E)</f>
        <v>136</v>
      </c>
      <c r="E23">
        <f>SUMIF('Team Lineups'!C:C,A23,'Team Lineups'!F:F)</f>
        <v>121</v>
      </c>
      <c r="F23">
        <f t="shared" si="0"/>
        <v>15</v>
      </c>
      <c r="G23">
        <f>COUNTIFS('Team Lineups'!C:C,A23,'Team Lineups'!G:G,"Win")</f>
        <v>10</v>
      </c>
      <c r="H23">
        <f>COUNTIFS('Team Lineups'!C:C,A23,'Team Lineups'!G:G,"Draw")</f>
        <v>4</v>
      </c>
      <c r="I23">
        <f>COUNTIFS('Team Lineups'!C:C,A23,'Team Lineups'!G:G,"Loss")</f>
        <v>7</v>
      </c>
      <c r="J23" s="3">
        <f t="shared" si="3"/>
        <v>0.47619047619047616</v>
      </c>
      <c r="K23" s="3">
        <f t="shared" si="4"/>
        <v>0.33333333333333331</v>
      </c>
      <c r="L23">
        <f>SUMIF('Team Lineups'!C:C,A23,'Team Lineups'!H:H)</f>
        <v>26</v>
      </c>
      <c r="M23">
        <f t="shared" si="1"/>
        <v>1.2380952380952381</v>
      </c>
      <c r="N23">
        <f>SUMIF('Team Lineups'!C:C,A23,'Team Lineups'!I:I)</f>
        <v>11</v>
      </c>
      <c r="O23">
        <f>COUNTIF(Matches!G:G,A23)</f>
        <v>4</v>
      </c>
      <c r="P23">
        <f t="shared" si="2"/>
        <v>0.19047619047619047</v>
      </c>
      <c r="Q23">
        <f>SUMIF('Team Lineups'!C:C,A23,'Team Lineups'!J:J)</f>
        <v>2</v>
      </c>
    </row>
    <row r="24" spans="1:17" x14ac:dyDescent="0.35">
      <c r="A24" t="s">
        <v>25</v>
      </c>
      <c r="C24">
        <f>COUNTIF('Team Lineups'!C:C,A24)</f>
        <v>21</v>
      </c>
      <c r="D24">
        <f>SUMIF('Team Lineups'!C:C,A24,'Team Lineups'!E:E)</f>
        <v>135</v>
      </c>
      <c r="E24">
        <f>SUMIF('Team Lineups'!C:C,A24,'Team Lineups'!F:F)</f>
        <v>135</v>
      </c>
      <c r="F24">
        <f t="shared" si="0"/>
        <v>0</v>
      </c>
      <c r="G24">
        <f>COUNTIFS('Team Lineups'!C:C,A24,'Team Lineups'!G:G,"Win")</f>
        <v>6</v>
      </c>
      <c r="H24">
        <f>COUNTIFS('Team Lineups'!C:C,A24,'Team Lineups'!G:G,"Draw")</f>
        <v>5</v>
      </c>
      <c r="I24">
        <f>COUNTIFS('Team Lineups'!C:C,A24,'Team Lineups'!G:G,"Loss")</f>
        <v>10</v>
      </c>
      <c r="J24" s="3">
        <f t="shared" si="3"/>
        <v>0.2857142857142857</v>
      </c>
      <c r="K24" s="3">
        <f t="shared" si="4"/>
        <v>0.47619047619047616</v>
      </c>
      <c r="L24">
        <f>SUMIF('Team Lineups'!C:C,A24,'Team Lineups'!H:H)</f>
        <v>12</v>
      </c>
      <c r="M24">
        <f t="shared" si="1"/>
        <v>0.5714285714285714</v>
      </c>
      <c r="N24">
        <f>SUMIF('Team Lineups'!C:C,A24,'Team Lineups'!I:I)</f>
        <v>9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20</v>
      </c>
      <c r="D25">
        <f>SUMIF('Team Lineups'!C:C,A25,'Team Lineups'!E:E)</f>
        <v>135</v>
      </c>
      <c r="E25">
        <f>SUMIF('Team Lineups'!C:C,A25,'Team Lineups'!F:F)</f>
        <v>118</v>
      </c>
      <c r="F25">
        <f t="shared" si="0"/>
        <v>17</v>
      </c>
      <c r="G25">
        <f>COUNTIFS('Team Lineups'!C:C,A25,'Team Lineups'!G:G,"Win")</f>
        <v>10</v>
      </c>
      <c r="H25">
        <f>COUNTIFS('Team Lineups'!C:C,A25,'Team Lineups'!G:G,"Draw")</f>
        <v>4</v>
      </c>
      <c r="I25">
        <f>COUNTIFS('Team Lineups'!C:C,A25,'Team Lineups'!G:G,"Loss")</f>
        <v>6</v>
      </c>
      <c r="J25" s="3">
        <f t="shared" si="3"/>
        <v>0.5</v>
      </c>
      <c r="K25" s="3">
        <f t="shared" si="4"/>
        <v>0.3</v>
      </c>
      <c r="L25">
        <f>SUMIF('Team Lineups'!C:C,A25,'Team Lineups'!H:H)</f>
        <v>29</v>
      </c>
      <c r="M25">
        <f t="shared" si="1"/>
        <v>1.45</v>
      </c>
      <c r="N25">
        <f>SUMIF('Team Lineups'!C:C,A25,'Team Lineups'!I:I)</f>
        <v>11</v>
      </c>
      <c r="O25">
        <f>COUNTIF(Matches!G:G,A25)</f>
        <v>2</v>
      </c>
      <c r="P25">
        <f t="shared" si="2"/>
        <v>0.1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10</v>
      </c>
      <c r="D26">
        <f>SUMIF('Team Lineups'!C:C,A26,'Team Lineups'!E:E)</f>
        <v>44</v>
      </c>
      <c r="E26">
        <f>SUMIF('Team Lineups'!C:C,A26,'Team Lineups'!F:F)</f>
        <v>56</v>
      </c>
      <c r="F26">
        <f t="shared" si="0"/>
        <v>-12</v>
      </c>
      <c r="G26">
        <f>COUNTIFS('Team Lineups'!C:C,A26,'Team Lineups'!G:G,"Win")</f>
        <v>2</v>
      </c>
      <c r="H26">
        <f>COUNTIFS('Team Lineups'!C:C,A26,'Team Lineups'!G:G,"Draw")</f>
        <v>1</v>
      </c>
      <c r="I26">
        <f>COUNTIFS('Team Lineups'!C:C,A26,'Team Lineups'!G:G,"Loss")</f>
        <v>7</v>
      </c>
      <c r="J26" s="3">
        <f t="shared" si="3"/>
        <v>0.2</v>
      </c>
      <c r="K26" s="3">
        <f t="shared" si="4"/>
        <v>0.7</v>
      </c>
      <c r="L26">
        <f>SUMIF('Team Lineups'!C:C,A26,'Team Lineups'!H:H)</f>
        <v>1</v>
      </c>
      <c r="M26">
        <f t="shared" si="1"/>
        <v>0.1</v>
      </c>
      <c r="N26">
        <f>SUMIF('Team Lineups'!C:C,A26,'Team Lineups'!I:I)</f>
        <v>5</v>
      </c>
      <c r="O26">
        <f>COUNTIF(Matches!G:G,A26)</f>
        <v>1</v>
      </c>
      <c r="P26">
        <f t="shared" si="2"/>
        <v>0.1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16</v>
      </c>
      <c r="D33">
        <f>SUMIF('Team Lineups'!C:C,A33,'Team Lineups'!E:E)</f>
        <v>109</v>
      </c>
      <c r="E33">
        <f>SUMIF('Team Lineups'!C:C,A33,'Team Lineups'!F:F)</f>
        <v>106</v>
      </c>
      <c r="F33">
        <f t="shared" si="5"/>
        <v>3</v>
      </c>
      <c r="G33">
        <f>COUNTIFS('Team Lineups'!C:C,A33,'Team Lineups'!G:G,"Win")</f>
        <v>7</v>
      </c>
      <c r="H33">
        <f>COUNTIFS('Team Lineups'!C:C,A33,'Team Lineups'!G:G,"Draw")</f>
        <v>3</v>
      </c>
      <c r="I33">
        <f>COUNTIFS('Team Lineups'!C:C,A33,'Team Lineups'!G:G,"Loss")</f>
        <v>6</v>
      </c>
      <c r="J33" s="3">
        <f t="shared" si="6"/>
        <v>0.4375</v>
      </c>
      <c r="K33" s="3">
        <f t="shared" si="4"/>
        <v>0.375</v>
      </c>
      <c r="L33">
        <f>SUMIF('Team Lineups'!C:C,A33,'Team Lineups'!H:H)</f>
        <v>46</v>
      </c>
      <c r="M33">
        <f t="shared" si="7"/>
        <v>2.875</v>
      </c>
      <c r="N33">
        <f>SUMIF('Team Lineups'!C:C,A33,'Team Lineups'!I:I)</f>
        <v>15</v>
      </c>
      <c r="O33">
        <f>COUNTIF(Matches!G:G,A33)</f>
        <v>2</v>
      </c>
      <c r="P33">
        <f t="shared" si="8"/>
        <v>0.125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8</v>
      </c>
      <c r="D34">
        <f>SUMIF('Team Lineups'!C:C,A34,'Team Lineups'!E:E)</f>
        <v>51</v>
      </c>
      <c r="E34">
        <f>SUMIF('Team Lineups'!C:C,A34,'Team Lineups'!F:F)</f>
        <v>35</v>
      </c>
      <c r="F34">
        <f t="shared" si="5"/>
        <v>16</v>
      </c>
      <c r="G34">
        <f>COUNTIFS('Team Lineups'!C:C,A34,'Team Lineups'!G:G,"Win")</f>
        <v>5</v>
      </c>
      <c r="H34">
        <f>COUNTIFS('Team Lineups'!C:C,A34,'Team Lineups'!G:G,"Draw")</f>
        <v>1</v>
      </c>
      <c r="I34">
        <f>COUNTIFS('Team Lineups'!C:C,A34,'Team Lineups'!G:G,"Loss")</f>
        <v>2</v>
      </c>
      <c r="J34" s="3">
        <f t="shared" si="6"/>
        <v>0.625</v>
      </c>
      <c r="K34" s="3">
        <f t="shared" si="4"/>
        <v>0.25</v>
      </c>
      <c r="L34">
        <f>SUMIF('Team Lineups'!C:C,A34,'Team Lineups'!H:H)</f>
        <v>11</v>
      </c>
      <c r="M34">
        <f t="shared" si="7"/>
        <v>1.375</v>
      </c>
      <c r="N34">
        <f>SUMIF('Team Lineups'!C:C,A34,'Team Lineups'!I:I)</f>
        <v>7</v>
      </c>
      <c r="O34">
        <f>COUNTIF(Matches!G:G,A34)</f>
        <v>2</v>
      </c>
      <c r="P34">
        <f t="shared" si="8"/>
        <v>0.25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6</v>
      </c>
      <c r="D35">
        <f>SUMIF('Team Lineups'!C:C,A35,'Team Lineups'!E:E)</f>
        <v>30</v>
      </c>
      <c r="E35">
        <f>SUMIF('Team Lineups'!C:C,A35,'Team Lineups'!F:F)</f>
        <v>39</v>
      </c>
      <c r="F35">
        <f t="shared" ref="F35" si="9">D35-E35</f>
        <v>-9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5</v>
      </c>
      <c r="J35" s="3">
        <f t="shared" ref="J35" si="10">G35/C35</f>
        <v>0.16666666666666666</v>
      </c>
      <c r="K35" s="3">
        <f t="shared" si="4"/>
        <v>0.83333333333333337</v>
      </c>
      <c r="L35">
        <f>SUMIF('Team Lineups'!C:C,A35,'Team Lineups'!H:H)</f>
        <v>2</v>
      </c>
      <c r="M35">
        <f t="shared" ref="M35" si="11">L35/C35</f>
        <v>0.33333333333333331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6</v>
      </c>
      <c r="D37">
        <f>SUMIF('Team Lineups'!C:C,A37,'Team Lineups'!E:E)</f>
        <v>32</v>
      </c>
      <c r="E37">
        <f>SUMIF('Team Lineups'!C:C,A37,'Team Lineups'!F:F)</f>
        <v>36</v>
      </c>
      <c r="F37">
        <f t="shared" ref="F37:F42" si="17">D37-E37</f>
        <v>-4</v>
      </c>
      <c r="G37">
        <f>COUNTIFS('Team Lineups'!C:C,A37,'Team Lineups'!G:G,"Win")</f>
        <v>4</v>
      </c>
      <c r="H37">
        <f>COUNTIFS('Team Lineups'!C:C,A37,'Team Lineups'!G:G,"Draw")</f>
        <v>1</v>
      </c>
      <c r="I37">
        <f>COUNTIFS('Team Lineups'!C:C,A37,'Team Lineups'!G:G,"Loss")</f>
        <v>1</v>
      </c>
      <c r="J37" s="3">
        <f t="shared" ref="J37:J42" si="18">G37/C37</f>
        <v>0.66666666666666663</v>
      </c>
      <c r="K37" s="3">
        <f t="shared" ref="K37:K42" si="19">I37/C37</f>
        <v>0.16666666666666666</v>
      </c>
      <c r="L37">
        <f>SUMIF('Team Lineups'!C:C,A37,'Team Lineups'!H:H)</f>
        <v>3</v>
      </c>
      <c r="M37">
        <f t="shared" ref="M37:M42" si="20">L37/C37</f>
        <v>0.5</v>
      </c>
      <c r="N37">
        <f>SUMIF('Team Lineups'!C:C,A37,'Team Lineups'!I:I)</f>
        <v>4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2</v>
      </c>
      <c r="D38">
        <f>SUMIF('Team Lineups'!C:C,A38,'Team Lineups'!E:E)</f>
        <v>10</v>
      </c>
      <c r="E38">
        <f>SUMIF('Team Lineups'!C:C,A38,'Team Lineups'!F:F)</f>
        <v>6</v>
      </c>
      <c r="F38">
        <f t="shared" si="17"/>
        <v>4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0</v>
      </c>
      <c r="J38" s="3">
        <f t="shared" si="18"/>
        <v>1</v>
      </c>
      <c r="K38" s="3">
        <f t="shared" si="19"/>
        <v>0</v>
      </c>
      <c r="L38">
        <f>SUMIF('Team Lineups'!C:C,A38,'Team Lineups'!H:H)</f>
        <v>1</v>
      </c>
      <c r="M38">
        <f t="shared" si="20"/>
        <v>0.5</v>
      </c>
      <c r="N38">
        <f>SUMIF('Team Lineups'!C:C,A38,'Team Lineups'!I:I)</f>
        <v>0</v>
      </c>
      <c r="O38">
        <f>COUNTIF(Matches!G:G,A38)</f>
        <v>2</v>
      </c>
      <c r="P38">
        <f t="shared" si="21"/>
        <v>1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6</v>
      </c>
      <c r="D41">
        <f>SUMIF('Team Lineups'!C:C,A41,'Team Lineups'!E:E)</f>
        <v>29</v>
      </c>
      <c r="E41">
        <f>SUMIF('Team Lineups'!C:C,A41,'Team Lineups'!F:F)</f>
        <v>36</v>
      </c>
      <c r="F41">
        <f t="shared" si="17"/>
        <v>-7</v>
      </c>
      <c r="G41">
        <f>COUNTIFS('Team Lineups'!C:C,A41,'Team Lineups'!G:G,"Win")</f>
        <v>1</v>
      </c>
      <c r="H41">
        <f>COUNTIFS('Team Lineups'!C:C,A41,'Team Lineups'!G:G,"Draw")</f>
        <v>1</v>
      </c>
      <c r="I41">
        <f>COUNTIFS('Team Lineups'!C:C,A41,'Team Lineups'!G:G,"Loss")</f>
        <v>4</v>
      </c>
      <c r="J41" s="3">
        <f t="shared" si="18"/>
        <v>0.16666666666666666</v>
      </c>
      <c r="K41" s="3">
        <f t="shared" si="19"/>
        <v>0.66666666666666663</v>
      </c>
      <c r="L41">
        <f>SUMIF('Team Lineups'!C:C,A41,'Team Lineups'!H:H)</f>
        <v>8</v>
      </c>
      <c r="M41">
        <f t="shared" si="20"/>
        <v>1.3333333333333333</v>
      </c>
      <c r="N41">
        <f>SUMIF('Team Lineups'!C:C,A41,'Team Lineups'!I:I)</f>
        <v>2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8</v>
      </c>
      <c r="D42">
        <f>SUMIF('Team Lineups'!C:C,A42,'Team Lineups'!E:E)</f>
        <v>54</v>
      </c>
      <c r="E42">
        <f>SUMIF('Team Lineups'!C:C,A42,'Team Lineups'!F:F)</f>
        <v>44</v>
      </c>
      <c r="F42">
        <f t="shared" si="17"/>
        <v>10</v>
      </c>
      <c r="G42">
        <f>COUNTIFS('Team Lineups'!C:C,A42,'Team Lineups'!G:G,"Win")</f>
        <v>5</v>
      </c>
      <c r="H42">
        <f>COUNTIFS('Team Lineups'!C:C,A42,'Team Lineups'!G:G,"Draw")</f>
        <v>1</v>
      </c>
      <c r="I42">
        <f>COUNTIFS('Team Lineups'!C:C,A42,'Team Lineups'!G:G,"Loss")</f>
        <v>2</v>
      </c>
      <c r="J42" s="3">
        <f t="shared" si="18"/>
        <v>0.625</v>
      </c>
      <c r="K42" s="3">
        <f t="shared" si="19"/>
        <v>0.25</v>
      </c>
      <c r="L42">
        <f>SUMIF('Team Lineups'!C:C,A42,'Team Lineups'!H:H)</f>
        <v>9</v>
      </c>
      <c r="M42">
        <f t="shared" si="20"/>
        <v>1.125</v>
      </c>
      <c r="N42">
        <f>SUMIF('Team Lineups'!C:C,A42,'Team Lineups'!I:I)</f>
        <v>6</v>
      </c>
      <c r="O42">
        <f>COUNTIF(Matches!G:G,A42)</f>
        <v>1</v>
      </c>
      <c r="P42">
        <f t="shared" si="21"/>
        <v>0.125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1</v>
      </c>
      <c r="D44">
        <f>SUMIF('Team Lineups'!C:C,A44,'Team Lineups'!E:E)</f>
        <v>14</v>
      </c>
      <c r="E44">
        <f>SUMIF('Team Lineups'!C:C,A44,'Team Lineups'!F:F)</f>
        <v>10</v>
      </c>
      <c r="F44">
        <f t="shared" ref="F44" si="27">D44-E44</f>
        <v>4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ref="J44" si="28">G44/C44</f>
        <v>1</v>
      </c>
      <c r="K44" s="3">
        <f t="shared" ref="K44" si="29">I44/C44</f>
        <v>0</v>
      </c>
      <c r="L44">
        <f>SUMIF('Team Lineups'!C:C,A44,'Team Lineups'!H:H)</f>
        <v>1</v>
      </c>
      <c r="M44">
        <f t="shared" ref="M44" si="30">L44/C44</f>
        <v>1</v>
      </c>
      <c r="N44">
        <f>SUMIF('Team Lineups'!C:C,A44,'Team Lineups'!I:I)</f>
        <v>1</v>
      </c>
      <c r="O44">
        <f>COUNTIF(Matches!G:G,A44)</f>
        <v>0</v>
      </c>
      <c r="P44">
        <f t="shared" ref="P44" si="31">O44/C44</f>
        <v>0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4</v>
      </c>
      <c r="D45">
        <f>SUMIF('Team Lineups'!C:C,A45,'Team Lineups'!E:E)</f>
        <v>17</v>
      </c>
      <c r="E45">
        <f>SUMIF('Team Lineups'!C:C,A45,'Team Lineups'!F:F)</f>
        <v>27</v>
      </c>
      <c r="F45">
        <f t="shared" ref="F45" si="32">D45-E45</f>
        <v>-10</v>
      </c>
      <c r="G45">
        <f>COUNTIFS('Team Lineups'!C:C,A45,'Team Lineups'!G:G,"Win")</f>
        <v>2</v>
      </c>
      <c r="H45">
        <f>COUNTIFS('Team Lineups'!C:C,A45,'Team Lineups'!G:G,"Draw")</f>
        <v>0</v>
      </c>
      <c r="I45">
        <f>COUNTIFS('Team Lineups'!C:C,A45,'Team Lineups'!G:G,"Loss")</f>
        <v>2</v>
      </c>
      <c r="J45" s="3">
        <f t="shared" ref="J45" si="33">G45/C45</f>
        <v>0.5</v>
      </c>
      <c r="K45" s="3">
        <f t="shared" ref="K45" si="34">I45/C45</f>
        <v>0.5</v>
      </c>
      <c r="L45">
        <f>SUMIF('Team Lineups'!C:C,A45,'Team Lineups'!H:H)</f>
        <v>1</v>
      </c>
      <c r="M45">
        <f t="shared" ref="M45" si="35">L45/C45</f>
        <v>0.25</v>
      </c>
      <c r="N45">
        <f>SUMIF('Team Lineups'!C:C,A45,'Team Lineups'!I:I)</f>
        <v>0</v>
      </c>
      <c r="O45">
        <f>COUNTIF(Matches!G:G,A45)</f>
        <v>2</v>
      </c>
      <c r="P45">
        <f t="shared" ref="P45" si="36">O45/C45</f>
        <v>0.5</v>
      </c>
      <c r="Q45">
        <f>SUMIF('Team Lineups'!C:C,A45,'Team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3"/>
  <sheetViews>
    <sheetView topLeftCell="A8" workbookViewId="0">
      <selection activeCell="AQ42" sqref="AQ42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3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17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5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6</v>
      </c>
      <c r="H2" cm="1">
        <f t="array" ref="H2">SUMPRODUCT(('Team Lineups'!$K$2:$K$2000&lt;&gt;"")*('Team Lineups'!$C$2:$C$2000=$A2)*COUNTIFS('Team Lineups'!$K$2:$K$2000,'Team Lineups'!$K$2:$K$2000,'Team Lineups'!$C$2:$C$2000,H$1))</f>
        <v>4</v>
      </c>
      <c r="I2" cm="1">
        <f t="array" ref="I2">SUMPRODUCT(('Team Lineups'!$K$2:$K$2000&lt;&gt;"")*('Team Lineups'!$C$2:$C$2000=$A2)*COUNTIFS('Team Lineups'!$K$2:$K$2000,'Team Lineups'!$K$2:$K$2000,'Team Lineups'!$C$2:$C$2000,I$1))</f>
        <v>8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3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1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4</v>
      </c>
      <c r="AB2" cm="1">
        <f t="array" ref="AB2">SUMPRODUCT(('Team Lineups'!$K$2:$K$2000&lt;&gt;"")*('Team Lineups'!$C$2:$C$2000=$A2)*COUNTIFS('Team Lineups'!$K$2:$K$2000,'Team Lineups'!$K$2:$K$2000,'Team Lineups'!$C$2:$C$2000,AB$1))</f>
        <v>1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3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5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18</v>
      </c>
      <c r="E4" cm="1">
        <f t="array" ref="E4">SUMPRODUCT(('Team Lineups'!$K$2:$K$2000&lt;&gt;"")*('Team Lineups'!$C$2:$C$2000=$A4)*COUNTIFS('Team Lineups'!$K$2:$K$2000,'Team Lineups'!$K$2:$K$2000,'Team Lineups'!$C$2:$C$2000,E$1))</f>
        <v>5</v>
      </c>
      <c r="F4" cm="1">
        <f t="array" ref="F4">SUMPRODUCT(('Team Lineups'!$K$2:$K$2000&lt;&gt;"")*('Team Lineups'!$C$2:$C$2000=$A4)*COUNTIFS('Team Lineups'!$K$2:$K$2000,'Team Lineups'!$K$2:$K$2000,'Team Lineups'!$C$2:$C$2000,F$1))</f>
        <v>8</v>
      </c>
      <c r="G4" cm="1">
        <f t="array" ref="G4">SUMPRODUCT(('Team Lineups'!$K$2:$K$2000&lt;&gt;"")*('Team Lineups'!$C$2:$C$2000=$A4)*COUNTIFS('Team Lineups'!$K$2:$K$2000,'Team Lineups'!$K$2:$K$2000,'Team Lineups'!$C$2:$C$2000,G$1))</f>
        <v>2</v>
      </c>
      <c r="H4" cm="1">
        <f t="array" ref="H4">SUMPRODUCT(('Team Lineups'!$K$2:$K$2000&lt;&gt;"")*('Team Lineups'!$C$2:$C$2000=$A4)*COUNTIFS('Team Lineups'!$K$2:$K$2000,'Team Lineups'!$K$2:$K$2000,'Team Lineups'!$C$2:$C$2000,H$1))</f>
        <v>5</v>
      </c>
      <c r="I4" cm="1">
        <f t="array" ref="I4">SUMPRODUCT(('Team Lineups'!$K$2:$K$2000&lt;&gt;"")*('Team Lineups'!$C$2:$C$2000=$A4)*COUNTIFS('Team Lineups'!$K$2:$K$2000,'Team Lineups'!$K$2:$K$2000,'Team Lineups'!$C$2:$C$2000,I$1))</f>
        <v>6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3</v>
      </c>
      <c r="N4" cm="1">
        <f t="array" ref="N4">SUMPRODUCT(('Team Lineups'!$K$2:$K$2000&lt;&gt;"")*('Team Lineups'!$C$2:$C$2000=$A4)*COUNTIFS('Team Lineups'!$K$2:$K$2000,'Team Lineups'!$K$2:$K$2000,'Team Lineups'!$C$2:$C$2000,N$1))</f>
        <v>7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4</v>
      </c>
      <c r="R4" cm="1">
        <f t="array" ref="R4">SUMPRODUCT(('Team Lineups'!$K$2:$K$2000&lt;&gt;"")*('Team Lineups'!$C$2:$C$2000=$A4)*COUNTIFS('Team Lineups'!$K$2:$K$2000,'Team Lineups'!$K$2:$K$2000,'Team Lineups'!$C$2:$C$2000,R$1))</f>
        <v>4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2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1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1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1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5</v>
      </c>
      <c r="E5" cm="1">
        <f t="array" ref="E5">SUMPRODUCT(('Team Lineups'!$K$2:$K$2000&lt;&gt;"")*('Team Lineups'!$C$2:$C$2000=$A5)*COUNTIFS('Team Lineups'!$K$2:$K$2000,'Team Lineups'!$K$2:$K$2000,'Team Lineups'!$C$2:$C$2000,E$1))</f>
        <v>19</v>
      </c>
      <c r="F5" cm="1">
        <f t="array" ref="F5">SUMPRODUCT(('Team Lineups'!$K$2:$K$2000&lt;&gt;"")*('Team Lineups'!$C$2:$C$2000=$A5)*COUNTIFS('Team Lineups'!$K$2:$K$2000,'Team Lineups'!$K$2:$K$2000,'Team Lineups'!$C$2:$C$2000,F$1))</f>
        <v>6</v>
      </c>
      <c r="G5" cm="1">
        <f t="array" ref="G5">SUMPRODUCT(('Team Lineups'!$K$2:$K$2000&lt;&gt;"")*('Team Lineups'!$C$2:$C$2000=$A5)*COUNTIFS('Team Lineups'!$K$2:$K$2000,'Team Lineups'!$K$2:$K$2000,'Team Lineups'!$C$2:$C$2000,G$1))</f>
        <v>8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3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4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5</v>
      </c>
      <c r="R5" cm="1">
        <f t="array" ref="R5">SUMPRODUCT(('Team Lineups'!$K$2:$K$2000&lt;&gt;"")*('Team Lineups'!$C$2:$C$2000=$A5)*COUNTIFS('Team Lineups'!$K$2:$K$2000,'Team Lineups'!$K$2:$K$2000,'Team Lineups'!$C$2:$C$2000,R$1))</f>
        <v>3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2</v>
      </c>
      <c r="AA5" cm="1">
        <f t="array" ref="AA5">SUMPRODUCT(('Team Lineups'!$K$2:$K$2000&lt;&gt;"")*('Team Lineups'!$C$2:$C$2000=$A5)*COUNTIFS('Team Lineups'!$K$2:$K$2000,'Team Lineups'!$K$2:$K$2000,'Team Lineups'!$C$2:$C$2000,AA$1))</f>
        <v>7</v>
      </c>
      <c r="AB5" cm="1">
        <f t="array" ref="AB5">SUMPRODUCT(('Team Lineups'!$K$2:$K$2000&lt;&gt;"")*('Team Lineups'!$C$2:$C$2000=$A5)*COUNTIFS('Team Lineups'!$K$2:$K$2000,'Team Lineups'!$K$2:$K$2000,'Team Lineups'!$C$2:$C$2000,AB$1))</f>
        <v>3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2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0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5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1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2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8</v>
      </c>
      <c r="E6" cm="1">
        <f t="array" ref="E6">SUMPRODUCT(('Team Lineups'!$K$2:$K$2000&lt;&gt;"")*('Team Lineups'!$C$2:$C$2000=$A6)*COUNTIFS('Team Lineups'!$K$2:$K$2000,'Team Lineups'!$K$2:$K$2000,'Team Lineups'!$C$2:$C$2000,E$1))</f>
        <v>6</v>
      </c>
      <c r="F6" cm="1">
        <f t="array" ref="F6">SUMPRODUCT(('Team Lineups'!$K$2:$K$2000&lt;&gt;"")*('Team Lineups'!$C$2:$C$2000=$A6)*COUNTIFS('Team Lineups'!$K$2:$K$2000,'Team Lineups'!$K$2:$K$2000,'Team Lineups'!$C$2:$C$2000,F$1))</f>
        <v>16</v>
      </c>
      <c r="G6" cm="1">
        <f t="array" ref="G6">SUMPRODUCT(('Team Lineups'!$K$2:$K$2000&lt;&gt;"")*('Team Lineups'!$C$2:$C$2000=$A6)*COUNTIFS('Team Lineups'!$K$2:$K$2000,'Team Lineups'!$K$2:$K$2000,'Team Lineups'!$C$2:$C$2000,G$1))</f>
        <v>1</v>
      </c>
      <c r="H6" cm="1">
        <f t="array" ref="H6">SUMPRODUCT(('Team Lineups'!$K$2:$K$2000&lt;&gt;"")*('Team Lineups'!$C$2:$C$2000=$A6)*COUNTIFS('Team Lineups'!$K$2:$K$2000,'Team Lineups'!$K$2:$K$2000,'Team Lineups'!$C$2:$C$2000,H$1))</f>
        <v>3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7</v>
      </c>
      <c r="M6" cm="1">
        <f t="array" ref="M6">SUMPRODUCT(('Team Lineups'!$K$2:$K$2000&lt;&gt;"")*('Team Lineups'!$C$2:$C$2000=$A6)*COUNTIFS('Team Lineups'!$K$2:$K$2000,'Team Lineups'!$K$2:$K$2000,'Team Lineups'!$C$2:$C$2000,M$1))</f>
        <v>7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4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5</v>
      </c>
      <c r="R6" cm="1">
        <f t="array" ref="R6">SUMPRODUCT(('Team Lineups'!$K$2:$K$2000&lt;&gt;"")*('Team Lineups'!$C$2:$C$2000=$A6)*COUNTIFS('Team Lineups'!$K$2:$K$2000,'Team Lineups'!$K$2:$K$2000,'Team Lineups'!$C$2:$C$2000,R$1))</f>
        <v>5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5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2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0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2</v>
      </c>
      <c r="AO6" cm="1">
        <f t="array" ref="AO6">SUMPRODUCT(('Team Lineups'!$K$2:$K$2000&lt;&gt;"")*('Team Lineups'!$C$2:$C$2000=$A6)*COUNTIFS('Team Lineups'!$K$2:$K$2000,'Team Lineups'!$K$2:$K$2000,'Team Lineups'!$C$2:$C$2000,AO$1))</f>
        <v>0</v>
      </c>
      <c r="AP6" cm="1">
        <f t="array" ref="AP6">SUMPRODUCT(('Team Lineups'!$K$2:$K$2000&lt;&gt;"")*('Team Lineups'!$C$2:$C$2000=$A6)*COUNTIFS('Team Lineups'!$K$2:$K$2000,'Team Lineups'!$K$2:$K$2000,'Team Lineups'!$C$2:$C$2000,AP$1))</f>
        <v>2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6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2</v>
      </c>
      <c r="E7" cm="1">
        <f t="array" ref="E7">SUMPRODUCT(('Team Lineups'!$K$2:$K$2000&lt;&gt;"")*('Team Lineups'!$C$2:$C$2000=$A7)*COUNTIFS('Team Lineups'!$K$2:$K$2000,'Team Lineups'!$K$2:$K$2000,'Team Lineups'!$C$2:$C$2000,E$1))</f>
        <v>8</v>
      </c>
      <c r="F7" cm="1">
        <f t="array" ref="F7">SUMPRODUCT(('Team Lineups'!$K$2:$K$2000&lt;&gt;"")*('Team Lineups'!$C$2:$C$2000=$A7)*COUNTIFS('Team Lineups'!$K$2:$K$2000,'Team Lineups'!$K$2:$K$2000,'Team Lineups'!$C$2:$C$2000,F$1))</f>
        <v>1</v>
      </c>
      <c r="G7" cm="1">
        <f t="array" ref="G7">SUMPRODUCT(('Team Lineups'!$K$2:$K$2000&lt;&gt;"")*('Team Lineups'!$C$2:$C$2000=$A7)*COUNTIFS('Team Lineups'!$K$2:$K$2000,'Team Lineups'!$K$2:$K$2000,'Team Lineups'!$C$2:$C$2000,G$1))</f>
        <v>21</v>
      </c>
      <c r="H7" cm="1">
        <f t="array" ref="H7">SUMPRODUCT(('Team Lineups'!$K$2:$K$2000&lt;&gt;"")*('Team Lineups'!$C$2:$C$2000=$A7)*COUNTIFS('Team Lineups'!$K$2:$K$2000,'Team Lineups'!$K$2:$K$2000,'Team Lineups'!$C$2:$C$2000,H$1))</f>
        <v>5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4</v>
      </c>
      <c r="M7" cm="1">
        <f t="array" ref="M7">SUMPRODUCT(('Team Lineups'!$K$2:$K$2000&lt;&gt;"")*('Team Lineups'!$C$2:$C$2000=$A7)*COUNTIFS('Team Lineups'!$K$2:$K$2000,'Team Lineups'!$K$2:$K$2000,'Team Lineups'!$C$2:$C$2000,M$1))</f>
        <v>10</v>
      </c>
      <c r="N7" cm="1">
        <f t="array" ref="N7">SUMPRODUCT(('Team Lineups'!$K$2:$K$2000&lt;&gt;"")*('Team Lineups'!$C$2:$C$2000=$A7)*COUNTIFS('Team Lineups'!$K$2:$K$2000,'Team Lineups'!$K$2:$K$2000,'Team Lineups'!$C$2:$C$2000,N$1))</f>
        <v>4</v>
      </c>
      <c r="O7" cm="1">
        <f t="array" ref="O7">SUMPRODUCT(('Team Lineups'!$K$2:$K$2000&lt;&gt;"")*('Team Lineups'!$C$2:$C$2000=$A7)*COUNTIFS('Team Lineups'!$K$2:$K$2000,'Team Lineups'!$K$2:$K$2000,'Team Lineups'!$C$2:$C$2000,O$1))</f>
        <v>1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5</v>
      </c>
      <c r="R7" cm="1">
        <f t="array" ref="R7">SUMPRODUCT(('Team Lineups'!$K$2:$K$2000&lt;&gt;"")*('Team Lineups'!$C$2:$C$2000=$A7)*COUNTIFS('Team Lineups'!$K$2:$K$2000,'Team Lineups'!$K$2:$K$2000,'Team Lineups'!$C$2:$C$2000,R$1))</f>
        <v>6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7</v>
      </c>
      <c r="AB7" cm="1">
        <f t="array" ref="AB7">SUMPRODUCT(('Team Lineups'!$K$2:$K$2000&lt;&gt;"")*('Team Lineups'!$C$2:$C$2000=$A7)*COUNTIFS('Team Lineups'!$K$2:$K$2000,'Team Lineups'!$K$2:$K$2000,'Team Lineups'!$C$2:$C$2000,AB$1))</f>
        <v>3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4</v>
      </c>
      <c r="AE7" cm="1">
        <f t="array" ref="AE7">SUMPRODUCT(('Team Lineups'!$K$2:$K$2000&lt;&gt;"")*('Team Lineups'!$C$2:$C$2000=$A7)*COUNTIFS('Team Lineups'!$K$2:$K$2000,'Team Lineups'!$K$2:$K$2000,'Team Lineups'!$C$2:$C$2000,AE$1))</f>
        <v>1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0</v>
      </c>
      <c r="AH7" cm="1">
        <f t="array" ref="AH7">SUMPRODUCT(('Team Lineups'!$K$2:$K$2000&lt;&gt;"")*('Team Lineups'!$C$2:$C$2000=$A7)*COUNTIFS('Team Lineups'!$K$2:$K$2000,'Team Lineups'!$K$2:$K$2000,'Team Lineups'!$C$2:$C$2000,AH$1))</f>
        <v>0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0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4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1</v>
      </c>
      <c r="AO7" cm="1">
        <f t="array" ref="AO7">SUMPRODUCT(('Team Lineups'!$K$2:$K$2000&lt;&gt;"")*('Team Lineups'!$C$2:$C$2000=$A7)*COUNTIFS('Team Lineups'!$K$2:$K$2000,'Team Lineups'!$K$2:$K$2000,'Team Lineups'!$C$2:$C$2000,AO$1))</f>
        <v>1</v>
      </c>
      <c r="AP7" cm="1">
        <f t="array" ref="AP7">SUMPRODUCT(('Team Lineups'!$K$2:$K$2000&lt;&gt;"")*('Team Lineups'!$C$2:$C$2000=$A7)*COUNTIFS('Team Lineups'!$K$2:$K$2000,'Team Lineups'!$K$2:$K$2000,'Team Lineups'!$C$2:$C$2000,AP$1))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4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5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3</v>
      </c>
      <c r="G8" cm="1">
        <f t="array" ref="G8">SUMPRODUCT(('Team Lineups'!$K$2:$K$2000&lt;&gt;"")*('Team Lineups'!$C$2:$C$2000=$A8)*COUNTIFS('Team Lineups'!$K$2:$K$2000,'Team Lineups'!$K$2:$K$2000,'Team Lineups'!$C$2:$C$2000,G$1))</f>
        <v>5</v>
      </c>
      <c r="H8" cm="1">
        <f t="array" ref="H8">SUMPRODUCT(('Team Lineups'!$K$2:$K$2000&lt;&gt;"")*('Team Lineups'!$C$2:$C$2000=$A8)*COUNTIFS('Team Lineups'!$K$2:$K$2000,'Team Lineups'!$K$2:$K$2000,'Team Lineups'!$C$2:$C$2000,H$1))</f>
        <v>17</v>
      </c>
      <c r="I8" cm="1">
        <f t="array" ref="I8">SUMPRODUCT(('Team Lineups'!$K$2:$K$2000&lt;&gt;"")*('Team Lineups'!$C$2:$C$2000=$A8)*COUNTIFS('Team Lineups'!$K$2:$K$2000,'Team Lineups'!$K$2:$K$2000,'Team Lineups'!$C$2:$C$2000,I$1))</f>
        <v>7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2</v>
      </c>
      <c r="M8" cm="1">
        <f t="array" ref="M8">SUMPRODUCT(('Team Lineups'!$K$2:$K$2000&lt;&gt;"")*('Team Lineups'!$C$2:$C$2000=$A8)*COUNTIFS('Team Lineups'!$K$2:$K$2000,'Team Lineups'!$K$2:$K$2000,'Team Lineups'!$C$2:$C$2000,M$1))</f>
        <v>6</v>
      </c>
      <c r="N8" cm="1">
        <f t="array" ref="N8">SUMPRODUCT(('Team Lineups'!$K$2:$K$2000&lt;&gt;"")*('Team Lineups'!$C$2:$C$2000=$A8)*COUNTIFS('Team Lineups'!$K$2:$K$2000,'Team Lineups'!$K$2:$K$2000,'Team Lineups'!$C$2:$C$2000,N$1))</f>
        <v>4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10</v>
      </c>
      <c r="R8" cm="1">
        <f t="array" ref="R8">SUMPRODUCT(('Team Lineups'!$K$2:$K$2000&lt;&gt;"")*('Team Lineups'!$C$2:$C$2000=$A8)*COUNTIFS('Team Lineups'!$K$2:$K$2000,'Team Lineups'!$K$2:$K$2000,'Team Lineups'!$C$2:$C$2000,R$1))</f>
        <v>4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2</v>
      </c>
      <c r="AA8" cm="1">
        <f t="array" ref="AA8">SUMPRODUCT(('Team Lineups'!$K$2:$K$2000&lt;&gt;"")*('Team Lineups'!$C$2:$C$2000=$A8)*COUNTIFS('Team Lineups'!$K$2:$K$2000,'Team Lineups'!$K$2:$K$2000,'Team Lineups'!$C$2:$C$2000,AA$1))</f>
        <v>2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3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1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2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0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  <c r="AP8" cm="1">
        <f t="array" ref="AP8">SUMPRODUCT(('Team Lineups'!$K$2:$K$2000&lt;&gt;"")*('Team Lineups'!$C$2:$C$2000=$A8)*COUNTIFS('Team Lineups'!$K$2:$K$2000,'Team Lineups'!$K$2:$K$2000,'Team Lineups'!$C$2:$C$2000,AP$1))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8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6</v>
      </c>
      <c r="E9" cm="1">
        <f t="array" ref="E9">SUMPRODUCT(('Team Lineups'!$K$2:$K$2000&lt;&gt;"")*('Team Lineups'!$C$2:$C$2000=$A9)*COUNTIFS('Team Lineups'!$K$2:$K$2000,'Team Lineups'!$K$2:$K$2000,'Team Lineups'!$C$2:$C$2000,E$1))</f>
        <v>3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7</v>
      </c>
      <c r="I9" cm="1">
        <f t="array" ref="I9">SUMPRODUCT(('Team Lineups'!$K$2:$K$2000&lt;&gt;"")*('Team Lineups'!$C$2:$C$2000=$A9)*COUNTIFS('Team Lineups'!$K$2:$K$2000,'Team Lineups'!$K$2:$K$2000,'Team Lineups'!$C$2:$C$2000,I$1))</f>
        <v>21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5</v>
      </c>
      <c r="M9" cm="1">
        <f t="array" ref="M9">SUMPRODUCT(('Team Lineups'!$K$2:$K$2000&lt;&gt;"")*('Team Lineups'!$C$2:$C$2000=$A9)*COUNTIFS('Team Lineups'!$K$2:$K$2000,'Team Lineups'!$K$2:$K$2000,'Team Lineups'!$C$2:$C$2000,M$1))</f>
        <v>7</v>
      </c>
      <c r="N9" cm="1">
        <f t="array" ref="N9">SUMPRODUCT(('Team Lineups'!$K$2:$K$2000&lt;&gt;"")*('Team Lineups'!$C$2:$C$2000=$A9)*COUNTIFS('Team Lineups'!$K$2:$K$2000,'Team Lineups'!$K$2:$K$2000,'Team Lineups'!$C$2:$C$2000,N$1))</f>
        <v>5</v>
      </c>
      <c r="O9" cm="1">
        <f t="array" ref="O9">SUMPRODUCT(('Team Lineups'!$K$2:$K$2000&lt;&gt;"")*('Team Lineups'!$C$2:$C$2000=$A9)*COUNTIFS('Team Lineups'!$K$2:$K$2000,'Team Lineups'!$K$2:$K$2000,'Team Lineups'!$C$2:$C$2000,O$1))</f>
        <v>3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5</v>
      </c>
      <c r="R9" cm="1">
        <f t="array" ref="R9">SUMPRODUCT(('Team Lineups'!$K$2:$K$2000&lt;&gt;"")*('Team Lineups'!$C$2:$C$2000=$A9)*COUNTIFS('Team Lineups'!$K$2:$K$2000,'Team Lineups'!$K$2:$K$2000,'Team Lineups'!$C$2:$C$2000,R$1))</f>
        <v>4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3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6</v>
      </c>
      <c r="AB9" cm="1">
        <f t="array" ref="AB9">SUMPRODUCT(('Team Lineups'!$K$2:$K$2000&lt;&gt;"")*('Team Lineups'!$C$2:$C$2000=$A9)*COUNTIFS('Team Lineups'!$K$2:$K$2000,'Team Lineups'!$K$2:$K$2000,'Team Lineups'!$C$2:$C$2000,AB$1))</f>
        <v>2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4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3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1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2</v>
      </c>
      <c r="AO9" cm="1">
        <f t="array" ref="AO9">SUMPRODUCT(('Team Lineups'!$K$2:$K$2000&lt;&gt;"")*('Team Lineups'!$C$2:$C$2000=$A9)*COUNTIFS('Team Lineups'!$K$2:$K$2000,'Team Lineups'!$K$2:$K$2000,'Team Lineups'!$C$2:$C$2000,AO$1))</f>
        <v>0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3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7</v>
      </c>
      <c r="G12" cm="1">
        <f t="array" ref="G12">SUMPRODUCT(('Team Lineups'!$K$2:$K$2000&lt;&gt;"")*('Team Lineups'!$C$2:$C$2000=$A12)*COUNTIFS('Team Lineups'!$K$2:$K$2000,'Team Lineups'!$K$2:$K$2000,'Team Lineups'!$C$2:$C$2000,G$1))</f>
        <v>4</v>
      </c>
      <c r="H12" cm="1">
        <f t="array" ref="H12">SUMPRODUCT(('Team Lineups'!$K$2:$K$2000&lt;&gt;"")*('Team Lineups'!$C$2:$C$2000=$A12)*COUNTIFS('Team Lineups'!$K$2:$K$2000,'Team Lineups'!$K$2:$K$2000,'Team Lineups'!$C$2:$C$2000,H$1))</f>
        <v>2</v>
      </c>
      <c r="I12" cm="1">
        <f t="array" ref="I12">SUMPRODUCT(('Team Lineups'!$K$2:$K$2000&lt;&gt;"")*('Team Lineups'!$C$2:$C$2000=$A12)*COUNTIFS('Team Lineups'!$K$2:$K$2000,'Team Lineups'!$K$2:$K$2000,'Team Lineups'!$C$2:$C$2000,I$1))</f>
        <v>5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20</v>
      </c>
      <c r="M12" cm="1">
        <f t="array" ref="M12">SUMPRODUCT(('Team Lineups'!$K$2:$K$2000&lt;&gt;"")*('Team Lineups'!$C$2:$C$2000=$A12)*COUNTIFS('Team Lineups'!$K$2:$K$2000,'Team Lineups'!$K$2:$K$2000,'Team Lineups'!$C$2:$C$2000,M$1))</f>
        <v>7</v>
      </c>
      <c r="N12" cm="1">
        <f t="array" ref="N12">SUMPRODUCT(('Team Lineups'!$K$2:$K$2000&lt;&gt;"")*('Team Lineups'!$C$2:$C$2000=$A12)*COUNTIFS('Team Lineups'!$K$2:$K$2000,'Team Lineups'!$K$2:$K$2000,'Team Lineups'!$C$2:$C$2000,N$1))</f>
        <v>5</v>
      </c>
      <c r="O12" cm="1">
        <f t="array" ref="O12">SUMPRODUCT(('Team Lineups'!$K$2:$K$2000&lt;&gt;"")*('Team Lineups'!$C$2:$C$2000=$A12)*COUNTIFS('Team Lineups'!$K$2:$K$2000,'Team Lineups'!$K$2:$K$2000,'Team Lineups'!$C$2:$C$2000,O$1))</f>
        <v>4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5</v>
      </c>
      <c r="R12" cm="1">
        <f t="array" ref="R12">SUMPRODUCT(('Team Lineups'!$K$2:$K$2000&lt;&gt;"")*('Team Lineups'!$C$2:$C$2000=$A12)*COUNTIFS('Team Lineups'!$K$2:$K$2000,'Team Lineups'!$K$2:$K$2000,'Team Lineups'!$C$2:$C$2000,R$1))</f>
        <v>3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4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5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3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2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0</v>
      </c>
      <c r="AP12" cm="1">
        <f t="array" ref="AP12">SUMPRODUCT(('Team Lineups'!$K$2:$K$2000&lt;&gt;"")*('Team Lineups'!$C$2:$C$2000=$A12)*COUNTIFS('Team Lineups'!$K$2:$K$2000,'Team Lineups'!$K$2:$K$2000,'Team Lineups'!$C$2:$C$2000,AP$1))</f>
        <v>1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3</v>
      </c>
      <c r="E13" cm="1">
        <f t="array" ref="E13">SUMPRODUCT(('Team Lineups'!$K$2:$K$2000&lt;&gt;"")*('Team Lineups'!$C$2:$C$2000=$A13)*COUNTIFS('Team Lineups'!$K$2:$K$2000,'Team Lineups'!$K$2:$K$2000,'Team Lineups'!$C$2:$C$2000,E$1))</f>
        <v>4</v>
      </c>
      <c r="F13" cm="1">
        <f t="array" ref="F13">SUMPRODUCT(('Team Lineups'!$K$2:$K$2000&lt;&gt;"")*('Team Lineups'!$C$2:$C$2000=$A13)*COUNTIFS('Team Lineups'!$K$2:$K$2000,'Team Lineups'!$K$2:$K$2000,'Team Lineups'!$C$2:$C$2000,F$1))</f>
        <v>7</v>
      </c>
      <c r="G13" cm="1">
        <f t="array" ref="G13">SUMPRODUCT(('Team Lineups'!$K$2:$K$2000&lt;&gt;"")*('Team Lineups'!$C$2:$C$2000=$A13)*COUNTIFS('Team Lineups'!$K$2:$K$2000,'Team Lineups'!$K$2:$K$2000,'Team Lineups'!$C$2:$C$2000,G$1))</f>
        <v>10</v>
      </c>
      <c r="H13" cm="1">
        <f t="array" ref="H13">SUMPRODUCT(('Team Lineups'!$K$2:$K$2000&lt;&gt;"")*('Team Lineups'!$C$2:$C$2000=$A13)*COUNTIFS('Team Lineups'!$K$2:$K$2000,'Team Lineups'!$K$2:$K$2000,'Team Lineups'!$C$2:$C$2000,H$1))</f>
        <v>6</v>
      </c>
      <c r="I13" cm="1">
        <f t="array" ref="I13">SUMPRODUCT(('Team Lineups'!$K$2:$K$2000&lt;&gt;"")*('Team Lineups'!$C$2:$C$2000=$A13)*COUNTIFS('Team Lineups'!$K$2:$K$2000,'Team Lineups'!$K$2:$K$2000,'Team Lineups'!$C$2:$C$2000,I$1))</f>
        <v>7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7</v>
      </c>
      <c r="M13" cm="1">
        <f t="array" ref="M13">SUMPRODUCT(('Team Lineups'!$K$2:$K$2000&lt;&gt;"")*('Team Lineups'!$C$2:$C$2000=$A13)*COUNTIFS('Team Lineups'!$K$2:$K$2000,'Team Lineups'!$K$2:$K$2000,'Team Lineups'!$C$2:$C$2000,M$1))</f>
        <v>22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9</v>
      </c>
      <c r="R13" cm="1">
        <f t="array" ref="R13">SUMPRODUCT(('Team Lineups'!$K$2:$K$2000&lt;&gt;"")*('Team Lineups'!$C$2:$C$2000=$A13)*COUNTIFS('Team Lineups'!$K$2:$K$2000,'Team Lineups'!$K$2:$K$2000,'Team Lineups'!$C$2:$C$2000,R$1))</f>
        <v>4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2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5</v>
      </c>
      <c r="AA13" cm="1">
        <f t="array" ref="AA13">SUMPRODUCT(('Team Lineups'!$K$2:$K$2000&lt;&gt;"")*('Team Lineups'!$C$2:$C$2000=$A13)*COUNTIFS('Team Lineups'!$K$2:$K$2000,'Team Lineups'!$K$2:$K$2000,'Team Lineups'!$C$2:$C$2000,AA$1))</f>
        <v>5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3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2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1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1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7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4</v>
      </c>
      <c r="H14" cm="1">
        <f t="array" ref="H14">SUMPRODUCT(('Team Lineups'!$K$2:$K$2000&lt;&gt;"")*('Team Lineups'!$C$2:$C$2000=$A14)*COUNTIFS('Team Lineups'!$K$2:$K$2000,'Team Lineups'!$K$2:$K$2000,'Team Lineups'!$C$2:$C$2000,H$1))</f>
        <v>4</v>
      </c>
      <c r="I14" cm="1">
        <f t="array" ref="I14">SUMPRODUCT(('Team Lineups'!$K$2:$K$2000&lt;&gt;"")*('Team Lineups'!$C$2:$C$2000=$A14)*COUNTIFS('Team Lineups'!$K$2:$K$2000,'Team Lineups'!$K$2:$K$2000,'Team Lineups'!$C$2:$C$2000,I$1))</f>
        <v>5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5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15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3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2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3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2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1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3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1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0</v>
      </c>
      <c r="AP14" cm="1">
        <f t="array" ref="AP14">SUMPRODUCT(('Team Lineups'!$K$2:$K$2000&lt;&gt;"")*('Team Lineups'!$C$2:$C$2000=$A14)*COUNTIFS('Team Lineups'!$K$2:$K$2000,'Team Lineups'!$K$2:$K$2000,'Team Lineups'!$C$2:$C$2000,AP$1))</f>
        <v>2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4</v>
      </c>
      <c r="G15" cm="1">
        <f t="array" ref="G15">SUMPRODUCT(('Team Lineups'!$K$2:$K$2000&lt;&gt;"")*('Team Lineups'!$C$2:$C$2000=$A15)*COUNTIFS('Team Lineups'!$K$2:$K$2000,'Team Lineups'!$K$2:$K$2000,'Team Lineups'!$C$2:$C$2000,G$1))</f>
        <v>1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3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4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10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7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3</v>
      </c>
      <c r="AB15" cm="1">
        <f t="array" ref="AB15">SUMPRODUCT(('Team Lineups'!$K$2:$K$2000&lt;&gt;"")*('Team Lineups'!$C$2:$C$2000=$A15)*COUNTIFS('Team Lineups'!$K$2:$K$2000,'Team Lineups'!$K$2:$K$2000,'Team Lineups'!$C$2:$C$2000,AB$1))</f>
        <v>3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1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0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</row>
    <row r="17" spans="1:42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4</v>
      </c>
      <c r="E17" cm="1">
        <f t="array" ref="E17">SUMPRODUCT(('Team Lineups'!$K$2:$K$2000&lt;&gt;"")*('Team Lineups'!$C$2:$C$2000=$A17)*COUNTIFS('Team Lineups'!$K$2:$K$2000,'Team Lineups'!$K$2:$K$2000,'Team Lineups'!$C$2:$C$2000,E$1))</f>
        <v>5</v>
      </c>
      <c r="F17" cm="1">
        <f t="array" ref="F17">SUMPRODUCT(('Team Lineups'!$K$2:$K$2000&lt;&gt;"")*('Team Lineups'!$C$2:$C$2000=$A17)*COUNTIFS('Team Lineups'!$K$2:$K$2000,'Team Lineups'!$K$2:$K$2000,'Team Lineups'!$C$2:$C$2000,F$1))</f>
        <v>5</v>
      </c>
      <c r="G17" cm="1">
        <f t="array" ref="G17">SUMPRODUCT(('Team Lineups'!$K$2:$K$2000&lt;&gt;"")*('Team Lineups'!$C$2:$C$2000=$A17)*COUNTIFS('Team Lineups'!$K$2:$K$2000,'Team Lineups'!$K$2:$K$2000,'Team Lineups'!$C$2:$C$2000,G$1))</f>
        <v>5</v>
      </c>
      <c r="H17" cm="1">
        <f t="array" ref="H17">SUMPRODUCT(('Team Lineups'!$K$2:$K$2000&lt;&gt;"")*('Team Lineups'!$C$2:$C$2000=$A17)*COUNTIFS('Team Lineups'!$K$2:$K$2000,'Team Lineups'!$K$2:$K$2000,'Team Lineups'!$C$2:$C$2000,H$1))</f>
        <v>10</v>
      </c>
      <c r="I17" cm="1">
        <f t="array" ref="I17">SUMPRODUCT(('Team Lineups'!$K$2:$K$2000&lt;&gt;"")*('Team Lineups'!$C$2:$C$2000=$A17)*COUNTIFS('Team Lineups'!$K$2:$K$2000,'Team Lineups'!$K$2:$K$2000,'Team Lineups'!$C$2:$C$2000,I$1))</f>
        <v>5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5</v>
      </c>
      <c r="M17" cm="1">
        <f t="array" ref="M17">SUMPRODUCT(('Team Lineups'!$K$2:$K$2000&lt;&gt;"")*('Team Lineups'!$C$2:$C$2000=$A17)*COUNTIFS('Team Lineups'!$K$2:$K$2000,'Team Lineups'!$K$2:$K$2000,'Team Lineups'!$C$2:$C$2000,M$1))</f>
        <v>9</v>
      </c>
      <c r="N17" cm="1">
        <f t="array" ref="N17">SUMPRODUCT(('Team Lineups'!$K$2:$K$2000&lt;&gt;"")*('Team Lineups'!$C$2:$C$2000=$A17)*COUNTIFS('Team Lineups'!$K$2:$K$2000,'Team Lineups'!$K$2:$K$2000,'Team Lineups'!$C$2:$C$2000,N$1))</f>
        <v>3</v>
      </c>
      <c r="O17" cm="1">
        <f t="array" ref="O17">SUMPRODUCT(('Team Lineups'!$K$2:$K$2000&lt;&gt;"")*('Team Lineups'!$C$2:$C$2000=$A17)*COUNTIFS('Team Lineups'!$K$2:$K$2000,'Team Lineups'!$K$2:$K$2000,'Team Lineups'!$C$2:$C$2000,O$1))</f>
        <v>7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21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2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2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4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1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2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2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1</v>
      </c>
      <c r="AO17" cm="1">
        <f t="array" ref="AO17">SUMPRODUCT(('Team Lineups'!$K$2:$K$2000&lt;&gt;"")*('Team Lineups'!$C$2:$C$2000=$A17)*COUNTIFS('Team Lineups'!$K$2:$K$2000,'Team Lineups'!$K$2:$K$2000,'Team Lineups'!$C$2:$C$2000,AO$1))</f>
        <v>1</v>
      </c>
      <c r="AP17" cm="1">
        <f t="array" ref="AP17">SUMPRODUCT(('Team Lineups'!$K$2:$K$2000&lt;&gt;"")*('Team Lineups'!$C$2:$C$2000=$A17)*COUNTIFS('Team Lineups'!$K$2:$K$2000,'Team Lineups'!$K$2:$K$2000,'Team Lineups'!$C$2:$C$2000,AP$1))</f>
        <v>0</v>
      </c>
    </row>
    <row r="18" spans="1:42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1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4</v>
      </c>
      <c r="E18" cm="1">
        <f t="array" ref="E18">SUMPRODUCT(('Team Lineups'!$K$2:$K$2000&lt;&gt;"")*('Team Lineups'!$C$2:$C$2000=$A18)*COUNTIFS('Team Lineups'!$K$2:$K$2000,'Team Lineups'!$K$2:$K$2000,'Team Lineups'!$C$2:$C$2000,E$1))</f>
        <v>3</v>
      </c>
      <c r="F18" cm="1">
        <f t="array" ref="F18">SUMPRODUCT(('Team Lineups'!$K$2:$K$2000&lt;&gt;"")*('Team Lineups'!$C$2:$C$2000=$A18)*COUNTIFS('Team Lineups'!$K$2:$K$2000,'Team Lineups'!$K$2:$K$2000,'Team Lineups'!$C$2:$C$2000,F$1))</f>
        <v>5</v>
      </c>
      <c r="G18" cm="1">
        <f t="array" ref="G18">SUMPRODUCT(('Team Lineups'!$K$2:$K$2000&lt;&gt;"")*('Team Lineups'!$C$2:$C$2000=$A18)*COUNTIFS('Team Lineups'!$K$2:$K$2000,'Team Lineups'!$K$2:$K$2000,'Team Lineups'!$C$2:$C$2000,G$1))</f>
        <v>6</v>
      </c>
      <c r="H18" cm="1">
        <f t="array" ref="H18">SUMPRODUCT(('Team Lineups'!$K$2:$K$2000&lt;&gt;"")*('Team Lineups'!$C$2:$C$2000=$A18)*COUNTIFS('Team Lineups'!$K$2:$K$2000,'Team Lineups'!$K$2:$K$2000,'Team Lineups'!$C$2:$C$2000,H$1))</f>
        <v>4</v>
      </c>
      <c r="I18" cm="1">
        <f t="array" ref="I18">SUMPRODUCT(('Team Lineups'!$K$2:$K$2000&lt;&gt;"")*('Team Lineups'!$C$2:$C$2000=$A18)*COUNTIFS('Team Lineups'!$K$2:$K$2000,'Team Lineups'!$K$2:$K$2000,'Team Lineups'!$C$2:$C$2000,I$1))</f>
        <v>4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3</v>
      </c>
      <c r="M18" cm="1">
        <f t="array" ref="M18">SUMPRODUCT(('Team Lineups'!$K$2:$K$2000&lt;&gt;"")*('Team Lineups'!$C$2:$C$2000=$A18)*COUNTIFS('Team Lineups'!$K$2:$K$2000,'Team Lineups'!$K$2:$K$2000,'Team Lineups'!$C$2:$C$2000,M$1))</f>
        <v>4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cm="1">
        <f t="array" ref="R18">SUMPRODUCT(('Team Lineups'!$K$2:$K$2000&lt;&gt;"")*('Team Lineups'!$C$2:$C$2000=$A18)*COUNTIFS('Team Lineups'!$K$2:$K$2000,'Team Lineups'!$K$2:$K$2000,'Team Lineups'!$C$2:$C$2000,R$1))</f>
        <v>12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3</v>
      </c>
      <c r="AA18" cm="1">
        <f t="array" ref="AA18">SUMPRODUCT(('Team Lineups'!$K$2:$K$2000&lt;&gt;"")*('Team Lineups'!$C$2:$C$2000=$A18)*COUNTIFS('Team Lineups'!$K$2:$K$2000,'Team Lineups'!$K$2:$K$2000,'Team Lineups'!$C$2:$C$2000,AA$1))</f>
        <v>4</v>
      </c>
      <c r="AB18" cm="1">
        <f t="array" ref="AB18">SUMPRODUCT(('Team Lineups'!$K$2:$K$2000&lt;&gt;"")*('Team Lineups'!$C$2:$C$2000=$A18)*COUNTIFS('Team Lineups'!$K$2:$K$2000,'Team Lineups'!$K$2:$K$2000,'Team Lineups'!$C$2:$C$2000,AB$1))</f>
        <v>3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4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0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0</v>
      </c>
    </row>
    <row r="19" spans="1:42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</row>
    <row r="20" spans="1:42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3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4</v>
      </c>
      <c r="M20" cm="1">
        <f t="array" ref="M20">SUMPRODUCT(('Team Lineups'!$K$2:$K$2000&lt;&gt;"")*('Team Lineups'!$C$2:$C$2000=$A20)*COUNTIFS('Team Lineups'!$K$2:$K$2000,'Team Lineups'!$K$2:$K$2000,'Team Lineups'!$C$2:$C$2000,M$1))</f>
        <v>2</v>
      </c>
      <c r="N20" cm="1">
        <f t="array" ref="N20">SUMPRODUCT(('Team Lineups'!$K$2:$K$2000&lt;&gt;"")*('Team Lineups'!$C$2:$C$2000=$A20)*COUNTIFS('Team Lineups'!$K$2:$K$2000,'Team Lineups'!$K$2:$K$2000,'Team Lineups'!$C$2:$C$2000,N$1))</f>
        <v>2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2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7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2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3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1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0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0</v>
      </c>
      <c r="AP20" cm="1">
        <f t="array" ref="AP20">SUMPRODUCT(('Team Lineups'!$K$2:$K$2000&lt;&gt;"")*('Team Lineups'!$C$2:$C$2000=$A20)*COUNTIFS('Team Lineups'!$K$2:$K$2000,'Team Lineups'!$K$2:$K$2000,'Team Lineups'!$C$2:$C$2000,AP$1))</f>
        <v>0</v>
      </c>
    </row>
    <row r="21" spans="1:42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</row>
    <row r="22" spans="1:42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</row>
    <row r="23" spans="1:42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1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0</v>
      </c>
      <c r="AP23" cm="1">
        <f t="array" ref="AP23">SUMPRODUCT(('Team Lineups'!$K$2:$K$2000&lt;&gt;"")*('Team Lineups'!$C$2:$C$2000=$A23)*COUNTIFS('Team Lineups'!$K$2:$K$2000,'Team Lineups'!$K$2:$K$2000,'Team Lineups'!$C$2:$C$2000,AP$1))</f>
        <v>0</v>
      </c>
    </row>
    <row r="24" spans="1:42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</row>
    <row r="25" spans="1:42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</row>
    <row r="26" spans="1:42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2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2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5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2</v>
      </c>
      <c r="R26" cm="1">
        <f t="array" ref="R26">SUMPRODUCT(('Team Lineups'!$K$2:$K$2000&lt;&gt;"")*('Team Lineups'!$C$2:$C$2000=$A26)*COUNTIFS('Team Lineups'!$K$2:$K$2000,'Team Lineups'!$K$2:$K$2000,'Team Lineups'!$C$2:$C$2000,R$1))</f>
        <v>3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8</v>
      </c>
      <c r="AA26" cm="1">
        <f t="array" ref="AA26">SUMPRODUCT(('Team Lineups'!$K$2:$K$2000&lt;&gt;"")*('Team Lineups'!$C$2:$C$2000=$A26)*COUNTIFS('Team Lineups'!$K$2:$K$2000,'Team Lineups'!$K$2:$K$2000,'Team Lineups'!$C$2:$C$2000,AA$1))</f>
        <v>0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3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</row>
    <row r="27" spans="1:42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4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7</v>
      </c>
      <c r="F27" cm="1">
        <f t="array" ref="F27">SUMPRODUCT(('Team Lineups'!$K$2:$K$2000&lt;&gt;"")*('Team Lineups'!$C$2:$C$2000=$A27)*COUNTIFS('Team Lineups'!$K$2:$K$2000,'Team Lineups'!$K$2:$K$2000,'Team Lineups'!$C$2:$C$2000,F$1))</f>
        <v>5</v>
      </c>
      <c r="G27" cm="1">
        <f t="array" ref="G27">SUMPRODUCT(('Team Lineups'!$K$2:$K$2000&lt;&gt;"")*('Team Lineups'!$C$2:$C$2000=$A27)*COUNTIFS('Team Lineups'!$K$2:$K$2000,'Team Lineups'!$K$2:$K$2000,'Team Lineups'!$C$2:$C$2000,G$1))</f>
        <v>7</v>
      </c>
      <c r="H27" cm="1">
        <f t="array" ref="H27">SUMPRODUCT(('Team Lineups'!$K$2:$K$2000&lt;&gt;"")*('Team Lineups'!$C$2:$C$2000=$A27)*COUNTIFS('Team Lineups'!$K$2:$K$2000,'Team Lineups'!$K$2:$K$2000,'Team Lineups'!$C$2:$C$2000,H$1))</f>
        <v>2</v>
      </c>
      <c r="I27" cm="1">
        <f t="array" ref="I27">SUMPRODUCT(('Team Lineups'!$K$2:$K$2000&lt;&gt;"")*('Team Lineups'!$C$2:$C$2000=$A27)*COUNTIFS('Team Lineups'!$K$2:$K$2000,'Team Lineups'!$K$2:$K$2000,'Team Lineups'!$C$2:$C$2000,I$1))</f>
        <v>6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5</v>
      </c>
      <c r="M27" cm="1">
        <f t="array" ref="M27">SUMPRODUCT(('Team Lineups'!$K$2:$K$2000&lt;&gt;"")*('Team Lineups'!$C$2:$C$2000=$A27)*COUNTIFS('Team Lineups'!$K$2:$K$2000,'Team Lineups'!$K$2:$K$2000,'Team Lineups'!$C$2:$C$2000,M$1))</f>
        <v>5</v>
      </c>
      <c r="N27" cm="1">
        <f t="array" ref="N27">SUMPRODUCT(('Team Lineups'!$K$2:$K$2000&lt;&gt;"")*('Team Lineups'!$C$2:$C$2000=$A27)*COUNTIFS('Team Lineups'!$K$2:$K$2000,'Team Lineups'!$K$2:$K$2000,'Team Lineups'!$C$2:$C$2000,N$1))</f>
        <v>3</v>
      </c>
      <c r="O27" cm="1">
        <f t="array" ref="O27">SUMPRODUCT(('Team Lineups'!$K$2:$K$2000&lt;&gt;"")*('Team Lineups'!$C$2:$C$2000=$A27)*COUNTIFS('Team Lineups'!$K$2:$K$2000,'Team Lineups'!$K$2:$K$2000,'Team Lineups'!$C$2:$C$2000,O$1))</f>
        <v>3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4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2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0</v>
      </c>
      <c r="AA27" cm="1">
        <f t="array" ref="AA27">SUMPRODUCT(('Team Lineups'!$K$2:$K$2000&lt;&gt;"")*('Team Lineups'!$C$2:$C$2000=$A27)*COUNTIFS('Team Lineups'!$K$2:$K$2000,'Team Lineups'!$K$2:$K$2000,'Team Lineups'!$C$2:$C$2000,AA$1))</f>
        <v>16</v>
      </c>
      <c r="AB27" cm="1">
        <f t="array" ref="AB27">SUMPRODUCT(('Team Lineups'!$K$2:$K$2000&lt;&gt;"")*('Team Lineups'!$C$2:$C$2000=$A27)*COUNTIFS('Team Lineups'!$K$2:$K$2000,'Team Lineups'!$K$2:$K$2000,'Team Lineups'!$C$2:$C$2000,AB$1))</f>
        <v>4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1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1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2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1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1</v>
      </c>
      <c r="AO27" cm="1">
        <f t="array" ref="AO27">SUMPRODUCT(('Team Lineups'!$K$2:$K$2000&lt;&gt;"")*('Team Lineups'!$C$2:$C$2000=$A27)*COUNTIFS('Team Lineups'!$K$2:$K$2000,'Team Lineups'!$K$2:$K$2000,'Team Lineups'!$C$2:$C$2000,AO$1))</f>
        <v>1</v>
      </c>
      <c r="AP27" cm="1">
        <f t="array" ref="AP27">SUMPRODUCT(('Team Lineups'!$K$2:$K$2000&lt;&gt;"")*('Team Lineups'!$C$2:$C$2000=$A27)*COUNTIFS('Team Lineups'!$K$2:$K$2000,'Team Lineups'!$K$2:$K$2000,'Team Lineups'!$C$2:$C$2000,AP$1))</f>
        <v>1</v>
      </c>
    </row>
    <row r="28" spans="1:42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1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2</v>
      </c>
      <c r="E28" cm="1">
        <f t="array" ref="E28">SUMPRODUCT(('Team Lineups'!$K$2:$K$2000&lt;&gt;"")*('Team Lineups'!$C$2:$C$2000=$A28)*COUNTIFS('Team Lineups'!$K$2:$K$2000,'Team Lineups'!$K$2:$K$2000,'Team Lineups'!$C$2:$C$2000,E$1))</f>
        <v>3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3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2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3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3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4</v>
      </c>
      <c r="AB28" cm="1">
        <f t="array" ref="AB28">SUMPRODUCT(('Team Lineups'!$K$2:$K$2000&lt;&gt;"")*('Team Lineups'!$C$2:$C$2000=$A28)*COUNTIFS('Team Lineups'!$K$2:$K$2000,'Team Lineups'!$K$2:$K$2000,'Team Lineups'!$C$2:$C$2000,AB$1))</f>
        <v>13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4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0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3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1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</row>
    <row r="29" spans="1:42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</row>
    <row r="30" spans="1:42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4</v>
      </c>
      <c r="H30" cm="1">
        <f t="array" ref="H30">SUMPRODUCT(('Team Lineups'!$K$2:$K$2000&lt;&gt;"")*('Team Lineups'!$C$2:$C$2000=$A30)*COUNTIFS('Team Lineups'!$K$2:$K$2000,'Team Lineups'!$K$2:$K$2000,'Team Lineups'!$C$2:$C$2000,H$1))</f>
        <v>3</v>
      </c>
      <c r="I30" cm="1">
        <f t="array" ref="I30">SUMPRODUCT(('Team Lineups'!$K$2:$K$2000&lt;&gt;"")*('Team Lineups'!$C$2:$C$2000=$A30)*COUNTIFS('Team Lineups'!$K$2:$K$2000,'Team Lineups'!$K$2:$K$2000,'Team Lineups'!$C$2:$C$2000,I$1))</f>
        <v>4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3</v>
      </c>
      <c r="M30" cm="1">
        <f t="array" ref="M30">SUMPRODUCT(('Team Lineups'!$K$2:$K$2000&lt;&gt;"")*('Team Lineups'!$C$2:$C$2000=$A30)*COUNTIFS('Team Lineups'!$K$2:$K$2000,'Team Lineups'!$K$2:$K$2000,'Team Lineups'!$C$2:$C$2000,M$1))</f>
        <v>3</v>
      </c>
      <c r="N30" cm="1">
        <f t="array" ref="N30">SUMPRODUCT(('Team Lineups'!$K$2:$K$2000&lt;&gt;"")*('Team Lineups'!$C$2:$C$2000=$A30)*COUNTIFS('Team Lineups'!$K$2:$K$2000,'Team Lineups'!$K$2:$K$2000,'Team Lineups'!$C$2:$C$2000,N$1))</f>
        <v>2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3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1</v>
      </c>
      <c r="AB30" cm="1">
        <f t="array" ref="AB30">SUMPRODUCT(('Team Lineups'!$K$2:$K$2000&lt;&gt;"")*('Team Lineups'!$C$2:$C$2000=$A30)*COUNTIFS('Team Lineups'!$K$2:$K$2000,'Team Lineups'!$K$2:$K$2000,'Team Lineups'!$C$2:$C$2000,AB$1))</f>
        <v>4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8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0</v>
      </c>
      <c r="AH30" cm="1">
        <f t="array" ref="AH30">SUMPRODUCT(('Team Lineups'!$K$2:$K$2000&lt;&gt;"")*('Team Lineups'!$C$2:$C$2000=$A30)*COUNTIFS('Team Lineups'!$K$2:$K$2000,'Team Lineups'!$K$2:$K$2000,'Team Lineups'!$C$2:$C$2000,AH$1))</f>
        <v>0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0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1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0</v>
      </c>
      <c r="AO30" cm="1">
        <f t="array" ref="AO30">SUMPRODUCT(('Team Lineups'!$K$2:$K$2000&lt;&gt;"")*('Team Lineups'!$C$2:$C$2000=$A30)*COUNTIFS('Team Lineups'!$K$2:$K$2000,'Team Lineups'!$K$2:$K$2000,'Team Lineups'!$C$2:$C$2000,AO$1))</f>
        <v>0</v>
      </c>
      <c r="AP30" cm="1">
        <f t="array" ref="AP30">SUMPRODUCT(('Team Lineups'!$K$2:$K$2000&lt;&gt;"")*('Team Lineups'!$C$2:$C$2000=$A30)*COUNTIFS('Team Lineups'!$K$2:$K$2000,'Team Lineups'!$K$2:$K$2000,'Team Lineups'!$C$2:$C$2000,AP$1))</f>
        <v>1</v>
      </c>
    </row>
    <row r="31" spans="1:42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1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4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6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0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</row>
    <row r="32" spans="1:42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</row>
    <row r="33" spans="1:42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2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0</v>
      </c>
      <c r="H33" cm="1">
        <f t="array" ref="H33">SUMPRODUCT(('Team Lineups'!$K$2:$K$2000&lt;&gt;"")*('Team Lineups'!$C$2:$C$2000=$A33)*COUNTIFS('Team Lineups'!$K$2:$K$2000,'Team Lineups'!$K$2:$K$2000,'Team Lineups'!$C$2:$C$2000,H$1))</f>
        <v>1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1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1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1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0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6</v>
      </c>
      <c r="AH33" cm="1">
        <f t="array" ref="AH33">SUMPRODUCT(('Team Lineups'!$K$2:$K$2000&lt;&gt;"")*('Team Lineups'!$C$2:$C$2000=$A33)*COUNTIFS('Team Lineups'!$K$2:$K$2000,'Team Lineups'!$K$2:$K$2000,'Team Lineups'!$C$2:$C$2000,AH$1))</f>
        <v>2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0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0</v>
      </c>
      <c r="AP33" cm="1">
        <f t="array" ref="AP33">SUMPRODUCT(('Team Lineups'!$K$2:$K$2000&lt;&gt;"")*('Team Lineups'!$C$2:$C$2000=$A33)*COUNTIFS('Team Lineups'!$K$2:$K$2000,'Team Lineups'!$K$2:$K$2000,'Team Lineups'!$C$2:$C$2000,AP$1))</f>
        <v>2</v>
      </c>
    </row>
    <row r="34" spans="1:42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0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0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2</v>
      </c>
      <c r="AH34" cm="1">
        <f t="array" ref="AH34">SUMPRODUCT(('Team Lineups'!$K$2:$K$2000&lt;&gt;"")*('Team Lineups'!$C$2:$C$2000=$A34)*COUNTIFS('Team Lineups'!$K$2:$K$2000,'Team Lineups'!$K$2:$K$2000,'Team Lineups'!$C$2:$C$2000,AH$1))</f>
        <v>2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</row>
    <row r="35" spans="1:42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</row>
    <row r="36" spans="1:42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3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0</v>
      </c>
      <c r="F36" cm="1">
        <f t="array" ref="F36">SUMPRODUCT(('Team Lineups'!$K$2:$K$2000&lt;&gt;"")*('Team Lineups'!$C$2:$C$2000=$A36)*COUNTIFS('Team Lineups'!$K$2:$K$2000,'Team Lineups'!$K$2:$K$2000,'Team Lineups'!$C$2:$C$2000,F$1))</f>
        <v>2</v>
      </c>
      <c r="G36" cm="1">
        <f t="array" ref="G36">SUMPRODUCT(('Team Lineups'!$K$2:$K$2000&lt;&gt;"")*('Team Lineups'!$C$2:$C$2000=$A36)*COUNTIFS('Team Lineups'!$K$2:$K$2000,'Team Lineups'!$K$2:$K$2000,'Team Lineups'!$C$2:$C$2000,G$1))</f>
        <v>0</v>
      </c>
      <c r="H36" cm="1">
        <f t="array" ref="H36">SUMPRODUCT(('Team Lineups'!$K$2:$K$2000&lt;&gt;"")*('Team Lineups'!$C$2:$C$2000=$A36)*COUNTIFS('Team Lineups'!$K$2:$K$2000,'Team Lineups'!$K$2:$K$2000,'Team Lineups'!$C$2:$C$2000,H$1))</f>
        <v>2</v>
      </c>
      <c r="I36" cm="1">
        <f t="array" ref="I36">SUMPRODUCT(('Team Lineups'!$K$2:$K$2000&lt;&gt;"")*('Team Lineups'!$C$2:$C$2000=$A36)*COUNTIFS('Team Lineups'!$K$2:$K$2000,'Team Lineups'!$K$2:$K$2000,'Team Lineups'!$C$2:$C$2000,I$1))</f>
        <v>3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2</v>
      </c>
      <c r="M36" cm="1">
        <f t="array" ref="M36">SUMPRODUCT(('Team Lineups'!$K$2:$K$2000&lt;&gt;"")*('Team Lineups'!$C$2:$C$2000=$A36)*COUNTIFS('Team Lineups'!$K$2:$K$2000,'Team Lineups'!$K$2:$K$2000,'Team Lineups'!$C$2:$C$2000,M$1))</f>
        <v>2</v>
      </c>
      <c r="N36" cm="1">
        <f t="array" ref="N36">SUMPRODUCT(('Team Lineups'!$K$2:$K$2000&lt;&gt;"")*('Team Lineups'!$C$2:$C$2000=$A36)*COUNTIFS('Team Lineups'!$K$2:$K$2000,'Team Lineups'!$K$2:$K$2000,'Team Lineups'!$C$2:$C$2000,N$1))</f>
        <v>3</v>
      </c>
      <c r="O36" cm="1">
        <f t="array" ref="O36">SUMPRODUCT(('Team Lineups'!$K$2:$K$2000&lt;&gt;"")*('Team Lineups'!$C$2:$C$2000=$A36)*COUNTIFS('Team Lineups'!$K$2:$K$2000,'Team Lineups'!$K$2:$K$2000,'Team Lineups'!$C$2:$C$2000,O$1))</f>
        <v>1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2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1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2</v>
      </c>
      <c r="AB36" cm="1">
        <f t="array" ref="AB36">SUMPRODUCT(('Team Lineups'!$K$2:$K$2000&lt;&gt;"")*('Team Lineups'!$C$2:$C$2000=$A36)*COUNTIFS('Team Lineups'!$K$2:$K$2000,'Team Lineups'!$K$2:$K$2000,'Team Lineups'!$C$2:$C$2000,AB$1))</f>
        <v>0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0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0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6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0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1</v>
      </c>
      <c r="AO36" cm="1">
        <f t="array" ref="AO36">SUMPRODUCT(('Team Lineups'!$K$2:$K$2000&lt;&gt;"")*('Team Lineups'!$C$2:$C$2000=$A36)*COUNTIFS('Team Lineups'!$K$2:$K$2000,'Team Lineups'!$K$2:$K$2000,'Team Lineups'!$C$2:$C$2000,AO$1))</f>
        <v>0</v>
      </c>
      <c r="AP36" cm="1">
        <f t="array" ref="AP36">SUMPRODUCT(('Team Lineups'!$K$2:$K$2000&lt;&gt;"")*('Team Lineups'!$C$2:$C$2000=$A36)*COUNTIFS('Team Lineups'!$K$2:$K$2000,'Team Lineups'!$K$2:$K$2000,'Team Lineups'!$C$2:$C$2000,AP$1))</f>
        <v>1</v>
      </c>
    </row>
    <row r="37" spans="1:42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</row>
    <row r="38" spans="1:42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1</v>
      </c>
      <c r="E38" cm="1">
        <f t="array" ref="E38">SUMPRODUCT(('Team Lineups'!$K$2:$K$2000&lt;&gt;"")*('Team Lineups'!$C$2:$C$2000=$A38)*COUNTIFS('Team Lineups'!$K$2:$K$2000,'Team Lineups'!$K$2:$K$2000,'Team Lineups'!$C$2:$C$2000,E$1))</f>
        <v>5</v>
      </c>
      <c r="F38" cm="1">
        <f t="array" ref="F38">SUMPRODUCT(('Team Lineups'!$K$2:$K$2000&lt;&gt;"")*('Team Lineups'!$C$2:$C$2000=$A38)*COUNTIFS('Team Lineups'!$K$2:$K$2000,'Team Lineups'!$K$2:$K$2000,'Team Lineups'!$C$2:$C$2000,F$1))</f>
        <v>0</v>
      </c>
      <c r="G38" cm="1">
        <f t="array" ref="G38">SUMPRODUCT(('Team Lineups'!$K$2:$K$2000&lt;&gt;"")*('Team Lineups'!$C$2:$C$2000=$A38)*COUNTIFS('Team Lineups'!$K$2:$K$2000,'Team Lineups'!$K$2:$K$2000,'Team Lineups'!$C$2:$C$2000,G$1))</f>
        <v>4</v>
      </c>
      <c r="H38" cm="1">
        <f t="array" ref="H38">SUMPRODUCT(('Team Lineups'!$K$2:$K$2000&lt;&gt;"")*('Team Lineups'!$C$2:$C$2000=$A38)*COUNTIFS('Team Lineups'!$K$2:$K$2000,'Team Lineups'!$K$2:$K$2000,'Team Lineups'!$C$2:$C$2000,H$1))</f>
        <v>0</v>
      </c>
      <c r="I38" cm="1">
        <f t="array" ref="I38">SUMPRODUCT(('Team Lineups'!$K$2:$K$2000&lt;&gt;"")*('Team Lineups'!$C$2:$C$2000=$A38)*COUNTIFS('Team Lineups'!$K$2:$K$2000,'Team Lineups'!$K$2:$K$2000,'Team Lineups'!$C$2:$C$2000,I$1))</f>
        <v>1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1</v>
      </c>
      <c r="N38" cm="1">
        <f t="array" ref="N38">SUMPRODUCT(('Team Lineups'!$K$2:$K$2000&lt;&gt;"")*('Team Lineups'!$C$2:$C$2000=$A38)*COUNTIFS('Team Lineups'!$K$2:$K$2000,'Team Lineups'!$K$2:$K$2000,'Team Lineups'!$C$2:$C$2000,N$1))</f>
        <v>1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2</v>
      </c>
      <c r="R38" cm="1">
        <f t="array" ref="R38">SUMPRODUCT(('Team Lineups'!$K$2:$K$2000&lt;&gt;"")*('Team Lineups'!$C$2:$C$2000=$A38)*COUNTIFS('Team Lineups'!$K$2:$K$2000,'Team Lineups'!$K$2:$K$2000,'Team Lineups'!$C$2:$C$2000,R$1))</f>
        <v>4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0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3</v>
      </c>
      <c r="AA38" cm="1">
        <f t="array" ref="AA38">SUMPRODUCT(('Team Lineups'!$K$2:$K$2000&lt;&gt;"")*('Team Lineups'!$C$2:$C$2000=$A38)*COUNTIFS('Team Lineups'!$K$2:$K$2000,'Team Lineups'!$K$2:$K$2000,'Team Lineups'!$C$2:$C$2000,AA$1))</f>
        <v>1</v>
      </c>
      <c r="AB38" cm="1">
        <f t="array" ref="AB38">SUMPRODUCT(('Team Lineups'!$K$2:$K$2000&lt;&gt;"")*('Team Lineups'!$C$2:$C$2000=$A38)*COUNTIFS('Team Lineups'!$K$2:$K$2000,'Team Lineups'!$K$2:$K$2000,'Team Lineups'!$C$2:$C$2000,AB$1))</f>
        <v>3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1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0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8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2</v>
      </c>
      <c r="AO38" cm="1">
        <f t="array" ref="AO38">SUMPRODUCT(('Team Lineups'!$K$2:$K$2000&lt;&gt;"")*('Team Lineups'!$C$2:$C$2000=$A38)*COUNTIFS('Team Lineups'!$K$2:$K$2000,'Team Lineups'!$K$2:$K$2000,'Team Lineups'!$C$2:$C$2000,AO$1))</f>
        <v>0</v>
      </c>
      <c r="AP38" cm="1">
        <f t="array" ref="AP38">SUMPRODUCT(('Team Lineups'!$K$2:$K$2000&lt;&gt;"")*('Team Lineups'!$C$2:$C$2000=$A38)*COUNTIFS('Team Lineups'!$K$2:$K$2000,'Team Lineups'!$K$2:$K$2000,'Team Lineups'!$C$2:$C$2000,AP$1))</f>
        <v>1</v>
      </c>
    </row>
    <row r="39" spans="1:42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</row>
    <row r="40" spans="1:42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1</v>
      </c>
      <c r="E40" cm="1">
        <f t="array" ref="E40">SUMPRODUCT(('Team Lineups'!$K$2:$K$2000&lt;&gt;"")*('Team Lineups'!$C$2:$C$2000=$A40)*COUNTIFS('Team Lineups'!$K$2:$K$2000,'Team Lineups'!$K$2:$K$2000,'Team Lineups'!$C$2:$C$2000,E$1))</f>
        <v>1</v>
      </c>
      <c r="F40" cm="1">
        <f t="array" ref="F40">SUMPRODUCT(('Team Lineups'!$K$2:$K$2000&lt;&gt;"")*('Team Lineups'!$C$2:$C$2000=$A40)*COUNTIFS('Team Lineups'!$K$2:$K$2000,'Team Lineups'!$K$2:$K$2000,'Team Lineups'!$C$2:$C$2000,F$1))</f>
        <v>2</v>
      </c>
      <c r="G40" cm="1">
        <f t="array" ref="G40">SUMPRODUCT(('Team Lineups'!$K$2:$K$2000&lt;&gt;"")*('Team Lineups'!$C$2:$C$2000=$A40)*COUNTIFS('Team Lineups'!$K$2:$K$2000,'Team Lineups'!$K$2:$K$2000,'Team Lineups'!$C$2:$C$2000,G$1))</f>
        <v>1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2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1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1</v>
      </c>
      <c r="R40" cm="1">
        <f t="array" ref="R40">SUMPRODUCT(('Team Lineups'!$K$2:$K$2000&lt;&gt;"")*('Team Lineups'!$C$2:$C$2000=$A40)*COUNTIFS('Team Lineups'!$K$2:$K$2000,'Team Lineups'!$K$2:$K$2000,'Team Lineups'!$C$2:$C$2000,R$1))</f>
        <v>0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1</v>
      </c>
      <c r="AB40" cm="1">
        <f t="array" ref="AB40">SUMPRODUCT(('Team Lineups'!$K$2:$K$2000&lt;&gt;"")*('Team Lineups'!$C$2:$C$2000=$A40)*COUNTIFS('Team Lineups'!$K$2:$K$2000,'Team Lineups'!$K$2:$K$2000,'Team Lineups'!$C$2:$C$2000,AB$1))</f>
        <v>1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0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1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2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6</v>
      </c>
      <c r="AO40" cm="1">
        <f t="array" ref="AO40">SUMPRODUCT(('Team Lineups'!$K$2:$K$2000&lt;&gt;"")*('Team Lineups'!$C$2:$C$2000=$A40)*COUNTIFS('Team Lineups'!$K$2:$K$2000,'Team Lineups'!$K$2:$K$2000,'Team Lineups'!$C$2:$C$2000,AO$1))</f>
        <v>0</v>
      </c>
      <c r="AP40" cm="1">
        <f t="array" ref="AP40">SUMPRODUCT(('Team Lineups'!$K$2:$K$2000&lt;&gt;"")*('Team Lineups'!$C$2:$C$2000=$A40)*COUNTIFS('Team Lineups'!$K$2:$K$2000,'Team Lineups'!$K$2:$K$2000,'Team Lineups'!$C$2:$C$2000,AP$1))</f>
        <v>2</v>
      </c>
    </row>
    <row r="41" spans="1:42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0</v>
      </c>
      <c r="G41" cm="1">
        <f t="array" ref="G41">SUMPRODUCT(('Team Lineups'!$K$2:$K$2000&lt;&gt;"")*('Team Lineups'!$C$2:$C$2000=$A41)*COUNTIFS('Team Lineups'!$K$2:$K$2000,'Team Lineups'!$K$2:$K$2000,'Team Lineups'!$C$2:$C$2000,G$1))</f>
        <v>1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0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0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0</v>
      </c>
      <c r="O41" cm="1">
        <f t="array" ref="O41">SUMPRODUCT(('Team Lineups'!$K$2:$K$2000&lt;&gt;"")*('Team Lineups'!$C$2:$C$2000=$A41)*COUNTIFS('Team Lineups'!$K$2:$K$2000,'Team Lineups'!$K$2:$K$2000,'Team Lineups'!$C$2:$C$2000,O$1))</f>
        <v>0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1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0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0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1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0</v>
      </c>
      <c r="AE41" cm="1">
        <f t="array" ref="AE41">SUMPRODUCT(('Team Lineups'!$K$2:$K$2000&lt;&gt;"")*('Team Lineups'!$C$2:$C$2000=$A41)*COUNTIFS('Team Lineups'!$K$2:$K$2000,'Team Lineups'!$K$2:$K$2000,'Team Lineups'!$C$2:$C$2000,AE$1))</f>
        <v>0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0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0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0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0</v>
      </c>
      <c r="AO41" cm="1">
        <f t="array" ref="AO41">SUMPRODUCT(('Team Lineups'!$K$2:$K$2000&lt;&gt;"")*('Team Lineups'!$C$2:$C$2000=$A41)*COUNTIFS('Team Lineups'!$K$2:$K$2000,'Team Lineups'!$K$2:$K$2000,'Team Lineups'!$C$2:$C$2000,AO$1))</f>
        <v>1</v>
      </c>
      <c r="AP41" cm="1">
        <f t="array" ref="AP41">SUMPRODUCT(('Team Lineups'!$K$2:$K$2000&lt;&gt;"")*('Team Lineups'!$C$2:$C$2000=$A41)*COUNTIFS('Team Lineups'!$K$2:$K$2000,'Team Lineups'!$K$2:$K$2000,'Team Lineups'!$C$2:$C$2000,AP$1))</f>
        <v>0</v>
      </c>
    </row>
    <row r="42" spans="1:42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1</v>
      </c>
      <c r="E42" cm="1">
        <f t="array" ref="E42">SUMPRODUCT(('Team Lineups'!$K$2:$K$2000&lt;&gt;"")*('Team Lineups'!$C$2:$C$2000=$A42)*COUNTIFS('Team Lineups'!$K$2:$K$2000,'Team Lineups'!$K$2:$K$2000,'Team Lineups'!$C$2:$C$2000,E$1))</f>
        <v>2</v>
      </c>
      <c r="F42" cm="1">
        <f t="array" ref="F42">SUMPRODUCT(('Team Lineups'!$K$2:$K$2000&lt;&gt;"")*('Team Lineups'!$C$2:$C$2000=$A42)*COUNTIFS('Team Lineups'!$K$2:$K$2000,'Team Lineups'!$K$2:$K$2000,'Team Lineups'!$C$2:$C$2000,F$1))</f>
        <v>2</v>
      </c>
      <c r="G42" cm="1">
        <f t="array" ref="G42">SUMPRODUCT(('Team Lineups'!$K$2:$K$2000&lt;&gt;"")*('Team Lineups'!$C$2:$C$2000=$A42)*COUNTIFS('Team Lineups'!$K$2:$K$2000,'Team Lineups'!$K$2:$K$2000,'Team Lineups'!$C$2:$C$2000,G$1))</f>
        <v>1</v>
      </c>
      <c r="H42" cm="1">
        <f t="array" ref="H42">SUMPRODUCT(('Team Lineups'!$K$2:$K$2000&lt;&gt;"")*('Team Lineups'!$C$2:$C$2000=$A42)*COUNTIFS('Team Lineups'!$K$2:$K$2000,'Team Lineups'!$K$2:$K$2000,'Team Lineups'!$C$2:$C$2000,H$1))</f>
        <v>0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1</v>
      </c>
      <c r="M42" cm="1">
        <f t="array" ref="M42">SUMPRODUCT(('Team Lineups'!$K$2:$K$2000&lt;&gt;"")*('Team Lineups'!$C$2:$C$2000=$A42)*COUNTIFS('Team Lineups'!$K$2:$K$2000,'Team Lineups'!$K$2:$K$2000,'Team Lineups'!$C$2:$C$2000,M$1))</f>
        <v>0</v>
      </c>
      <c r="N42" cm="1">
        <f t="array" ref="N42">SUMPRODUCT(('Team Lineups'!$K$2:$K$2000&lt;&gt;"")*('Team Lineups'!$C$2:$C$2000=$A42)*COUNTIFS('Team Lineups'!$K$2:$K$2000,'Team Lineups'!$K$2:$K$2000,'Team Lineups'!$C$2:$C$2000,N$1))</f>
        <v>2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0</v>
      </c>
      <c r="R42" cm="1">
        <f t="array" ref="R42">SUMPRODUCT(('Team Lineups'!$K$2:$K$2000&lt;&gt;"")*('Team Lineups'!$C$2:$C$2000=$A42)*COUNTIFS('Team Lineups'!$K$2:$K$2000,'Team Lineups'!$K$2:$K$2000,'Team Lineups'!$C$2:$C$2000,R$1))</f>
        <v>0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0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0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1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1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2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1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1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2</v>
      </c>
      <c r="AO42" cm="1">
        <f t="array" ref="AO42">SUMPRODUCT(('Team Lineups'!$K$2:$K$2000&lt;&gt;"")*('Team Lineups'!$C$2:$C$2000=$A42)*COUNTIFS('Team Lineups'!$K$2:$K$2000,'Team Lineups'!$K$2:$K$2000,'Team Lineups'!$C$2:$C$2000,AO$1))</f>
        <v>0</v>
      </c>
      <c r="AP42" cm="1">
        <f t="array" ref="AP42">SUMPRODUCT(('Team Lineups'!$K$2:$K$2000&lt;&gt;"")*('Team Lineups'!$C$2:$C$2000=$A42)*COUNTIFS('Team Lineups'!$K$2:$K$2000,'Team Lineups'!$K$2:$K$2000,'Team Lineups'!$C$2:$C$2000,AP$1))</f>
        <v>4</v>
      </c>
    </row>
    <row r="43" spans="1:42" x14ac:dyDescent="0.35">
      <c r="A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2026-05-08T18:52:39Z</dcterms:modified>
</cp:coreProperties>
</file>