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406FDEC6-7439-4FBE-9B82-41FF01B4FADB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Matches" sheetId="1" r:id="rId1"/>
    <sheet name="Team Lineups" sheetId="2" r:id="rId2"/>
    <sheet name="Players" sheetId="3" r:id="rId3"/>
    <sheet name="Sheet2" sheetId="6" r:id="rId4"/>
  </sheets>
  <definedNames>
    <definedName name="_xlnm._FilterDatabase" localSheetId="2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2" i="6" l="1" a="1"/>
  <c r="AG32" i="6" s="1"/>
  <c r="AH32" i="6" a="1"/>
  <c r="AH32" i="6" s="1"/>
  <c r="AI32" i="6" a="1"/>
  <c r="AI32" i="6" s="1"/>
  <c r="AJ32" i="6" a="1"/>
  <c r="AJ32" i="6" s="1"/>
  <c r="AK32" i="6" a="1"/>
  <c r="AK32" i="6" s="1"/>
  <c r="AL32" i="6" a="1"/>
  <c r="AL32" i="6" s="1"/>
  <c r="AG2" i="6" a="1"/>
  <c r="AG2" i="6"/>
  <c r="AH2" i="6" a="1"/>
  <c r="AH2" i="6"/>
  <c r="AI2" i="6" a="1"/>
  <c r="AI2" i="6"/>
  <c r="AJ2" i="6" a="1"/>
  <c r="AJ2" i="6"/>
  <c r="AK2" i="6" a="1"/>
  <c r="AK2" i="6"/>
  <c r="AL2" i="6" a="1"/>
  <c r="AL2" i="6"/>
  <c r="AG3" i="6" a="1"/>
  <c r="AG3" i="6"/>
  <c r="AH3" i="6" a="1"/>
  <c r="AH3" i="6"/>
  <c r="AI3" i="6" a="1"/>
  <c r="AI3" i="6"/>
  <c r="AJ3" i="6" a="1"/>
  <c r="AJ3" i="6"/>
  <c r="AK3" i="6" a="1"/>
  <c r="AK3" i="6"/>
  <c r="AL3" i="6" a="1"/>
  <c r="AL3" i="6"/>
  <c r="AG4" i="6" a="1"/>
  <c r="AG4" i="6"/>
  <c r="AH4" i="6" a="1"/>
  <c r="AH4" i="6"/>
  <c r="AI4" i="6" a="1"/>
  <c r="AI4" i="6"/>
  <c r="AJ4" i="6" a="1"/>
  <c r="AJ4" i="6"/>
  <c r="AK4" i="6" a="1"/>
  <c r="AK4" i="6"/>
  <c r="AL4" i="6" a="1"/>
  <c r="AL4" i="6"/>
  <c r="AG5" i="6" a="1"/>
  <c r="AG5" i="6"/>
  <c r="AH5" i="6" a="1"/>
  <c r="AH5" i="6"/>
  <c r="AI5" i="6" a="1"/>
  <c r="AI5" i="6"/>
  <c r="AJ5" i="6" a="1"/>
  <c r="AJ5" i="6"/>
  <c r="AK5" i="6" a="1"/>
  <c r="AK5" i="6"/>
  <c r="AL5" i="6" a="1"/>
  <c r="AL5" i="6"/>
  <c r="AG6" i="6" a="1"/>
  <c r="AG6" i="6"/>
  <c r="AH6" i="6" a="1"/>
  <c r="AH6" i="6"/>
  <c r="AI6" i="6" a="1"/>
  <c r="AI6" i="6"/>
  <c r="AJ6" i="6" a="1"/>
  <c r="AJ6" i="6"/>
  <c r="AK6" i="6" a="1"/>
  <c r="AK6" i="6"/>
  <c r="AL6" i="6" a="1"/>
  <c r="AL6" i="6"/>
  <c r="AG7" i="6" a="1"/>
  <c r="AG7" i="6"/>
  <c r="AH7" i="6" a="1"/>
  <c r="AH7" i="6"/>
  <c r="AI7" i="6" a="1"/>
  <c r="AI7" i="6"/>
  <c r="AJ7" i="6" a="1"/>
  <c r="AJ7" i="6"/>
  <c r="AK7" i="6" a="1"/>
  <c r="AK7" i="6"/>
  <c r="AL7" i="6" a="1"/>
  <c r="AL7" i="6"/>
  <c r="AG8" i="6" a="1"/>
  <c r="AG8" i="6"/>
  <c r="AH8" i="6" a="1"/>
  <c r="AH8" i="6"/>
  <c r="AI8" i="6" a="1"/>
  <c r="AI8" i="6"/>
  <c r="AJ8" i="6" a="1"/>
  <c r="AJ8" i="6"/>
  <c r="AK8" i="6" a="1"/>
  <c r="AK8" i="6"/>
  <c r="AL8" i="6" a="1"/>
  <c r="AL8" i="6"/>
  <c r="AG9" i="6" a="1"/>
  <c r="AG9" i="6"/>
  <c r="AH9" i="6" a="1"/>
  <c r="AH9" i="6"/>
  <c r="AI9" i="6" a="1"/>
  <c r="AI9" i="6"/>
  <c r="AJ9" i="6" a="1"/>
  <c r="AJ9" i="6"/>
  <c r="AK9" i="6" a="1"/>
  <c r="AK9" i="6"/>
  <c r="AL9" i="6" a="1"/>
  <c r="AL9" i="6"/>
  <c r="AG10" i="6" a="1"/>
  <c r="AG10" i="6"/>
  <c r="AH10" i="6" a="1"/>
  <c r="AH10" i="6"/>
  <c r="AI10" i="6" a="1"/>
  <c r="AI10" i="6"/>
  <c r="AJ10" i="6" a="1"/>
  <c r="AJ10" i="6"/>
  <c r="AK10" i="6" a="1"/>
  <c r="AK10" i="6"/>
  <c r="AL10" i="6" a="1"/>
  <c r="AL10" i="6"/>
  <c r="AG11" i="6" a="1"/>
  <c r="AG11" i="6"/>
  <c r="AH11" i="6" a="1"/>
  <c r="AH11" i="6"/>
  <c r="AI11" i="6" a="1"/>
  <c r="AI11" i="6"/>
  <c r="AJ11" i="6" a="1"/>
  <c r="AJ11" i="6"/>
  <c r="AK11" i="6" a="1"/>
  <c r="AK11" i="6"/>
  <c r="AL11" i="6" a="1"/>
  <c r="AL11" i="6"/>
  <c r="AG12" i="6" a="1"/>
  <c r="AG12" i="6"/>
  <c r="AH12" i="6" a="1"/>
  <c r="AH12" i="6"/>
  <c r="AI12" i="6" a="1"/>
  <c r="AI12" i="6"/>
  <c r="AJ12" i="6" a="1"/>
  <c r="AJ12" i="6"/>
  <c r="AK12" i="6" a="1"/>
  <c r="AK12" i="6"/>
  <c r="AL12" i="6" a="1"/>
  <c r="AL12" i="6"/>
  <c r="AG13" i="6" a="1"/>
  <c r="AG13" i="6"/>
  <c r="AH13" i="6" a="1"/>
  <c r="AH13" i="6"/>
  <c r="AI13" i="6" a="1"/>
  <c r="AI13" i="6"/>
  <c r="AJ13" i="6" a="1"/>
  <c r="AJ13" i="6"/>
  <c r="AK13" i="6" a="1"/>
  <c r="AK13" i="6"/>
  <c r="AL13" i="6" a="1"/>
  <c r="AL13" i="6"/>
  <c r="AG14" i="6" a="1"/>
  <c r="AG14" i="6"/>
  <c r="AH14" i="6" a="1"/>
  <c r="AH14" i="6"/>
  <c r="AI14" i="6" a="1"/>
  <c r="AI14" i="6"/>
  <c r="AJ14" i="6" a="1"/>
  <c r="AJ14" i="6"/>
  <c r="AK14" i="6" a="1"/>
  <c r="AK14" i="6"/>
  <c r="AL14" i="6" a="1"/>
  <c r="AL14" i="6"/>
  <c r="AG15" i="6" a="1"/>
  <c r="AG15" i="6"/>
  <c r="AH15" i="6" a="1"/>
  <c r="AH15" i="6"/>
  <c r="AI15" i="6" a="1"/>
  <c r="AI15" i="6"/>
  <c r="AJ15" i="6" a="1"/>
  <c r="AJ15" i="6"/>
  <c r="AK15" i="6" a="1"/>
  <c r="AK15" i="6"/>
  <c r="AL15" i="6" a="1"/>
  <c r="AL15" i="6"/>
  <c r="AG16" i="6" a="1"/>
  <c r="AG16" i="6"/>
  <c r="AH16" i="6" a="1"/>
  <c r="AH16" i="6"/>
  <c r="AI16" i="6" a="1"/>
  <c r="AI16" i="6"/>
  <c r="AJ16" i="6" a="1"/>
  <c r="AJ16" i="6"/>
  <c r="AK16" i="6" a="1"/>
  <c r="AK16" i="6"/>
  <c r="AL16" i="6" a="1"/>
  <c r="AL16" i="6"/>
  <c r="AG17" i="6" a="1"/>
  <c r="AG17" i="6"/>
  <c r="AH17" i="6" a="1"/>
  <c r="AH17" i="6"/>
  <c r="AI17" i="6" a="1"/>
  <c r="AI17" i="6"/>
  <c r="AJ17" i="6" a="1"/>
  <c r="AJ17" i="6"/>
  <c r="AK17" i="6" a="1"/>
  <c r="AK17" i="6"/>
  <c r="AL17" i="6" a="1"/>
  <c r="AL17" i="6"/>
  <c r="AG18" i="6" a="1"/>
  <c r="AG18" i="6"/>
  <c r="AH18" i="6" a="1"/>
  <c r="AH18" i="6"/>
  <c r="AI18" i="6" a="1"/>
  <c r="AI18" i="6"/>
  <c r="AJ18" i="6" a="1"/>
  <c r="AJ18" i="6"/>
  <c r="AK18" i="6" a="1"/>
  <c r="AK18" i="6"/>
  <c r="AL18" i="6" a="1"/>
  <c r="AL18" i="6"/>
  <c r="AG19" i="6" a="1"/>
  <c r="AG19" i="6"/>
  <c r="AH19" i="6" a="1"/>
  <c r="AH19" i="6"/>
  <c r="AI19" i="6" a="1"/>
  <c r="AI19" i="6"/>
  <c r="AJ19" i="6" a="1"/>
  <c r="AJ19" i="6"/>
  <c r="AK19" i="6" a="1"/>
  <c r="AK19" i="6"/>
  <c r="AL19" i="6" a="1"/>
  <c r="AL19" i="6"/>
  <c r="AG20" i="6" a="1"/>
  <c r="AG20" i="6"/>
  <c r="AH20" i="6" a="1"/>
  <c r="AH20" i="6"/>
  <c r="AI20" i="6" a="1"/>
  <c r="AI20" i="6"/>
  <c r="AJ20" i="6" a="1"/>
  <c r="AJ20" i="6"/>
  <c r="AK20" i="6" a="1"/>
  <c r="AK20" i="6"/>
  <c r="AL20" i="6" a="1"/>
  <c r="AL20" i="6"/>
  <c r="AG21" i="6" a="1"/>
  <c r="AG21" i="6"/>
  <c r="AH21" i="6" a="1"/>
  <c r="AH21" i="6"/>
  <c r="AI21" i="6" a="1"/>
  <c r="AI21" i="6" s="1"/>
  <c r="AJ21" i="6" a="1"/>
  <c r="AJ21" i="6"/>
  <c r="AK21" i="6" a="1"/>
  <c r="AK21" i="6"/>
  <c r="AL21" i="6" a="1"/>
  <c r="AL21" i="6" s="1"/>
  <c r="AG22" i="6" a="1"/>
  <c r="AG22" i="6" s="1"/>
  <c r="AH22" i="6" a="1"/>
  <c r="AH22" i="6" s="1"/>
  <c r="AI22" i="6" a="1"/>
  <c r="AI22" i="6" s="1"/>
  <c r="AJ22" i="6" a="1"/>
  <c r="AJ22" i="6" s="1"/>
  <c r="AK22" i="6" a="1"/>
  <c r="AK22" i="6" s="1"/>
  <c r="AL22" i="6" a="1"/>
  <c r="AL22" i="6" s="1"/>
  <c r="AG23" i="6" a="1"/>
  <c r="AG23" i="6" s="1"/>
  <c r="AH23" i="6" a="1"/>
  <c r="AH23" i="6" s="1"/>
  <c r="AI23" i="6" a="1"/>
  <c r="AI23" i="6" s="1"/>
  <c r="AJ23" i="6" a="1"/>
  <c r="AJ23" i="6" s="1"/>
  <c r="AK23" i="6" a="1"/>
  <c r="AK23" i="6" s="1"/>
  <c r="AL23" i="6" a="1"/>
  <c r="AL23" i="6" s="1"/>
  <c r="AG24" i="6" a="1"/>
  <c r="AG24" i="6" s="1"/>
  <c r="AH24" i="6" a="1"/>
  <c r="AH24" i="6" s="1"/>
  <c r="AI24" i="6" a="1"/>
  <c r="AI24" i="6" s="1"/>
  <c r="AJ24" i="6" a="1"/>
  <c r="AJ24" i="6" s="1"/>
  <c r="AK24" i="6" a="1"/>
  <c r="AK24" i="6" s="1"/>
  <c r="AL24" i="6" a="1"/>
  <c r="AL24" i="6" s="1"/>
  <c r="AG25" i="6" a="1"/>
  <c r="AG25" i="6" s="1"/>
  <c r="AH25" i="6" a="1"/>
  <c r="AH25" i="6" s="1"/>
  <c r="AI25" i="6" a="1"/>
  <c r="AI25" i="6" s="1"/>
  <c r="AJ25" i="6" a="1"/>
  <c r="AJ25" i="6" s="1"/>
  <c r="AK25" i="6" a="1"/>
  <c r="AK25" i="6" s="1"/>
  <c r="AL25" i="6" a="1"/>
  <c r="AL25" i="6" s="1"/>
  <c r="AG26" i="6" a="1"/>
  <c r="AG26" i="6" s="1"/>
  <c r="AH26" i="6" a="1"/>
  <c r="AH26" i="6" s="1"/>
  <c r="AI26" i="6" a="1"/>
  <c r="AI26" i="6" s="1"/>
  <c r="AJ26" i="6" a="1"/>
  <c r="AJ26" i="6" s="1"/>
  <c r="AK26" i="6" a="1"/>
  <c r="AK26" i="6" s="1"/>
  <c r="AL26" i="6" a="1"/>
  <c r="AL26" i="6" s="1"/>
  <c r="AG27" i="6" a="1"/>
  <c r="AG27" i="6" s="1"/>
  <c r="AH27" i="6" a="1"/>
  <c r="AH27" i="6" s="1"/>
  <c r="AI27" i="6" a="1"/>
  <c r="AI27" i="6" s="1"/>
  <c r="AJ27" i="6" a="1"/>
  <c r="AJ27" i="6" s="1"/>
  <c r="AK27" i="6" a="1"/>
  <c r="AK27" i="6" s="1"/>
  <c r="AL27" i="6" a="1"/>
  <c r="AL27" i="6" s="1"/>
  <c r="AG28" i="6" a="1"/>
  <c r="AG28" i="6" s="1"/>
  <c r="AH28" i="6" a="1"/>
  <c r="AH28" i="6" s="1"/>
  <c r="AI28" i="6" a="1"/>
  <c r="AI28" i="6" s="1"/>
  <c r="AJ28" i="6" a="1"/>
  <c r="AJ28" i="6"/>
  <c r="AK28" i="6" a="1"/>
  <c r="AK28" i="6"/>
  <c r="AL28" i="6" a="1"/>
  <c r="AL28" i="6"/>
  <c r="AG29" i="6" a="1"/>
  <c r="AG29" i="6"/>
  <c r="AH29" i="6" a="1"/>
  <c r="AH29" i="6"/>
  <c r="AI29" i="6" a="1"/>
  <c r="AI29" i="6"/>
  <c r="AJ29" i="6" a="1"/>
  <c r="AJ29" i="6"/>
  <c r="AK29" i="6" a="1"/>
  <c r="AK29" i="6"/>
  <c r="AL29" i="6" a="1"/>
  <c r="AL29" i="6"/>
  <c r="AG30" i="6" a="1"/>
  <c r="AG30" i="6"/>
  <c r="AH30" i="6" a="1"/>
  <c r="AH30" i="6"/>
  <c r="AI30" i="6" a="1"/>
  <c r="AI30" i="6"/>
  <c r="AJ30" i="6" a="1"/>
  <c r="AJ30" i="6"/>
  <c r="AK30" i="6" a="1"/>
  <c r="AK30" i="6" s="1"/>
  <c r="AL30" i="6" a="1"/>
  <c r="AL30" i="6" s="1"/>
  <c r="AG31" i="6" a="1"/>
  <c r="AG31" i="6" s="1"/>
  <c r="AH31" i="6" a="1"/>
  <c r="AH31" i="6" s="1"/>
  <c r="AI31" i="6" a="1"/>
  <c r="AI31" i="6" s="1"/>
  <c r="AJ31" i="6" a="1"/>
  <c r="AJ31" i="6" s="1"/>
  <c r="AK31" i="6" a="1"/>
  <c r="AK31" i="6" s="1"/>
  <c r="AL31" i="6" a="1"/>
  <c r="AL31" i="6" s="1"/>
  <c r="AH33" i="6" a="1"/>
  <c r="AH33" i="6" s="1"/>
  <c r="AI33" i="6" a="1"/>
  <c r="AI33" i="6" s="1"/>
  <c r="AJ33" i="6" a="1"/>
  <c r="AJ33" i="6" s="1"/>
  <c r="AK33" i="6" a="1"/>
  <c r="AK33" i="6" s="1"/>
  <c r="AL33" i="6" a="1"/>
  <c r="AL33" i="6" s="1"/>
  <c r="AG34" i="6" a="1"/>
  <c r="AG34" i="6" s="1"/>
  <c r="AI34" i="6" a="1"/>
  <c r="AI34" i="6" s="1"/>
  <c r="AJ34" i="6" a="1"/>
  <c r="AJ34" i="6" s="1"/>
  <c r="AK34" i="6" a="1"/>
  <c r="AK34" i="6" s="1"/>
  <c r="AL34" i="6" a="1"/>
  <c r="AL34" i="6" s="1"/>
  <c r="AG35" i="6" a="1"/>
  <c r="AG35" i="6" s="1"/>
  <c r="AH35" i="6" a="1"/>
  <c r="AH35" i="6" s="1"/>
  <c r="AJ35" i="6" a="1"/>
  <c r="AJ35" i="6" s="1"/>
  <c r="AK35" i="6" a="1"/>
  <c r="AK35" i="6" s="1"/>
  <c r="AL35" i="6" a="1"/>
  <c r="AL35" i="6" s="1"/>
  <c r="AG36" i="6" a="1"/>
  <c r="AG36" i="6" s="1"/>
  <c r="AH36" i="6" a="1"/>
  <c r="AH36" i="6" s="1"/>
  <c r="AI36" i="6" a="1"/>
  <c r="AI36" i="6" s="1"/>
  <c r="AK36" i="6" a="1"/>
  <c r="AK36" i="6" s="1"/>
  <c r="AL36" i="6" a="1"/>
  <c r="AL36" i="6" s="1"/>
  <c r="AG37" i="6" a="1"/>
  <c r="AG37" i="6" s="1"/>
  <c r="AH37" i="6" a="1"/>
  <c r="AH37" i="6" s="1"/>
  <c r="AI37" i="6" a="1"/>
  <c r="AI37" i="6" s="1"/>
  <c r="AJ37" i="6" a="1"/>
  <c r="AJ37" i="6" s="1"/>
  <c r="AL37" i="6" a="1"/>
  <c r="AL37" i="6" s="1"/>
  <c r="AG38" i="6" a="1"/>
  <c r="AG38" i="6" s="1"/>
  <c r="AH38" i="6" a="1"/>
  <c r="AH38" i="6" s="1"/>
  <c r="AI38" i="6" a="1"/>
  <c r="AI38" i="6" s="1"/>
  <c r="AJ38" i="6" a="1"/>
  <c r="AJ38" i="6" s="1"/>
  <c r="AK38" i="6" a="1"/>
  <c r="AK38" i="6" s="1"/>
  <c r="AF33" i="6" a="1"/>
  <c r="AF33" i="6" s="1"/>
  <c r="AF34" i="6" a="1"/>
  <c r="AF34" i="6" s="1"/>
  <c r="AF35" i="6" a="1"/>
  <c r="AF35" i="6" s="1"/>
  <c r="AF36" i="6" a="1"/>
  <c r="AF36" i="6" s="1"/>
  <c r="AF37" i="6" a="1"/>
  <c r="AF37" i="6" s="1"/>
  <c r="AF38" i="6" a="1"/>
  <c r="AF38" i="6" s="1"/>
  <c r="C38" i="6" a="1"/>
  <c r="C38" i="6" s="1"/>
  <c r="D38" i="6" a="1"/>
  <c r="D38" i="6" s="1"/>
  <c r="E38" i="6" a="1"/>
  <c r="E38" i="6" s="1"/>
  <c r="F38" i="6" a="1"/>
  <c r="F38" i="6" s="1"/>
  <c r="G38" i="6" a="1"/>
  <c r="G38" i="6" s="1"/>
  <c r="H38" i="6" a="1"/>
  <c r="H38" i="6" s="1"/>
  <c r="I38" i="6" a="1"/>
  <c r="I38" i="6" s="1"/>
  <c r="J38" i="6" a="1"/>
  <c r="J38" i="6" s="1"/>
  <c r="K38" i="6" a="1"/>
  <c r="K38" i="6" s="1"/>
  <c r="L38" i="6" a="1"/>
  <c r="L38" i="6" s="1"/>
  <c r="M38" i="6" a="1"/>
  <c r="M38" i="6" s="1"/>
  <c r="N38" i="6" a="1"/>
  <c r="N38" i="6" s="1"/>
  <c r="O38" i="6" a="1"/>
  <c r="O38" i="6" s="1"/>
  <c r="P38" i="6" a="1"/>
  <c r="P38" i="6" s="1"/>
  <c r="Q38" i="6" a="1"/>
  <c r="Q38" i="6" s="1"/>
  <c r="R38" i="6" a="1"/>
  <c r="R38" i="6" s="1"/>
  <c r="S38" i="6" a="1"/>
  <c r="S38" i="6" s="1"/>
  <c r="T38" i="6" a="1"/>
  <c r="T38" i="6" s="1"/>
  <c r="U38" i="6" a="1"/>
  <c r="U38" i="6" s="1"/>
  <c r="V38" i="6" a="1"/>
  <c r="V38" i="6" s="1"/>
  <c r="W38" i="6" a="1"/>
  <c r="W38" i="6" s="1"/>
  <c r="X38" i="6" a="1"/>
  <c r="X38" i="6" s="1"/>
  <c r="Y38" i="6" a="1"/>
  <c r="Y38" i="6" s="1"/>
  <c r="Z38" i="6" a="1"/>
  <c r="Z38" i="6" s="1"/>
  <c r="AA38" i="6" a="1"/>
  <c r="AA38" i="6" s="1"/>
  <c r="AB38" i="6" a="1"/>
  <c r="AB38" i="6" s="1"/>
  <c r="AC38" i="6" a="1"/>
  <c r="AC38" i="6" s="1"/>
  <c r="AD38" i="6" a="1"/>
  <c r="AD38" i="6" s="1"/>
  <c r="AE38" i="6" a="1"/>
  <c r="AE38" i="6" s="1"/>
  <c r="C33" i="6" a="1"/>
  <c r="C33" i="6" s="1"/>
  <c r="D33" i="6" a="1"/>
  <c r="D33" i="6" s="1"/>
  <c r="E33" i="6" a="1"/>
  <c r="E33" i="6" s="1"/>
  <c r="F33" i="6" a="1"/>
  <c r="F33" i="6" s="1"/>
  <c r="G33" i="6" a="1"/>
  <c r="G33" i="6" s="1"/>
  <c r="H33" i="6" a="1"/>
  <c r="H33" i="6" s="1"/>
  <c r="I33" i="6" a="1"/>
  <c r="I33" i="6" s="1"/>
  <c r="J33" i="6" a="1"/>
  <c r="J33" i="6" s="1"/>
  <c r="K33" i="6" a="1"/>
  <c r="K33" i="6" s="1"/>
  <c r="L33" i="6" a="1"/>
  <c r="L33" i="6" s="1"/>
  <c r="M33" i="6" a="1"/>
  <c r="M33" i="6" s="1"/>
  <c r="N33" i="6" a="1"/>
  <c r="N33" i="6" s="1"/>
  <c r="O33" i="6" a="1"/>
  <c r="O33" i="6" s="1"/>
  <c r="P33" i="6" a="1"/>
  <c r="P33" i="6" s="1"/>
  <c r="Q33" i="6" a="1"/>
  <c r="Q33" i="6" s="1"/>
  <c r="R33" i="6" a="1"/>
  <c r="R33" i="6" s="1"/>
  <c r="S33" i="6" a="1"/>
  <c r="S33" i="6" s="1"/>
  <c r="T33" i="6" a="1"/>
  <c r="T33" i="6" s="1"/>
  <c r="U33" i="6" a="1"/>
  <c r="U33" i="6" s="1"/>
  <c r="V33" i="6" a="1"/>
  <c r="V33" i="6" s="1"/>
  <c r="W33" i="6" a="1"/>
  <c r="W33" i="6" s="1"/>
  <c r="X33" i="6" a="1"/>
  <c r="X33" i="6" s="1"/>
  <c r="Y33" i="6" a="1"/>
  <c r="Y33" i="6" s="1"/>
  <c r="Z33" i="6" a="1"/>
  <c r="Z33" i="6" s="1"/>
  <c r="AA33" i="6" a="1"/>
  <c r="AA33" i="6" s="1"/>
  <c r="AB33" i="6" a="1"/>
  <c r="AB33" i="6" s="1"/>
  <c r="AC33" i="6" a="1"/>
  <c r="AC33" i="6" s="1"/>
  <c r="AD33" i="6" a="1"/>
  <c r="AD33" i="6" s="1"/>
  <c r="AE33" i="6" a="1"/>
  <c r="AE33" i="6" s="1"/>
  <c r="C34" i="6" a="1"/>
  <c r="C34" i="6" s="1"/>
  <c r="D34" i="6" a="1"/>
  <c r="D34" i="6" s="1"/>
  <c r="E34" i="6" a="1"/>
  <c r="E34" i="6" s="1"/>
  <c r="F34" i="6" a="1"/>
  <c r="F34" i="6" s="1"/>
  <c r="G34" i="6" a="1"/>
  <c r="G34" i="6" s="1"/>
  <c r="H34" i="6" a="1"/>
  <c r="H34" i="6" s="1"/>
  <c r="I34" i="6" a="1"/>
  <c r="I34" i="6" s="1"/>
  <c r="J34" i="6" a="1"/>
  <c r="J34" i="6" s="1"/>
  <c r="K34" i="6" a="1"/>
  <c r="K34" i="6" s="1"/>
  <c r="L34" i="6" a="1"/>
  <c r="L34" i="6" s="1"/>
  <c r="M34" i="6" a="1"/>
  <c r="M34" i="6" s="1"/>
  <c r="N34" i="6" a="1"/>
  <c r="N34" i="6" s="1"/>
  <c r="O34" i="6" a="1"/>
  <c r="O34" i="6" s="1"/>
  <c r="P34" i="6" a="1"/>
  <c r="P34" i="6" s="1"/>
  <c r="Q34" i="6" a="1"/>
  <c r="Q34" i="6" s="1"/>
  <c r="R34" i="6" a="1"/>
  <c r="R34" i="6" s="1"/>
  <c r="S34" i="6" a="1"/>
  <c r="S34" i="6" s="1"/>
  <c r="T34" i="6" a="1"/>
  <c r="T34" i="6" s="1"/>
  <c r="U34" i="6" a="1"/>
  <c r="U34" i="6" s="1"/>
  <c r="V34" i="6" a="1"/>
  <c r="V34" i="6" s="1"/>
  <c r="W34" i="6" a="1"/>
  <c r="W34" i="6" s="1"/>
  <c r="X34" i="6" a="1"/>
  <c r="X34" i="6" s="1"/>
  <c r="Y34" i="6" a="1"/>
  <c r="Y34" i="6" s="1"/>
  <c r="Z34" i="6" a="1"/>
  <c r="Z34" i="6" s="1"/>
  <c r="AA34" i="6" a="1"/>
  <c r="AA34" i="6" s="1"/>
  <c r="AB34" i="6" a="1"/>
  <c r="AB34" i="6" s="1"/>
  <c r="AC34" i="6" a="1"/>
  <c r="AC34" i="6" s="1"/>
  <c r="AD34" i="6" a="1"/>
  <c r="AD34" i="6" s="1"/>
  <c r="AE34" i="6" a="1"/>
  <c r="AE34" i="6" s="1"/>
  <c r="C35" i="6" a="1"/>
  <c r="C35" i="6" s="1"/>
  <c r="D35" i="6" a="1"/>
  <c r="D35" i="6" s="1"/>
  <c r="E35" i="6" a="1"/>
  <c r="E35" i="6" s="1"/>
  <c r="F35" i="6" a="1"/>
  <c r="F35" i="6" s="1"/>
  <c r="G35" i="6" a="1"/>
  <c r="G35" i="6" s="1"/>
  <c r="H35" i="6" a="1"/>
  <c r="H35" i="6" s="1"/>
  <c r="I35" i="6" a="1"/>
  <c r="I35" i="6" s="1"/>
  <c r="J35" i="6" a="1"/>
  <c r="J35" i="6" s="1"/>
  <c r="K35" i="6" a="1"/>
  <c r="K35" i="6" s="1"/>
  <c r="L35" i="6" a="1"/>
  <c r="L35" i="6" s="1"/>
  <c r="M35" i="6" a="1"/>
  <c r="M35" i="6" s="1"/>
  <c r="N35" i="6" a="1"/>
  <c r="N35" i="6" s="1"/>
  <c r="O35" i="6" a="1"/>
  <c r="O35" i="6" s="1"/>
  <c r="P35" i="6" a="1"/>
  <c r="P35" i="6" s="1"/>
  <c r="Q35" i="6" a="1"/>
  <c r="Q35" i="6" s="1"/>
  <c r="R35" i="6" a="1"/>
  <c r="R35" i="6" s="1"/>
  <c r="S35" i="6" a="1"/>
  <c r="S35" i="6" s="1"/>
  <c r="T35" i="6" a="1"/>
  <c r="T35" i="6" s="1"/>
  <c r="U35" i="6" a="1"/>
  <c r="U35" i="6" s="1"/>
  <c r="V35" i="6" a="1"/>
  <c r="V35" i="6" s="1"/>
  <c r="W35" i="6" a="1"/>
  <c r="W35" i="6" s="1"/>
  <c r="X35" i="6" a="1"/>
  <c r="X35" i="6" s="1"/>
  <c r="Y35" i="6" a="1"/>
  <c r="Y35" i="6" s="1"/>
  <c r="Z35" i="6" a="1"/>
  <c r="Z35" i="6" s="1"/>
  <c r="AA35" i="6" a="1"/>
  <c r="AA35" i="6" s="1"/>
  <c r="AB35" i="6" a="1"/>
  <c r="AB35" i="6" s="1"/>
  <c r="AC35" i="6" a="1"/>
  <c r="AC35" i="6" s="1"/>
  <c r="AD35" i="6" a="1"/>
  <c r="AD35" i="6" s="1"/>
  <c r="AE35" i="6" a="1"/>
  <c r="AE35" i="6" s="1"/>
  <c r="C36" i="6" a="1"/>
  <c r="C36" i="6" s="1"/>
  <c r="D36" i="6" a="1"/>
  <c r="D36" i="6" s="1"/>
  <c r="E36" i="6" a="1"/>
  <c r="E36" i="6" s="1"/>
  <c r="F36" i="6" a="1"/>
  <c r="F36" i="6" s="1"/>
  <c r="G36" i="6" a="1"/>
  <c r="G36" i="6" s="1"/>
  <c r="H36" i="6" a="1"/>
  <c r="H36" i="6" s="1"/>
  <c r="I36" i="6" a="1"/>
  <c r="I36" i="6" s="1"/>
  <c r="J36" i="6" a="1"/>
  <c r="J36" i="6" s="1"/>
  <c r="K36" i="6" a="1"/>
  <c r="K36" i="6" s="1"/>
  <c r="L36" i="6" a="1"/>
  <c r="L36" i="6" s="1"/>
  <c r="M36" i="6" a="1"/>
  <c r="M36" i="6" s="1"/>
  <c r="N36" i="6" a="1"/>
  <c r="N36" i="6" s="1"/>
  <c r="O36" i="6" a="1"/>
  <c r="O36" i="6" s="1"/>
  <c r="P36" i="6" a="1"/>
  <c r="P36" i="6" s="1"/>
  <c r="Q36" i="6" a="1"/>
  <c r="Q36" i="6" s="1"/>
  <c r="R36" i="6" a="1"/>
  <c r="R36" i="6" s="1"/>
  <c r="S36" i="6" a="1"/>
  <c r="S36" i="6" s="1"/>
  <c r="T36" i="6" a="1"/>
  <c r="T36" i="6" s="1"/>
  <c r="U36" i="6" a="1"/>
  <c r="U36" i="6" s="1"/>
  <c r="V36" i="6" a="1"/>
  <c r="V36" i="6" s="1"/>
  <c r="W36" i="6" a="1"/>
  <c r="W36" i="6" s="1"/>
  <c r="X36" i="6" a="1"/>
  <c r="X36" i="6" s="1"/>
  <c r="Y36" i="6" a="1"/>
  <c r="Y36" i="6" s="1"/>
  <c r="Z36" i="6" a="1"/>
  <c r="Z36" i="6" s="1"/>
  <c r="AA36" i="6" a="1"/>
  <c r="AA36" i="6" s="1"/>
  <c r="AB36" i="6" a="1"/>
  <c r="AB36" i="6" s="1"/>
  <c r="AC36" i="6" a="1"/>
  <c r="AC36" i="6" s="1"/>
  <c r="AD36" i="6" a="1"/>
  <c r="AD36" i="6" s="1"/>
  <c r="AE36" i="6" a="1"/>
  <c r="AE36" i="6" s="1"/>
  <c r="C37" i="6" a="1"/>
  <c r="C37" i="6" s="1"/>
  <c r="D37" i="6" a="1"/>
  <c r="D37" i="6" s="1"/>
  <c r="E37" i="6" a="1"/>
  <c r="E37" i="6" s="1"/>
  <c r="F37" i="6" a="1"/>
  <c r="F37" i="6" s="1"/>
  <c r="G37" i="6" a="1"/>
  <c r="G37" i="6" s="1"/>
  <c r="H37" i="6" a="1"/>
  <c r="H37" i="6" s="1"/>
  <c r="I37" i="6" a="1"/>
  <c r="I37" i="6" s="1"/>
  <c r="J37" i="6" a="1"/>
  <c r="J37" i="6" s="1"/>
  <c r="K37" i="6" a="1"/>
  <c r="K37" i="6" s="1"/>
  <c r="L37" i="6" a="1"/>
  <c r="L37" i="6" s="1"/>
  <c r="M37" i="6" a="1"/>
  <c r="M37" i="6" s="1"/>
  <c r="N37" i="6" a="1"/>
  <c r="N37" i="6" s="1"/>
  <c r="O37" i="6" a="1"/>
  <c r="O37" i="6" s="1"/>
  <c r="P37" i="6" a="1"/>
  <c r="P37" i="6" s="1"/>
  <c r="Q37" i="6" a="1"/>
  <c r="Q37" i="6" s="1"/>
  <c r="R37" i="6" a="1"/>
  <c r="R37" i="6" s="1"/>
  <c r="S37" i="6" a="1"/>
  <c r="S37" i="6" s="1"/>
  <c r="T37" i="6" a="1"/>
  <c r="T37" i="6" s="1"/>
  <c r="U37" i="6" a="1"/>
  <c r="U37" i="6" s="1"/>
  <c r="V37" i="6" a="1"/>
  <c r="V37" i="6" s="1"/>
  <c r="W37" i="6" a="1"/>
  <c r="W37" i="6" s="1"/>
  <c r="X37" i="6" a="1"/>
  <c r="X37" i="6" s="1"/>
  <c r="Y37" i="6" a="1"/>
  <c r="Y37" i="6" s="1"/>
  <c r="Z37" i="6" a="1"/>
  <c r="Z37" i="6" s="1"/>
  <c r="AA37" i="6" a="1"/>
  <c r="AA37" i="6" s="1"/>
  <c r="AB37" i="6" a="1"/>
  <c r="AB37" i="6" s="1"/>
  <c r="AC37" i="6" a="1"/>
  <c r="AC37" i="6" s="1"/>
  <c r="AD37" i="6" a="1"/>
  <c r="AD37" i="6" s="1"/>
  <c r="AE37" i="6" a="1"/>
  <c r="AE37" i="6" s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33" i="2"/>
  <c r="F233" i="2"/>
  <c r="G233" i="2"/>
  <c r="E234" i="2"/>
  <c r="F234" i="2"/>
  <c r="G234" i="2"/>
  <c r="E235" i="2"/>
  <c r="F235" i="2"/>
  <c r="G235" i="2" s="1"/>
  <c r="E236" i="2"/>
  <c r="F236" i="2"/>
  <c r="G236" i="2"/>
  <c r="E237" i="2"/>
  <c r="F237" i="2"/>
  <c r="G237" i="2"/>
  <c r="E238" i="2"/>
  <c r="F238" i="2"/>
  <c r="G238" i="2"/>
  <c r="E239" i="2"/>
  <c r="F239" i="2"/>
  <c r="G239" i="2"/>
  <c r="E240" i="2"/>
  <c r="F240" i="2"/>
  <c r="G240" i="2"/>
  <c r="E241" i="2"/>
  <c r="F241" i="2"/>
  <c r="G241" i="2"/>
  <c r="E242" i="2"/>
  <c r="F242" i="2"/>
  <c r="E42" i="3" s="1"/>
  <c r="G242" i="2"/>
  <c r="E223" i="2"/>
  <c r="F223" i="2"/>
  <c r="G223" i="2"/>
  <c r="E224" i="2"/>
  <c r="F224" i="2"/>
  <c r="G224" i="2"/>
  <c r="E225" i="2"/>
  <c r="F225" i="2"/>
  <c r="G225" i="2" s="1"/>
  <c r="E226" i="2"/>
  <c r="D37" i="3" s="1"/>
  <c r="F226" i="2"/>
  <c r="E37" i="3" s="1"/>
  <c r="G226" i="2"/>
  <c r="E227" i="2"/>
  <c r="F227" i="2"/>
  <c r="G227" i="2" s="1"/>
  <c r="E228" i="2"/>
  <c r="F228" i="2"/>
  <c r="G228" i="2" s="1"/>
  <c r="E229" i="2"/>
  <c r="F229" i="2"/>
  <c r="G229" i="2" s="1"/>
  <c r="E230" i="2"/>
  <c r="F230" i="2"/>
  <c r="G230" i="2" s="1"/>
  <c r="E231" i="2"/>
  <c r="F231" i="2"/>
  <c r="G231" i="2" s="1"/>
  <c r="E232" i="2"/>
  <c r="G232" i="2" s="1"/>
  <c r="F232" i="2"/>
  <c r="E41" i="3" s="1"/>
  <c r="F41" i="3" s="1"/>
  <c r="E213" i="2"/>
  <c r="F213" i="2"/>
  <c r="G213" i="2"/>
  <c r="E214" i="2"/>
  <c r="F214" i="2"/>
  <c r="G214" i="2"/>
  <c r="E215" i="2"/>
  <c r="F215" i="2"/>
  <c r="G215" i="2"/>
  <c r="E216" i="2"/>
  <c r="F216" i="2"/>
  <c r="G216" i="2"/>
  <c r="E217" i="2"/>
  <c r="D41" i="3" s="1"/>
  <c r="F217" i="2"/>
  <c r="G217" i="2"/>
  <c r="E218" i="2"/>
  <c r="F218" i="2"/>
  <c r="G218" i="2"/>
  <c r="E219" i="2"/>
  <c r="F219" i="2"/>
  <c r="G219" i="2" s="1"/>
  <c r="E220" i="2"/>
  <c r="F220" i="2"/>
  <c r="E39" i="3" s="1"/>
  <c r="E221" i="2"/>
  <c r="F221" i="2"/>
  <c r="G221" i="2"/>
  <c r="E222" i="2"/>
  <c r="F222" i="2"/>
  <c r="G222" i="2"/>
  <c r="E203" i="2"/>
  <c r="F203" i="2"/>
  <c r="G203" i="2" s="1"/>
  <c r="E204" i="2"/>
  <c r="F204" i="2"/>
  <c r="G204" i="2" s="1"/>
  <c r="E205" i="2"/>
  <c r="F205" i="2"/>
  <c r="E206" i="2"/>
  <c r="F206" i="2"/>
  <c r="G206" i="2"/>
  <c r="E207" i="2"/>
  <c r="F207" i="2"/>
  <c r="G207" i="2" s="1"/>
  <c r="E208" i="2"/>
  <c r="F208" i="2"/>
  <c r="G208" i="2"/>
  <c r="E209" i="2"/>
  <c r="F209" i="2"/>
  <c r="G209" i="2"/>
  <c r="E210" i="2"/>
  <c r="F210" i="2"/>
  <c r="G210" i="2"/>
  <c r="E211" i="2"/>
  <c r="F211" i="2"/>
  <c r="G211" i="2"/>
  <c r="E212" i="2"/>
  <c r="F212" i="2"/>
  <c r="G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37" i="3"/>
  <c r="G37" i="3"/>
  <c r="J37" i="3" s="1"/>
  <c r="H37" i="3"/>
  <c r="I37" i="3"/>
  <c r="K37" i="3" s="1"/>
  <c r="L37" i="3"/>
  <c r="N37" i="3"/>
  <c r="O37" i="3"/>
  <c r="Q37" i="3"/>
  <c r="C38" i="3"/>
  <c r="D38" i="3"/>
  <c r="E38" i="3"/>
  <c r="L38" i="3"/>
  <c r="M38" i="3" s="1"/>
  <c r="N38" i="3"/>
  <c r="O38" i="3"/>
  <c r="Q38" i="3"/>
  <c r="C39" i="3"/>
  <c r="L39" i="3"/>
  <c r="M39" i="3" s="1"/>
  <c r="N39" i="3"/>
  <c r="O39" i="3"/>
  <c r="Q39" i="3"/>
  <c r="C40" i="3"/>
  <c r="L40" i="3"/>
  <c r="N40" i="3"/>
  <c r="O40" i="3"/>
  <c r="Q40" i="3"/>
  <c r="C41" i="3"/>
  <c r="L41" i="3"/>
  <c r="M41" i="3" s="1"/>
  <c r="N41" i="3"/>
  <c r="O41" i="3"/>
  <c r="P41" i="3" s="1"/>
  <c r="Q41" i="3"/>
  <c r="C42" i="3"/>
  <c r="L42" i="3"/>
  <c r="M42" i="3" s="1"/>
  <c r="N42" i="3"/>
  <c r="O42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G190" i="2"/>
  <c r="E191" i="2"/>
  <c r="F191" i="2"/>
  <c r="G191" i="2"/>
  <c r="E192" i="2"/>
  <c r="F192" i="2"/>
  <c r="E193" i="2"/>
  <c r="F193" i="2"/>
  <c r="G193" i="2" s="1"/>
  <c r="E194" i="2"/>
  <c r="F194" i="2"/>
  <c r="G194" i="2" s="1"/>
  <c r="E195" i="2"/>
  <c r="F195" i="2"/>
  <c r="G195" i="2" s="1"/>
  <c r="E196" i="2"/>
  <c r="F196" i="2"/>
  <c r="E197" i="2"/>
  <c r="F197" i="2"/>
  <c r="E198" i="2"/>
  <c r="F198" i="2"/>
  <c r="E199" i="2"/>
  <c r="F199" i="2"/>
  <c r="G199" i="2" s="1"/>
  <c r="E200" i="2"/>
  <c r="F200" i="2"/>
  <c r="G200" i="2" s="1"/>
  <c r="E201" i="2"/>
  <c r="F201" i="2"/>
  <c r="G201" i="2" s="1"/>
  <c r="E202" i="2"/>
  <c r="F202" i="2"/>
  <c r="G202" i="2" s="1"/>
  <c r="E17" i="1"/>
  <c r="F17" i="1"/>
  <c r="E175" i="2"/>
  <c r="F175" i="2"/>
  <c r="G175" i="2" s="1"/>
  <c r="E176" i="2"/>
  <c r="F176" i="2"/>
  <c r="G176" i="2" s="1"/>
  <c r="E177" i="2"/>
  <c r="F177" i="2"/>
  <c r="G177" i="2" s="1"/>
  <c r="E178" i="2"/>
  <c r="F178" i="2"/>
  <c r="G178" i="2" s="1"/>
  <c r="E179" i="2"/>
  <c r="F179" i="2"/>
  <c r="G179" i="2" s="1"/>
  <c r="E180" i="2"/>
  <c r="F180" i="2"/>
  <c r="G180" i="2" s="1"/>
  <c r="E181" i="2"/>
  <c r="F181" i="2"/>
  <c r="E182" i="2"/>
  <c r="F182" i="2"/>
  <c r="G182" i="2" s="1"/>
  <c r="E183" i="2"/>
  <c r="F183" i="2"/>
  <c r="E184" i="2"/>
  <c r="F184" i="2"/>
  <c r="G184" i="2" s="1"/>
  <c r="E185" i="2"/>
  <c r="F185" i="2"/>
  <c r="G185" i="2" s="1"/>
  <c r="E186" i="2"/>
  <c r="F186" i="2"/>
  <c r="G186" i="2"/>
  <c r="E187" i="2"/>
  <c r="F187" i="2"/>
  <c r="G187" i="2" s="1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36" i="3"/>
  <c r="L36" i="3"/>
  <c r="N36" i="3"/>
  <c r="O36" i="3"/>
  <c r="Q36" i="3"/>
  <c r="K164" i="2"/>
  <c r="K163" i="2"/>
  <c r="K162" i="2"/>
  <c r="K161" i="2"/>
  <c r="K160" i="2"/>
  <c r="K159" i="2"/>
  <c r="K158" i="2"/>
  <c r="K157" i="2"/>
  <c r="K156" i="2"/>
  <c r="K155" i="2"/>
  <c r="C35" i="3"/>
  <c r="L35" i="3"/>
  <c r="N35" i="3"/>
  <c r="O35" i="3"/>
  <c r="Q35" i="3"/>
  <c r="A2" i="6" a="1"/>
  <c r="Q34" i="3"/>
  <c r="O34" i="3"/>
  <c r="N34" i="3"/>
  <c r="L34" i="3"/>
  <c r="C34" i="3"/>
  <c r="Q33" i="3"/>
  <c r="O33" i="3"/>
  <c r="N33" i="3"/>
  <c r="L33" i="3"/>
  <c r="C33" i="3"/>
  <c r="Q32" i="3"/>
  <c r="O32" i="3"/>
  <c r="N32" i="3"/>
  <c r="L32" i="3"/>
  <c r="C32" i="3"/>
  <c r="Q31" i="3"/>
  <c r="O31" i="3"/>
  <c r="N31" i="3"/>
  <c r="L31" i="3"/>
  <c r="C31" i="3"/>
  <c r="Q30" i="3"/>
  <c r="O30" i="3"/>
  <c r="N30" i="3"/>
  <c r="L30" i="3"/>
  <c r="C30" i="3"/>
  <c r="Q29" i="3"/>
  <c r="O29" i="3"/>
  <c r="N29" i="3"/>
  <c r="L29" i="3"/>
  <c r="C29" i="3"/>
  <c r="Q28" i="3"/>
  <c r="O28" i="3"/>
  <c r="N28" i="3"/>
  <c r="L28" i="3"/>
  <c r="C28" i="3"/>
  <c r="Q27" i="3"/>
  <c r="O27" i="3"/>
  <c r="N27" i="3"/>
  <c r="L27" i="3"/>
  <c r="C27" i="3"/>
  <c r="Q26" i="3"/>
  <c r="O26" i="3"/>
  <c r="N26" i="3"/>
  <c r="L26" i="3"/>
  <c r="C26" i="3"/>
  <c r="Q25" i="3"/>
  <c r="O25" i="3"/>
  <c r="N25" i="3"/>
  <c r="L25" i="3"/>
  <c r="C25" i="3"/>
  <c r="Q24" i="3"/>
  <c r="O24" i="3"/>
  <c r="N24" i="3"/>
  <c r="L24" i="3"/>
  <c r="C24" i="3"/>
  <c r="Q23" i="3"/>
  <c r="O23" i="3"/>
  <c r="N23" i="3"/>
  <c r="L23" i="3"/>
  <c r="C23" i="3"/>
  <c r="Q22" i="3"/>
  <c r="O22" i="3"/>
  <c r="N22" i="3"/>
  <c r="L22" i="3"/>
  <c r="I22" i="3"/>
  <c r="H22" i="3"/>
  <c r="G22" i="3"/>
  <c r="J22" i="3" s="1"/>
  <c r="E22" i="3"/>
  <c r="D22" i="3"/>
  <c r="C22" i="3"/>
  <c r="Q21" i="3"/>
  <c r="O21" i="3"/>
  <c r="N21" i="3"/>
  <c r="L21" i="3"/>
  <c r="C21" i="3"/>
  <c r="Q20" i="3"/>
  <c r="O20" i="3"/>
  <c r="N20" i="3"/>
  <c r="L20" i="3"/>
  <c r="C20" i="3"/>
  <c r="Q19" i="3"/>
  <c r="O19" i="3"/>
  <c r="N19" i="3"/>
  <c r="L19" i="3"/>
  <c r="C19" i="3"/>
  <c r="Q18" i="3"/>
  <c r="O18" i="3"/>
  <c r="N18" i="3"/>
  <c r="L18" i="3"/>
  <c r="C18" i="3"/>
  <c r="Q17" i="3"/>
  <c r="O17" i="3"/>
  <c r="N17" i="3"/>
  <c r="L17" i="3"/>
  <c r="C17" i="3"/>
  <c r="Q16" i="3"/>
  <c r="O16" i="3"/>
  <c r="N16" i="3"/>
  <c r="L16" i="3"/>
  <c r="C16" i="3"/>
  <c r="Q15" i="3"/>
  <c r="O15" i="3"/>
  <c r="N15" i="3"/>
  <c r="L15" i="3"/>
  <c r="C15" i="3"/>
  <c r="Q14" i="3"/>
  <c r="O14" i="3"/>
  <c r="N14" i="3"/>
  <c r="L14" i="3"/>
  <c r="I14" i="3"/>
  <c r="H14" i="3"/>
  <c r="G14" i="3"/>
  <c r="J14" i="3" s="1"/>
  <c r="E14" i="3"/>
  <c r="D14" i="3"/>
  <c r="C14" i="3"/>
  <c r="Q13" i="3"/>
  <c r="O13" i="3"/>
  <c r="N13" i="3"/>
  <c r="L13" i="3"/>
  <c r="I13" i="3"/>
  <c r="K13" i="3" s="1"/>
  <c r="H13" i="3"/>
  <c r="G13" i="3"/>
  <c r="J13" i="3" s="1"/>
  <c r="E13" i="3"/>
  <c r="D13" i="3"/>
  <c r="F13" i="3" s="1"/>
  <c r="C13" i="3"/>
  <c r="Q12" i="3"/>
  <c r="O12" i="3"/>
  <c r="N12" i="3"/>
  <c r="L12" i="3"/>
  <c r="C12" i="3"/>
  <c r="Q11" i="3"/>
  <c r="O11" i="3"/>
  <c r="N11" i="3"/>
  <c r="L11" i="3"/>
  <c r="I11" i="3"/>
  <c r="H11" i="3"/>
  <c r="G11" i="3"/>
  <c r="J11" i="3" s="1"/>
  <c r="E11" i="3"/>
  <c r="D11" i="3"/>
  <c r="C11" i="3"/>
  <c r="Q10" i="3"/>
  <c r="O10" i="3"/>
  <c r="N10" i="3"/>
  <c r="L10" i="3"/>
  <c r="C10" i="3"/>
  <c r="Q9" i="3"/>
  <c r="O9" i="3"/>
  <c r="N9" i="3"/>
  <c r="L9" i="3"/>
  <c r="C9" i="3"/>
  <c r="Q8" i="3"/>
  <c r="O8" i="3"/>
  <c r="N8" i="3"/>
  <c r="L8" i="3"/>
  <c r="C8" i="3"/>
  <c r="Q7" i="3"/>
  <c r="O7" i="3"/>
  <c r="N7" i="3"/>
  <c r="L7" i="3"/>
  <c r="C7" i="3"/>
  <c r="Q6" i="3"/>
  <c r="O6" i="3"/>
  <c r="N6" i="3"/>
  <c r="L6" i="3"/>
  <c r="C6" i="3"/>
  <c r="Q5" i="3"/>
  <c r="O5" i="3"/>
  <c r="N5" i="3"/>
  <c r="L5" i="3"/>
  <c r="C5" i="3"/>
  <c r="Q4" i="3"/>
  <c r="O4" i="3"/>
  <c r="N4" i="3"/>
  <c r="L4" i="3"/>
  <c r="C4" i="3"/>
  <c r="Q3" i="3"/>
  <c r="O3" i="3"/>
  <c r="N3" i="3"/>
  <c r="L3" i="3"/>
  <c r="C3" i="3"/>
  <c r="Q2" i="3"/>
  <c r="O2" i="3"/>
  <c r="N2" i="3"/>
  <c r="L2" i="3"/>
  <c r="C2" i="3"/>
  <c r="K154" i="2"/>
  <c r="F154" i="2"/>
  <c r="E154" i="2"/>
  <c r="K153" i="2"/>
  <c r="F153" i="2"/>
  <c r="E153" i="2"/>
  <c r="G153" i="2" s="1"/>
  <c r="K152" i="2"/>
  <c r="F152" i="2"/>
  <c r="E152" i="2"/>
  <c r="G152" i="2" s="1"/>
  <c r="K151" i="2"/>
  <c r="F151" i="2"/>
  <c r="E151" i="2"/>
  <c r="G151" i="2" s="1"/>
  <c r="K150" i="2"/>
  <c r="F150" i="2"/>
  <c r="E150" i="2"/>
  <c r="G150" i="2" s="1"/>
  <c r="K149" i="2"/>
  <c r="F149" i="2"/>
  <c r="E149" i="2"/>
  <c r="K148" i="2"/>
  <c r="F148" i="2"/>
  <c r="E148" i="2"/>
  <c r="K147" i="2"/>
  <c r="F147" i="2"/>
  <c r="E147" i="2"/>
  <c r="K146" i="2"/>
  <c r="F146" i="2"/>
  <c r="E146" i="2"/>
  <c r="G146" i="2" s="1"/>
  <c r="K145" i="2"/>
  <c r="F145" i="2"/>
  <c r="E145" i="2"/>
  <c r="K144" i="2"/>
  <c r="F144" i="2"/>
  <c r="E144" i="2"/>
  <c r="K143" i="2"/>
  <c r="F143" i="2"/>
  <c r="E143" i="2"/>
  <c r="G143" i="2" s="1"/>
  <c r="K142" i="2"/>
  <c r="F142" i="2"/>
  <c r="E142" i="2"/>
  <c r="G142" i="2" s="1"/>
  <c r="K141" i="2"/>
  <c r="F141" i="2"/>
  <c r="E141" i="2"/>
  <c r="K140" i="2"/>
  <c r="F140" i="2"/>
  <c r="E140" i="2"/>
  <c r="K139" i="2"/>
  <c r="F139" i="2"/>
  <c r="E139" i="2"/>
  <c r="G139" i="2" s="1"/>
  <c r="K138" i="2"/>
  <c r="F138" i="2"/>
  <c r="E138" i="2"/>
  <c r="G138" i="2" s="1"/>
  <c r="K137" i="2"/>
  <c r="F137" i="2"/>
  <c r="E137" i="2"/>
  <c r="G137" i="2" s="1"/>
  <c r="K136" i="2"/>
  <c r="F136" i="2"/>
  <c r="E136" i="2"/>
  <c r="K135" i="2"/>
  <c r="F135" i="2"/>
  <c r="E135" i="2"/>
  <c r="K134" i="2"/>
  <c r="F134" i="2"/>
  <c r="E134" i="2"/>
  <c r="G134" i="2" s="1"/>
  <c r="K133" i="2"/>
  <c r="F133" i="2"/>
  <c r="E133" i="2"/>
  <c r="K132" i="2"/>
  <c r="F132" i="2"/>
  <c r="E132" i="2"/>
  <c r="K131" i="2"/>
  <c r="F131" i="2"/>
  <c r="E131" i="2"/>
  <c r="K130" i="2"/>
  <c r="F130" i="2"/>
  <c r="E130" i="2"/>
  <c r="G130" i="2" s="1"/>
  <c r="K129" i="2"/>
  <c r="F129" i="2"/>
  <c r="E129" i="2"/>
  <c r="G129" i="2" s="1"/>
  <c r="K128" i="2"/>
  <c r="F128" i="2"/>
  <c r="E128" i="2"/>
  <c r="G128" i="2" s="1"/>
  <c r="K127" i="2"/>
  <c r="F127" i="2"/>
  <c r="E127" i="2"/>
  <c r="G127" i="2" s="1"/>
  <c r="K126" i="2"/>
  <c r="F126" i="2"/>
  <c r="E126" i="2"/>
  <c r="G126" i="2" s="1"/>
  <c r="K125" i="2"/>
  <c r="F125" i="2"/>
  <c r="E125" i="2"/>
  <c r="G125" i="2" s="1"/>
  <c r="K124" i="2"/>
  <c r="F124" i="2"/>
  <c r="E124" i="2"/>
  <c r="K123" i="2"/>
  <c r="F123" i="2"/>
  <c r="E123" i="2"/>
  <c r="G123" i="2" s="1"/>
  <c r="K122" i="2"/>
  <c r="F122" i="2"/>
  <c r="E122" i="2"/>
  <c r="G122" i="2" s="1"/>
  <c r="K121" i="2"/>
  <c r="F121" i="2"/>
  <c r="E121" i="2"/>
  <c r="K120" i="2"/>
  <c r="F120" i="2"/>
  <c r="E120" i="2"/>
  <c r="G120" i="2" s="1"/>
  <c r="K119" i="2"/>
  <c r="F119" i="2"/>
  <c r="E119" i="2"/>
  <c r="G119" i="2" s="1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G107" i="2" s="1"/>
  <c r="K106" i="2"/>
  <c r="F106" i="2"/>
  <c r="E106" i="2"/>
  <c r="G106" i="2" s="1"/>
  <c r="K105" i="2"/>
  <c r="F105" i="2"/>
  <c r="E105" i="2"/>
  <c r="G105" i="2" s="1"/>
  <c r="K104" i="2"/>
  <c r="F104" i="2"/>
  <c r="E104" i="2"/>
  <c r="G104" i="2" s="1"/>
  <c r="K103" i="2"/>
  <c r="F103" i="2"/>
  <c r="E103" i="2"/>
  <c r="G103" i="2" s="1"/>
  <c r="K102" i="2"/>
  <c r="F102" i="2"/>
  <c r="E102" i="2"/>
  <c r="G102" i="2" s="1"/>
  <c r="K101" i="2"/>
  <c r="F101" i="2"/>
  <c r="E101" i="2"/>
  <c r="G101" i="2" s="1"/>
  <c r="K100" i="2"/>
  <c r="F100" i="2"/>
  <c r="E100" i="2"/>
  <c r="G100" i="2" s="1"/>
  <c r="K99" i="2"/>
  <c r="F99" i="2"/>
  <c r="E99" i="2"/>
  <c r="G99" i="2" s="1"/>
  <c r="K98" i="2"/>
  <c r="F98" i="2"/>
  <c r="E98" i="2"/>
  <c r="G98" i="2" s="1"/>
  <c r="K97" i="2"/>
  <c r="F97" i="2"/>
  <c r="E97" i="2"/>
  <c r="K96" i="2"/>
  <c r="F96" i="2"/>
  <c r="E27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G88" i="2" s="1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G81" i="2" s="1"/>
  <c r="K80" i="2"/>
  <c r="F80" i="2"/>
  <c r="E80" i="2"/>
  <c r="G80" i="2" s="1"/>
  <c r="K79" i="2"/>
  <c r="F79" i="2"/>
  <c r="E79" i="2"/>
  <c r="G79" i="2" s="1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G73" i="2" s="1"/>
  <c r="K72" i="2"/>
  <c r="F72" i="2"/>
  <c r="E72" i="2"/>
  <c r="K71" i="2"/>
  <c r="F71" i="2"/>
  <c r="E71" i="2"/>
  <c r="K70" i="2"/>
  <c r="F70" i="2"/>
  <c r="E70" i="2"/>
  <c r="K69" i="2"/>
  <c r="F69" i="2"/>
  <c r="E69" i="2"/>
  <c r="G69" i="2" s="1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G63" i="2" s="1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32" i="3" s="1"/>
  <c r="E50" i="2"/>
  <c r="K49" i="2"/>
  <c r="F49" i="2"/>
  <c r="E49" i="2"/>
  <c r="K48" i="2"/>
  <c r="F48" i="2"/>
  <c r="E48" i="2"/>
  <c r="G48" i="2" s="1"/>
  <c r="K47" i="2"/>
  <c r="F47" i="2"/>
  <c r="E47" i="2"/>
  <c r="K46" i="2"/>
  <c r="F46" i="2"/>
  <c r="E46" i="2"/>
  <c r="K45" i="2"/>
  <c r="F45" i="2"/>
  <c r="E31" i="3" s="1"/>
  <c r="E45" i="2"/>
  <c r="K44" i="2"/>
  <c r="F44" i="2"/>
  <c r="E30" i="3" s="1"/>
  <c r="E44" i="2"/>
  <c r="K43" i="2"/>
  <c r="F43" i="2"/>
  <c r="E43" i="2"/>
  <c r="G43" i="2" s="1"/>
  <c r="K42" i="2"/>
  <c r="F42" i="2"/>
  <c r="E42" i="2"/>
  <c r="K41" i="2"/>
  <c r="F41" i="2"/>
  <c r="E41" i="2"/>
  <c r="K40" i="2"/>
  <c r="F40" i="2"/>
  <c r="E40" i="2"/>
  <c r="K39" i="2"/>
  <c r="F39" i="2"/>
  <c r="E28" i="3" s="1"/>
  <c r="E39" i="2"/>
  <c r="K38" i="2"/>
  <c r="F38" i="2"/>
  <c r="E38" i="2"/>
  <c r="K37" i="2"/>
  <c r="F37" i="2"/>
  <c r="E37" i="2"/>
  <c r="G37" i="2" s="1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G32" i="2" s="1"/>
  <c r="K31" i="2"/>
  <c r="F31" i="2"/>
  <c r="E31" i="2"/>
  <c r="K30" i="2"/>
  <c r="F30" i="2"/>
  <c r="E30" i="2"/>
  <c r="G30" i="2" s="1"/>
  <c r="K29" i="2"/>
  <c r="F29" i="2"/>
  <c r="E29" i="2"/>
  <c r="K28" i="2"/>
  <c r="F28" i="2"/>
  <c r="E28" i="2"/>
  <c r="G28" i="2" s="1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G22" i="2" s="1"/>
  <c r="B22" i="2"/>
  <c r="K21" i="2"/>
  <c r="F21" i="2"/>
  <c r="E21" i="2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G13" i="2" s="1"/>
  <c r="B13" i="2"/>
  <c r="K12" i="2"/>
  <c r="F12" i="2"/>
  <c r="E12" i="2"/>
  <c r="B12" i="2"/>
  <c r="K11" i="2"/>
  <c r="F11" i="2"/>
  <c r="E20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D42" i="3" l="1"/>
  <c r="G205" i="2"/>
  <c r="I41" i="3"/>
  <c r="K41" i="3" s="1"/>
  <c r="H41" i="3"/>
  <c r="G41" i="3"/>
  <c r="J41" i="3" s="1"/>
  <c r="P38" i="3"/>
  <c r="P39" i="3"/>
  <c r="P42" i="3"/>
  <c r="D40" i="3"/>
  <c r="E40" i="3"/>
  <c r="G42" i="3"/>
  <c r="J42" i="3" s="1"/>
  <c r="H42" i="3"/>
  <c r="I42" i="3"/>
  <c r="K42" i="3" s="1"/>
  <c r="M40" i="3"/>
  <c r="P40" i="3"/>
  <c r="M37" i="3"/>
  <c r="P37" i="3"/>
  <c r="G220" i="2"/>
  <c r="D39" i="3"/>
  <c r="F39" i="3" s="1"/>
  <c r="I38" i="3"/>
  <c r="K38" i="3" s="1"/>
  <c r="G38" i="3"/>
  <c r="J38" i="3" s="1"/>
  <c r="H38" i="3"/>
  <c r="G40" i="3"/>
  <c r="J40" i="3" s="1"/>
  <c r="H40" i="3"/>
  <c r="I40" i="3"/>
  <c r="K40" i="3" s="1"/>
  <c r="K22" i="3"/>
  <c r="K14" i="3"/>
  <c r="P12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F42" i="3"/>
  <c r="G109" i="2"/>
  <c r="G189" i="2"/>
  <c r="G197" i="2"/>
  <c r="G59" i="2"/>
  <c r="G121" i="2"/>
  <c r="G117" i="2"/>
  <c r="G65" i="2"/>
  <c r="G56" i="2"/>
  <c r="F38" i="3"/>
  <c r="G72" i="2"/>
  <c r="G46" i="2"/>
  <c r="F37" i="3"/>
  <c r="G131" i="2"/>
  <c r="G192" i="2"/>
  <c r="G57" i="2"/>
  <c r="G51" i="2"/>
  <c r="K11" i="3"/>
  <c r="G35" i="2"/>
  <c r="G132" i="2"/>
  <c r="G113" i="2"/>
  <c r="G94" i="2"/>
  <c r="G188" i="2"/>
  <c r="G54" i="2"/>
  <c r="G14" i="2"/>
  <c r="F11" i="3"/>
  <c r="F14" i="3"/>
  <c r="M36" i="3"/>
  <c r="P36" i="3"/>
  <c r="M35" i="3"/>
  <c r="P35" i="3"/>
  <c r="G118" i="2"/>
  <c r="G41" i="2"/>
  <c r="P23" i="3"/>
  <c r="P8" i="3"/>
  <c r="P7" i="3"/>
  <c r="P10" i="3"/>
  <c r="P9" i="3"/>
  <c r="P5" i="3"/>
  <c r="P4" i="3"/>
  <c r="P6" i="3"/>
  <c r="P11" i="3"/>
  <c r="P13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15" i="3"/>
  <c r="P3" i="3"/>
  <c r="P14" i="3"/>
  <c r="P34" i="3"/>
  <c r="P30" i="3"/>
  <c r="P31" i="3"/>
  <c r="P28" i="3"/>
  <c r="P26" i="3"/>
  <c r="P24" i="3"/>
  <c r="P22" i="3"/>
  <c r="P19" i="3"/>
  <c r="P18" i="3"/>
  <c r="P2" i="3"/>
  <c r="P16" i="3"/>
  <c r="P33" i="3"/>
  <c r="P32" i="3"/>
  <c r="P29" i="3"/>
  <c r="P27" i="3"/>
  <c r="P25" i="3"/>
  <c r="P21" i="3"/>
  <c r="P17" i="3"/>
  <c r="P20" i="3"/>
  <c r="G145" i="2"/>
  <c r="G33" i="2"/>
  <c r="G108" i="2"/>
  <c r="G89" i="2"/>
  <c r="F22" i="3"/>
  <c r="G68" i="2"/>
  <c r="G50" i="2"/>
  <c r="D32" i="3"/>
  <c r="F32" i="3" s="1"/>
  <c r="G45" i="2"/>
  <c r="D31" i="3"/>
  <c r="F31" i="3" s="1"/>
  <c r="G44" i="2"/>
  <c r="D30" i="3"/>
  <c r="F30" i="3" s="1"/>
  <c r="G76" i="2"/>
  <c r="G136" i="2"/>
  <c r="G92" i="2"/>
  <c r="G83" i="2"/>
  <c r="G53" i="2"/>
  <c r="G95" i="2"/>
  <c r="G82" i="2"/>
  <c r="E29" i="3"/>
  <c r="E4" i="3"/>
  <c r="E10" i="3"/>
  <c r="E18" i="3"/>
  <c r="F161" i="2"/>
  <c r="E16" i="3" s="1"/>
  <c r="F162" i="2"/>
  <c r="E6" i="3" s="1"/>
  <c r="F160" i="2"/>
  <c r="E3" i="3" s="1"/>
  <c r="F163" i="2"/>
  <c r="E34" i="3" s="1"/>
  <c r="E156" i="2"/>
  <c r="D17" i="3" s="1"/>
  <c r="E155" i="2"/>
  <c r="E157" i="2"/>
  <c r="D12" i="3" s="1"/>
  <c r="E158" i="2"/>
  <c r="E159" i="2"/>
  <c r="D33" i="3" s="1"/>
  <c r="F164" i="2"/>
  <c r="E26" i="3" s="1"/>
  <c r="E163" i="2"/>
  <c r="E162" i="2"/>
  <c r="E164" i="2"/>
  <c r="D26" i="3" s="1"/>
  <c r="F159" i="2"/>
  <c r="E33" i="3" s="1"/>
  <c r="F158" i="2"/>
  <c r="E5" i="3" s="1"/>
  <c r="F157" i="2"/>
  <c r="E12" i="3" s="1"/>
  <c r="F155" i="2"/>
  <c r="E35" i="3" s="1"/>
  <c r="F156" i="2"/>
  <c r="E17" i="3" s="1"/>
  <c r="E160" i="2"/>
  <c r="E161" i="2"/>
  <c r="D16" i="3" s="1"/>
  <c r="F170" i="2"/>
  <c r="E9" i="3" s="1"/>
  <c r="F172" i="2"/>
  <c r="E8" i="3" s="1"/>
  <c r="E166" i="2"/>
  <c r="E169" i="2"/>
  <c r="F173" i="2"/>
  <c r="E24" i="3" s="1"/>
  <c r="E168" i="2"/>
  <c r="D21" i="3" s="1"/>
  <c r="E167" i="2"/>
  <c r="D19" i="3" s="1"/>
  <c r="F171" i="2"/>
  <c r="E25" i="3" s="1"/>
  <c r="F174" i="2"/>
  <c r="E15" i="3" s="1"/>
  <c r="E165" i="2"/>
  <c r="D7" i="3" s="1"/>
  <c r="F166" i="2"/>
  <c r="E23" i="3" s="1"/>
  <c r="E173" i="2"/>
  <c r="F165" i="2"/>
  <c r="E7" i="3" s="1"/>
  <c r="E170" i="2"/>
  <c r="D9" i="3" s="1"/>
  <c r="E172" i="2"/>
  <c r="D8" i="3" s="1"/>
  <c r="E174" i="2"/>
  <c r="F169" i="2"/>
  <c r="E36" i="3" s="1"/>
  <c r="F167" i="2"/>
  <c r="E19" i="3" s="1"/>
  <c r="E171" i="2"/>
  <c r="F168" i="2"/>
  <c r="E21" i="3" s="1"/>
  <c r="G61" i="2"/>
  <c r="A2" i="6"/>
  <c r="M10" i="3"/>
  <c r="M9" i="3"/>
  <c r="M8" i="3"/>
  <c r="M7" i="3"/>
  <c r="M6" i="3"/>
  <c r="M5" i="3"/>
  <c r="M4" i="3"/>
  <c r="M3" i="3"/>
  <c r="M2" i="3"/>
  <c r="M21" i="3"/>
  <c r="M20" i="3"/>
  <c r="M19" i="3"/>
  <c r="M18" i="3"/>
  <c r="M16" i="3"/>
  <c r="M15" i="3"/>
  <c r="M12" i="3"/>
  <c r="M11" i="3"/>
  <c r="M13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17" i="3"/>
  <c r="M14" i="3"/>
  <c r="G149" i="2"/>
  <c r="G90" i="2"/>
  <c r="G58" i="2"/>
  <c r="G47" i="2"/>
  <c r="G20" i="2"/>
  <c r="E2" i="3"/>
  <c r="G96" i="2"/>
  <c r="D27" i="3"/>
  <c r="F27" i="3" s="1"/>
  <c r="G84" i="2"/>
  <c r="G55" i="2"/>
  <c r="D29" i="3"/>
  <c r="G40" i="2"/>
  <c r="G39" i="2"/>
  <c r="D28" i="3"/>
  <c r="F28" i="3" s="1"/>
  <c r="G34" i="2"/>
  <c r="D10" i="3"/>
  <c r="G27" i="2"/>
  <c r="D4" i="3"/>
  <c r="G25" i="2"/>
  <c r="G24" i="2"/>
  <c r="G23" i="2"/>
  <c r="G18" i="2"/>
  <c r="G16" i="2"/>
  <c r="G15" i="2"/>
  <c r="G12" i="2"/>
  <c r="D20" i="3"/>
  <c r="F20" i="3" s="1"/>
  <c r="G11" i="2"/>
  <c r="D2" i="3"/>
  <c r="G10" i="2"/>
  <c r="G9" i="2"/>
  <c r="G8" i="2"/>
  <c r="G7" i="2"/>
  <c r="D18" i="3"/>
  <c r="G6" i="2"/>
  <c r="G5" i="2"/>
  <c r="G4" i="2"/>
  <c r="G3" i="2"/>
  <c r="G2" i="2"/>
  <c r="F40" i="3" l="1"/>
  <c r="H39" i="3"/>
  <c r="I39" i="3"/>
  <c r="K39" i="3" s="1"/>
  <c r="G39" i="3"/>
  <c r="J39" i="3" s="1"/>
  <c r="F29" i="3"/>
  <c r="F4" i="3"/>
  <c r="F16" i="3"/>
  <c r="F26" i="3"/>
  <c r="F33" i="3"/>
  <c r="B1" i="6" a="1"/>
  <c r="F8" i="3"/>
  <c r="F10" i="3"/>
  <c r="G32" i="3"/>
  <c r="J32" i="3" s="1"/>
  <c r="I32" i="3"/>
  <c r="K32" i="3" s="1"/>
  <c r="H32" i="3"/>
  <c r="H31" i="3"/>
  <c r="G31" i="3"/>
  <c r="J31" i="3" s="1"/>
  <c r="I31" i="3"/>
  <c r="K31" i="3" s="1"/>
  <c r="G30" i="3"/>
  <c r="J30" i="3" s="1"/>
  <c r="H30" i="3"/>
  <c r="I30" i="3"/>
  <c r="K30" i="3" s="1"/>
  <c r="G173" i="2"/>
  <c r="G24" i="3" s="1"/>
  <c r="J24" i="3" s="1"/>
  <c r="D24" i="3"/>
  <c r="F24" i="3" s="1"/>
  <c r="G174" i="2"/>
  <c r="G15" i="3" s="1"/>
  <c r="J15" i="3" s="1"/>
  <c r="D15" i="3"/>
  <c r="F15" i="3" s="1"/>
  <c r="G171" i="2"/>
  <c r="G25" i="3" s="1"/>
  <c r="J25" i="3" s="1"/>
  <c r="D25" i="3"/>
  <c r="F25" i="3" s="1"/>
  <c r="F17" i="3"/>
  <c r="G159" i="2"/>
  <c r="F12" i="3"/>
  <c r="G161" i="2"/>
  <c r="G16" i="3" s="1"/>
  <c r="J16" i="3" s="1"/>
  <c r="F21" i="3"/>
  <c r="F7" i="3"/>
  <c r="F19" i="3"/>
  <c r="D35" i="3"/>
  <c r="F35" i="3" s="1"/>
  <c r="G155" i="2"/>
  <c r="D34" i="3"/>
  <c r="F34" i="3" s="1"/>
  <c r="G163" i="2"/>
  <c r="D36" i="3"/>
  <c r="F36" i="3" s="1"/>
  <c r="G169" i="2"/>
  <c r="G164" i="2"/>
  <c r="G168" i="2"/>
  <c r="G21" i="3" s="1"/>
  <c r="J21" i="3" s="1"/>
  <c r="G167" i="2"/>
  <c r="G19" i="3" s="1"/>
  <c r="J19" i="3" s="1"/>
  <c r="G165" i="2"/>
  <c r="G170" i="2"/>
  <c r="G172" i="2"/>
  <c r="F18" i="3"/>
  <c r="G156" i="2"/>
  <c r="G17" i="3" s="1"/>
  <c r="J17" i="3" s="1"/>
  <c r="G157" i="2"/>
  <c r="G158" i="2"/>
  <c r="D5" i="3"/>
  <c r="F5" i="3" s="1"/>
  <c r="G162" i="2"/>
  <c r="D6" i="3"/>
  <c r="F6" i="3" s="1"/>
  <c r="G160" i="2"/>
  <c r="D3" i="3"/>
  <c r="F3" i="3" s="1"/>
  <c r="G166" i="2"/>
  <c r="D23" i="3"/>
  <c r="F23" i="3" s="1"/>
  <c r="F9" i="3"/>
  <c r="F2" i="3"/>
  <c r="G27" i="3"/>
  <c r="J27" i="3" s="1"/>
  <c r="H27" i="3"/>
  <c r="I27" i="3"/>
  <c r="K27" i="3" s="1"/>
  <c r="G29" i="3"/>
  <c r="J29" i="3" s="1"/>
  <c r="H29" i="3"/>
  <c r="I29" i="3"/>
  <c r="K29" i="3" s="1"/>
  <c r="G28" i="3"/>
  <c r="J28" i="3" s="1"/>
  <c r="H28" i="3"/>
  <c r="I28" i="3"/>
  <c r="K28" i="3" s="1"/>
  <c r="H10" i="3"/>
  <c r="I10" i="3"/>
  <c r="K10" i="3" s="1"/>
  <c r="G10" i="3"/>
  <c r="J10" i="3" s="1"/>
  <c r="G4" i="3"/>
  <c r="J4" i="3" s="1"/>
  <c r="H4" i="3"/>
  <c r="I4" i="3"/>
  <c r="K4" i="3" s="1"/>
  <c r="G20" i="3"/>
  <c r="J20" i="3" s="1"/>
  <c r="H20" i="3"/>
  <c r="I20" i="3"/>
  <c r="K20" i="3" s="1"/>
  <c r="G2" i="3"/>
  <c r="J2" i="3" s="1"/>
  <c r="H2" i="3"/>
  <c r="I2" i="3"/>
  <c r="K2" i="3" s="1"/>
  <c r="G18" i="3"/>
  <c r="J18" i="3" s="1"/>
  <c r="H18" i="3"/>
  <c r="I18" i="3"/>
  <c r="K18" i="3" s="1"/>
  <c r="G5" i="3"/>
  <c r="J5" i="3" s="1"/>
  <c r="H5" i="3"/>
  <c r="I5" i="3"/>
  <c r="K5" i="3" s="1"/>
  <c r="O2" i="6" l="1" a="1"/>
  <c r="O2" i="6" s="1"/>
  <c r="W2" i="6" a="1"/>
  <c r="W2" i="6" s="1"/>
  <c r="S2" i="6" a="1"/>
  <c r="S2" i="6" s="1"/>
  <c r="J2" i="6" a="1"/>
  <c r="J2" i="6" s="1"/>
  <c r="B1" i="6"/>
  <c r="G6" i="3"/>
  <c r="J6" i="3" s="1"/>
  <c r="H6" i="3"/>
  <c r="I6" i="3"/>
  <c r="K6" i="3" s="1"/>
  <c r="I12" i="3"/>
  <c r="K12" i="3" s="1"/>
  <c r="G12" i="3"/>
  <c r="J12" i="3" s="1"/>
  <c r="H12" i="3"/>
  <c r="I24" i="3"/>
  <c r="K24" i="3" s="1"/>
  <c r="H24" i="3"/>
  <c r="G3" i="3"/>
  <c r="J3" i="3" s="1"/>
  <c r="H3" i="3"/>
  <c r="I3" i="3"/>
  <c r="K3" i="3" s="1"/>
  <c r="G26" i="3"/>
  <c r="J26" i="3" s="1"/>
  <c r="H26" i="3"/>
  <c r="I26" i="3"/>
  <c r="K26" i="3" s="1"/>
  <c r="H21" i="3"/>
  <c r="I21" i="3"/>
  <c r="K21" i="3" s="1"/>
  <c r="H19" i="3"/>
  <c r="I19" i="3"/>
  <c r="K19" i="3" s="1"/>
  <c r="H9" i="3"/>
  <c r="I9" i="3"/>
  <c r="K9" i="3" s="1"/>
  <c r="G9" i="3"/>
  <c r="J9" i="3" s="1"/>
  <c r="L2" i="6" a="1"/>
  <c r="L2" i="6" s="1"/>
  <c r="U2" i="6" a="1"/>
  <c r="U2" i="6" s="1"/>
  <c r="AA2" i="6" a="1"/>
  <c r="AA2" i="6" s="1"/>
  <c r="N2" i="6" a="1"/>
  <c r="N2" i="6" s="1"/>
  <c r="V2" i="6" a="1"/>
  <c r="V2" i="6" s="1"/>
  <c r="H2" i="6" a="1"/>
  <c r="H2" i="6" s="1"/>
  <c r="Q2" i="6" a="1"/>
  <c r="Q2" i="6" s="1"/>
  <c r="Z2" i="6" a="1"/>
  <c r="Z2" i="6" s="1"/>
  <c r="M2" i="6" a="1"/>
  <c r="M2" i="6" s="1"/>
  <c r="X2" i="6" a="1"/>
  <c r="X2" i="6" s="1"/>
  <c r="R2" i="6" a="1"/>
  <c r="R2" i="6" s="1"/>
  <c r="G2" i="6" a="1"/>
  <c r="G2" i="6" s="1"/>
  <c r="P2" i="6" a="1"/>
  <c r="P2" i="6" s="1"/>
  <c r="Y2" i="6" a="1"/>
  <c r="Y2" i="6" s="1"/>
  <c r="D2" i="6" a="1"/>
  <c r="D2" i="6" s="1"/>
  <c r="E2" i="6" a="1"/>
  <c r="E2" i="6" s="1"/>
  <c r="F2" i="6" a="1"/>
  <c r="F2" i="6" s="1"/>
  <c r="I2" i="6" a="1"/>
  <c r="I2" i="6" s="1"/>
  <c r="AB2" i="6" a="1"/>
  <c r="AB2" i="6" s="1"/>
  <c r="AC2" i="6" a="1"/>
  <c r="AC2" i="6" s="1"/>
  <c r="AD2" i="6" a="1"/>
  <c r="AD2" i="6" s="1"/>
  <c r="AE2" i="6" a="1"/>
  <c r="AE2" i="6" s="1"/>
  <c r="AF2" i="6" a="1"/>
  <c r="AF2" i="6" s="1"/>
  <c r="C2" i="6" a="1"/>
  <c r="C2" i="6" s="1"/>
  <c r="K2" i="6" a="1"/>
  <c r="K2" i="6" s="1"/>
  <c r="T2" i="6" a="1"/>
  <c r="T2" i="6" s="1"/>
  <c r="N7" i="6" a="1"/>
  <c r="N7" i="6" s="1"/>
  <c r="E32" i="6" a="1"/>
  <c r="E32" i="6" s="1"/>
  <c r="I32" i="6" a="1"/>
  <c r="I32" i="6" s="1"/>
  <c r="P32" i="6" a="1"/>
  <c r="P32" i="6" s="1"/>
  <c r="U32" i="6" a="1"/>
  <c r="U32" i="6" s="1"/>
  <c r="Y32" i="6" a="1"/>
  <c r="Y32" i="6" s="1"/>
  <c r="AD32" i="6" a="1"/>
  <c r="AD32" i="6" s="1"/>
  <c r="F3" i="6" a="1"/>
  <c r="F3" i="6" s="1"/>
  <c r="M3" i="6" a="1"/>
  <c r="M3" i="6" s="1"/>
  <c r="Q3" i="6" a="1"/>
  <c r="Q3" i="6" s="1"/>
  <c r="V3" i="6" a="1"/>
  <c r="V3" i="6" s="1"/>
  <c r="Z3" i="6" a="1"/>
  <c r="Z3" i="6" s="1"/>
  <c r="AF3" i="6" a="1"/>
  <c r="AF3" i="6" s="1"/>
  <c r="G4" i="6" a="1"/>
  <c r="G4" i="6" s="1"/>
  <c r="K4" i="6" a="1"/>
  <c r="K4" i="6" s="1"/>
  <c r="N4" i="6" a="1"/>
  <c r="N4" i="6" s="1"/>
  <c r="S4" i="6" a="1"/>
  <c r="S4" i="6" s="1"/>
  <c r="W4" i="6" a="1"/>
  <c r="W4" i="6" s="1"/>
  <c r="AA4" i="6" a="1"/>
  <c r="AA4" i="6" s="1"/>
  <c r="AD4" i="6" a="1"/>
  <c r="AD4" i="6" s="1"/>
  <c r="G5" i="6" a="1"/>
  <c r="G5" i="6" s="1"/>
  <c r="K5" i="6" a="1"/>
  <c r="K5" i="6" s="1"/>
  <c r="N5" i="6" a="1"/>
  <c r="N5" i="6" s="1"/>
  <c r="R5" i="6" a="1"/>
  <c r="R5" i="6" s="1"/>
  <c r="P7" i="6" a="1"/>
  <c r="P7" i="6" s="1"/>
  <c r="X7" i="6" a="1"/>
  <c r="X7" i="6" s="1"/>
  <c r="AC7" i="6" a="1"/>
  <c r="AC7" i="6" s="1"/>
  <c r="D8" i="6" a="1"/>
  <c r="D8" i="6" s="1"/>
  <c r="K8" i="6" a="1"/>
  <c r="K8" i="6" s="1"/>
  <c r="S8" i="6" a="1"/>
  <c r="S8" i="6" s="1"/>
  <c r="X8" i="6" a="1"/>
  <c r="X8" i="6" s="1"/>
  <c r="AC8" i="6" a="1"/>
  <c r="AC8" i="6" s="1"/>
  <c r="E9" i="6" a="1"/>
  <c r="E9" i="6" s="1"/>
  <c r="M9" i="6" a="1"/>
  <c r="M9" i="6" s="1"/>
  <c r="G12" i="6" a="1"/>
  <c r="G12" i="6" s="1"/>
  <c r="M12" i="6" a="1"/>
  <c r="M12" i="6" s="1"/>
  <c r="U12" i="6" a="1"/>
  <c r="U12" i="6" s="1"/>
  <c r="AE12" i="6" a="1"/>
  <c r="AE12" i="6" s="1"/>
  <c r="T6" i="6" a="1"/>
  <c r="T6" i="6" s="1"/>
  <c r="W6" i="6" a="1"/>
  <c r="W6" i="6" s="1"/>
  <c r="AA6" i="6" a="1"/>
  <c r="AA6" i="6" s="1"/>
  <c r="AE6" i="6" a="1"/>
  <c r="AE6" i="6" s="1"/>
  <c r="D7" i="6" a="1"/>
  <c r="D7" i="6" s="1"/>
  <c r="H7" i="6" a="1"/>
  <c r="H7" i="6" s="1"/>
  <c r="M7" i="6" a="1"/>
  <c r="M7" i="6" s="1"/>
  <c r="T7" i="6" a="1"/>
  <c r="T7" i="6" s="1"/>
  <c r="AD7" i="6" a="1"/>
  <c r="AD7" i="6" s="1"/>
  <c r="Q8" i="6" a="1"/>
  <c r="Q8" i="6" s="1"/>
  <c r="AA8" i="6" a="1"/>
  <c r="AA8" i="6" s="1"/>
  <c r="AA10" i="6" a="1"/>
  <c r="AA10" i="6" s="1"/>
  <c r="D11" i="6" a="1"/>
  <c r="D11" i="6" s="1"/>
  <c r="H11" i="6" a="1"/>
  <c r="H11" i="6" s="1"/>
  <c r="N11" i="6" a="1"/>
  <c r="N11" i="6" s="1"/>
  <c r="Y13" i="6" a="1"/>
  <c r="Y13" i="6" s="1"/>
  <c r="AF13" i="6" a="1"/>
  <c r="AF13" i="6" s="1"/>
  <c r="H14" i="6" a="1"/>
  <c r="H14" i="6" s="1"/>
  <c r="O14" i="6" a="1"/>
  <c r="O14" i="6" s="1"/>
  <c r="E13" i="6" a="1"/>
  <c r="E13" i="6" s="1"/>
  <c r="H13" i="6" a="1"/>
  <c r="H13" i="6" s="1"/>
  <c r="L13" i="6" a="1"/>
  <c r="L13" i="6" s="1"/>
  <c r="Q16" i="6" a="1"/>
  <c r="Q16" i="6" s="1"/>
  <c r="U16" i="6" a="1"/>
  <c r="U16" i="6" s="1"/>
  <c r="Z16" i="6" a="1"/>
  <c r="Z16" i="6" s="1"/>
  <c r="AE16" i="6" a="1"/>
  <c r="AE16" i="6" s="1"/>
  <c r="F17" i="6" a="1"/>
  <c r="F17" i="6" s="1"/>
  <c r="J17" i="6" a="1"/>
  <c r="J17" i="6" s="1"/>
  <c r="K20" i="6" a="1"/>
  <c r="K20" i="6" s="1"/>
  <c r="Q20" i="6" a="1"/>
  <c r="Q20" i="6" s="1"/>
  <c r="X20" i="6" a="1"/>
  <c r="X20" i="6" s="1"/>
  <c r="AD20" i="6" a="1"/>
  <c r="AD20" i="6" s="1"/>
  <c r="E21" i="6" a="1"/>
  <c r="E21" i="6" s="1"/>
  <c r="U24" i="6" a="1"/>
  <c r="U24" i="6" s="1"/>
  <c r="AC24" i="6" a="1"/>
  <c r="AC24" i="6" s="1"/>
  <c r="I28" i="6" a="1"/>
  <c r="I28" i="6" s="1"/>
  <c r="P28" i="6" a="1"/>
  <c r="P28" i="6" s="1"/>
  <c r="W28" i="6" a="1"/>
  <c r="W28" i="6" s="1"/>
  <c r="AD28" i="6" a="1"/>
  <c r="AD28" i="6" s="1"/>
  <c r="U5" i="6" a="1"/>
  <c r="U5" i="6" s="1"/>
  <c r="V5" i="6" a="1"/>
  <c r="V5" i="6" s="1"/>
  <c r="W5" i="6" a="1"/>
  <c r="W5" i="6" s="1"/>
  <c r="X5" i="6" a="1"/>
  <c r="X5" i="6" s="1"/>
  <c r="Y5" i="6" a="1"/>
  <c r="Y5" i="6" s="1"/>
  <c r="Z5" i="6" a="1"/>
  <c r="Z5" i="6" s="1"/>
  <c r="AA5" i="6" a="1"/>
  <c r="AA5" i="6" s="1"/>
  <c r="AB5" i="6" a="1"/>
  <c r="AB5" i="6" s="1"/>
  <c r="AC5" i="6" a="1"/>
  <c r="AC5" i="6" s="1"/>
  <c r="AD5" i="6" a="1"/>
  <c r="AD5" i="6" s="1"/>
  <c r="AE5" i="6" a="1"/>
  <c r="AE5" i="6" s="1"/>
  <c r="AF5" i="6" a="1"/>
  <c r="AF5" i="6" s="1"/>
  <c r="C6" i="6" a="1"/>
  <c r="C6" i="6" s="1"/>
  <c r="D6" i="6" a="1"/>
  <c r="D6" i="6" s="1"/>
  <c r="E6" i="6" a="1"/>
  <c r="E6" i="6" s="1"/>
  <c r="G6" i="6" a="1"/>
  <c r="G6" i="6" s="1"/>
  <c r="H6" i="6" a="1"/>
  <c r="H6" i="6" s="1"/>
  <c r="I6" i="6" a="1"/>
  <c r="I6" i="6" s="1"/>
  <c r="J6" i="6" a="1"/>
  <c r="J6" i="6" s="1"/>
  <c r="K6" i="6" a="1"/>
  <c r="K6" i="6" s="1"/>
  <c r="L6" i="6" a="1"/>
  <c r="L6" i="6" s="1"/>
  <c r="M6" i="6" a="1"/>
  <c r="M6" i="6" s="1"/>
  <c r="N6" i="6" a="1"/>
  <c r="N6" i="6" s="1"/>
  <c r="O6" i="6" a="1"/>
  <c r="O6" i="6" s="1"/>
  <c r="P6" i="6" a="1"/>
  <c r="P6" i="6" s="1"/>
  <c r="Q6" i="6" a="1"/>
  <c r="Q6" i="6" s="1"/>
  <c r="R6" i="6" a="1"/>
  <c r="R6" i="6" s="1"/>
  <c r="U6" i="6" a="1"/>
  <c r="U6" i="6" s="1"/>
  <c r="X6" i="6" a="1"/>
  <c r="X6" i="6" s="1"/>
  <c r="Z6" i="6" a="1"/>
  <c r="Z6" i="6" s="1"/>
  <c r="AC6" i="6" a="1"/>
  <c r="AC6" i="6" s="1"/>
  <c r="AF6" i="6" a="1"/>
  <c r="AF6" i="6" s="1"/>
  <c r="E7" i="6" a="1"/>
  <c r="E7" i="6" s="1"/>
  <c r="I7" i="6" a="1"/>
  <c r="I7" i="6" s="1"/>
  <c r="K7" i="6" a="1"/>
  <c r="K7" i="6" s="1"/>
  <c r="T14" i="6" a="1"/>
  <c r="T14" i="6" s="1"/>
  <c r="W7" i="6" a="1"/>
  <c r="W7" i="6" s="1"/>
  <c r="C8" i="6" a="1"/>
  <c r="C8" i="6" s="1"/>
  <c r="J8" i="6" a="1"/>
  <c r="J8" i="6" s="1"/>
  <c r="T8" i="6" a="1"/>
  <c r="T8" i="6" s="1"/>
  <c r="Y10" i="6" a="1"/>
  <c r="Y10" i="6" s="1"/>
  <c r="AC10" i="6" a="1"/>
  <c r="AC10" i="6" s="1"/>
  <c r="AF10" i="6" a="1"/>
  <c r="AF10" i="6" s="1"/>
  <c r="F11" i="6" a="1"/>
  <c r="F11" i="6" s="1"/>
  <c r="J11" i="6" a="1"/>
  <c r="J11" i="6" s="1"/>
  <c r="P11" i="6" a="1"/>
  <c r="P11" i="6" s="1"/>
  <c r="AA13" i="6" a="1"/>
  <c r="AA13" i="6" s="1"/>
  <c r="AE13" i="6" a="1"/>
  <c r="AE13" i="6" s="1"/>
  <c r="E14" i="6" a="1"/>
  <c r="E14" i="6" s="1"/>
  <c r="J14" i="6" a="1"/>
  <c r="J14" i="6" s="1"/>
  <c r="Q14" i="6" a="1"/>
  <c r="Q14" i="6" s="1"/>
  <c r="V14" i="6" a="1"/>
  <c r="V14" i="6" s="1"/>
  <c r="AB14" i="6" a="1"/>
  <c r="AB14" i="6" s="1"/>
  <c r="C15" i="6" a="1"/>
  <c r="C15" i="6" s="1"/>
  <c r="H15" i="6" a="1"/>
  <c r="H15" i="6" s="1"/>
  <c r="M15" i="6" a="1"/>
  <c r="M15" i="6" s="1"/>
  <c r="T15" i="6" a="1"/>
  <c r="T15" i="6" s="1"/>
  <c r="Z15" i="6" a="1"/>
  <c r="Z15" i="6" s="1"/>
  <c r="AD15" i="6" a="1"/>
  <c r="AD15" i="6" s="1"/>
  <c r="E16" i="6" a="1"/>
  <c r="E16" i="6" s="1"/>
  <c r="K16" i="6" a="1"/>
  <c r="K16" i="6" s="1"/>
  <c r="X16" i="6" a="1"/>
  <c r="X16" i="6" s="1"/>
  <c r="U20" i="6" a="1"/>
  <c r="U20" i="6" s="1"/>
  <c r="R24" i="6" a="1"/>
  <c r="R24" i="6" s="1"/>
  <c r="K17" i="6" a="1"/>
  <c r="K17" i="6" s="1"/>
  <c r="S17" i="6" a="1"/>
  <c r="S17" i="6" s="1"/>
  <c r="Z17" i="6" a="1"/>
  <c r="Z17" i="6" s="1"/>
  <c r="AD17" i="6" a="1"/>
  <c r="AD17" i="6" s="1"/>
  <c r="J21" i="6" a="1"/>
  <c r="J21" i="6" s="1"/>
  <c r="R21" i="6" a="1"/>
  <c r="R21" i="6" s="1"/>
  <c r="K24" i="6" a="1"/>
  <c r="K24" i="6" s="1"/>
  <c r="N27" i="6" a="1"/>
  <c r="N27" i="6" s="1"/>
  <c r="U27" i="6" a="1"/>
  <c r="U27" i="6" s="1"/>
  <c r="K31" i="6" a="1"/>
  <c r="K31" i="6" s="1"/>
  <c r="AD8" i="6" a="1"/>
  <c r="AD8" i="6" s="1"/>
  <c r="C9" i="6" a="1"/>
  <c r="C9" i="6" s="1"/>
  <c r="F9" i="6" a="1"/>
  <c r="F9" i="6" s="1"/>
  <c r="K9" i="6" a="1"/>
  <c r="K9" i="6" s="1"/>
  <c r="O9" i="6" a="1"/>
  <c r="O9" i="6" s="1"/>
  <c r="F12" i="6" a="1"/>
  <c r="F12" i="6" s="1"/>
  <c r="I12" i="6" a="1"/>
  <c r="I12" i="6" s="1"/>
  <c r="O12" i="6" a="1"/>
  <c r="O12" i="6" s="1"/>
  <c r="T12" i="6" a="1"/>
  <c r="T12" i="6" s="1"/>
  <c r="X12" i="6" a="1"/>
  <c r="X12" i="6" s="1"/>
  <c r="AC12" i="6" a="1"/>
  <c r="AC12" i="6" s="1"/>
  <c r="C13" i="6" a="1"/>
  <c r="C13" i="6" s="1"/>
  <c r="G13" i="6" a="1"/>
  <c r="G13" i="6" s="1"/>
  <c r="J13" i="6" a="1"/>
  <c r="J13" i="6" s="1"/>
  <c r="R16" i="6" a="1"/>
  <c r="R16" i="6" s="1"/>
  <c r="W16" i="6" a="1"/>
  <c r="W16" i="6" s="1"/>
  <c r="AC16" i="6" a="1"/>
  <c r="AC16" i="6" s="1"/>
  <c r="E17" i="6" a="1"/>
  <c r="E17" i="6" s="1"/>
  <c r="H20" i="6" a="1"/>
  <c r="H20" i="6" s="1"/>
  <c r="N20" i="6" a="1"/>
  <c r="N20" i="6" s="1"/>
  <c r="V20" i="6" a="1"/>
  <c r="V20" i="6" s="1"/>
  <c r="AB20" i="6" a="1"/>
  <c r="AB20" i="6" s="1"/>
  <c r="F21" i="6" a="1"/>
  <c r="F21" i="6" s="1"/>
  <c r="W24" i="6" a="1"/>
  <c r="W24" i="6" s="1"/>
  <c r="AE24" i="6" a="1"/>
  <c r="AE24" i="6" s="1"/>
  <c r="N28" i="6" a="1"/>
  <c r="N28" i="6" s="1"/>
  <c r="X28" i="6" a="1"/>
  <c r="X28" i="6" s="1"/>
  <c r="R9" i="6" a="1"/>
  <c r="R9" i="6" s="1"/>
  <c r="S9" i="6" a="1"/>
  <c r="S9" i="6" s="1"/>
  <c r="T9" i="6" a="1"/>
  <c r="T9" i="6" s="1"/>
  <c r="U9" i="6" a="1"/>
  <c r="U9" i="6" s="1"/>
  <c r="V9" i="6" a="1"/>
  <c r="V9" i="6" s="1"/>
  <c r="W9" i="6" a="1"/>
  <c r="W9" i="6" s="1"/>
  <c r="X9" i="6" a="1"/>
  <c r="X9" i="6" s="1"/>
  <c r="Y9" i="6" a="1"/>
  <c r="Y9" i="6" s="1"/>
  <c r="Z9" i="6" a="1"/>
  <c r="Z9" i="6" s="1"/>
  <c r="AA9" i="6" a="1"/>
  <c r="AA9" i="6" s="1"/>
  <c r="AB9" i="6" a="1"/>
  <c r="AB9" i="6" s="1"/>
  <c r="AC9" i="6" a="1"/>
  <c r="AC9" i="6" s="1"/>
  <c r="AD9" i="6" a="1"/>
  <c r="AD9" i="6" s="1"/>
  <c r="AE9" i="6" a="1"/>
  <c r="AE9" i="6" s="1"/>
  <c r="AF9" i="6" a="1"/>
  <c r="AF9" i="6" s="1"/>
  <c r="C10" i="6" a="1"/>
  <c r="C10" i="6" s="1"/>
  <c r="D10" i="6" a="1"/>
  <c r="D10" i="6" s="1"/>
  <c r="E10" i="6" a="1"/>
  <c r="E10" i="6" s="1"/>
  <c r="F10" i="6" a="1"/>
  <c r="F10" i="6" s="1"/>
  <c r="G10" i="6" a="1"/>
  <c r="G10" i="6" s="1"/>
  <c r="H10" i="6" a="1"/>
  <c r="H10" i="6" s="1"/>
  <c r="I10" i="6" a="1"/>
  <c r="I10" i="6" s="1"/>
  <c r="K10" i="6" a="1"/>
  <c r="K10" i="6" s="1"/>
  <c r="L10" i="6" a="1"/>
  <c r="L10" i="6" s="1"/>
  <c r="M10" i="6" a="1"/>
  <c r="M10" i="6" s="1"/>
  <c r="N10" i="6" a="1"/>
  <c r="N10" i="6" s="1"/>
  <c r="O10" i="6" a="1"/>
  <c r="O10" i="6" s="1"/>
  <c r="P10" i="6" a="1"/>
  <c r="P10" i="6" s="1"/>
  <c r="Q10" i="6" a="1"/>
  <c r="Q10" i="6" s="1"/>
  <c r="R10" i="6" a="1"/>
  <c r="R10" i="6" s="1"/>
  <c r="S10" i="6" a="1"/>
  <c r="S10" i="6" s="1"/>
  <c r="T10" i="6" a="1"/>
  <c r="T10" i="6" s="1"/>
  <c r="U10" i="6" a="1"/>
  <c r="U10" i="6" s="1"/>
  <c r="V10" i="6" a="1"/>
  <c r="V10" i="6" s="1"/>
  <c r="W10" i="6" a="1"/>
  <c r="W10" i="6" s="1"/>
  <c r="X10" i="6" a="1"/>
  <c r="X10" i="6" s="1"/>
  <c r="AB10" i="6" a="1"/>
  <c r="AB10" i="6" s="1"/>
  <c r="AE10" i="6" a="1"/>
  <c r="AE10" i="6" s="1"/>
  <c r="E11" i="6" a="1"/>
  <c r="E11" i="6" s="1"/>
  <c r="I11" i="6" a="1"/>
  <c r="I11" i="6" s="1"/>
  <c r="M11" i="6" a="1"/>
  <c r="M11" i="6" s="1"/>
  <c r="X13" i="6" a="1"/>
  <c r="X13" i="6" s="1"/>
  <c r="AB13" i="6" a="1"/>
  <c r="AB13" i="6" s="1"/>
  <c r="C14" i="6" a="1"/>
  <c r="C14" i="6" s="1"/>
  <c r="G14" i="6" a="1"/>
  <c r="G14" i="6" s="1"/>
  <c r="M14" i="6" a="1"/>
  <c r="M14" i="6" s="1"/>
  <c r="R27" i="6" a="1"/>
  <c r="R27" i="6" s="1"/>
  <c r="X14" i="6" a="1"/>
  <c r="X14" i="6" s="1"/>
  <c r="AC14" i="6" a="1"/>
  <c r="AC14" i="6" s="1"/>
  <c r="E15" i="6" a="1"/>
  <c r="E15" i="6" s="1"/>
  <c r="K15" i="6" a="1"/>
  <c r="K15" i="6" s="1"/>
  <c r="Q15" i="6" a="1"/>
  <c r="Q15" i="6" s="1"/>
  <c r="U15" i="6" a="1"/>
  <c r="U15" i="6" s="1"/>
  <c r="AA15" i="6" a="1"/>
  <c r="AA15" i="6" s="1"/>
  <c r="C16" i="6" a="1"/>
  <c r="C16" i="6" s="1"/>
  <c r="I16" i="6" a="1"/>
  <c r="I16" i="6" s="1"/>
  <c r="L16" i="6" a="1"/>
  <c r="L16" i="6" s="1"/>
  <c r="AB16" i="6" a="1"/>
  <c r="AB16" i="6" s="1"/>
  <c r="Z20" i="6" a="1"/>
  <c r="Z20" i="6" s="1"/>
  <c r="V28" i="6" a="1"/>
  <c r="V28" i="6" s="1"/>
  <c r="O17" i="6" a="1"/>
  <c r="O17" i="6" s="1"/>
  <c r="U17" i="6" a="1"/>
  <c r="U17" i="6" s="1"/>
  <c r="AB17" i="6" a="1"/>
  <c r="AB17" i="6" s="1"/>
  <c r="H21" i="6" a="1"/>
  <c r="H21" i="6" s="1"/>
  <c r="P21" i="6" a="1"/>
  <c r="P21" i="6" s="1"/>
  <c r="E24" i="6" a="1"/>
  <c r="E24" i="6" s="1"/>
  <c r="N24" i="6" a="1"/>
  <c r="N24" i="6" s="1"/>
  <c r="Q27" i="6" a="1"/>
  <c r="Q27" i="6" s="1"/>
  <c r="F31" i="6" a="1"/>
  <c r="F31" i="6" s="1"/>
  <c r="Q11" i="6" a="1"/>
  <c r="Q11" i="6" s="1"/>
  <c r="R11" i="6" a="1"/>
  <c r="R11" i="6" s="1"/>
  <c r="S11" i="6" a="1"/>
  <c r="S11" i="6" s="1"/>
  <c r="T11" i="6" a="1"/>
  <c r="T11" i="6" s="1"/>
  <c r="U11" i="6" a="1"/>
  <c r="U11" i="6" s="1"/>
  <c r="V11" i="6" a="1"/>
  <c r="V11" i="6" s="1"/>
  <c r="W11" i="6" a="1"/>
  <c r="W11" i="6" s="1"/>
  <c r="X11" i="6" a="1"/>
  <c r="X11" i="6" s="1"/>
  <c r="Y11" i="6" a="1"/>
  <c r="Y11" i="6" s="1"/>
  <c r="Z11" i="6" a="1"/>
  <c r="Z11" i="6" s="1"/>
  <c r="AA11" i="6" a="1"/>
  <c r="AA11" i="6" s="1"/>
  <c r="AB11" i="6" a="1"/>
  <c r="AB11" i="6" s="1"/>
  <c r="AC11" i="6" a="1"/>
  <c r="AC11" i="6" s="1"/>
  <c r="AD11" i="6" a="1"/>
  <c r="AD11" i="6" s="1"/>
  <c r="AE11" i="6" a="1"/>
  <c r="AE11" i="6" s="1"/>
  <c r="AF11" i="6" a="1"/>
  <c r="AF11" i="6" s="1"/>
  <c r="C12" i="6" a="1"/>
  <c r="C12" i="6" s="1"/>
  <c r="D12" i="6" a="1"/>
  <c r="D12" i="6" s="1"/>
  <c r="E12" i="6" a="1"/>
  <c r="E12" i="6" s="1"/>
  <c r="H12" i="6" a="1"/>
  <c r="H12" i="6" s="1"/>
  <c r="K12" i="6" a="1"/>
  <c r="K12" i="6" s="1"/>
  <c r="P12" i="6" a="1"/>
  <c r="P12" i="6" s="1"/>
  <c r="S12" i="6" a="1"/>
  <c r="S12" i="6" s="1"/>
  <c r="V12" i="6" a="1"/>
  <c r="V12" i="6" s="1"/>
  <c r="Z12" i="6" a="1"/>
  <c r="Z12" i="6" s="1"/>
  <c r="AD12" i="6" a="1"/>
  <c r="AD12" i="6" s="1"/>
  <c r="D13" i="6" a="1"/>
  <c r="D13" i="6" s="1"/>
  <c r="K13" i="6" a="1"/>
  <c r="K13" i="6" s="1"/>
  <c r="T16" i="6" a="1"/>
  <c r="T16" i="6" s="1"/>
  <c r="Y16" i="6" a="1"/>
  <c r="Y16" i="6" s="1"/>
  <c r="AD16" i="6" a="1"/>
  <c r="AD16" i="6" s="1"/>
  <c r="D17" i="6" a="1"/>
  <c r="D17" i="6" s="1"/>
  <c r="I17" i="6" a="1"/>
  <c r="I17" i="6" s="1"/>
  <c r="J20" i="6" a="1"/>
  <c r="J20" i="6" s="1"/>
  <c r="P20" i="6" a="1"/>
  <c r="P20" i="6" s="1"/>
  <c r="W20" i="6" a="1"/>
  <c r="W20" i="6" s="1"/>
  <c r="AC20" i="6" a="1"/>
  <c r="AC20" i="6" s="1"/>
  <c r="D21" i="6" a="1"/>
  <c r="D21" i="6" s="1"/>
  <c r="T24" i="6" a="1"/>
  <c r="T24" i="6" s="1"/>
  <c r="AB24" i="6" a="1"/>
  <c r="AB24" i="6" s="1"/>
  <c r="G28" i="6" a="1"/>
  <c r="G28" i="6" s="1"/>
  <c r="O28" i="6" a="1"/>
  <c r="O28" i="6" s="1"/>
  <c r="S28" i="6" a="1"/>
  <c r="S28" i="6" s="1"/>
  <c r="Z28" i="6" a="1"/>
  <c r="Z28" i="6" s="1"/>
  <c r="O13" i="6" a="1"/>
  <c r="O13" i="6" s="1"/>
  <c r="P13" i="6" a="1"/>
  <c r="P13" i="6" s="1"/>
  <c r="Q13" i="6" a="1"/>
  <c r="Q13" i="6" s="1"/>
  <c r="R13" i="6" a="1"/>
  <c r="R13" i="6" s="1"/>
  <c r="S13" i="6" a="1"/>
  <c r="S13" i="6" s="1"/>
  <c r="T13" i="6" a="1"/>
  <c r="T13" i="6" s="1"/>
  <c r="U13" i="6" a="1"/>
  <c r="U13" i="6" s="1"/>
  <c r="V13" i="6" a="1"/>
  <c r="V13" i="6" s="1"/>
  <c r="W13" i="6" a="1"/>
  <c r="W13" i="6" s="1"/>
  <c r="AC13" i="6" a="1"/>
  <c r="AC13" i="6" s="1"/>
  <c r="D14" i="6" a="1"/>
  <c r="D14" i="6" s="1"/>
  <c r="L14" i="6" a="1"/>
  <c r="L14" i="6" s="1"/>
  <c r="S14" i="6" a="1"/>
  <c r="S14" i="6" s="1"/>
  <c r="Y14" i="6" a="1"/>
  <c r="Y14" i="6" s="1"/>
  <c r="D15" i="6" a="1"/>
  <c r="D15" i="6" s="1"/>
  <c r="J15" i="6" a="1"/>
  <c r="J15" i="6" s="1"/>
  <c r="R15" i="6" a="1"/>
  <c r="R15" i="6" s="1"/>
  <c r="Y15" i="6" a="1"/>
  <c r="Y15" i="6" s="1"/>
  <c r="AF15" i="6" a="1"/>
  <c r="AF15" i="6" s="1"/>
  <c r="H16" i="6" a="1"/>
  <c r="H16" i="6" s="1"/>
  <c r="O16" i="6" a="1"/>
  <c r="O16" i="6" s="1"/>
  <c r="I20" i="6" a="1"/>
  <c r="I20" i="6" s="1"/>
  <c r="C25" i="6" a="1"/>
  <c r="C25" i="6" s="1"/>
  <c r="M17" i="6" a="1"/>
  <c r="M17" i="6" s="1"/>
  <c r="W17" i="6" a="1"/>
  <c r="W17" i="6" s="1"/>
  <c r="AE17" i="6" a="1"/>
  <c r="AE17" i="6" s="1"/>
  <c r="M21" i="6" a="1"/>
  <c r="M21" i="6" s="1"/>
  <c r="G24" i="6" a="1"/>
  <c r="G24" i="6" s="1"/>
  <c r="P24" i="6" a="1"/>
  <c r="P24" i="6" s="1"/>
  <c r="V27" i="6" a="1"/>
  <c r="V27" i="6" s="1"/>
  <c r="M31" i="6" a="1"/>
  <c r="M31" i="6" s="1"/>
  <c r="AA14" i="6" a="1"/>
  <c r="AA14" i="6" s="1"/>
  <c r="AD14" i="6" a="1"/>
  <c r="AD14" i="6" s="1"/>
  <c r="G15" i="6" a="1"/>
  <c r="G15" i="6" s="1"/>
  <c r="N15" i="6" a="1"/>
  <c r="N15" i="6" s="1"/>
  <c r="V15" i="6" a="1"/>
  <c r="V15" i="6" s="1"/>
  <c r="AC15" i="6" a="1"/>
  <c r="AC15" i="6" s="1"/>
  <c r="F16" i="6" a="1"/>
  <c r="F16" i="6" s="1"/>
  <c r="M16" i="6" a="1"/>
  <c r="M16" i="6" s="1"/>
  <c r="G17" i="6" a="1"/>
  <c r="G17" i="6" s="1"/>
  <c r="Y24" i="6" a="1"/>
  <c r="Y24" i="6" s="1"/>
  <c r="N17" i="6" a="1"/>
  <c r="N17" i="6" s="1"/>
  <c r="X17" i="6" a="1"/>
  <c r="X17" i="6" s="1"/>
  <c r="K28" i="6" a="1"/>
  <c r="K28" i="6" s="1"/>
  <c r="N21" i="6" a="1"/>
  <c r="N21" i="6" s="1"/>
  <c r="I24" i="6" a="1"/>
  <c r="I24" i="6" s="1"/>
  <c r="M27" i="6" a="1"/>
  <c r="M27" i="6" s="1"/>
  <c r="D31" i="6" a="1"/>
  <c r="D31" i="6" s="1"/>
  <c r="AF17" i="6" a="1"/>
  <c r="AF17" i="6" s="1"/>
  <c r="C18" i="6" a="1"/>
  <c r="C18" i="6" s="1"/>
  <c r="D18" i="6" a="1"/>
  <c r="D18" i="6" s="1"/>
  <c r="E18" i="6" a="1"/>
  <c r="E18" i="6" s="1"/>
  <c r="F18" i="6" a="1"/>
  <c r="F18" i="6" s="1"/>
  <c r="G18" i="6" a="1"/>
  <c r="G18" i="6" s="1"/>
  <c r="H18" i="6" a="1"/>
  <c r="H18" i="6" s="1"/>
  <c r="I18" i="6" a="1"/>
  <c r="I18" i="6" s="1"/>
  <c r="J18" i="6" a="1"/>
  <c r="J18" i="6" s="1"/>
  <c r="K18" i="6" a="1"/>
  <c r="K18" i="6" s="1"/>
  <c r="L18" i="6" a="1"/>
  <c r="L18" i="6" s="1"/>
  <c r="M18" i="6" a="1"/>
  <c r="M18" i="6" s="1"/>
  <c r="N18" i="6" a="1"/>
  <c r="N18" i="6" s="1"/>
  <c r="O18" i="6" a="1"/>
  <c r="O18" i="6" s="1"/>
  <c r="P18" i="6" a="1"/>
  <c r="P18" i="6" s="1"/>
  <c r="Q18" i="6" a="1"/>
  <c r="Q18" i="6" s="1"/>
  <c r="S18" i="6" a="1"/>
  <c r="S18" i="6" s="1"/>
  <c r="T18" i="6" a="1"/>
  <c r="T18" i="6" s="1"/>
  <c r="U18" i="6" a="1"/>
  <c r="U18" i="6" s="1"/>
  <c r="V18" i="6" a="1"/>
  <c r="V18" i="6" s="1"/>
  <c r="W18" i="6" a="1"/>
  <c r="W18" i="6" s="1"/>
  <c r="X18" i="6" a="1"/>
  <c r="X18" i="6" s="1"/>
  <c r="Y18" i="6" a="1"/>
  <c r="Y18" i="6" s="1"/>
  <c r="Z18" i="6" a="1"/>
  <c r="Z18" i="6" s="1"/>
  <c r="AA18" i="6" a="1"/>
  <c r="AA18" i="6" s="1"/>
  <c r="AB18" i="6" a="1"/>
  <c r="AB18" i="6" s="1"/>
  <c r="AC18" i="6" a="1"/>
  <c r="AC18" i="6" s="1"/>
  <c r="AD18" i="6" a="1"/>
  <c r="AD18" i="6" s="1"/>
  <c r="AE18" i="6" a="1"/>
  <c r="AE18" i="6" s="1"/>
  <c r="AF18" i="6" a="1"/>
  <c r="AF18" i="6" s="1"/>
  <c r="C19" i="6" a="1"/>
  <c r="C19" i="6" s="1"/>
  <c r="D19" i="6" a="1"/>
  <c r="D19" i="6" s="1"/>
  <c r="E19" i="6" a="1"/>
  <c r="E19" i="6" s="1"/>
  <c r="F19" i="6" a="1"/>
  <c r="F19" i="6" s="1"/>
  <c r="G19" i="6" a="1"/>
  <c r="G19" i="6" s="1"/>
  <c r="H19" i="6" a="1"/>
  <c r="H19" i="6" s="1"/>
  <c r="I19" i="6" a="1"/>
  <c r="I19" i="6" s="1"/>
  <c r="J19" i="6" a="1"/>
  <c r="J19" i="6" s="1"/>
  <c r="K19" i="6" a="1"/>
  <c r="K19" i="6" s="1"/>
  <c r="L19" i="6" a="1"/>
  <c r="L19" i="6" s="1"/>
  <c r="M19" i="6" a="1"/>
  <c r="M19" i="6" s="1"/>
  <c r="N19" i="6" a="1"/>
  <c r="N19" i="6" s="1"/>
  <c r="O19" i="6" a="1"/>
  <c r="O19" i="6" s="1"/>
  <c r="P19" i="6" a="1"/>
  <c r="P19" i="6" s="1"/>
  <c r="Q19" i="6" a="1"/>
  <c r="Q19" i="6" s="1"/>
  <c r="R19" i="6" a="1"/>
  <c r="R19" i="6" s="1"/>
  <c r="T19" i="6" a="1"/>
  <c r="T19" i="6" s="1"/>
  <c r="U19" i="6" a="1"/>
  <c r="U19" i="6" s="1"/>
  <c r="V19" i="6" a="1"/>
  <c r="V19" i="6" s="1"/>
  <c r="W19" i="6" a="1"/>
  <c r="W19" i="6" s="1"/>
  <c r="X19" i="6" a="1"/>
  <c r="X19" i="6" s="1"/>
  <c r="Y19" i="6" a="1"/>
  <c r="Y19" i="6" s="1"/>
  <c r="Z19" i="6" a="1"/>
  <c r="Z19" i="6" s="1"/>
  <c r="AA19" i="6" a="1"/>
  <c r="AA19" i="6" s="1"/>
  <c r="AB19" i="6" a="1"/>
  <c r="AB19" i="6" s="1"/>
  <c r="AC19" i="6" a="1"/>
  <c r="AC19" i="6" s="1"/>
  <c r="AD19" i="6" a="1"/>
  <c r="AD19" i="6" s="1"/>
  <c r="AE19" i="6" a="1"/>
  <c r="AE19" i="6" s="1"/>
  <c r="AF19" i="6" a="1"/>
  <c r="AF19" i="6" s="1"/>
  <c r="C20" i="6" a="1"/>
  <c r="C20" i="6" s="1"/>
  <c r="D20" i="6" a="1"/>
  <c r="D20" i="6" s="1"/>
  <c r="E20" i="6" a="1"/>
  <c r="E20" i="6" s="1"/>
  <c r="F20" i="6" a="1"/>
  <c r="F20" i="6" s="1"/>
  <c r="G20" i="6" a="1"/>
  <c r="G20" i="6" s="1"/>
  <c r="M20" i="6" a="1"/>
  <c r="M20" i="6" s="1"/>
  <c r="S20" i="6" a="1"/>
  <c r="S20" i="6" s="1"/>
  <c r="AA20" i="6" a="1"/>
  <c r="AA20" i="6" s="1"/>
  <c r="C21" i="6" a="1"/>
  <c r="C21" i="6" s="1"/>
  <c r="V24" i="6" a="1"/>
  <c r="V24" i="6" s="1"/>
  <c r="AD24" i="6" a="1"/>
  <c r="AD24" i="6" s="1"/>
  <c r="L21" i="6" a="1"/>
  <c r="L21" i="6" s="1"/>
  <c r="F24" i="6" a="1"/>
  <c r="F24" i="6" s="1"/>
  <c r="L27" i="6" a="1"/>
  <c r="L27" i="6" s="1"/>
  <c r="W27" i="6" a="1"/>
  <c r="W27" i="6" s="1"/>
  <c r="T21" i="6" a="1"/>
  <c r="T21" i="6" s="1"/>
  <c r="V21" i="6" a="1"/>
  <c r="V21" i="6" s="1"/>
  <c r="W21" i="6" a="1"/>
  <c r="W21" i="6" s="1"/>
  <c r="X21" i="6" a="1"/>
  <c r="X21" i="6" s="1"/>
  <c r="Y21" i="6" a="1"/>
  <c r="Y21" i="6" s="1"/>
  <c r="Z21" i="6" a="1"/>
  <c r="Z21" i="6" s="1"/>
  <c r="AA21" i="6" a="1"/>
  <c r="AA21" i="6" s="1"/>
  <c r="AB21" i="6" a="1"/>
  <c r="AB21" i="6" s="1"/>
  <c r="AC21" i="6" a="1"/>
  <c r="AC21" i="6" s="1"/>
  <c r="AD21" i="6" a="1"/>
  <c r="AD21" i="6" s="1"/>
  <c r="AE21" i="6" a="1"/>
  <c r="AE21" i="6" s="1"/>
  <c r="AF21" i="6" a="1"/>
  <c r="AF21" i="6" s="1"/>
  <c r="C22" i="6" a="1"/>
  <c r="C22" i="6" s="1"/>
  <c r="D22" i="6" a="1"/>
  <c r="D22" i="6" s="1"/>
  <c r="E22" i="6" a="1"/>
  <c r="E22" i="6" s="1"/>
  <c r="F22" i="6" a="1"/>
  <c r="F22" i="6" s="1"/>
  <c r="G22" i="6" a="1"/>
  <c r="G22" i="6" s="1"/>
  <c r="H22" i="6" a="1"/>
  <c r="H22" i="6" s="1"/>
  <c r="I22" i="6" a="1"/>
  <c r="I22" i="6" s="1"/>
  <c r="J22" i="6" a="1"/>
  <c r="J22" i="6" s="1"/>
  <c r="K22" i="6" a="1"/>
  <c r="K22" i="6" s="1"/>
  <c r="L22" i="6" a="1"/>
  <c r="L22" i="6" s="1"/>
  <c r="M22" i="6" a="1"/>
  <c r="M22" i="6" s="1"/>
  <c r="N22" i="6" a="1"/>
  <c r="N22" i="6" s="1"/>
  <c r="O22" i="6" a="1"/>
  <c r="O22" i="6" s="1"/>
  <c r="P22" i="6" a="1"/>
  <c r="P22" i="6" s="1"/>
  <c r="Q22" i="6" a="1"/>
  <c r="Q22" i="6" s="1"/>
  <c r="R22" i="6" a="1"/>
  <c r="R22" i="6" s="1"/>
  <c r="S22" i="6" a="1"/>
  <c r="S22" i="6" s="1"/>
  <c r="T22" i="6" a="1"/>
  <c r="T22" i="6" s="1"/>
  <c r="U22" i="6" a="1"/>
  <c r="U22" i="6" s="1"/>
  <c r="W22" i="6" a="1"/>
  <c r="W22" i="6" s="1"/>
  <c r="X22" i="6" a="1"/>
  <c r="X22" i="6" s="1"/>
  <c r="Y22" i="6" a="1"/>
  <c r="Y22" i="6" s="1"/>
  <c r="Z22" i="6" a="1"/>
  <c r="Z22" i="6" s="1"/>
  <c r="AA22" i="6" a="1"/>
  <c r="AA22" i="6" s="1"/>
  <c r="AB22" i="6" a="1"/>
  <c r="AB22" i="6" s="1"/>
  <c r="AC22" i="6" a="1"/>
  <c r="AC22" i="6" s="1"/>
  <c r="AD22" i="6" a="1"/>
  <c r="AD22" i="6" s="1"/>
  <c r="AE22" i="6" a="1"/>
  <c r="AE22" i="6" s="1"/>
  <c r="AF22" i="6" a="1"/>
  <c r="AF22" i="6" s="1"/>
  <c r="C23" i="6" a="1"/>
  <c r="C23" i="6" s="1"/>
  <c r="D23" i="6" a="1"/>
  <c r="D23" i="6" s="1"/>
  <c r="E23" i="6" a="1"/>
  <c r="E23" i="6" s="1"/>
  <c r="F23" i="6" a="1"/>
  <c r="F23" i="6" s="1"/>
  <c r="G23" i="6" a="1"/>
  <c r="G23" i="6" s="1"/>
  <c r="H23" i="6" a="1"/>
  <c r="H23" i="6" s="1"/>
  <c r="I23" i="6" a="1"/>
  <c r="I23" i="6" s="1"/>
  <c r="J23" i="6" a="1"/>
  <c r="J23" i="6" s="1"/>
  <c r="K23" i="6" a="1"/>
  <c r="K23" i="6" s="1"/>
  <c r="L23" i="6" a="1"/>
  <c r="L23" i="6" s="1"/>
  <c r="M23" i="6" a="1"/>
  <c r="M23" i="6" s="1"/>
  <c r="N23" i="6" a="1"/>
  <c r="N23" i="6" s="1"/>
  <c r="O23" i="6" a="1"/>
  <c r="O23" i="6" s="1"/>
  <c r="P23" i="6" a="1"/>
  <c r="P23" i="6" s="1"/>
  <c r="Q23" i="6" a="1"/>
  <c r="Q23" i="6" s="1"/>
  <c r="R23" i="6" a="1"/>
  <c r="R23" i="6" s="1"/>
  <c r="S23" i="6" a="1"/>
  <c r="S23" i="6" s="1"/>
  <c r="T23" i="6" a="1"/>
  <c r="T23" i="6" s="1"/>
  <c r="U23" i="6" a="1"/>
  <c r="U23" i="6" s="1"/>
  <c r="V23" i="6" a="1"/>
  <c r="V23" i="6" s="1"/>
  <c r="X23" i="6" a="1"/>
  <c r="X23" i="6" s="1"/>
  <c r="Y23" i="6" a="1"/>
  <c r="Y23" i="6" s="1"/>
  <c r="Z23" i="6" a="1"/>
  <c r="Z23" i="6" s="1"/>
  <c r="AA23" i="6" a="1"/>
  <c r="AA23" i="6" s="1"/>
  <c r="AB23" i="6" a="1"/>
  <c r="AB23" i="6" s="1"/>
  <c r="AC23" i="6" a="1"/>
  <c r="AC23" i="6" s="1"/>
  <c r="AD23" i="6" a="1"/>
  <c r="AD23" i="6" s="1"/>
  <c r="AE23" i="6" a="1"/>
  <c r="AE23" i="6" s="1"/>
  <c r="AF23" i="6" a="1"/>
  <c r="AF23" i="6" s="1"/>
  <c r="C24" i="6" a="1"/>
  <c r="C24" i="6" s="1"/>
  <c r="D24" i="6" a="1"/>
  <c r="D24" i="6" s="1"/>
  <c r="M24" i="6" a="1"/>
  <c r="M24" i="6" s="1"/>
  <c r="T27" i="6" a="1"/>
  <c r="T27" i="6" s="1"/>
  <c r="J31" i="6" a="1"/>
  <c r="J31" i="6" s="1"/>
  <c r="Q24" i="6" a="1"/>
  <c r="Q24" i="6" s="1"/>
  <c r="Z24" i="6" a="1"/>
  <c r="Z24" i="6" s="1"/>
  <c r="AF24" i="6" a="1"/>
  <c r="AF24" i="6" s="1"/>
  <c r="L28" i="6" a="1"/>
  <c r="L28" i="6" s="1"/>
  <c r="T28" i="6" a="1"/>
  <c r="T28" i="6" s="1"/>
  <c r="AC28" i="6" a="1"/>
  <c r="AC28" i="6" s="1"/>
  <c r="D25" i="6" a="1"/>
  <c r="D25" i="6" s="1"/>
  <c r="E25" i="6" a="1"/>
  <c r="E25" i="6" s="1"/>
  <c r="F25" i="6" a="1"/>
  <c r="F25" i="6" s="1"/>
  <c r="G25" i="6" a="1"/>
  <c r="G25" i="6" s="1"/>
  <c r="H25" i="6" a="1"/>
  <c r="H25" i="6" s="1"/>
  <c r="I25" i="6" a="1"/>
  <c r="I25" i="6" s="1"/>
  <c r="J25" i="6" a="1"/>
  <c r="J25" i="6" s="1"/>
  <c r="K25" i="6" a="1"/>
  <c r="K25" i="6" s="1"/>
  <c r="L25" i="6" a="1"/>
  <c r="L25" i="6" s="1"/>
  <c r="M25" i="6" a="1"/>
  <c r="M25" i="6" s="1"/>
  <c r="N25" i="6" a="1"/>
  <c r="N25" i="6" s="1"/>
  <c r="O25" i="6" a="1"/>
  <c r="O25" i="6" s="1"/>
  <c r="P25" i="6" a="1"/>
  <c r="P25" i="6" s="1"/>
  <c r="Q25" i="6" a="1"/>
  <c r="Q25" i="6" s="1"/>
  <c r="R25" i="6" a="1"/>
  <c r="R25" i="6" s="1"/>
  <c r="S25" i="6" a="1"/>
  <c r="S25" i="6" s="1"/>
  <c r="T25" i="6" a="1"/>
  <c r="T25" i="6" s="1"/>
  <c r="U25" i="6" a="1"/>
  <c r="U25" i="6" s="1"/>
  <c r="V25" i="6" a="1"/>
  <c r="V25" i="6" s="1"/>
  <c r="W25" i="6" a="1"/>
  <c r="W25" i="6" s="1"/>
  <c r="X25" i="6" a="1"/>
  <c r="X25" i="6" s="1"/>
  <c r="Z25" i="6" a="1"/>
  <c r="Z25" i="6" s="1"/>
  <c r="AA25" i="6" a="1"/>
  <c r="AA25" i="6" s="1"/>
  <c r="AB25" i="6" a="1"/>
  <c r="AB25" i="6" s="1"/>
  <c r="AC25" i="6" a="1"/>
  <c r="AC25" i="6" s="1"/>
  <c r="AD25" i="6" a="1"/>
  <c r="AD25" i="6" s="1"/>
  <c r="AE25" i="6" a="1"/>
  <c r="AE25" i="6" s="1"/>
  <c r="AF25" i="6" a="1"/>
  <c r="AF25" i="6" s="1"/>
  <c r="C26" i="6" a="1"/>
  <c r="C26" i="6" s="1"/>
  <c r="D26" i="6" a="1"/>
  <c r="D26" i="6" s="1"/>
  <c r="E26" i="6" a="1"/>
  <c r="E26" i="6" s="1"/>
  <c r="F26" i="6" a="1"/>
  <c r="F26" i="6" s="1"/>
  <c r="G26" i="6" a="1"/>
  <c r="G26" i="6" s="1"/>
  <c r="H26" i="6" a="1"/>
  <c r="H26" i="6" s="1"/>
  <c r="I26" i="6" a="1"/>
  <c r="I26" i="6" s="1"/>
  <c r="J26" i="6" a="1"/>
  <c r="J26" i="6" s="1"/>
  <c r="K26" i="6" a="1"/>
  <c r="K26" i="6" s="1"/>
  <c r="L26" i="6" a="1"/>
  <c r="L26" i="6" s="1"/>
  <c r="M26" i="6" a="1"/>
  <c r="M26" i="6" s="1"/>
  <c r="N26" i="6" a="1"/>
  <c r="N26" i="6" s="1"/>
  <c r="O26" i="6" a="1"/>
  <c r="O26" i="6" s="1"/>
  <c r="P26" i="6" a="1"/>
  <c r="P26" i="6" s="1"/>
  <c r="Q26" i="6" a="1"/>
  <c r="Q26" i="6" s="1"/>
  <c r="R26" i="6" a="1"/>
  <c r="R26" i="6" s="1"/>
  <c r="S26" i="6" a="1"/>
  <c r="S26" i="6" s="1"/>
  <c r="T26" i="6" a="1"/>
  <c r="T26" i="6" s="1"/>
  <c r="U26" i="6" a="1"/>
  <c r="U26" i="6" s="1"/>
  <c r="V26" i="6" a="1"/>
  <c r="V26" i="6" s="1"/>
  <c r="W26" i="6" a="1"/>
  <c r="W26" i="6" s="1"/>
  <c r="X26" i="6" a="1"/>
  <c r="X26" i="6" s="1"/>
  <c r="Y26" i="6" a="1"/>
  <c r="Y26" i="6" s="1"/>
  <c r="AA26" i="6" a="1"/>
  <c r="AA26" i="6" s="1"/>
  <c r="AB26" i="6" a="1"/>
  <c r="AB26" i="6" s="1"/>
  <c r="AC26" i="6" a="1"/>
  <c r="AC26" i="6" s="1"/>
  <c r="AD26" i="6" a="1"/>
  <c r="AD26" i="6" s="1"/>
  <c r="AE26" i="6" a="1"/>
  <c r="AE26" i="6" s="1"/>
  <c r="AF26" i="6" a="1"/>
  <c r="AF26" i="6" s="1"/>
  <c r="C27" i="6" a="1"/>
  <c r="C27" i="6" s="1"/>
  <c r="D27" i="6" a="1"/>
  <c r="D27" i="6" s="1"/>
  <c r="E27" i="6" a="1"/>
  <c r="E27" i="6" s="1"/>
  <c r="F27" i="6" a="1"/>
  <c r="F27" i="6" s="1"/>
  <c r="G27" i="6" a="1"/>
  <c r="G27" i="6" s="1"/>
  <c r="H27" i="6" a="1"/>
  <c r="H27" i="6" s="1"/>
  <c r="I27" i="6" a="1"/>
  <c r="I27" i="6" s="1"/>
  <c r="J27" i="6" a="1"/>
  <c r="J27" i="6" s="1"/>
  <c r="K27" i="6" a="1"/>
  <c r="K27" i="6" s="1"/>
  <c r="S27" i="6" a="1"/>
  <c r="S27" i="6" s="1"/>
  <c r="I31" i="6" a="1"/>
  <c r="I31" i="6" s="1"/>
  <c r="Y27" i="6" a="1"/>
  <c r="Y27" i="6" s="1"/>
  <c r="Z27" i="6" a="1"/>
  <c r="Z27" i="6" s="1"/>
  <c r="AB27" i="6" a="1"/>
  <c r="AB27" i="6" s="1"/>
  <c r="AC27" i="6" a="1"/>
  <c r="AC27" i="6" s="1"/>
  <c r="AD27" i="6" a="1"/>
  <c r="AD27" i="6" s="1"/>
  <c r="AE27" i="6" a="1"/>
  <c r="AE27" i="6" s="1"/>
  <c r="AF27" i="6" a="1"/>
  <c r="AF27" i="6" s="1"/>
  <c r="C28" i="6" a="1"/>
  <c r="C28" i="6" s="1"/>
  <c r="D28" i="6" a="1"/>
  <c r="D28" i="6" s="1"/>
  <c r="E28" i="6" a="1"/>
  <c r="E28" i="6" s="1"/>
  <c r="F28" i="6" a="1"/>
  <c r="F28" i="6" s="1"/>
  <c r="J28" i="6" a="1"/>
  <c r="J28" i="6" s="1"/>
  <c r="R28" i="6" a="1"/>
  <c r="R28" i="6" s="1"/>
  <c r="AE28" i="6" a="1"/>
  <c r="AE28" i="6" s="1"/>
  <c r="AF28" i="6" a="1"/>
  <c r="AF28" i="6" s="1"/>
  <c r="C29" i="6" a="1"/>
  <c r="C29" i="6" s="1"/>
  <c r="D29" i="6" a="1"/>
  <c r="D29" i="6" s="1"/>
  <c r="E29" i="6" a="1"/>
  <c r="E29" i="6" s="1"/>
  <c r="F29" i="6" a="1"/>
  <c r="F29" i="6" s="1"/>
  <c r="G29" i="6" a="1"/>
  <c r="G29" i="6" s="1"/>
  <c r="H29" i="6" a="1"/>
  <c r="H29" i="6" s="1"/>
  <c r="I29" i="6" a="1"/>
  <c r="I29" i="6" s="1"/>
  <c r="J29" i="6" a="1"/>
  <c r="J29" i="6" s="1"/>
  <c r="K29" i="6" a="1"/>
  <c r="K29" i="6" s="1"/>
  <c r="L29" i="6" a="1"/>
  <c r="L29" i="6" s="1"/>
  <c r="M29" i="6" a="1"/>
  <c r="M29" i="6" s="1"/>
  <c r="N29" i="6" a="1"/>
  <c r="N29" i="6" s="1"/>
  <c r="O29" i="6" a="1"/>
  <c r="O29" i="6" s="1"/>
  <c r="P29" i="6" a="1"/>
  <c r="P29" i="6" s="1"/>
  <c r="Q29" i="6" a="1"/>
  <c r="Q29" i="6" s="1"/>
  <c r="R29" i="6" a="1"/>
  <c r="R29" i="6" s="1"/>
  <c r="S29" i="6" a="1"/>
  <c r="S29" i="6" s="1"/>
  <c r="T29" i="6" a="1"/>
  <c r="T29" i="6" s="1"/>
  <c r="U29" i="6" a="1"/>
  <c r="U29" i="6" s="1"/>
  <c r="V29" i="6" a="1"/>
  <c r="V29" i="6" s="1"/>
  <c r="W29" i="6" a="1"/>
  <c r="W29" i="6" s="1"/>
  <c r="X29" i="6" a="1"/>
  <c r="X29" i="6" s="1"/>
  <c r="Y29" i="6" a="1"/>
  <c r="Y29" i="6" s="1"/>
  <c r="Z29" i="6" a="1"/>
  <c r="Z29" i="6" s="1"/>
  <c r="AA29" i="6" a="1"/>
  <c r="AA29" i="6" s="1"/>
  <c r="AB29" i="6" a="1"/>
  <c r="AB29" i="6" s="1"/>
  <c r="AD29" i="6" a="1"/>
  <c r="AD29" i="6" s="1"/>
  <c r="AE29" i="6" a="1"/>
  <c r="AE29" i="6" s="1"/>
  <c r="AF29" i="6" a="1"/>
  <c r="AF29" i="6" s="1"/>
  <c r="C30" i="6" a="1"/>
  <c r="C30" i="6" s="1"/>
  <c r="D30" i="6" a="1"/>
  <c r="D30" i="6" s="1"/>
  <c r="E30" i="6" a="1"/>
  <c r="E30" i="6" s="1"/>
  <c r="F30" i="6" a="1"/>
  <c r="F30" i="6" s="1"/>
  <c r="G30" i="6" a="1"/>
  <c r="G30" i="6" s="1"/>
  <c r="H30" i="6" a="1"/>
  <c r="H30" i="6" s="1"/>
  <c r="I30" i="6" a="1"/>
  <c r="I30" i="6" s="1"/>
  <c r="J30" i="6" a="1"/>
  <c r="J30" i="6" s="1"/>
  <c r="K30" i="6" a="1"/>
  <c r="K30" i="6" s="1"/>
  <c r="L30" i="6" a="1"/>
  <c r="L30" i="6" s="1"/>
  <c r="M30" i="6" a="1"/>
  <c r="M30" i="6" s="1"/>
  <c r="N30" i="6" a="1"/>
  <c r="N30" i="6" s="1"/>
  <c r="O30" i="6" a="1"/>
  <c r="O30" i="6" s="1"/>
  <c r="P30" i="6" a="1"/>
  <c r="P30" i="6" s="1"/>
  <c r="Q30" i="6" a="1"/>
  <c r="Q30" i="6" s="1"/>
  <c r="R30" i="6" a="1"/>
  <c r="R30" i="6" s="1"/>
  <c r="S30" i="6" a="1"/>
  <c r="S30" i="6" s="1"/>
  <c r="T30" i="6" a="1"/>
  <c r="T30" i="6" s="1"/>
  <c r="U30" i="6" a="1"/>
  <c r="U30" i="6" s="1"/>
  <c r="V30" i="6" a="1"/>
  <c r="V30" i="6" s="1"/>
  <c r="W30" i="6" a="1"/>
  <c r="W30" i="6" s="1"/>
  <c r="X30" i="6" a="1"/>
  <c r="X30" i="6" s="1"/>
  <c r="Y30" i="6" a="1"/>
  <c r="Y30" i="6" s="1"/>
  <c r="Z30" i="6" a="1"/>
  <c r="Z30" i="6" s="1"/>
  <c r="AA30" i="6" a="1"/>
  <c r="AA30" i="6" s="1"/>
  <c r="AB30" i="6" a="1"/>
  <c r="AB30" i="6" s="1"/>
  <c r="AC30" i="6" a="1"/>
  <c r="AC30" i="6" s="1"/>
  <c r="AE30" i="6" a="1"/>
  <c r="AE30" i="6" s="1"/>
  <c r="AF30" i="6" a="1"/>
  <c r="AF30" i="6" s="1"/>
  <c r="C31" i="6" a="1"/>
  <c r="C31" i="6" s="1"/>
  <c r="H31" i="6" a="1"/>
  <c r="H31" i="6" s="1"/>
  <c r="N31" i="6" a="1"/>
  <c r="N31" i="6" s="1"/>
  <c r="O31" i="6" a="1"/>
  <c r="O31" i="6" s="1"/>
  <c r="P31" i="6" a="1"/>
  <c r="P31" i="6" s="1"/>
  <c r="Q31" i="6" a="1"/>
  <c r="Q31" i="6" s="1"/>
  <c r="R31" i="6" a="1"/>
  <c r="R31" i="6" s="1"/>
  <c r="S31" i="6" a="1"/>
  <c r="S31" i="6" s="1"/>
  <c r="T31" i="6" a="1"/>
  <c r="T31" i="6" s="1"/>
  <c r="U31" i="6" a="1"/>
  <c r="U31" i="6" s="1"/>
  <c r="V31" i="6" a="1"/>
  <c r="V31" i="6" s="1"/>
  <c r="W31" i="6" a="1"/>
  <c r="W31" i="6" s="1"/>
  <c r="X31" i="6" a="1"/>
  <c r="X31" i="6" s="1"/>
  <c r="Y31" i="6" a="1"/>
  <c r="Y31" i="6" s="1"/>
  <c r="Z31" i="6" a="1"/>
  <c r="Z31" i="6" s="1"/>
  <c r="AA31" i="6" a="1"/>
  <c r="AA31" i="6" s="1"/>
  <c r="AB31" i="6" a="1"/>
  <c r="AB31" i="6" s="1"/>
  <c r="AC31" i="6" a="1"/>
  <c r="AC31" i="6" s="1"/>
  <c r="AD31" i="6" a="1"/>
  <c r="AD31" i="6" s="1"/>
  <c r="AF31" i="6" a="1"/>
  <c r="AF31" i="6" s="1"/>
  <c r="I14" i="6" a="1"/>
  <c r="I14" i="6" s="1"/>
  <c r="D32" i="6" a="1"/>
  <c r="D32" i="6" s="1"/>
  <c r="F32" i="6" a="1"/>
  <c r="F32" i="6" s="1"/>
  <c r="H32" i="6" a="1"/>
  <c r="H32" i="6" s="1"/>
  <c r="J32" i="6" a="1"/>
  <c r="J32" i="6" s="1"/>
  <c r="K32" i="6" a="1"/>
  <c r="K32" i="6" s="1"/>
  <c r="M32" i="6" a="1"/>
  <c r="M32" i="6" s="1"/>
  <c r="O32" i="6" a="1"/>
  <c r="O32" i="6" s="1"/>
  <c r="Q32" i="6" a="1"/>
  <c r="Q32" i="6" s="1"/>
  <c r="S32" i="6" a="1"/>
  <c r="S32" i="6" s="1"/>
  <c r="T32" i="6" a="1"/>
  <c r="T32" i="6" s="1"/>
  <c r="V32" i="6" a="1"/>
  <c r="V32" i="6" s="1"/>
  <c r="X32" i="6" a="1"/>
  <c r="X32" i="6" s="1"/>
  <c r="Z32" i="6" a="1"/>
  <c r="Z32" i="6" s="1"/>
  <c r="AA32" i="6" a="1"/>
  <c r="AA32" i="6" s="1"/>
  <c r="AC32" i="6" a="1"/>
  <c r="AC32" i="6" s="1"/>
  <c r="AE32" i="6" a="1"/>
  <c r="AE32" i="6" s="1"/>
  <c r="E3" i="6" a="1"/>
  <c r="E3" i="6" s="1"/>
  <c r="G3" i="6" a="1"/>
  <c r="G3" i="6" s="1"/>
  <c r="H3" i="6" a="1"/>
  <c r="H3" i="6" s="1"/>
  <c r="J3" i="6" a="1"/>
  <c r="J3" i="6" s="1"/>
  <c r="L3" i="6" a="1"/>
  <c r="L3" i="6" s="1"/>
  <c r="N3" i="6" a="1"/>
  <c r="N3" i="6" s="1"/>
  <c r="P3" i="6" a="1"/>
  <c r="P3" i="6" s="1"/>
  <c r="R3" i="6" a="1"/>
  <c r="R3" i="6" s="1"/>
  <c r="S3" i="6" a="1"/>
  <c r="S3" i="6" s="1"/>
  <c r="U3" i="6" a="1"/>
  <c r="U3" i="6" s="1"/>
  <c r="W3" i="6" a="1"/>
  <c r="W3" i="6" s="1"/>
  <c r="Y3" i="6" a="1"/>
  <c r="Y3" i="6" s="1"/>
  <c r="AA3" i="6" a="1"/>
  <c r="AA3" i="6" s="1"/>
  <c r="AC3" i="6" a="1"/>
  <c r="AC3" i="6" s="1"/>
  <c r="AE3" i="6" a="1"/>
  <c r="AE3" i="6" s="1"/>
  <c r="C4" i="6" a="1"/>
  <c r="C4" i="6" s="1"/>
  <c r="F4" i="6" a="1"/>
  <c r="F4" i="6" s="1"/>
  <c r="H4" i="6" a="1"/>
  <c r="H4" i="6" s="1"/>
  <c r="J4" i="6" a="1"/>
  <c r="J4" i="6" s="1"/>
  <c r="M4" i="6" a="1"/>
  <c r="M4" i="6" s="1"/>
  <c r="O4" i="6" a="1"/>
  <c r="O4" i="6" s="1"/>
  <c r="Q4" i="6" a="1"/>
  <c r="Q4" i="6" s="1"/>
  <c r="L17" i="6" a="1"/>
  <c r="L17" i="6" s="1"/>
  <c r="T17" i="6" a="1"/>
  <c r="T17" i="6" s="1"/>
  <c r="AA17" i="6" a="1"/>
  <c r="AA17" i="6" s="1"/>
  <c r="G21" i="6" a="1"/>
  <c r="G21" i="6" s="1"/>
  <c r="K21" i="6" a="1"/>
  <c r="K21" i="6" s="1"/>
  <c r="S21" i="6" a="1"/>
  <c r="S21" i="6" s="1"/>
  <c r="L24" i="6" a="1"/>
  <c r="L24" i="6" s="1"/>
  <c r="P27" i="6" a="1"/>
  <c r="P27" i="6" s="1"/>
  <c r="X27" i="6" a="1"/>
  <c r="X27" i="6" s="1"/>
  <c r="L31" i="6" a="1"/>
  <c r="L31" i="6" s="1"/>
  <c r="T4" i="6" a="1"/>
  <c r="T4" i="6" s="1"/>
  <c r="V4" i="6" a="1"/>
  <c r="V4" i="6" s="1"/>
  <c r="X4" i="6" a="1"/>
  <c r="X4" i="6" s="1"/>
  <c r="Z4" i="6" a="1"/>
  <c r="Z4" i="6" s="1"/>
  <c r="AB4" i="6" a="1"/>
  <c r="AB4" i="6" s="1"/>
  <c r="AE4" i="6" a="1"/>
  <c r="AE4" i="6" s="1"/>
  <c r="C5" i="6" a="1"/>
  <c r="C5" i="6" s="1"/>
  <c r="F5" i="6" a="1"/>
  <c r="F5" i="6" s="1"/>
  <c r="H5" i="6" a="1"/>
  <c r="H5" i="6" s="1"/>
  <c r="J5" i="6" a="1"/>
  <c r="J5" i="6" s="1"/>
  <c r="M5" i="6" a="1"/>
  <c r="M5" i="6" s="1"/>
  <c r="O5" i="6" a="1"/>
  <c r="O5" i="6" s="1"/>
  <c r="Q5" i="6" a="1"/>
  <c r="Q5" i="6" s="1"/>
  <c r="S5" i="6" a="1"/>
  <c r="S5" i="6" s="1"/>
  <c r="O7" i="6" a="1"/>
  <c r="O7" i="6" s="1"/>
  <c r="S7" i="6" a="1"/>
  <c r="S7" i="6" s="1"/>
  <c r="V7" i="6" a="1"/>
  <c r="V7" i="6" s="1"/>
  <c r="Y7" i="6" a="1"/>
  <c r="Y7" i="6" s="1"/>
  <c r="AB7" i="6" a="1"/>
  <c r="AB7" i="6" s="1"/>
  <c r="AE7" i="6" a="1"/>
  <c r="AE7" i="6" s="1"/>
  <c r="E8" i="6" a="1"/>
  <c r="E8" i="6" s="1"/>
  <c r="I8" i="6" a="1"/>
  <c r="I8" i="6" s="1"/>
  <c r="L8" i="6" a="1"/>
  <c r="L8" i="6" s="1"/>
  <c r="O8" i="6" a="1"/>
  <c r="O8" i="6" s="1"/>
  <c r="R8" i="6" a="1"/>
  <c r="R8" i="6" s="1"/>
  <c r="U8" i="6" a="1"/>
  <c r="U8" i="6" s="1"/>
  <c r="Y8" i="6" a="1"/>
  <c r="Y8" i="6" s="1"/>
  <c r="AB8" i="6" a="1"/>
  <c r="AB8" i="6" s="1"/>
  <c r="AE8" i="6" a="1"/>
  <c r="AE8" i="6" s="1"/>
  <c r="D9" i="6" a="1"/>
  <c r="D9" i="6" s="1"/>
  <c r="G9" i="6" a="1"/>
  <c r="G9" i="6" s="1"/>
  <c r="L9" i="6" a="1"/>
  <c r="L9" i="6" s="1"/>
  <c r="N9" i="6" a="1"/>
  <c r="N9" i="6" s="1"/>
  <c r="Q9" i="6" a="1"/>
  <c r="Q9" i="6" s="1"/>
  <c r="N12" i="6" a="1"/>
  <c r="N12" i="6" s="1"/>
  <c r="R12" i="6" a="1"/>
  <c r="R12" i="6" s="1"/>
  <c r="W12" i="6" a="1"/>
  <c r="W12" i="6" s="1"/>
  <c r="AA12" i="6" a="1"/>
  <c r="AA12" i="6" s="1"/>
  <c r="AF12" i="6" a="1"/>
  <c r="AF12" i="6" s="1"/>
  <c r="F13" i="6" a="1"/>
  <c r="F13" i="6" s="1"/>
  <c r="I13" i="6" a="1"/>
  <c r="I13" i="6" s="1"/>
  <c r="N13" i="6" a="1"/>
  <c r="N13" i="6" s="1"/>
  <c r="V16" i="6" a="1"/>
  <c r="V16" i="6" s="1"/>
  <c r="AA16" i="6" a="1"/>
  <c r="AA16" i="6" s="1"/>
  <c r="C17" i="6" a="1"/>
  <c r="C17" i="6" s="1"/>
  <c r="H17" i="6" a="1"/>
  <c r="H17" i="6" s="1"/>
  <c r="L20" i="6" a="1"/>
  <c r="L20" i="6" s="1"/>
  <c r="R20" i="6" a="1"/>
  <c r="R20" i="6" s="1"/>
  <c r="Y20" i="6" a="1"/>
  <c r="Y20" i="6" s="1"/>
  <c r="AE20" i="6" a="1"/>
  <c r="AE20" i="6" s="1"/>
  <c r="S24" i="6" a="1"/>
  <c r="S24" i="6" s="1"/>
  <c r="AA24" i="6" a="1"/>
  <c r="AA24" i="6" s="1"/>
  <c r="H28" i="6" a="1"/>
  <c r="H28" i="6" s="1"/>
  <c r="Q28" i="6" a="1"/>
  <c r="Q28" i="6" s="1"/>
  <c r="Y28" i="6" a="1"/>
  <c r="Y28" i="6" s="1"/>
  <c r="G31" i="6" a="1"/>
  <c r="G31" i="6" s="1"/>
  <c r="R14" i="6" a="1"/>
  <c r="R14" i="6" s="1"/>
  <c r="W14" i="6" a="1"/>
  <c r="W14" i="6" s="1"/>
  <c r="AE14" i="6" a="1"/>
  <c r="AE14" i="6" s="1"/>
  <c r="I15" i="6" a="1"/>
  <c r="I15" i="6" s="1"/>
  <c r="P15" i="6" a="1"/>
  <c r="P15" i="6" s="1"/>
  <c r="W15" i="6" a="1"/>
  <c r="W15" i="6" s="1"/>
  <c r="AE15" i="6" a="1"/>
  <c r="AE15" i="6" s="1"/>
  <c r="G16" i="6" a="1"/>
  <c r="G16" i="6" s="1"/>
  <c r="N16" i="6" a="1"/>
  <c r="N16" i="6" s="1"/>
  <c r="O20" i="6" a="1"/>
  <c r="O20" i="6" s="1"/>
  <c r="M28" i="6" a="1"/>
  <c r="M28" i="6" s="1"/>
  <c r="P17" i="6" a="1"/>
  <c r="P17" i="6" s="1"/>
  <c r="Y17" i="6" a="1"/>
  <c r="Y17" i="6" s="1"/>
  <c r="U28" i="6" a="1"/>
  <c r="U28" i="6" s="1"/>
  <c r="O21" i="6" a="1"/>
  <c r="O21" i="6" s="1"/>
  <c r="J24" i="6" a="1"/>
  <c r="J24" i="6" s="1"/>
  <c r="O27" i="6" a="1"/>
  <c r="O27" i="6" s="1"/>
  <c r="E31" i="6" a="1"/>
  <c r="E31" i="6" s="1"/>
  <c r="C32" i="6" a="1"/>
  <c r="C32" i="6" s="1"/>
  <c r="G32" i="6" a="1"/>
  <c r="G32" i="6" s="1"/>
  <c r="L32" i="6" a="1"/>
  <c r="L32" i="6" s="1"/>
  <c r="N32" i="6" a="1"/>
  <c r="N32" i="6" s="1"/>
  <c r="R32" i="6" a="1"/>
  <c r="R32" i="6" s="1"/>
  <c r="W32" i="6" a="1"/>
  <c r="W32" i="6" s="1"/>
  <c r="AB32" i="6" a="1"/>
  <c r="AB32" i="6" s="1"/>
  <c r="D3" i="6" a="1"/>
  <c r="D3" i="6" s="1"/>
  <c r="I3" i="6" a="1"/>
  <c r="I3" i="6" s="1"/>
  <c r="K3" i="6" a="1"/>
  <c r="K3" i="6" s="1"/>
  <c r="O3" i="6" a="1"/>
  <c r="O3" i="6" s="1"/>
  <c r="T3" i="6" a="1"/>
  <c r="T3" i="6" s="1"/>
  <c r="X3" i="6" a="1"/>
  <c r="X3" i="6" s="1"/>
  <c r="AB3" i="6" a="1"/>
  <c r="AB3" i="6" s="1"/>
  <c r="AD3" i="6" a="1"/>
  <c r="AD3" i="6" s="1"/>
  <c r="E4" i="6" a="1"/>
  <c r="E4" i="6" s="1"/>
  <c r="I4" i="6" a="1"/>
  <c r="I4" i="6" s="1"/>
  <c r="L4" i="6" a="1"/>
  <c r="L4" i="6" s="1"/>
  <c r="P4" i="6" a="1"/>
  <c r="P4" i="6" s="1"/>
  <c r="R4" i="6" a="1"/>
  <c r="R4" i="6" s="1"/>
  <c r="U4" i="6" a="1"/>
  <c r="U4" i="6" s="1"/>
  <c r="Y4" i="6" a="1"/>
  <c r="Y4" i="6" s="1"/>
  <c r="AC4" i="6" a="1"/>
  <c r="AC4" i="6" s="1"/>
  <c r="AF4" i="6" a="1"/>
  <c r="AF4" i="6" s="1"/>
  <c r="D5" i="6" a="1"/>
  <c r="D5" i="6" s="1"/>
  <c r="I5" i="6" a="1"/>
  <c r="I5" i="6" s="1"/>
  <c r="L5" i="6" a="1"/>
  <c r="L5" i="6" s="1"/>
  <c r="P5" i="6" a="1"/>
  <c r="P5" i="6" s="1"/>
  <c r="T5" i="6" a="1"/>
  <c r="T5" i="6" s="1"/>
  <c r="R7" i="6" a="1"/>
  <c r="R7" i="6" s="1"/>
  <c r="U7" i="6" a="1"/>
  <c r="U7" i="6" s="1"/>
  <c r="AA7" i="6" a="1"/>
  <c r="AA7" i="6" s="1"/>
  <c r="AF7" i="6" a="1"/>
  <c r="AF7" i="6" s="1"/>
  <c r="G8" i="6" a="1"/>
  <c r="G8" i="6" s="1"/>
  <c r="M8" i="6" a="1"/>
  <c r="M8" i="6" s="1"/>
  <c r="P8" i="6" a="1"/>
  <c r="P8" i="6" s="1"/>
  <c r="V8" i="6" a="1"/>
  <c r="V8" i="6" s="1"/>
  <c r="Z8" i="6" a="1"/>
  <c r="Z8" i="6" s="1"/>
  <c r="AF8" i="6" a="1"/>
  <c r="AF8" i="6" s="1"/>
  <c r="H9" i="6" a="1"/>
  <c r="H9" i="6" s="1"/>
  <c r="J9" i="6" a="1"/>
  <c r="J9" i="6" s="1"/>
  <c r="P9" i="6" a="1"/>
  <c r="P9" i="6" s="1"/>
  <c r="J12" i="6" a="1"/>
  <c r="J12" i="6" s="1"/>
  <c r="Q12" i="6" a="1"/>
  <c r="Q12" i="6" s="1"/>
  <c r="Y12" i="6" a="1"/>
  <c r="Y12" i="6" s="1"/>
  <c r="AB12" i="6" a="1"/>
  <c r="AB12" i="6" s="1"/>
  <c r="S6" i="6" a="1"/>
  <c r="S6" i="6" s="1"/>
  <c r="V6" i="6" a="1"/>
  <c r="V6" i="6" s="1"/>
  <c r="Y6" i="6" a="1"/>
  <c r="Y6" i="6" s="1"/>
  <c r="AB6" i="6" a="1"/>
  <c r="AB6" i="6" s="1"/>
  <c r="AD6" i="6" a="1"/>
  <c r="AD6" i="6" s="1"/>
  <c r="C7" i="6" a="1"/>
  <c r="C7" i="6" s="1"/>
  <c r="F7" i="6" a="1"/>
  <c r="F7" i="6" s="1"/>
  <c r="J7" i="6" a="1"/>
  <c r="J7" i="6" s="1"/>
  <c r="L7" i="6" a="1"/>
  <c r="L7" i="6" s="1"/>
  <c r="Q7" i="6" a="1"/>
  <c r="Q7" i="6" s="1"/>
  <c r="Z7" i="6" a="1"/>
  <c r="Z7" i="6" s="1"/>
  <c r="F8" i="6" a="1"/>
  <c r="F8" i="6" s="1"/>
  <c r="N8" i="6" a="1"/>
  <c r="N8" i="6" s="1"/>
  <c r="W8" i="6" a="1"/>
  <c r="W8" i="6" s="1"/>
  <c r="Z10" i="6" a="1"/>
  <c r="Z10" i="6" s="1"/>
  <c r="AD10" i="6" a="1"/>
  <c r="AD10" i="6" s="1"/>
  <c r="C11" i="6" a="1"/>
  <c r="C11" i="6" s="1"/>
  <c r="G11" i="6" a="1"/>
  <c r="G11" i="6" s="1"/>
  <c r="L11" i="6" a="1"/>
  <c r="L11" i="6" s="1"/>
  <c r="O11" i="6" a="1"/>
  <c r="O11" i="6" s="1"/>
  <c r="Z13" i="6" a="1"/>
  <c r="Z13" i="6" s="1"/>
  <c r="AD13" i="6" a="1"/>
  <c r="AD13" i="6" s="1"/>
  <c r="F14" i="6" a="1"/>
  <c r="F14" i="6" s="1"/>
  <c r="K14" i="6" a="1"/>
  <c r="K14" i="6" s="1"/>
  <c r="P14" i="6" a="1"/>
  <c r="P14" i="6" s="1"/>
  <c r="U14" i="6" a="1"/>
  <c r="U14" i="6" s="1"/>
  <c r="Z14" i="6" a="1"/>
  <c r="Z14" i="6" s="1"/>
  <c r="AF14" i="6" a="1"/>
  <c r="AF14" i="6" s="1"/>
  <c r="F15" i="6" a="1"/>
  <c r="F15" i="6" s="1"/>
  <c r="L15" i="6" a="1"/>
  <c r="L15" i="6" s="1"/>
  <c r="S15" i="6" a="1"/>
  <c r="S15" i="6" s="1"/>
  <c r="X15" i="6" a="1"/>
  <c r="X15" i="6" s="1"/>
  <c r="AB15" i="6" a="1"/>
  <c r="AB15" i="6" s="1"/>
  <c r="D16" i="6" a="1"/>
  <c r="D16" i="6" s="1"/>
  <c r="J16" i="6" a="1"/>
  <c r="J16" i="6" s="1"/>
  <c r="S16" i="6" a="1"/>
  <c r="S16" i="6" s="1"/>
  <c r="AF16" i="6" a="1"/>
  <c r="AF16" i="6" s="1"/>
  <c r="AF20" i="6" a="1"/>
  <c r="AF20" i="6" s="1"/>
  <c r="AA28" i="6" a="1"/>
  <c r="AA28" i="6" s="1"/>
  <c r="R17" i="6" a="1"/>
  <c r="R17" i="6" s="1"/>
  <c r="V17" i="6" a="1"/>
  <c r="V17" i="6" s="1"/>
  <c r="AC17" i="6" a="1"/>
  <c r="AC17" i="6" s="1"/>
  <c r="I21" i="6" a="1"/>
  <c r="I21" i="6" s="1"/>
  <c r="Q21" i="6" a="1"/>
  <c r="Q21" i="6" s="1"/>
  <c r="H24" i="6" a="1"/>
  <c r="H24" i="6" s="1"/>
  <c r="O24" i="6" a="1"/>
  <c r="O24" i="6" s="1"/>
  <c r="B32" i="6" a="1"/>
  <c r="B32" i="6" s="1"/>
  <c r="B18" i="6" a="1"/>
  <c r="B18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17" i="6" a="1"/>
  <c r="B17" i="6" s="1"/>
  <c r="B3" i="6" a="1"/>
  <c r="B3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8" i="6" a="1"/>
  <c r="B28" i="6" s="1"/>
  <c r="B29" i="6" a="1"/>
  <c r="B29" i="6" s="1"/>
  <c r="B30" i="6" a="1"/>
  <c r="B30" i="6" s="1"/>
  <c r="B31" i="6" a="1"/>
  <c r="B31" i="6" s="1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G8" i="3"/>
  <c r="J8" i="3" s="1"/>
  <c r="H8" i="3"/>
  <c r="I8" i="3"/>
  <c r="K8" i="3" s="1"/>
  <c r="H15" i="3"/>
  <c r="I15" i="3"/>
  <c r="K15" i="3" s="1"/>
  <c r="G7" i="3"/>
  <c r="J7" i="3" s="1"/>
  <c r="H7" i="3"/>
  <c r="I7" i="3"/>
  <c r="K7" i="3" s="1"/>
  <c r="H25" i="3"/>
  <c r="I25" i="3"/>
  <c r="K25" i="3" s="1"/>
  <c r="I17" i="3"/>
  <c r="K17" i="3" s="1"/>
  <c r="H17" i="3"/>
  <c r="G23" i="3"/>
  <c r="J23" i="3" s="1"/>
  <c r="H23" i="3"/>
  <c r="I23" i="3"/>
  <c r="K23" i="3" s="1"/>
  <c r="G33" i="3"/>
  <c r="J33" i="3" s="1"/>
  <c r="H33" i="3"/>
  <c r="I33" i="3"/>
  <c r="K33" i="3" s="1"/>
  <c r="H16" i="3"/>
  <c r="I16" i="3"/>
  <c r="K16" i="3" s="1"/>
  <c r="I35" i="3"/>
  <c r="K35" i="3" s="1"/>
  <c r="H35" i="3"/>
  <c r="G35" i="3"/>
  <c r="J35" i="3" s="1"/>
  <c r="G34" i="3"/>
  <c r="J34" i="3" s="1"/>
  <c r="H34" i="3"/>
  <c r="I34" i="3"/>
  <c r="K34" i="3" s="1"/>
  <c r="I36" i="3"/>
  <c r="K36" i="3" s="1"/>
  <c r="G36" i="3"/>
  <c r="J36" i="3" s="1"/>
  <c r="H36" i="3"/>
  <c r="B33" i="6" l="1" a="1"/>
  <c r="B33" i="6" s="1"/>
  <c r="B34" i="6" a="1"/>
  <c r="B34" i="6" s="1"/>
  <c r="B35" i="6" a="1"/>
  <c r="B35" i="6" s="1"/>
  <c r="B36" i="6" a="1"/>
  <c r="B36" i="6" s="1"/>
  <c r="B37" i="6" a="1"/>
  <c r="B37" i="6" s="1"/>
  <c r="B38" i="6" a="1"/>
  <c r="B38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<sst xmlns="http://schemas.openxmlformats.org/spreadsheetml/2006/main" count="656" uniqueCount="95">
  <si>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</si>
  <si>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</si>
  <si>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</si>
  <si>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</si>
  <si>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</si>
  <si>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</si>
  <si>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</si>
  <si>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</si>
  <si>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</si>
  <si>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</si>
  <si>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</si>
  <si>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</si>
  <si>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</si>
  <si>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</si>
  <si>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</si>
  <si>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</si>
  <si>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</si>
  <si>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</si>
  <si>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</si>
  <si>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</si>
  <si>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</si>
  <si>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</si>
  <si>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</si>
  <si>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</si>
  <si>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</si>
  <si>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</si>
  <si>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</si>
  <si>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</si>
  <si>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</si>
  <si>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</si>
  <si>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</si>
  <si>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</si>
  <si>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</si>
  <si>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</si>
  <si>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</si>
  <si>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</si>
  <si>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</si>
  <si>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</si>
  <si>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</si>
  <si>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</si>
  <si>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</si>
  <si>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</si>
  <si>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</si>
  <si>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</si>
  <si>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</si>
  <si>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</si>
  <si>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</si>
  <si>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</si>
  <si>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</si>
  <si>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</si>
  <si>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</si>
  <si>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</si>
  <si>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</si>
  <si>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</si>
  <si>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</si>
  <si>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</si>
  <si>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</si>
  <si>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</si>
  <si>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</si>
  <si>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</si>
  <si>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</si>
  <si>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</si>
  <si>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</si>
  <si>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</si>
  <si>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</si>
  <si>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</si>
  <si>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</si>
  <si>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</si>
  <si>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</si>
  <si>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</si>
  <si>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</si>
  <si>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</si>
  <si>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</si>
  <si>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</si>
  <si>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</si>
  <si>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</si>
  <si>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</si>
  <si>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NA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</si>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</sst>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12" workbookViewId="0">
      <selection activeCell="E22" sqref="E22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80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81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82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84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91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86</v>
      </c>
    </row>
    <row r="19" spans="1:7" x14ac:dyDescent="0.35">
      <c r="A19">
        <v>18</v>
      </c>
      <c r="B19" s="2">
        <v>46093</v>
      </c>
      <c r="C19" t="s">
        <v>7</v>
      </c>
      <c r="D19" s="1" t="s">
        <v>92</v>
      </c>
      <c r="E19">
        <f t="shared" ref="E19:E21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93</v>
      </c>
      <c r="E20">
        <f t="shared" si="11"/>
        <v>7</v>
      </c>
      <c r="F20">
        <f t="shared" si="12"/>
        <v>4</v>
      </c>
      <c r="G20" t="s">
        <v>86</v>
      </c>
    </row>
    <row r="21" spans="1:7" x14ac:dyDescent="0.35">
      <c r="A21">
        <v>20</v>
      </c>
      <c r="B21" s="2">
        <v>46093</v>
      </c>
      <c r="C21" t="s">
        <v>7</v>
      </c>
      <c r="D21" s="1" t="s">
        <v>94</v>
      </c>
      <c r="E21">
        <v>7</v>
      </c>
      <c r="F21">
        <f t="shared" si="12"/>
        <v>0</v>
      </c>
      <c r="G21" t="s">
        <v>20</v>
      </c>
    </row>
    <row r="22" spans="1:7" x14ac:dyDescent="0.35">
      <c r="B22" s="2"/>
    </row>
    <row r="23" spans="1:7" x14ac:dyDescent="0.35">
      <c r="B23" s="2"/>
    </row>
    <row r="24" spans="1:7" x14ac:dyDescent="0.35">
      <c r="B24" s="2"/>
    </row>
    <row r="25" spans="1:7" x14ac:dyDescent="0.35">
      <c r="B25" s="2"/>
    </row>
    <row r="26" spans="1:7" x14ac:dyDescent="0.35">
      <c r="B26" s="2"/>
    </row>
    <row r="27" spans="1:7" x14ac:dyDescent="0.35">
      <c r="B27" s="2"/>
    </row>
    <row r="28" spans="1:7" x14ac:dyDescent="0.35">
      <c r="B28" s="2"/>
    </row>
    <row r="29" spans="1:7" x14ac:dyDescent="0.35">
      <c r="B29" s="2"/>
    </row>
    <row r="30" spans="1:7" x14ac:dyDescent="0.35">
      <c r="B30" s="2"/>
    </row>
    <row r="31" spans="1:7" x14ac:dyDescent="0.35">
      <c r="B31" s="2"/>
    </row>
    <row r="32" spans="1:7" x14ac:dyDescent="0.35">
      <c r="B32" s="2"/>
    </row>
    <row r="33" spans="2:2" x14ac:dyDescent="0.35">
      <c r="B33" s="2"/>
    </row>
    <row r="34" spans="2:2" x14ac:dyDescent="0.35">
      <c r="B34" s="2"/>
    </row>
    <row r="35" spans="2:2" x14ac:dyDescent="0.35">
      <c r="B35" s="2"/>
    </row>
    <row r="36" spans="2:2" x14ac:dyDescent="0.35">
      <c r="B36" s="2"/>
    </row>
    <row r="37" spans="2:2" x14ac:dyDescent="0.35">
      <c r="B37" s="2"/>
    </row>
    <row r="38" spans="2:2" x14ac:dyDescent="0.35">
      <c r="B38" s="2"/>
    </row>
    <row r="39" spans="2:2" x14ac:dyDescent="0.35">
      <c r="B39" s="2"/>
    </row>
    <row r="40" spans="2:2" x14ac:dyDescent="0.35">
      <c r="B40" s="2"/>
    </row>
    <row r="41" spans="2:2" x14ac:dyDescent="0.35">
      <c r="B41" s="2"/>
    </row>
    <row r="42" spans="2:2" x14ac:dyDescent="0.35">
      <c r="B42" s="2"/>
    </row>
    <row r="43" spans="2:2" x14ac:dyDescent="0.35">
      <c r="B43" s="2"/>
    </row>
    <row r="44" spans="2:2" x14ac:dyDescent="0.35">
      <c r="B44" s="2"/>
    </row>
    <row r="45" spans="2:2" x14ac:dyDescent="0.35">
      <c r="B45" s="2"/>
    </row>
    <row r="46" spans="2:2" x14ac:dyDescent="0.35">
      <c r="B46" s="2"/>
    </row>
    <row r="47" spans="2:2" x14ac:dyDescent="0.35">
      <c r="B47" s="2"/>
    </row>
    <row r="48" spans="2:2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2"/>
  <sheetViews>
    <sheetView topLeftCell="A209" workbookViewId="0">
      <selection activeCell="I223" sqref="I223"/>
    </sheetView>
  </sheetViews>
  <sheetFormatPr defaultRowHeight="14.5" x14ac:dyDescent="0.35"/>
  <cols>
    <col min="2" max="2" width="22.90625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78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79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78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42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85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86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78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88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89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87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90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85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86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89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7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7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87</v>
      </c>
      <c r="D235" t="s">
        <v>17</v>
      </c>
      <c r="E235">
        <f>IF(D235="A", INDEX(Matches!$E:$E, MATCH(A235, Matches!$A:$A, 0)), INDEX(Matches!$F:$F, MATCH(A235, Matches!$A:$A, 0)))</f>
        <v>7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7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90</v>
      </c>
      <c r="D237" t="s">
        <v>17</v>
      </c>
      <c r="E237">
        <f>IF(D237="A", INDEX(Matches!$E:$E, MATCH(A237, Matches!$A:$A, 0)), INDEX(Matches!$F:$F, MATCH(A237, Matches!$A:$A, 0)))</f>
        <v>7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7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7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7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78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7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88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7</v>
      </c>
      <c r="G242" t="str">
        <f t="shared" si="19"/>
        <v>Loss</v>
      </c>
      <c r="K242" t="str">
        <f t="shared" si="15"/>
        <v>20_B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C1:C243 C249:C1048576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26" workbookViewId="0">
      <selection activeCell="C36" sqref="C36:Q42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83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>G2/C2</f>
        <v>0.5</v>
      </c>
      <c r="K2" s="3">
        <f>I2/C2</f>
        <v>0</v>
      </c>
      <c r="L2">
        <f>SUMIF('Team Lineups'!C:C,A2,'Team Lineups'!H:H)</f>
        <v>5</v>
      </c>
      <c r="M2">
        <f t="shared" ref="M2:M27" si="1">L2/C2</f>
        <v>2.5</v>
      </c>
      <c r="N2">
        <f>SUMIF('Team Lineups'!C:C,A2,'Team Lineups'!I:I)</f>
        <v>2</v>
      </c>
      <c r="O2">
        <f>COUNTIF(Matches!G:G,A2)</f>
        <v>2</v>
      </c>
      <c r="P2">
        <f t="shared" ref="P2:P27" si="2">O2/C2</f>
        <v>1</v>
      </c>
      <c r="Q2">
        <f>SUMIF('Team Lineups'!C:C,A2,'Team Lineups'!J:J)</f>
        <v>0</v>
      </c>
    </row>
    <row r="3" spans="1:17" x14ac:dyDescent="0.35">
      <c r="A3" t="s">
        <v>18</v>
      </c>
      <c r="C3">
        <f>COUNTIF('Team Lineups'!C:C,A3)</f>
        <v>9</v>
      </c>
      <c r="D3">
        <f>SUMIF('Team Lineups'!C:C,A3,'Team Lineups'!E:E)</f>
        <v>46</v>
      </c>
      <c r="E3">
        <f>SUMIF('Team Lineups'!C:C,A3,'Team Lineups'!F:F)</f>
        <v>45</v>
      </c>
      <c r="F3">
        <f t="shared" si="0"/>
        <v>1</v>
      </c>
      <c r="G3">
        <f>COUNTIFS('Team Lineups'!C:C,A3,'Team Lineups'!G:G,"Win")</f>
        <v>4</v>
      </c>
      <c r="H3">
        <f>COUNTIFS('Team Lineups'!C:C,A3,'Team Lineups'!G:G,"Draw")</f>
        <v>3</v>
      </c>
      <c r="I3">
        <f>COUNTIFS('Team Lineups'!C:C,A3,'Team Lineups'!G:G,"Loss")</f>
        <v>2</v>
      </c>
      <c r="J3" s="3">
        <f t="shared" ref="J3:J27" si="3">G3/C3</f>
        <v>0.44444444444444442</v>
      </c>
      <c r="K3" s="3">
        <f t="shared" ref="K3:K36" si="4">I3/C3</f>
        <v>0.22222222222222221</v>
      </c>
      <c r="L3">
        <f>SUMIF('Team Lineups'!C:C,A3,'Team Lineups'!H:H)</f>
        <v>6</v>
      </c>
      <c r="M3">
        <f t="shared" si="1"/>
        <v>0.66666666666666663</v>
      </c>
      <c r="N3">
        <f>SUMIF('Team Lineups'!C:C,A3,'Team Lineups'!I:I)</f>
        <v>4</v>
      </c>
      <c r="O3">
        <f>COUNTIF(Matches!G:G,A3)</f>
        <v>0</v>
      </c>
      <c r="P3">
        <f t="shared" si="2"/>
        <v>0</v>
      </c>
      <c r="Q3">
        <f>SUMIF('Team Lineups'!C:C,A3,'Team Lineups'!J:J)</f>
        <v>0</v>
      </c>
    </row>
    <row r="4" spans="1:17" x14ac:dyDescent="0.35">
      <c r="A4" t="s">
        <v>40</v>
      </c>
      <c r="C4">
        <f>COUNTIF('Team Lineups'!C:C,A4)</f>
        <v>8</v>
      </c>
      <c r="D4">
        <f>SUMIF('Team Lineups'!C:C,A4,'Team Lineups'!E:E)</f>
        <v>54</v>
      </c>
      <c r="E4">
        <f>SUMIF('Team Lineups'!C:C,A4,'Team Lineups'!F:F)</f>
        <v>46</v>
      </c>
      <c r="F4">
        <f t="shared" si="0"/>
        <v>8</v>
      </c>
      <c r="G4">
        <f>COUNTIFS('Team Lineups'!C:C,A4,'Team Lineups'!G:G,"Win")</f>
        <v>5</v>
      </c>
      <c r="H4">
        <f>COUNTIFS('Team Lineups'!C:C,A4,'Team Lineups'!G:G,"Draw")</f>
        <v>0</v>
      </c>
      <c r="I4">
        <f>COUNTIFS('Team Lineups'!C:C,A4,'Team Lineups'!G:G,"Loss")</f>
        <v>3</v>
      </c>
      <c r="J4" s="3">
        <f t="shared" si="3"/>
        <v>0.625</v>
      </c>
      <c r="K4" s="3">
        <f t="shared" si="4"/>
        <v>0.375</v>
      </c>
      <c r="L4">
        <f>SUMIF('Team Lineups'!C:C,A4,'Team Lineups'!H:H)</f>
        <v>3</v>
      </c>
      <c r="M4">
        <f t="shared" si="1"/>
        <v>0.375</v>
      </c>
      <c r="N4">
        <f>SUMIF('Team Lineups'!C:C,A4,'Team Lineups'!I:I)</f>
        <v>1</v>
      </c>
      <c r="O4">
        <f>COUNTIF(Matches!G:G,A4)</f>
        <v>0</v>
      </c>
      <c r="P4">
        <f t="shared" si="2"/>
        <v>0</v>
      </c>
      <c r="Q4">
        <f>SUMIF('Team Lineups'!C:C,A4,'Team Lineups'!J:J)</f>
        <v>0</v>
      </c>
    </row>
    <row r="5" spans="1:17" x14ac:dyDescent="0.35">
      <c r="A5" t="s">
        <v>16</v>
      </c>
      <c r="C5">
        <f>COUNTIF('Team Lineups'!C:C,A5)</f>
        <v>12</v>
      </c>
      <c r="D5">
        <f>SUMIF('Team Lineups'!C:C,A5,'Team Lineups'!E:E)</f>
        <v>60</v>
      </c>
      <c r="E5">
        <f>SUMIF('Team Lineups'!C:C,A5,'Team Lineups'!F:F)</f>
        <v>74</v>
      </c>
      <c r="F5">
        <f t="shared" si="0"/>
        <v>-14</v>
      </c>
      <c r="G5">
        <f>COUNTIFS('Team Lineups'!C:C,A5,'Team Lineups'!G:G,"Win")</f>
        <v>2</v>
      </c>
      <c r="H5">
        <f>COUNTIFS('Team Lineups'!C:C,A5,'Team Lineups'!G:G,"Draw")</f>
        <v>3</v>
      </c>
      <c r="I5">
        <f>COUNTIFS('Team Lineups'!C:C,A5,'Team Lineups'!G:G,"Loss")</f>
        <v>7</v>
      </c>
      <c r="J5" s="3">
        <f t="shared" si="3"/>
        <v>0.16666666666666666</v>
      </c>
      <c r="K5" s="3">
        <f t="shared" si="4"/>
        <v>0.58333333333333337</v>
      </c>
      <c r="L5">
        <f>SUMIF('Team Lineups'!C:C,A5,'Team Lineups'!H:H)</f>
        <v>16</v>
      </c>
      <c r="M5">
        <f t="shared" si="1"/>
        <v>1.3333333333333333</v>
      </c>
      <c r="N5">
        <f>SUMIF('Team Lineups'!C:C,A5,'Team Lineups'!I:I)</f>
        <v>12</v>
      </c>
      <c r="O5">
        <f>COUNTIF(Matches!G:G,A5)</f>
        <v>2</v>
      </c>
      <c r="P5">
        <f t="shared" si="2"/>
        <v>0.16666666666666666</v>
      </c>
      <c r="Q5">
        <f>SUMIF('Team Lineups'!C:C,A5,'Team Lineups'!J:J)</f>
        <v>0</v>
      </c>
    </row>
    <row r="6" spans="1:17" x14ac:dyDescent="0.35">
      <c r="A6" t="s">
        <v>41</v>
      </c>
      <c r="C6">
        <f>COUNTIF('Team Lineups'!C:C,A6)</f>
        <v>7</v>
      </c>
      <c r="D6">
        <f>SUMIF('Team Lineups'!C:C,A6,'Team Lineups'!E:E)</f>
        <v>32</v>
      </c>
      <c r="E6">
        <f>SUMIF('Team Lineups'!C:C,A6,'Team Lineups'!F:F)</f>
        <v>35</v>
      </c>
      <c r="F6">
        <f t="shared" si="0"/>
        <v>-3</v>
      </c>
      <c r="G6">
        <f>COUNTIFS('Team Lineups'!C:C,A6,'Team Lineups'!G:G,"Win")</f>
        <v>3</v>
      </c>
      <c r="H6">
        <f>COUNTIFS('Team Lineups'!C:C,A6,'Team Lineups'!G:G,"Draw")</f>
        <v>2</v>
      </c>
      <c r="I6">
        <f>COUNTIFS('Team Lineups'!C:C,A6,'Team Lineups'!G:G,"Loss")</f>
        <v>2</v>
      </c>
      <c r="J6" s="3">
        <f t="shared" si="3"/>
        <v>0.42857142857142855</v>
      </c>
      <c r="K6" s="3">
        <f t="shared" si="4"/>
        <v>0.2857142857142857</v>
      </c>
      <c r="L6">
        <f>SUMIF('Team Lineups'!C:C,A6,'Team Lineups'!H:H)</f>
        <v>4</v>
      </c>
      <c r="M6">
        <f t="shared" si="1"/>
        <v>0.5714285714285714</v>
      </c>
      <c r="N6">
        <f>SUMIF('Team Lineups'!C:C,A6,'Team Lineups'!I:I)</f>
        <v>2</v>
      </c>
      <c r="O6">
        <f>COUNTIF(Matches!G:G,A6)</f>
        <v>0</v>
      </c>
      <c r="P6">
        <f t="shared" si="2"/>
        <v>0</v>
      </c>
      <c r="Q6">
        <f>SUMIF('Team Lineups'!C:C,A6,'Team Lineups'!J:J)</f>
        <v>2</v>
      </c>
    </row>
    <row r="7" spans="1:17" x14ac:dyDescent="0.35">
      <c r="A7" t="s">
        <v>42</v>
      </c>
      <c r="C7">
        <f>COUNTIF('Team Lineups'!C:C,A7)</f>
        <v>16</v>
      </c>
      <c r="D7">
        <f>SUMIF('Team Lineups'!C:C,A7,'Team Lineups'!E:E)</f>
        <v>111</v>
      </c>
      <c r="E7">
        <f>SUMIF('Team Lineups'!C:C,A7,'Team Lineups'!F:F)</f>
        <v>118</v>
      </c>
      <c r="F7">
        <f t="shared" si="0"/>
        <v>-7</v>
      </c>
      <c r="G7">
        <f>COUNTIFS('Team Lineups'!C:C,A7,'Team Lineups'!G:G,"Win")</f>
        <v>6</v>
      </c>
      <c r="H7">
        <f>COUNTIFS('Team Lineups'!C:C,A7,'Team Lineups'!G:G,"Draw")</f>
        <v>3</v>
      </c>
      <c r="I7">
        <f>COUNTIFS('Team Lineups'!C:C,A7,'Team Lineups'!G:G,"Loss")</f>
        <v>6</v>
      </c>
      <c r="J7" s="3">
        <f t="shared" si="3"/>
        <v>0.375</v>
      </c>
      <c r="K7" s="3">
        <f t="shared" si="4"/>
        <v>0.375</v>
      </c>
      <c r="L7">
        <f>SUMIF('Team Lineups'!C:C,A7,'Team Lineups'!H:H)</f>
        <v>19</v>
      </c>
      <c r="M7">
        <f t="shared" si="1"/>
        <v>1.1875</v>
      </c>
      <c r="N7">
        <f>SUMIF('Team Lineups'!C:C,A7,'Team Lineups'!I:I)</f>
        <v>15</v>
      </c>
      <c r="O7">
        <f>COUNTIF(Matches!G:G,A7)</f>
        <v>0</v>
      </c>
      <c r="P7">
        <f t="shared" si="2"/>
        <v>0</v>
      </c>
      <c r="Q7">
        <f>SUMIF('Team Lineups'!C:C,A7,'Team Lineups'!J:J)</f>
        <v>0</v>
      </c>
    </row>
    <row r="8" spans="1:17" x14ac:dyDescent="0.35">
      <c r="A8" t="s">
        <v>19</v>
      </c>
      <c r="C8">
        <f>COUNTIF('Team Lineups'!C:C,A8)</f>
        <v>14</v>
      </c>
      <c r="D8">
        <f>SUMIF('Team Lineups'!C:C,A8,'Team Lineups'!E:E)</f>
        <v>97</v>
      </c>
      <c r="E8">
        <f>SUMIF('Team Lineups'!C:C,A8,'Team Lineups'!F:F)</f>
        <v>85</v>
      </c>
      <c r="F8">
        <f t="shared" si="0"/>
        <v>12</v>
      </c>
      <c r="G8">
        <f>COUNTIFS('Team Lineups'!C:C,A8,'Team Lineups'!G:G,"Win")</f>
        <v>7</v>
      </c>
      <c r="H8">
        <f>COUNTIFS('Team Lineups'!C:C,A8,'Team Lineups'!G:G,"Draw")</f>
        <v>3</v>
      </c>
      <c r="I8">
        <f>COUNTIFS('Team Lineups'!C:C,A8,'Team Lineups'!G:G,"Loss")</f>
        <v>4</v>
      </c>
      <c r="J8" s="3">
        <f t="shared" si="3"/>
        <v>0.5</v>
      </c>
      <c r="K8" s="3">
        <f t="shared" si="4"/>
        <v>0.2857142857142857</v>
      </c>
      <c r="L8">
        <f>SUMIF('Team Lineups'!C:C,A8,'Team Lineups'!H:H)</f>
        <v>29</v>
      </c>
      <c r="M8">
        <f t="shared" si="1"/>
        <v>2.0714285714285716</v>
      </c>
      <c r="N8">
        <f>SUMIF('Team Lineups'!C:C,A8,'Team Lineups'!I:I)</f>
        <v>15</v>
      </c>
      <c r="O8">
        <f>COUNTIF(Matches!G:G,A8)</f>
        <v>2</v>
      </c>
      <c r="P8">
        <f t="shared" si="2"/>
        <v>0.14285714285714285</v>
      </c>
      <c r="Q8">
        <f>SUMIF('Team Lineups'!C:C,A8,'Team Lineups'!J:J)</f>
        <v>0</v>
      </c>
    </row>
    <row r="9" spans="1:17" x14ac:dyDescent="0.35">
      <c r="A9" t="s">
        <v>43</v>
      </c>
      <c r="C9">
        <f>COUNTIF('Team Lineups'!C:C,A9)</f>
        <v>10</v>
      </c>
      <c r="D9">
        <f>SUMIF('Team Lineups'!C:C,A9,'Team Lineups'!E:E)</f>
        <v>51</v>
      </c>
      <c r="E9">
        <f>SUMIF('Team Lineups'!C:C,A9,'Team Lineups'!F:F)</f>
        <v>57</v>
      </c>
      <c r="F9">
        <f t="shared" si="0"/>
        <v>-6</v>
      </c>
      <c r="G9">
        <f>COUNTIFS('Team Lineups'!C:C,A9,'Team Lineups'!G:G,"Win")</f>
        <v>3</v>
      </c>
      <c r="H9">
        <f>COUNTIFS('Team Lineups'!C:C,A9,'Team Lineups'!G:G,"Draw")</f>
        <v>2</v>
      </c>
      <c r="I9">
        <f>COUNTIFS('Team Lineups'!C:C,A9,'Team Lineups'!G:G,"Loss")</f>
        <v>5</v>
      </c>
      <c r="J9" s="3">
        <f t="shared" si="3"/>
        <v>0.3</v>
      </c>
      <c r="K9" s="3">
        <f t="shared" si="4"/>
        <v>0.5</v>
      </c>
      <c r="L9">
        <f>SUMIF('Team Lineups'!C:C,A9,'Team Lineups'!H:H)</f>
        <v>5</v>
      </c>
      <c r="M9">
        <f t="shared" si="1"/>
        <v>0.5</v>
      </c>
      <c r="N9">
        <f>SUMIF('Team Lineups'!C:C,A9,'Team Lineups'!I:I)</f>
        <v>3</v>
      </c>
      <c r="O9">
        <f>COUNTIF(Matches!G:G,A9)</f>
        <v>1</v>
      </c>
      <c r="P9">
        <f t="shared" si="2"/>
        <v>0.1</v>
      </c>
      <c r="Q9">
        <f>SUMIF('Team Lineups'!C:C,A9,'Team Lineups'!J:J)</f>
        <v>0</v>
      </c>
    </row>
    <row r="10" spans="1:17" x14ac:dyDescent="0.35">
      <c r="A10" t="s">
        <v>44</v>
      </c>
      <c r="C10">
        <f>COUNTIF('Team Lineups'!C:C,A10)</f>
        <v>10</v>
      </c>
      <c r="D10">
        <f>SUMIF('Team Lineups'!C:C,A10,'Team Lineups'!E:E)</f>
        <v>52</v>
      </c>
      <c r="E10">
        <f>SUMIF('Team Lineups'!C:C,A10,'Team Lineups'!F:F)</f>
        <v>47</v>
      </c>
      <c r="F10">
        <f t="shared" si="0"/>
        <v>5</v>
      </c>
      <c r="G10">
        <f>COUNTIFS('Team Lineups'!C:C,A10,'Team Lineups'!G:G,"Win")</f>
        <v>5</v>
      </c>
      <c r="H10">
        <f>COUNTIFS('Team Lineups'!C:C,A10,'Team Lineups'!G:G,"Draw")</f>
        <v>2</v>
      </c>
      <c r="I10">
        <f>COUNTIFS('Team Lineups'!C:C,A10,'Team Lineups'!G:G,"Loss")</f>
        <v>3</v>
      </c>
      <c r="J10" s="3">
        <f t="shared" si="3"/>
        <v>0.5</v>
      </c>
      <c r="K10" s="3">
        <f t="shared" si="4"/>
        <v>0.3</v>
      </c>
      <c r="L10">
        <f>SUMIF('Team Lineups'!C:C,A10,'Team Lineups'!H:H)</f>
        <v>13</v>
      </c>
      <c r="M10">
        <f t="shared" si="1"/>
        <v>1.3</v>
      </c>
      <c r="N10">
        <f>SUMIF('Team Lineups'!C:C,A10,'Team Lineups'!I:I)</f>
        <v>9</v>
      </c>
      <c r="O10">
        <f>COUNTIF(Matches!G:G,A10)</f>
        <v>1</v>
      </c>
      <c r="P10">
        <f t="shared" si="2"/>
        <v>0.1</v>
      </c>
      <c r="Q10">
        <f>SUMIF('Team Lineups'!C:C,A10,'Team Lineups'!J:J)</f>
        <v>0</v>
      </c>
    </row>
    <row r="11" spans="1:17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3"/>
        <v>#DIV/0!</v>
      </c>
      <c r="K11" s="3" t="e">
        <f t="shared" si="4"/>
        <v>#DIV/0!</v>
      </c>
      <c r="L11">
        <f>SUMIF('Team Lineups'!C:C,A11,'Team Lineups'!H:H)</f>
        <v>0</v>
      </c>
      <c r="M11" t="e">
        <f t="shared" si="1"/>
        <v>#DIV/0!</v>
      </c>
      <c r="N11">
        <f>SUMIF('Team Lineups'!C:C,A11,'Team Lineups'!I:I)</f>
        <v>0</v>
      </c>
      <c r="O11">
        <f>COUNTIF(Matches!G:G,A11)</f>
        <v>0</v>
      </c>
      <c r="P11" t="e">
        <f t="shared" si="2"/>
        <v>#DIV/0!</v>
      </c>
      <c r="Q11">
        <f>SUMIF('Team Lineups'!C:C,A11,'Team Lineups'!J:J)</f>
        <v>0</v>
      </c>
    </row>
    <row r="12" spans="1:17" x14ac:dyDescent="0.35">
      <c r="A12" t="s">
        <v>46</v>
      </c>
      <c r="C12">
        <f>COUNTIF('Team Lineups'!C:C,A12)</f>
        <v>13</v>
      </c>
      <c r="D12">
        <f>SUMIF('Team Lineups'!C:C,A12,'Team Lineups'!E:E)</f>
        <v>75</v>
      </c>
      <c r="E12">
        <f>SUMIF('Team Lineups'!C:C,A12,'Team Lineups'!F:F)</f>
        <v>91</v>
      </c>
      <c r="F12">
        <f t="shared" si="0"/>
        <v>-16</v>
      </c>
      <c r="G12">
        <f>COUNTIFS('Team Lineups'!C:C,A12,'Team Lineups'!G:G,"Win")</f>
        <v>3</v>
      </c>
      <c r="H12">
        <f>COUNTIFS('Team Lineups'!C:C,A12,'Team Lineups'!G:G,"Draw")</f>
        <v>1</v>
      </c>
      <c r="I12">
        <f>COUNTIFS('Team Lineups'!C:C,A12,'Team Lineups'!G:G,"Loss")</f>
        <v>9</v>
      </c>
      <c r="J12" s="3">
        <f t="shared" si="3"/>
        <v>0.23076923076923078</v>
      </c>
      <c r="K12" s="3">
        <f t="shared" si="4"/>
        <v>0.69230769230769229</v>
      </c>
      <c r="L12">
        <f>SUMIF('Team Lineups'!C:C,A12,'Team Lineups'!H:H)</f>
        <v>18</v>
      </c>
      <c r="M12">
        <f t="shared" si="1"/>
        <v>1.3846153846153846</v>
      </c>
      <c r="N12">
        <f>SUMIF('Team Lineups'!C:C,A12,'Team Lineups'!I:I)</f>
        <v>6</v>
      </c>
      <c r="O12">
        <f>COUNTIF(Matches!G:G,A12)</f>
        <v>1</v>
      </c>
      <c r="P12">
        <f t="shared" si="2"/>
        <v>7.6923076923076927E-2</v>
      </c>
      <c r="Q12">
        <f>SUMIF('Team Lineups'!C:C,A12,'Team Lineups'!J:J)</f>
        <v>0</v>
      </c>
    </row>
    <row r="13" spans="1:17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3"/>
        <v>#DIV/0!</v>
      </c>
      <c r="K13" s="3" t="e">
        <f t="shared" si="4"/>
        <v>#DIV/0!</v>
      </c>
      <c r="L13">
        <f>SUMIF('Team Lineups'!C:C,A13,'Team Lineups'!H:H)</f>
        <v>0</v>
      </c>
      <c r="M13" t="e">
        <f t="shared" si="1"/>
        <v>#DIV/0!</v>
      </c>
      <c r="N13">
        <f>SUMIF('Team Lineups'!C:C,A13,'Team Lineups'!I:I)</f>
        <v>0</v>
      </c>
      <c r="O13">
        <f>COUNTIF(Matches!G:G,A13)</f>
        <v>0</v>
      </c>
      <c r="P13" t="e">
        <f t="shared" si="2"/>
        <v>#DIV/0!</v>
      </c>
      <c r="Q13">
        <f>SUMIF('Team Lineups'!C:C,A13,'Team Lineups'!J:J)</f>
        <v>0</v>
      </c>
    </row>
    <row r="14" spans="1:17" x14ac:dyDescent="0.35">
      <c r="A14" t="s">
        <v>48</v>
      </c>
      <c r="C14">
        <f>COUNTIF('Team Lineups'!C:C,A14)</f>
        <v>0</v>
      </c>
      <c r="D14">
        <f>SUMIF('Team Lineups'!C:C,A14,'Team Lineups'!E:E)</f>
        <v>0</v>
      </c>
      <c r="E14">
        <f>SUMIF('Team Lineups'!C:C,A14,'Team Lineups'!F:F)</f>
        <v>0</v>
      </c>
      <c r="F14">
        <f t="shared" si="0"/>
        <v>0</v>
      </c>
      <c r="G14">
        <f>COUNTIFS('Team Lineups'!C:C,A14,'Team Lineups'!G:G,"Win")</f>
        <v>0</v>
      </c>
      <c r="H14">
        <f>COUNTIFS('Team Lineups'!C:C,A14,'Team Lineups'!G:G,"Draw")</f>
        <v>0</v>
      </c>
      <c r="I14">
        <f>COUNTIFS('Team Lineups'!C:C,A14,'Team Lineups'!G:G,"Loss")</f>
        <v>0</v>
      </c>
      <c r="J14" s="3" t="e">
        <f t="shared" si="3"/>
        <v>#DIV/0!</v>
      </c>
      <c r="K14" s="3" t="e">
        <f t="shared" si="4"/>
        <v>#DIV/0!</v>
      </c>
      <c r="L14">
        <f>SUMIF('Team Lineups'!C:C,A14,'Team Lineups'!H:H)</f>
        <v>0</v>
      </c>
      <c r="M14" t="e">
        <f t="shared" si="1"/>
        <v>#DIV/0!</v>
      </c>
      <c r="N14">
        <f>SUMIF('Team Lineups'!C:C,A14,'Team Lineups'!I:I)</f>
        <v>0</v>
      </c>
      <c r="O14">
        <f>COUNTIF(Matches!G:G,A14)</f>
        <v>0</v>
      </c>
      <c r="P14" t="e">
        <f t="shared" si="2"/>
        <v>#DIV/0!</v>
      </c>
      <c r="Q14">
        <f>SUMIF('Team Lineups'!C:C,A14,'Team Lineups'!J:J)</f>
        <v>0</v>
      </c>
    </row>
    <row r="15" spans="1:17" x14ac:dyDescent="0.35">
      <c r="A15" t="s">
        <v>49</v>
      </c>
      <c r="C15">
        <f>COUNTIF('Team Lineups'!C:C,A15)</f>
        <v>4</v>
      </c>
      <c r="D15">
        <f>SUMIF('Team Lineups'!C:C,A15,'Team Lineups'!E:E)</f>
        <v>22</v>
      </c>
      <c r="E15">
        <f>SUMIF('Team Lineups'!C:C,A15,'Team Lineups'!F:F)</f>
        <v>22</v>
      </c>
      <c r="F15">
        <f t="shared" si="0"/>
        <v>0</v>
      </c>
      <c r="G15">
        <f>COUNTIFS('Team Lineups'!C:C,A15,'Team Lineups'!G:G,"Win")</f>
        <v>1</v>
      </c>
      <c r="H15">
        <f>COUNTIFS('Team Lineups'!C:C,A15,'Team Lineups'!G:G,"Draw")</f>
        <v>2</v>
      </c>
      <c r="I15">
        <f>COUNTIFS('Team Lineups'!C:C,A15,'Team Lineups'!G:G,"Loss")</f>
        <v>1</v>
      </c>
      <c r="J15" s="3">
        <f t="shared" si="3"/>
        <v>0.25</v>
      </c>
      <c r="K15" s="3">
        <f t="shared" si="4"/>
        <v>0.25</v>
      </c>
      <c r="L15">
        <f>SUMIF('Team Lineups'!C:C,A15,'Team Lineups'!H:H)</f>
        <v>1</v>
      </c>
      <c r="M15">
        <f t="shared" si="1"/>
        <v>0.25</v>
      </c>
      <c r="N15">
        <f>SUMIF('Team Lineups'!C:C,A15,'Team Lineups'!I:I)</f>
        <v>1</v>
      </c>
      <c r="O15">
        <f>COUNTIF(Matches!G:G,A15)</f>
        <v>0</v>
      </c>
      <c r="P15">
        <f t="shared" si="2"/>
        <v>0</v>
      </c>
      <c r="Q15">
        <f>SUMIF('Team Lineups'!C:C,A15,'Team Lineups'!J:J)</f>
        <v>0</v>
      </c>
    </row>
    <row r="16" spans="1:17" x14ac:dyDescent="0.35">
      <c r="A16" t="s">
        <v>24</v>
      </c>
      <c r="C16">
        <f>COUNTIF('Team Lineups'!C:C,A16)</f>
        <v>12</v>
      </c>
      <c r="D16">
        <f>SUMIF('Team Lineups'!C:C,A16,'Team Lineups'!E:E)</f>
        <v>56</v>
      </c>
      <c r="E16">
        <f>SUMIF('Team Lineups'!C:C,A16,'Team Lineups'!F:F)</f>
        <v>68</v>
      </c>
      <c r="F16">
        <f t="shared" si="0"/>
        <v>-12</v>
      </c>
      <c r="G16">
        <f>COUNTIFS('Team Lineups'!C:C,A16,'Team Lineups'!G:G,"Win")</f>
        <v>3</v>
      </c>
      <c r="H16">
        <f>COUNTIFS('Team Lineups'!C:C,A16,'Team Lineups'!G:G,"Draw")</f>
        <v>2</v>
      </c>
      <c r="I16">
        <f>COUNTIFS('Team Lineups'!C:C,A16,'Team Lineups'!G:G,"Loss")</f>
        <v>7</v>
      </c>
      <c r="J16" s="3">
        <f t="shared" si="3"/>
        <v>0.25</v>
      </c>
      <c r="K16" s="3">
        <f t="shared" si="4"/>
        <v>0.58333333333333337</v>
      </c>
      <c r="L16">
        <f>SUMIF('Team Lineups'!C:C,A16,'Team Lineups'!H:H)</f>
        <v>5</v>
      </c>
      <c r="M16">
        <f t="shared" si="1"/>
        <v>0.41666666666666669</v>
      </c>
      <c r="N16">
        <f>SUMIF('Team Lineups'!C:C,A16,'Team Lineups'!I:I)</f>
        <v>2</v>
      </c>
      <c r="O16">
        <f>COUNTIF(Matches!G:G,A16)</f>
        <v>0</v>
      </c>
      <c r="P16">
        <f t="shared" si="2"/>
        <v>0</v>
      </c>
      <c r="Q16">
        <f>SUMIF('Team Lineups'!C:C,A16,'Team Lineups'!J:J)</f>
        <v>0</v>
      </c>
    </row>
    <row r="17" spans="1:17" x14ac:dyDescent="0.35">
      <c r="A17" t="s">
        <v>20</v>
      </c>
      <c r="C17">
        <f>COUNTIF('Team Lineups'!C:C,A17)</f>
        <v>12</v>
      </c>
      <c r="D17">
        <f>SUMIF('Team Lineups'!C:C,A17,'Team Lineups'!E:E)</f>
        <v>65</v>
      </c>
      <c r="E17">
        <f>SUMIF('Team Lineups'!C:C,A17,'Team Lineups'!F:F)</f>
        <v>59</v>
      </c>
      <c r="F17">
        <f t="shared" si="0"/>
        <v>6</v>
      </c>
      <c r="G17">
        <f>COUNTIFS('Team Lineups'!C:C,A17,'Team Lineups'!G:G,"Win")</f>
        <v>5</v>
      </c>
      <c r="H17">
        <f>COUNTIFS('Team Lineups'!C:C,A17,'Team Lineups'!G:G,"Draw")</f>
        <v>3</v>
      </c>
      <c r="I17">
        <f>COUNTIFS('Team Lineups'!C:C,A17,'Team Lineups'!G:G,"Loss")</f>
        <v>4</v>
      </c>
      <c r="J17" s="3">
        <f t="shared" si="3"/>
        <v>0.41666666666666669</v>
      </c>
      <c r="K17" s="3">
        <f t="shared" si="4"/>
        <v>0.33333333333333331</v>
      </c>
      <c r="L17">
        <f>SUMIF('Team Lineups'!C:C,A17,'Team Lineups'!H:H)</f>
        <v>4</v>
      </c>
      <c r="M17">
        <f t="shared" si="1"/>
        <v>0.33333333333333331</v>
      </c>
      <c r="N17">
        <f>SUMIF('Team Lineups'!C:C,A17,'Team Lineups'!I:I)</f>
        <v>7</v>
      </c>
      <c r="O17">
        <f>COUNTIF(Matches!G:G,A17)</f>
        <v>1</v>
      </c>
      <c r="P17">
        <f t="shared" si="2"/>
        <v>8.3333333333333329E-2</v>
      </c>
      <c r="Q17">
        <f>SUMIF('Team Lineups'!C:C,A17,'Team Lineups'!J:J)</f>
        <v>1</v>
      </c>
    </row>
    <row r="18" spans="1:17" x14ac:dyDescent="0.35">
      <c r="A18" t="s">
        <v>21</v>
      </c>
      <c r="C18">
        <f>COUNTIF('Team Lineups'!C:C,A18)</f>
        <v>11</v>
      </c>
      <c r="D18">
        <f>SUMIF('Team Lineups'!C:C,A18,'Team Lineups'!E:E)</f>
        <v>82</v>
      </c>
      <c r="E18">
        <f>SUMIF('Team Lineups'!C:C,A18,'Team Lineups'!F:F)</f>
        <v>83</v>
      </c>
      <c r="F18">
        <f t="shared" si="0"/>
        <v>-1</v>
      </c>
      <c r="G18">
        <f>COUNTIFS('Team Lineups'!C:C,A18,'Team Lineups'!G:G,"Win")</f>
        <v>5</v>
      </c>
      <c r="H18">
        <f>COUNTIFS('Team Lineups'!C:C,A18,'Team Lineups'!G:G,"Draw")</f>
        <v>1</v>
      </c>
      <c r="I18">
        <f>COUNTIFS('Team Lineups'!C:C,A18,'Team Lineups'!G:G,"Loss")</f>
        <v>5</v>
      </c>
      <c r="J18" s="3">
        <f t="shared" si="3"/>
        <v>0.45454545454545453</v>
      </c>
      <c r="K18" s="3">
        <f t="shared" si="4"/>
        <v>0.45454545454545453</v>
      </c>
      <c r="L18">
        <f>SUMIF('Team Lineups'!C:C,A18,'Team Lineups'!H:H)</f>
        <v>8</v>
      </c>
      <c r="M18">
        <f t="shared" si="1"/>
        <v>0.72727272727272729</v>
      </c>
      <c r="N18">
        <f>SUMIF('Team Lineups'!C:C,A18,'Team Lineups'!I:I)</f>
        <v>4</v>
      </c>
      <c r="O18">
        <f>COUNTIF(Matches!G:G,A18)</f>
        <v>1</v>
      </c>
      <c r="P18">
        <f t="shared" si="2"/>
        <v>9.0909090909090912E-2</v>
      </c>
      <c r="Q18">
        <f>SUMIF('Team Lineups'!C:C,A18,'Team Lineups'!J:J)</f>
        <v>0</v>
      </c>
    </row>
    <row r="19" spans="1:17" x14ac:dyDescent="0.35">
      <c r="A19" t="s">
        <v>50</v>
      </c>
      <c r="C19">
        <f>COUNTIF('Team Lineups'!C:C,A19)</f>
        <v>4</v>
      </c>
      <c r="D19">
        <f>SUMIF('Team Lineups'!C:C,A19,'Team Lineups'!E:E)</f>
        <v>35</v>
      </c>
      <c r="E19">
        <f>SUMIF('Team Lineups'!C:C,A19,'Team Lineups'!F:F)</f>
        <v>31</v>
      </c>
      <c r="F19">
        <f t="shared" si="0"/>
        <v>4</v>
      </c>
      <c r="G19">
        <f>COUNTIFS('Team Lineups'!C:C,A19,'Team Lineups'!G:G,"Win")</f>
        <v>3</v>
      </c>
      <c r="H19">
        <f>COUNTIFS('Team Lineups'!C:C,A19,'Team Lineups'!G:G,"Draw")</f>
        <v>1</v>
      </c>
      <c r="I19">
        <f>COUNTIFS('Team Lineups'!C:C,A19,'Team Lineups'!G:G,"Loss")</f>
        <v>0</v>
      </c>
      <c r="J19" s="3">
        <f t="shared" si="3"/>
        <v>0.75</v>
      </c>
      <c r="K19" s="3">
        <f t="shared" si="4"/>
        <v>0</v>
      </c>
      <c r="L19">
        <f>SUMIF('Team Lineups'!C:C,A19,'Team Lineups'!H:H)</f>
        <v>8</v>
      </c>
      <c r="M19">
        <f t="shared" si="1"/>
        <v>2</v>
      </c>
      <c r="N19">
        <f>SUMIF('Team Lineups'!C:C,A19,'Team Lineups'!I:I)</f>
        <v>1</v>
      </c>
      <c r="O19">
        <f>COUNTIF(Matches!G:G,A19)</f>
        <v>0</v>
      </c>
      <c r="P19">
        <f t="shared" si="2"/>
        <v>0</v>
      </c>
      <c r="Q19">
        <f>SUMIF('Team Lineups'!C:C,A19,'Team Lineups'!J:J)</f>
        <v>0</v>
      </c>
    </row>
    <row r="20" spans="1:17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3"/>
        <v>0</v>
      </c>
      <c r="K20" s="3">
        <f t="shared" si="4"/>
        <v>0</v>
      </c>
      <c r="L20">
        <f>SUMIF('Team Lineups'!C:C,A20,'Team Lineups'!H:H)</f>
        <v>0</v>
      </c>
      <c r="M20">
        <f t="shared" si="1"/>
        <v>0</v>
      </c>
      <c r="N20">
        <f>SUMIF('Team Lineups'!C:C,A20,'Team Lineups'!I:I)</f>
        <v>0</v>
      </c>
      <c r="O20">
        <f>COUNTIF(Matches!G:G,A20)</f>
        <v>0</v>
      </c>
      <c r="P20">
        <f t="shared" si="2"/>
        <v>0</v>
      </c>
      <c r="Q20">
        <f>SUMIF('Team Lineups'!C:C,A20,'Team Lineups'!J:J)</f>
        <v>0</v>
      </c>
    </row>
    <row r="21" spans="1:17" x14ac:dyDescent="0.35">
      <c r="A21" t="s">
        <v>51</v>
      </c>
      <c r="C21">
        <f>COUNTIF('Team Lineups'!C:C,A21)</f>
        <v>4</v>
      </c>
      <c r="D21">
        <f>SUMIF('Team Lineups'!C:C,A21,'Team Lineups'!E:E)</f>
        <v>23</v>
      </c>
      <c r="E21">
        <f>SUMIF('Team Lineups'!C:C,A21,'Team Lineups'!F:F)</f>
        <v>27</v>
      </c>
      <c r="F21">
        <f t="shared" si="0"/>
        <v>-4</v>
      </c>
      <c r="G21">
        <f>COUNTIFS('Team Lineups'!C:C,A21,'Team Lineups'!G:G,"Win")</f>
        <v>0</v>
      </c>
      <c r="H21">
        <f>COUNTIFS('Team Lineups'!C:C,A21,'Team Lineups'!G:G,"Draw")</f>
        <v>1</v>
      </c>
      <c r="I21">
        <f>COUNTIFS('Team Lineups'!C:C,A21,'Team Lineups'!G:G,"Loss")</f>
        <v>3</v>
      </c>
      <c r="J21" s="3">
        <f t="shared" si="3"/>
        <v>0</v>
      </c>
      <c r="K21" s="3">
        <f t="shared" si="4"/>
        <v>0.75</v>
      </c>
      <c r="L21">
        <f>SUMIF('Team Lineups'!C:C,A21,'Team Lineups'!H:H)</f>
        <v>2</v>
      </c>
      <c r="M21">
        <f t="shared" si="1"/>
        <v>0.5</v>
      </c>
      <c r="N21">
        <f>SUMIF('Team Lineups'!C:C,A21,'Team Lineups'!I:I)</f>
        <v>3</v>
      </c>
      <c r="O21">
        <f>COUNTIF(Matches!G:G,A21)</f>
        <v>0</v>
      </c>
      <c r="P21">
        <f t="shared" si="2"/>
        <v>0</v>
      </c>
      <c r="Q21">
        <f>SUMIF('Team Lineups'!C:C,A21,'Team Lineups'!J:J)</f>
        <v>1</v>
      </c>
    </row>
    <row r="22" spans="1:17" x14ac:dyDescent="0.35">
      <c r="A22" t="s">
        <v>52</v>
      </c>
      <c r="C22">
        <f>COUNTIF('Team Lineups'!C:C,A22)</f>
        <v>0</v>
      </c>
      <c r="D22">
        <f>SUMIF('Team Lineups'!C:C,A22,'Team Lineups'!E:E)</f>
        <v>0</v>
      </c>
      <c r="E22">
        <f>SUMIF('Team Lineups'!C:C,A22,'Team Lineups'!F:F)</f>
        <v>0</v>
      </c>
      <c r="F22">
        <f t="shared" si="0"/>
        <v>0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0</v>
      </c>
      <c r="J22" s="3" t="e">
        <f t="shared" si="3"/>
        <v>#DIV/0!</v>
      </c>
      <c r="K22" s="3" t="e">
        <f t="shared" si="4"/>
        <v>#DIV/0!</v>
      </c>
      <c r="L22">
        <f>SUMIF('Team Lineups'!C:C,A22,'Team Lineups'!H:H)</f>
        <v>0</v>
      </c>
      <c r="M22" t="e">
        <f t="shared" si="1"/>
        <v>#DIV/0!</v>
      </c>
      <c r="N22">
        <f>SUMIF('Team Lineups'!C:C,A22,'Team Lineups'!I:I)</f>
        <v>0</v>
      </c>
      <c r="O22">
        <f>COUNTIF(Matches!G:G,A22)</f>
        <v>0</v>
      </c>
      <c r="P22" t="e">
        <f t="shared" si="2"/>
        <v>#DIV/0!</v>
      </c>
      <c r="Q22">
        <f>SUMIF('Team Lineups'!C:C,A22,'Team Lineups'!J:J)</f>
        <v>0</v>
      </c>
    </row>
    <row r="23" spans="1:17" x14ac:dyDescent="0.35">
      <c r="A23" t="s">
        <v>22</v>
      </c>
      <c r="C23">
        <f>COUNTIF('Team Lineups'!C:C,A23)</f>
        <v>14</v>
      </c>
      <c r="D23">
        <f>SUMIF('Team Lineups'!C:C,A23,'Team Lineups'!E:E)</f>
        <v>83</v>
      </c>
      <c r="E23">
        <f>SUMIF('Team Lineups'!C:C,A23,'Team Lineups'!F:F)</f>
        <v>76</v>
      </c>
      <c r="F23">
        <f t="shared" si="0"/>
        <v>7</v>
      </c>
      <c r="G23">
        <f>COUNTIFS('Team Lineups'!C:C,A23,'Team Lineups'!G:G,"Win")</f>
        <v>6</v>
      </c>
      <c r="H23">
        <f>COUNTIFS('Team Lineups'!C:C,A23,'Team Lineups'!G:G,"Draw")</f>
        <v>4</v>
      </c>
      <c r="I23">
        <f>COUNTIFS('Team Lineups'!C:C,A23,'Team Lineups'!G:G,"Loss")</f>
        <v>4</v>
      </c>
      <c r="J23" s="3">
        <f t="shared" si="3"/>
        <v>0.42857142857142855</v>
      </c>
      <c r="K23" s="3">
        <f t="shared" si="4"/>
        <v>0.2857142857142857</v>
      </c>
      <c r="L23">
        <f>SUMIF('Team Lineups'!C:C,A23,'Team Lineups'!H:H)</f>
        <v>14</v>
      </c>
      <c r="M23">
        <f t="shared" si="1"/>
        <v>1</v>
      </c>
      <c r="N23">
        <f>SUMIF('Team Lineups'!C:C,A23,'Team Lineups'!I:I)</f>
        <v>2</v>
      </c>
      <c r="O23">
        <f>COUNTIF(Matches!G:G,A23)</f>
        <v>2</v>
      </c>
      <c r="P23">
        <f t="shared" si="2"/>
        <v>0.14285714285714285</v>
      </c>
      <c r="Q23">
        <f>SUMIF('Team Lineups'!C:C,A23,'Team Lineups'!J:J)</f>
        <v>0</v>
      </c>
    </row>
    <row r="24" spans="1:17" x14ac:dyDescent="0.35">
      <c r="A24" t="s">
        <v>25</v>
      </c>
      <c r="C24">
        <f>COUNTIF('Team Lineups'!C:C,A24)</f>
        <v>16</v>
      </c>
      <c r="D24">
        <f>SUMIF('Team Lineups'!C:C,A24,'Team Lineups'!E:E)</f>
        <v>95</v>
      </c>
      <c r="E24">
        <f>SUMIF('Team Lineups'!C:C,A24,'Team Lineups'!F:F)</f>
        <v>91</v>
      </c>
      <c r="F24">
        <f t="shared" si="0"/>
        <v>4</v>
      </c>
      <c r="G24">
        <f>COUNTIFS('Team Lineups'!C:C,A24,'Team Lineups'!G:G,"Win")</f>
        <v>5</v>
      </c>
      <c r="H24">
        <f>COUNTIFS('Team Lineups'!C:C,A24,'Team Lineups'!G:G,"Draw")</f>
        <v>4</v>
      </c>
      <c r="I24">
        <f>COUNTIFS('Team Lineups'!C:C,A24,'Team Lineups'!G:G,"Loss")</f>
        <v>7</v>
      </c>
      <c r="J24" s="3">
        <f t="shared" si="3"/>
        <v>0.3125</v>
      </c>
      <c r="K24" s="3">
        <f t="shared" si="4"/>
        <v>0.4375</v>
      </c>
      <c r="L24">
        <f>SUMIF('Team Lineups'!C:C,A24,'Team Lineups'!H:H)</f>
        <v>8</v>
      </c>
      <c r="M24">
        <f t="shared" si="1"/>
        <v>0.5</v>
      </c>
      <c r="N24">
        <f>SUMIF('Team Lineups'!C:C,A24,'Team Lineups'!I:I)</f>
        <v>7</v>
      </c>
      <c r="O24">
        <f>COUNTIF(Matches!G:G,A24)</f>
        <v>0</v>
      </c>
      <c r="P24">
        <f t="shared" si="2"/>
        <v>0</v>
      </c>
      <c r="Q24">
        <f>SUMIF('Team Lineups'!C:C,A24,'Team Lineups'!J:J)</f>
        <v>0</v>
      </c>
    </row>
    <row r="25" spans="1:17" x14ac:dyDescent="0.35">
      <c r="A25" t="s">
        <v>53</v>
      </c>
      <c r="C25">
        <f>COUNTIF('Team Lineups'!C:C,A25)</f>
        <v>15</v>
      </c>
      <c r="D25">
        <f>SUMIF('Team Lineups'!C:C,A25,'Team Lineups'!E:E)</f>
        <v>101</v>
      </c>
      <c r="E25">
        <f>SUMIF('Team Lineups'!C:C,A25,'Team Lineups'!F:F)</f>
        <v>87</v>
      </c>
      <c r="F25">
        <f t="shared" si="0"/>
        <v>14</v>
      </c>
      <c r="G25">
        <f>COUNTIFS('Team Lineups'!C:C,A25,'Team Lineups'!G:G,"Win")</f>
        <v>9</v>
      </c>
      <c r="H25">
        <f>COUNTIFS('Team Lineups'!C:C,A25,'Team Lineups'!G:G,"Draw")</f>
        <v>3</v>
      </c>
      <c r="I25">
        <f>COUNTIFS('Team Lineups'!C:C,A25,'Team Lineups'!G:G,"Loss")</f>
        <v>3</v>
      </c>
      <c r="J25" s="3">
        <f t="shared" si="3"/>
        <v>0.6</v>
      </c>
      <c r="K25" s="3">
        <f t="shared" si="4"/>
        <v>0.2</v>
      </c>
      <c r="L25">
        <f>SUMIF('Team Lineups'!C:C,A25,'Team Lineups'!H:H)</f>
        <v>20</v>
      </c>
      <c r="M25">
        <f t="shared" si="1"/>
        <v>1.3333333333333333</v>
      </c>
      <c r="N25">
        <f>SUMIF('Team Lineups'!C:C,A25,'Team Lineups'!I:I)</f>
        <v>7</v>
      </c>
      <c r="O25">
        <f>COUNTIF(Matches!G:G,A25)</f>
        <v>1</v>
      </c>
      <c r="P25">
        <f t="shared" si="2"/>
        <v>6.6666666666666666E-2</v>
      </c>
      <c r="Q25">
        <f>SUMIF('Team Lineups'!C:C,A25,'Team Lineups'!J:J)</f>
        <v>3</v>
      </c>
    </row>
    <row r="26" spans="1:17" x14ac:dyDescent="0.35">
      <c r="A26" t="s">
        <v>54</v>
      </c>
      <c r="C26">
        <f>COUNTIF('Team Lineups'!C:C,A26)</f>
        <v>7</v>
      </c>
      <c r="D26">
        <f>SUMIF('Team Lineups'!C:C,A26,'Team Lineups'!E:E)</f>
        <v>33</v>
      </c>
      <c r="E26">
        <f>SUMIF('Team Lineups'!C:C,A26,'Team Lineups'!F:F)</f>
        <v>37</v>
      </c>
      <c r="F26">
        <f t="shared" si="0"/>
        <v>-4</v>
      </c>
      <c r="G26">
        <f>COUNTIFS('Team Lineups'!C:C,A26,'Team Lineups'!G:G,"Win")</f>
        <v>2</v>
      </c>
      <c r="H26">
        <f>COUNTIFS('Team Lineups'!C:C,A26,'Team Lineups'!G:G,"Draw")</f>
        <v>1</v>
      </c>
      <c r="I26">
        <f>COUNTIFS('Team Lineups'!C:C,A26,'Team Lineups'!G:G,"Loss")</f>
        <v>4</v>
      </c>
      <c r="J26" s="3">
        <f t="shared" si="3"/>
        <v>0.2857142857142857</v>
      </c>
      <c r="K26" s="3">
        <f t="shared" si="4"/>
        <v>0.5714285714285714</v>
      </c>
      <c r="L26">
        <f>SUMIF('Team Lineups'!C:C,A26,'Team Lineups'!H:H)</f>
        <v>0</v>
      </c>
      <c r="M26">
        <f t="shared" si="1"/>
        <v>0</v>
      </c>
      <c r="N26">
        <f>SUMIF('Team Lineups'!C:C,A26,'Team Lineups'!I:I)</f>
        <v>3</v>
      </c>
      <c r="O26">
        <f>COUNTIF(Matches!G:G,A26)</f>
        <v>1</v>
      </c>
      <c r="P26">
        <f t="shared" si="2"/>
        <v>0.14285714285714285</v>
      </c>
      <c r="Q26">
        <f>SUMIF('Team Lineups'!C:C,A26,'Team Lineups'!J:J)</f>
        <v>0</v>
      </c>
    </row>
    <row r="27" spans="1:17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3"/>
        <v>0</v>
      </c>
      <c r="K27" s="3">
        <f t="shared" si="4"/>
        <v>1</v>
      </c>
      <c r="L27">
        <f>SUMIF('Team Lineups'!C:C,A27,'Team Lineups'!H:H)</f>
        <v>0</v>
      </c>
      <c r="M27">
        <f t="shared" si="1"/>
        <v>0</v>
      </c>
      <c r="N27">
        <f>SUMIF('Team Lineups'!C:C,A27,'Team Lineups'!I:I)</f>
        <v>0</v>
      </c>
      <c r="O27">
        <f>COUNTIF(Matches!G:G,A27)</f>
        <v>0</v>
      </c>
      <c r="P27">
        <f t="shared" si="2"/>
        <v>0</v>
      </c>
      <c r="Q27">
        <f>SUMIF('Team Lineups'!C:C,A27,'Team Lineups'!J:J)</f>
        <v>0</v>
      </c>
    </row>
    <row r="28" spans="1:17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4" si="5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4" si="6">G28/C28</f>
        <v>1</v>
      </c>
      <c r="K28" s="3">
        <f t="shared" si="4"/>
        <v>0</v>
      </c>
      <c r="L28">
        <f>SUMIF('Team Lineups'!C:C,A28,'Team Lineups'!H:H)</f>
        <v>2</v>
      </c>
      <c r="M28">
        <f t="shared" ref="M28:M34" si="7">L28/C28</f>
        <v>2</v>
      </c>
      <c r="N28">
        <f>SUMIF('Team Lineups'!C:C,A28,'Team Lineups'!I:I)</f>
        <v>2</v>
      </c>
      <c r="O28">
        <f>COUNTIF(Matches!G:G,A28)</f>
        <v>0</v>
      </c>
      <c r="P28">
        <f t="shared" ref="P28:P34" si="8">O28/C28</f>
        <v>0</v>
      </c>
      <c r="Q28">
        <f>SUMIF('Team Lineups'!C:C,A28,'Team Lineups'!J:J)</f>
        <v>0</v>
      </c>
    </row>
    <row r="29" spans="1:17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5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6"/>
        <v>0.6</v>
      </c>
      <c r="K29" s="3">
        <f t="shared" si="4"/>
        <v>0.2</v>
      </c>
      <c r="L29">
        <f>SUMIF('Team Lineups'!C:C,A29,'Team Lineups'!H:H)</f>
        <v>4</v>
      </c>
      <c r="M29">
        <f t="shared" si="7"/>
        <v>0.8</v>
      </c>
      <c r="N29">
        <f>SUMIF('Team Lineups'!C:C,A29,'Team Lineups'!I:I)</f>
        <v>1</v>
      </c>
      <c r="O29">
        <f>COUNTIF(Matches!G:G,A29)</f>
        <v>0</v>
      </c>
      <c r="P29">
        <f t="shared" si="8"/>
        <v>0</v>
      </c>
      <c r="Q29">
        <f>SUMIF('Team Lineups'!C:C,A29,'Team Lineups'!J:J)</f>
        <v>0</v>
      </c>
    </row>
    <row r="30" spans="1:17" x14ac:dyDescent="0.35">
      <c r="A30" t="s">
        <v>61</v>
      </c>
      <c r="C30">
        <f>COUNTIF('Team Lineups'!C:C,A30)</f>
        <v>1</v>
      </c>
      <c r="D30">
        <f>SUMIF('Team Lineups'!C:C,A30,'Team Lineups'!E:E)</f>
        <v>8</v>
      </c>
      <c r="E30">
        <f>SUMIF('Team Lineups'!C:C,A30,'Team Lineups'!F:F)</f>
        <v>13</v>
      </c>
      <c r="F30">
        <f t="shared" si="5"/>
        <v>-5</v>
      </c>
      <c r="G30">
        <f>COUNTIFS('Team Lineups'!C:C,A30,'Team Lineups'!G:G,"Win")</f>
        <v>0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6"/>
        <v>0</v>
      </c>
      <c r="K30" s="3">
        <f t="shared" si="4"/>
        <v>1</v>
      </c>
      <c r="L30">
        <f>SUMIF('Team Lineups'!C:C,A30,'Team Lineups'!H:H)</f>
        <v>0</v>
      </c>
      <c r="M30">
        <f t="shared" si="7"/>
        <v>0</v>
      </c>
      <c r="N30">
        <f>SUMIF('Team Lineups'!C:C,A30,'Team Lineups'!I:I)</f>
        <v>0</v>
      </c>
      <c r="O30">
        <f>COUNTIF(Matches!G:G,A30)</f>
        <v>0</v>
      </c>
      <c r="P30">
        <f t="shared" si="8"/>
        <v>0</v>
      </c>
      <c r="Q30">
        <f>SUMIF('Team Lineups'!C:C,A30,'Team Lineups'!J:J)</f>
        <v>0</v>
      </c>
    </row>
    <row r="31" spans="1:17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5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6"/>
        <v>0</v>
      </c>
      <c r="K31" s="3">
        <f t="shared" si="4"/>
        <v>1</v>
      </c>
      <c r="L31">
        <f>SUMIF('Team Lineups'!C:C,A31,'Team Lineups'!H:H)</f>
        <v>1</v>
      </c>
      <c r="M31">
        <f t="shared" si="7"/>
        <v>1</v>
      </c>
      <c r="N31">
        <f>SUMIF('Team Lineups'!C:C,A31,'Team Lineups'!I:I)</f>
        <v>3</v>
      </c>
      <c r="O31">
        <f>COUNTIF(Matches!G:G,A31)</f>
        <v>0</v>
      </c>
      <c r="P31">
        <f t="shared" si="8"/>
        <v>0</v>
      </c>
      <c r="Q31">
        <f>SUMIF('Team Lineups'!C:C,A31,'Team Lineups'!J:J)</f>
        <v>0</v>
      </c>
    </row>
    <row r="32" spans="1:17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si="5"/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si="6"/>
        <v>1</v>
      </c>
      <c r="K32" s="3">
        <f t="shared" si="4"/>
        <v>0</v>
      </c>
      <c r="L32">
        <f>SUMIF('Team Lineups'!C:C,A32,'Team Lineups'!H:H)</f>
        <v>2</v>
      </c>
      <c r="M32">
        <f t="shared" si="7"/>
        <v>2</v>
      </c>
      <c r="N32">
        <f>SUMIF('Team Lineups'!C:C,A32,'Team Lineups'!I:I)</f>
        <v>3</v>
      </c>
      <c r="O32">
        <f>COUNTIF(Matches!G:G,A32)</f>
        <v>0</v>
      </c>
      <c r="P32">
        <f t="shared" si="8"/>
        <v>0</v>
      </c>
      <c r="Q32">
        <f>SUMIF('Team Lineups'!C:C,A32,'Team Lineups'!J:J)</f>
        <v>0</v>
      </c>
    </row>
    <row r="33" spans="1:17" x14ac:dyDescent="0.35">
      <c r="A33" t="s">
        <v>66</v>
      </c>
      <c r="C33">
        <f>COUNTIF('Team Lineups'!C:C,A33)</f>
        <v>9</v>
      </c>
      <c r="D33">
        <f>SUMIF('Team Lineups'!C:C,A33,'Team Lineups'!E:E)</f>
        <v>62</v>
      </c>
      <c r="E33">
        <f>SUMIF('Team Lineups'!C:C,A33,'Team Lineups'!F:F)</f>
        <v>57</v>
      </c>
      <c r="F33">
        <f t="shared" si="5"/>
        <v>5</v>
      </c>
      <c r="G33">
        <f>COUNTIFS('Team Lineups'!C:C,A33,'Team Lineups'!G:G,"Win")</f>
        <v>5</v>
      </c>
      <c r="H33">
        <f>COUNTIFS('Team Lineups'!C:C,A33,'Team Lineups'!G:G,"Draw")</f>
        <v>2</v>
      </c>
      <c r="I33">
        <f>COUNTIFS('Team Lineups'!C:C,A33,'Team Lineups'!G:G,"Loss")</f>
        <v>2</v>
      </c>
      <c r="J33" s="3">
        <f t="shared" si="6"/>
        <v>0.55555555555555558</v>
      </c>
      <c r="K33" s="3">
        <f t="shared" si="4"/>
        <v>0.22222222222222221</v>
      </c>
      <c r="L33">
        <f>SUMIF('Team Lineups'!C:C,A33,'Team Lineups'!H:H)</f>
        <v>28</v>
      </c>
      <c r="M33">
        <f t="shared" si="7"/>
        <v>3.1111111111111112</v>
      </c>
      <c r="N33">
        <f>SUMIF('Team Lineups'!C:C,A33,'Team Lineups'!I:I)</f>
        <v>10</v>
      </c>
      <c r="O33">
        <f>COUNTIF(Matches!G:G,A33)</f>
        <v>1</v>
      </c>
      <c r="P33">
        <f t="shared" si="8"/>
        <v>0.1111111111111111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4</v>
      </c>
      <c r="D34">
        <f>SUMIF('Team Lineups'!C:C,A34,'Team Lineups'!E:E)</f>
        <v>22</v>
      </c>
      <c r="E34">
        <f>SUMIF('Team Lineups'!C:C,A34,'Team Lineups'!F:F)</f>
        <v>20</v>
      </c>
      <c r="F34">
        <f t="shared" si="5"/>
        <v>2</v>
      </c>
      <c r="G34">
        <f>COUNTIFS('Team Lineups'!C:C,A34,'Team Lineups'!G:G,"Win")</f>
        <v>2</v>
      </c>
      <c r="H34">
        <f>COUNTIFS('Team Lineups'!C:C,A34,'Team Lineups'!G:G,"Draw")</f>
        <v>1</v>
      </c>
      <c r="I34">
        <f>COUNTIFS('Team Lineups'!C:C,A34,'Team Lineups'!G:G,"Loss")</f>
        <v>1</v>
      </c>
      <c r="J34" s="3">
        <f t="shared" si="6"/>
        <v>0.5</v>
      </c>
      <c r="K34" s="3">
        <f t="shared" si="4"/>
        <v>0.25</v>
      </c>
      <c r="L34">
        <f>SUMIF('Team Lineups'!C:C,A34,'Team Lineups'!H:H)</f>
        <v>5</v>
      </c>
      <c r="M34">
        <f t="shared" si="7"/>
        <v>1.25</v>
      </c>
      <c r="N34">
        <f>SUMIF('Team Lineups'!C:C,A34,'Team Lineups'!I:I)</f>
        <v>2</v>
      </c>
      <c r="O34">
        <f>COUNTIF(Matches!G:G,A34)</f>
        <v>2</v>
      </c>
      <c r="P34">
        <f t="shared" si="8"/>
        <v>0.5</v>
      </c>
      <c r="Q34">
        <f>SUMIF('Team Lineups'!C:C,A34,'Team Lineups'!J:J)</f>
        <v>0</v>
      </c>
    </row>
    <row r="35" spans="1:17" x14ac:dyDescent="0.35">
      <c r="A35" t="s">
        <v>78</v>
      </c>
      <c r="C35">
        <f>COUNTIF('Team Lineups'!C:C,A35)</f>
        <v>4</v>
      </c>
      <c r="D35">
        <f>SUMIF('Team Lineups'!C:C,A35,'Team Lineups'!E:E)</f>
        <v>13</v>
      </c>
      <c r="E35">
        <f>SUMIF('Team Lineups'!C:C,A35,'Team Lineups'!F:F)</f>
        <v>24</v>
      </c>
      <c r="F35">
        <f t="shared" ref="F35" si="9">D35-E35</f>
        <v>-11</v>
      </c>
      <c r="G35">
        <f>COUNTIFS('Team Lineups'!C:C,A35,'Team Lineups'!G:G,"Win")</f>
        <v>0</v>
      </c>
      <c r="H35">
        <f>COUNTIFS('Team Lineups'!C:C,A35,'Team Lineups'!G:G,"Draw")</f>
        <v>0</v>
      </c>
      <c r="I35">
        <f>COUNTIFS('Team Lineups'!C:C,A35,'Team Lineups'!G:G,"Loss")</f>
        <v>4</v>
      </c>
      <c r="J35" s="3">
        <f t="shared" ref="J35" si="10">G35/C35</f>
        <v>0</v>
      </c>
      <c r="K35" s="3">
        <f t="shared" si="4"/>
        <v>1</v>
      </c>
      <c r="L35">
        <f>SUMIF('Team Lineups'!C:C,A35,'Team Lineups'!H:H)</f>
        <v>1</v>
      </c>
      <c r="M35">
        <f t="shared" ref="M35" si="11">L35/C35</f>
        <v>0.25</v>
      </c>
      <c r="N35">
        <f>SUMIF('Team Lineups'!C:C,A35,'Team Lineups'!I:I)</f>
        <v>2</v>
      </c>
      <c r="O35">
        <f>COUNTIF(Matches!G:G,A35)</f>
        <v>0</v>
      </c>
      <c r="P35">
        <f t="shared" ref="P35" si="12">O35/C35</f>
        <v>0</v>
      </c>
      <c r="Q35">
        <f>SUMIF('Team Lineups'!C:C,A35,'Team Lineups'!J:J)</f>
        <v>0</v>
      </c>
    </row>
    <row r="36" spans="1:17" x14ac:dyDescent="0.35">
      <c r="A36" t="s">
        <v>79</v>
      </c>
      <c r="C36">
        <f>COUNTIF('Team Lineups'!C:C,A36)</f>
        <v>1</v>
      </c>
      <c r="D36">
        <f>SUMIF('Team Lineups'!C:C,A36,'Team Lineups'!E:E)</f>
        <v>6</v>
      </c>
      <c r="E36">
        <f>SUMIF('Team Lineups'!C:C,A36,'Team Lineups'!F:F)</f>
        <v>6</v>
      </c>
      <c r="F36">
        <f t="shared" ref="F36" si="13">D36-E36</f>
        <v>0</v>
      </c>
      <c r="G36">
        <f>COUNTIFS('Team Lineups'!C:C,A36,'Team Lineups'!G:G,"Win")</f>
        <v>0</v>
      </c>
      <c r="H36">
        <f>COUNTIFS('Team Lineups'!C:C,A36,'Team Lineups'!G:G,"Draw")</f>
        <v>1</v>
      </c>
      <c r="I36">
        <f>COUNTIFS('Team Lineups'!C:C,A36,'Team Lineups'!G:G,"Loss")</f>
        <v>0</v>
      </c>
      <c r="J36" s="3">
        <f t="shared" ref="J36" si="14">G36/C36</f>
        <v>0</v>
      </c>
      <c r="K36" s="3">
        <f t="shared" si="4"/>
        <v>0</v>
      </c>
      <c r="L36">
        <f>SUMIF('Team Lineups'!C:C,A36,'Team Lineups'!H:H)</f>
        <v>3</v>
      </c>
      <c r="M36">
        <f t="shared" ref="M36" si="15">L36/C36</f>
        <v>3</v>
      </c>
      <c r="N36">
        <f>SUMIF('Team Lineups'!C:C,A36,'Team Lineups'!I:I)</f>
        <v>0</v>
      </c>
      <c r="O36">
        <f>COUNTIF(Matches!G:G,A36)</f>
        <v>0</v>
      </c>
      <c r="P36">
        <f t="shared" ref="P36" si="16">O36/C36</f>
        <v>0</v>
      </c>
      <c r="Q36">
        <f>SUMIF('Team Lineups'!C:C,A36,'Team Lineups'!J:J)</f>
        <v>0</v>
      </c>
    </row>
    <row r="37" spans="1:17" x14ac:dyDescent="0.35">
      <c r="A37" t="s">
        <v>85</v>
      </c>
      <c r="C37">
        <f>COUNTIF('Team Lineups'!C:C,A37)</f>
        <v>2</v>
      </c>
      <c r="D37">
        <f>SUMIF('Team Lineups'!C:C,A37,'Team Lineups'!E:E)</f>
        <v>10</v>
      </c>
      <c r="E37">
        <f>SUMIF('Team Lineups'!C:C,A37,'Team Lineups'!F:F)</f>
        <v>6</v>
      </c>
      <c r="F37">
        <f t="shared" ref="F37:F42" si="17">D37-E37</f>
        <v>4</v>
      </c>
      <c r="G37">
        <f>COUNTIFS('Team Lineups'!C:C,A37,'Team Lineups'!G:G,"Win")</f>
        <v>2</v>
      </c>
      <c r="H37">
        <f>COUNTIFS('Team Lineups'!C:C,A37,'Team Lineups'!G:G,"Draw")</f>
        <v>0</v>
      </c>
      <c r="I37">
        <f>COUNTIFS('Team Lineups'!C:C,A37,'Team Lineups'!G:G,"Loss")</f>
        <v>0</v>
      </c>
      <c r="J37" s="3">
        <f t="shared" ref="J37:J42" si="18">G37/C37</f>
        <v>1</v>
      </c>
      <c r="K37" s="3">
        <f t="shared" ref="K37:K42" si="19">I37/C37</f>
        <v>0</v>
      </c>
      <c r="L37">
        <f>SUMIF('Team Lineups'!C:C,A37,'Team Lineups'!H:H)</f>
        <v>0</v>
      </c>
      <c r="M37">
        <f t="shared" ref="M37:M42" si="20">L37/C37</f>
        <v>0</v>
      </c>
      <c r="N37">
        <f>SUMIF('Team Lineups'!C:C,A37,'Team Lineups'!I:I)</f>
        <v>0</v>
      </c>
      <c r="O37">
        <f>COUNTIF(Matches!G:G,A37)</f>
        <v>0</v>
      </c>
      <c r="P37">
        <f t="shared" ref="P37:P42" si="21">O37/C37</f>
        <v>0</v>
      </c>
      <c r="Q37">
        <f>SUMIF('Team Lineups'!C:C,A37,'Team Lineups'!J:J)</f>
        <v>0</v>
      </c>
    </row>
    <row r="38" spans="1:17" x14ac:dyDescent="0.35">
      <c r="A38" t="s">
        <v>86</v>
      </c>
      <c r="C38">
        <f>COUNTIF('Team Lineups'!C:C,A38)</f>
        <v>2</v>
      </c>
      <c r="D38">
        <f>SUMIF('Team Lineups'!C:C,A38,'Team Lineups'!E:E)</f>
        <v>10</v>
      </c>
      <c r="E38">
        <f>SUMIF('Team Lineups'!C:C,A38,'Team Lineups'!F:F)</f>
        <v>6</v>
      </c>
      <c r="F38">
        <f t="shared" si="17"/>
        <v>4</v>
      </c>
      <c r="G38">
        <f>COUNTIFS('Team Lineups'!C:C,A38,'Team Lineups'!G:G,"Win")</f>
        <v>2</v>
      </c>
      <c r="H38">
        <f>COUNTIFS('Team Lineups'!C:C,A38,'Team Lineups'!G:G,"Draw")</f>
        <v>0</v>
      </c>
      <c r="I38">
        <f>COUNTIFS('Team Lineups'!C:C,A38,'Team Lineups'!G:G,"Loss")</f>
        <v>0</v>
      </c>
      <c r="J38" s="3">
        <f t="shared" si="18"/>
        <v>1</v>
      </c>
      <c r="K38" s="3">
        <f t="shared" si="19"/>
        <v>0</v>
      </c>
      <c r="L38">
        <f>SUMIF('Team Lineups'!C:C,A38,'Team Lineups'!H:H)</f>
        <v>1</v>
      </c>
      <c r="M38">
        <f t="shared" si="20"/>
        <v>0.5</v>
      </c>
      <c r="N38">
        <f>SUMIF('Team Lineups'!C:C,A38,'Team Lineups'!I:I)</f>
        <v>0</v>
      </c>
      <c r="O38">
        <f>COUNTIF(Matches!G:G,A38)</f>
        <v>2</v>
      </c>
      <c r="P38">
        <f t="shared" si="21"/>
        <v>1</v>
      </c>
      <c r="Q38">
        <f>SUMIF('Team Lineups'!C:C,A38,'Team Lineups'!J:J)</f>
        <v>0</v>
      </c>
    </row>
    <row r="39" spans="1:17" x14ac:dyDescent="0.35">
      <c r="A39" t="s">
        <v>87</v>
      </c>
      <c r="C39">
        <f>COUNTIF('Team Lineups'!C:C,A39)</f>
        <v>2</v>
      </c>
      <c r="D39">
        <f>SUMIF('Team Lineups'!C:C,A39,'Team Lineups'!E:E)</f>
        <v>8</v>
      </c>
      <c r="E39">
        <f>SUMIF('Team Lineups'!C:C,A39,'Team Lineups'!F:F)</f>
        <v>4</v>
      </c>
      <c r="F39">
        <f t="shared" si="17"/>
        <v>4</v>
      </c>
      <c r="G39">
        <f>COUNTIFS('Team Lineups'!C:C,A39,'Team Lineups'!G:G,"Win")</f>
        <v>1</v>
      </c>
      <c r="H39">
        <f>COUNTIFS('Team Lineups'!C:C,A39,'Team Lineups'!G:G,"Draw")</f>
        <v>0</v>
      </c>
      <c r="I39">
        <f>COUNTIFS('Team Lineups'!C:C,A39,'Team Lineups'!G:G,"Loss")</f>
        <v>1</v>
      </c>
      <c r="J39" s="3">
        <f t="shared" si="18"/>
        <v>0.5</v>
      </c>
      <c r="K39" s="3">
        <f t="shared" si="19"/>
        <v>0.5</v>
      </c>
      <c r="L39">
        <f>SUMIF('Team Lineups'!C:C,A39,'Team Lineups'!H:H)</f>
        <v>1</v>
      </c>
      <c r="M39">
        <f t="shared" si="20"/>
        <v>0.5</v>
      </c>
      <c r="N39">
        <f>SUMIF('Team Lineups'!C:C,A39,'Team Lineups'!I:I)</f>
        <v>0</v>
      </c>
      <c r="O39">
        <f>COUNTIF(Matches!G:G,A39)</f>
        <v>0</v>
      </c>
      <c r="P39">
        <f t="shared" si="21"/>
        <v>0</v>
      </c>
      <c r="Q39">
        <f>SUMIF('Team Lineups'!C:C,A39,'Team Lineups'!J:J)</f>
        <v>0</v>
      </c>
    </row>
    <row r="40" spans="1:17" x14ac:dyDescent="0.35">
      <c r="A40" t="s">
        <v>88</v>
      </c>
      <c r="C40">
        <f>COUNTIF('Team Lineups'!C:C,A40)</f>
        <v>2</v>
      </c>
      <c r="D40">
        <f>SUMIF('Team Lineups'!C:C,A40,'Team Lineups'!E:E)</f>
        <v>2</v>
      </c>
      <c r="E40">
        <f>SUMIF('Team Lineups'!C:C,A40,'Team Lineups'!F:F)</f>
        <v>10</v>
      </c>
      <c r="F40">
        <f t="shared" si="17"/>
        <v>-8</v>
      </c>
      <c r="G40">
        <f>COUNTIFS('Team Lineups'!C:C,A40,'Team Lineups'!G:G,"Win")</f>
        <v>0</v>
      </c>
      <c r="H40">
        <f>COUNTIFS('Team Lineups'!C:C,A40,'Team Lineups'!G:G,"Draw")</f>
        <v>0</v>
      </c>
      <c r="I40">
        <f>COUNTIFS('Team Lineups'!C:C,A40,'Team Lineups'!G:G,"Loss")</f>
        <v>2</v>
      </c>
      <c r="J40" s="3">
        <f t="shared" si="18"/>
        <v>0</v>
      </c>
      <c r="K40" s="3">
        <f t="shared" si="19"/>
        <v>1</v>
      </c>
      <c r="L40">
        <f>SUMIF('Team Lineups'!C:C,A40,'Team Lineups'!H:H)</f>
        <v>0</v>
      </c>
      <c r="M40">
        <f t="shared" si="20"/>
        <v>0</v>
      </c>
      <c r="N40">
        <f>SUMIF('Team Lineups'!C:C,A40,'Team Lineups'!I:I)</f>
        <v>1</v>
      </c>
      <c r="O40">
        <f>COUNTIF(Matches!G:G,A40)</f>
        <v>0</v>
      </c>
      <c r="P40">
        <f t="shared" si="21"/>
        <v>0</v>
      </c>
      <c r="Q40">
        <f>SUMIF('Team Lineups'!C:C,A40,'Team Lineups'!J:J)</f>
        <v>0</v>
      </c>
    </row>
    <row r="41" spans="1:17" x14ac:dyDescent="0.35">
      <c r="A41" t="s">
        <v>89</v>
      </c>
      <c r="C41">
        <f>COUNTIF('Team Lineups'!C:C,A41)</f>
        <v>2</v>
      </c>
      <c r="D41">
        <f>SUMIF('Team Lineups'!C:C,A41,'Team Lineups'!E:E)</f>
        <v>8</v>
      </c>
      <c r="E41">
        <f>SUMIF('Team Lineups'!C:C,A41,'Team Lineups'!F:F)</f>
        <v>8</v>
      </c>
      <c r="F41">
        <f t="shared" si="17"/>
        <v>0</v>
      </c>
      <c r="G41">
        <f>COUNTIFS('Team Lineups'!C:C,A41,'Team Lineups'!G:G,"Win")</f>
        <v>1</v>
      </c>
      <c r="H41">
        <f>COUNTIFS('Team Lineups'!C:C,A41,'Team Lineups'!G:G,"Draw")</f>
        <v>0</v>
      </c>
      <c r="I41">
        <f>COUNTIFS('Team Lineups'!C:C,A41,'Team Lineups'!G:G,"Loss")</f>
        <v>1</v>
      </c>
      <c r="J41" s="3">
        <f t="shared" si="18"/>
        <v>0.5</v>
      </c>
      <c r="K41" s="3">
        <f t="shared" si="19"/>
        <v>0.5</v>
      </c>
      <c r="L41">
        <f>SUMIF('Team Lineups'!C:C,A41,'Team Lineups'!H:H)</f>
        <v>1</v>
      </c>
      <c r="M41">
        <f t="shared" si="20"/>
        <v>0.5</v>
      </c>
      <c r="N41">
        <f>SUMIF('Team Lineups'!C:C,A41,'Team Lineups'!I:I)</f>
        <v>0</v>
      </c>
      <c r="O41">
        <f>COUNTIF(Matches!G:G,A41)</f>
        <v>0</v>
      </c>
      <c r="P41">
        <f t="shared" si="21"/>
        <v>0</v>
      </c>
      <c r="Q41">
        <f>SUMIF('Team Lineups'!C:C,A41,'Team Lineups'!J:J)</f>
        <v>0</v>
      </c>
    </row>
    <row r="42" spans="1:17" x14ac:dyDescent="0.35">
      <c r="A42" t="s">
        <v>90</v>
      </c>
      <c r="C42">
        <f>COUNTIF('Team Lineups'!C:C,A42)</f>
        <v>2</v>
      </c>
      <c r="D42">
        <f>SUMIF('Team Lineups'!C:C,A42,'Team Lineups'!E:E)</f>
        <v>8</v>
      </c>
      <c r="E42">
        <f>SUMIF('Team Lineups'!C:C,A42,'Team Lineups'!F:F)</f>
        <v>4</v>
      </c>
      <c r="F42">
        <f t="shared" si="17"/>
        <v>4</v>
      </c>
      <c r="G42">
        <f>COUNTIFS('Team Lineups'!C:C,A42,'Team Lineups'!G:G,"Win")</f>
        <v>1</v>
      </c>
      <c r="H42">
        <f>COUNTIFS('Team Lineups'!C:C,A42,'Team Lineups'!G:G,"Draw")</f>
        <v>0</v>
      </c>
      <c r="I42">
        <f>COUNTIFS('Team Lineups'!C:C,A42,'Team Lineups'!G:G,"Loss")</f>
        <v>1</v>
      </c>
      <c r="J42" s="3">
        <f t="shared" si="18"/>
        <v>0.5</v>
      </c>
      <c r="K42" s="3">
        <f t="shared" si="19"/>
        <v>0.5</v>
      </c>
      <c r="L42">
        <f>SUMIF('Team Lineups'!C:C,A42,'Team Lineups'!H:H)</f>
        <v>1</v>
      </c>
      <c r="M42">
        <f t="shared" si="20"/>
        <v>0.5</v>
      </c>
      <c r="N42">
        <f>SUMIF('Team Lineups'!C:C,A42,'Team Lineups'!I:I)</f>
        <v>1</v>
      </c>
      <c r="O42">
        <f>COUNTIF(Matches!G:G,A42)</f>
        <v>0</v>
      </c>
      <c r="P42">
        <f t="shared" si="21"/>
        <v>0</v>
      </c>
      <c r="Q42">
        <f>SUMIF('Team Lineups'!C:C,A42,'Team Lineups'!J:J)</f>
        <v>0</v>
      </c>
    </row>
  </sheetData>
  <autoFilter ref="A1:P27" xr:uid="{00000000-0001-0000-0200-000000000000}">
    <sortState xmlns:xlrd2="http://schemas.microsoft.com/office/spreadsheetml/2017/richdata2" ref="A2:P27">
      <sortCondition descending="1" ref="G2:G27"/>
      <sortCondition descending="1" ref="H2:H27"/>
      <sortCondition descending="1" ref="J2:J27"/>
      <sortCondition descending="1" ref="O2:O27"/>
      <sortCondition descending="1" ref="L2:L27"/>
      <sortCondition descending="1" ref="F2:F27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39"/>
  <sheetViews>
    <sheetView tabSelected="1" topLeftCell="Z1" workbookViewId="0">
      <selection activeCell="AE36" sqref="AE36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39">_xlfn.UNIQUE('Team Lineups'!C2:C500)</f>
        <v>Gioele</v>
      </c>
      <c r="B2" t="s">
        <v>77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5</v>
      </c>
      <c r="E2" cm="1">
        <f t="array" ref="E2">SUMPRODUCT(('Team Lineups'!$K$2:$K$2000&lt;&gt;"")*('Team Lineups'!$C$2:$C$2000=$A2)*COUNTIFS('Team Lineups'!$K$2:$K$2000,'Team Lineups'!$K$2:$K$2000,'Team Lineups'!$C$2:$C$2000,E$1))</f>
        <v>5</v>
      </c>
      <c r="F2" cm="1">
        <f t="array" ref="F2">SUMPRODUCT(('Team Lineups'!$K$2:$K$2000&lt;&gt;"")*('Team Lineups'!$C$2:$C$2000=$A2)*COUNTIFS('Team Lineups'!$K$2:$K$2000,'Team Lineups'!$K$2:$K$2000,'Team Lineups'!$C$2:$C$2000,F$1))</f>
        <v>2</v>
      </c>
      <c r="G2" cm="1">
        <f t="array" ref="G2">SUMPRODUCT(('Team Lineups'!$K$2:$K$2000&lt;&gt;"")*('Team Lineups'!$C$2:$C$2000=$A2)*COUNTIFS('Team Lineups'!$K$2:$K$2000,'Team Lineups'!$K$2:$K$2000,'Team Lineups'!$C$2:$C$2000,G$1))</f>
        <v>4</v>
      </c>
      <c r="H2" cm="1">
        <f t="array" ref="H2">SUMPRODUCT(('Team Lineups'!$K$2:$K$2000&lt;&gt;"")*('Team Lineups'!$C$2:$C$2000=$A2)*COUNTIFS('Team Lineups'!$K$2:$K$2000,'Team Lineups'!$K$2:$K$2000,'Team Lineups'!$C$2:$C$2000,H$1))</f>
        <v>3</v>
      </c>
      <c r="I2" cm="1">
        <f t="array" ref="I2">SUMPRODUCT(('Team Lineups'!$K$2:$K$2000&lt;&gt;"")*('Team Lineups'!$C$2:$C$2000=$A2)*COUNTIFS('Team Lineups'!$K$2:$K$2000,'Team Lineups'!$K$2:$K$2000,'Team Lineups'!$C$2:$C$2000,I$1))</f>
        <v>6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2</v>
      </c>
      <c r="M2" cm="1">
        <f t="array" ref="M2">SUMPRODUCT(('Team Lineups'!$K$2:$K$2000&lt;&gt;"")*('Team Lineups'!$C$2:$C$2000=$A2)*COUNTIFS('Team Lineups'!$K$2:$K$2000,'Team Lineups'!$K$2:$K$2000,'Team Lineups'!$C$2:$C$2000,M$1))</f>
        <v>5</v>
      </c>
      <c r="N2" cm="1">
        <f t="array" ref="N2">SUMPRODUCT(('Team Lineups'!$K$2:$K$2000&lt;&gt;"")*('Team Lineups'!$C$2:$C$2000=$A2)*COUNTIFS('Team Lineups'!$K$2:$K$2000,'Team Lineups'!$K$2:$K$2000,'Team Lineups'!$C$2:$C$2000,N$1))</f>
        <v>6</v>
      </c>
      <c r="O2" cm="1">
        <f t="array" ref="O2">SUMPRODUCT(('Team Lineups'!$K$2:$K$2000&lt;&gt;"")*('Team Lineups'!$C$2:$C$2000=$A2)*COUNTIFS('Team Lineups'!$K$2:$K$2000,'Team Lineups'!$K$2:$K$2000,'Team Lineups'!$C$2:$C$2000,O$1))</f>
        <v>1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4</v>
      </c>
      <c r="R2" cm="1">
        <f t="array" ref="R2">SUMPRODUCT(('Team Lineups'!$K$2:$K$2000&lt;&gt;"")*('Team Lineups'!$C$2:$C$2000=$A2)*COUNTIFS('Team Lineups'!$K$2:$K$2000,'Team Lineups'!$K$2:$K$2000,'Team Lineups'!$C$2:$C$2000,R$1))</f>
        <v>0</v>
      </c>
      <c r="S2" cm="1">
        <f t="array" ref="S2">SUMPRODUCT(('Team Lineups'!$K$2:$K$2000&lt;&gt;"")*('Team Lineups'!$C$2:$C$2000=$A2)*COUNTIFS('Team Lineups'!$K$2:$K$2000,'Team Lineups'!$K$2:$K$2000,'Team Lineups'!$C$2:$C$2000,S$1))</f>
        <v>2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1</v>
      </c>
      <c r="AA2" cm="1">
        <f t="array" ref="AA2">SUMPRODUCT(('Team Lineups'!$K$2:$K$2000&lt;&gt;"")*('Team Lineups'!$C$2:$C$2000=$A2)*COUNTIFS('Team Lineups'!$K$2:$K$2000,'Team Lineups'!$K$2:$K$2000,'Team Lineups'!$C$2:$C$2000,AA$1))</f>
        <v>2</v>
      </c>
      <c r="AB2" cm="1">
        <f t="array" ref="AB2">SUMPRODUCT(('Team Lineups'!$K$2:$K$2000&lt;&gt;"")*('Team Lineups'!$C$2:$C$2000=$A2)*COUNTIFS('Team Lineups'!$K$2:$K$2000,'Team Lineups'!$K$2:$K$2000,'Team Lineups'!$C$2:$C$2000,AB$1))</f>
        <v>0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2</v>
      </c>
      <c r="AE2" cm="1">
        <f t="array" ref="AE2">SUMPRODUCT(('Team Lineups'!$K$2:$K$2000&lt;&gt;"")*('Team Lineups'!$C$2:$C$2000=$A2)*COUNTIFS('Team Lineups'!$K$2:$K$2000,'Team Lineups'!$K$2:$K$2000,'Team Lineups'!$C$2:$C$2000,AE$1))</f>
        <v>1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2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0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t="s">
        <v>77</v>
      </c>
      <c r="D3" cm="1">
        <f t="array" ref="D3">SUMPRODUCT(('Team Lineups'!$K$2:$K$2000&lt;&gt;"")*('Team Lineups'!$C$2:$C$2000=$A3)*COUNTIFS('Team Lineups'!$K$2:$K$2000,'Team Lineups'!$K$2:$K$2000,'Team Lineups'!$C$2:$C$2000,D$1))</f>
        <v>4</v>
      </c>
      <c r="E3" cm="1">
        <f t="array" ref="E3">SUMPRODUCT(('Team Lineups'!$K$2:$K$2000&lt;&gt;"")*('Team Lineups'!$C$2:$C$2000=$A3)*COUNTIFS('Team Lineups'!$K$2:$K$2000,'Team Lineups'!$K$2:$K$2000,'Team Lineups'!$C$2:$C$2000,E$1))</f>
        <v>6</v>
      </c>
      <c r="F3" cm="1">
        <f t="array" ref="F3">SUMPRODUCT(('Team Lineups'!$K$2:$K$2000&lt;&gt;"")*('Team Lineups'!$C$2:$C$2000=$A3)*COUNTIFS('Team Lineups'!$K$2:$K$2000,'Team Lineups'!$K$2:$K$2000,'Team Lineups'!$C$2:$C$2000,F$1))</f>
        <v>2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2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3</v>
      </c>
      <c r="R3" cm="1">
        <f t="array" ref="R3">SUMPRODUCT(('Team Lineups'!$K$2:$K$2000&lt;&gt;"")*('Team Lineups'!$C$2:$C$2000=$A3)*COUNTIFS('Team Lineups'!$K$2:$K$2000,'Team Lineups'!$K$2:$K$2000,'Team Lineups'!$C$2:$C$2000,R$1))</f>
        <v>0</v>
      </c>
      <c r="S3" cm="1">
        <f t="array" ref="S3">SUMPRODUCT(('Team Lineups'!$K$2:$K$2000&lt;&gt;"")*('Team Lineups'!$C$2:$C$2000=$A3)*COUNTIFS('Team Lineups'!$K$2:$K$2000,'Team Lineups'!$K$2:$K$2000,'Team Lineups'!$C$2:$C$2000,S$1))</f>
        <v>1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3</v>
      </c>
      <c r="AB3" cm="1">
        <f t="array" ref="AB3">SUMPRODUCT(('Team Lineups'!$K$2:$K$2000&lt;&gt;"")*('Team Lineups'!$C$2:$C$2000=$A3)*COUNTIFS('Team Lineups'!$K$2:$K$2000,'Team Lineups'!$K$2:$K$2000,'Team Lineups'!$C$2:$C$2000,AB$1))</f>
        <v>2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0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5</v>
      </c>
      <c r="C4" cm="1">
        <f t="array" ref="C4">SUMPRODUCT(('Team Lineups'!$K$2:$K$2000&lt;&gt;"")*('Team Lineups'!$C$2:$C$2000=$A4)*COUNTIFS('Team Lineups'!$K$2:$K$2000,'Team Lineups'!$K$2:$K$2000,'Team Lineups'!$C$2:$C$2000,C$1))</f>
        <v>4</v>
      </c>
      <c r="D4" t="s">
        <v>77</v>
      </c>
      <c r="E4" cm="1">
        <f t="array" ref="E4">SUMPRODUCT(('Team Lineups'!$K$2:$K$2000&lt;&gt;"")*('Team Lineups'!$C$2:$C$2000=$A4)*COUNTIFS('Team Lineups'!$K$2:$K$2000,'Team Lineups'!$K$2:$K$2000,'Team Lineups'!$C$2:$C$2000,E$1))</f>
        <v>5</v>
      </c>
      <c r="F4" cm="1">
        <f t="array" ref="F4">SUMPRODUCT(('Team Lineups'!$K$2:$K$2000&lt;&gt;"")*('Team Lineups'!$C$2:$C$2000=$A4)*COUNTIFS('Team Lineups'!$K$2:$K$2000,'Team Lineups'!$K$2:$K$2000,'Team Lineups'!$C$2:$C$2000,F$1))</f>
        <v>6</v>
      </c>
      <c r="G4" cm="1">
        <f t="array" ref="G4">SUMPRODUCT(('Team Lineups'!$K$2:$K$2000&lt;&gt;"")*('Team Lineups'!$C$2:$C$2000=$A4)*COUNTIFS('Team Lineups'!$K$2:$K$2000,'Team Lineups'!$K$2:$K$2000,'Team Lineups'!$C$2:$C$2000,G$1))</f>
        <v>1</v>
      </c>
      <c r="H4" cm="1">
        <f t="array" ref="H4">SUMPRODUCT(('Team Lineups'!$K$2:$K$2000&lt;&gt;"")*('Team Lineups'!$C$2:$C$2000=$A4)*COUNTIFS('Team Lineups'!$K$2:$K$2000,'Team Lineups'!$K$2:$K$2000,'Team Lineups'!$C$2:$C$2000,H$1))</f>
        <v>3</v>
      </c>
      <c r="I4" cm="1">
        <f t="array" ref="I4">SUMPRODUCT(('Team Lineups'!$K$2:$K$2000&lt;&gt;"")*('Team Lineups'!$C$2:$C$2000=$A4)*COUNTIFS('Team Lineups'!$K$2:$K$2000,'Team Lineups'!$K$2:$K$2000,'Team Lineups'!$C$2:$C$2000,I$1))</f>
        <v>6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6</v>
      </c>
      <c r="M4" cm="1">
        <f t="array" ref="M4">SUMPRODUCT(('Team Lineups'!$K$2:$K$2000&lt;&gt;"")*('Team Lineups'!$C$2:$C$2000=$A4)*COUNTIFS('Team Lineups'!$K$2:$K$2000,'Team Lineups'!$K$2:$K$2000,'Team Lineups'!$C$2:$C$2000,M$1))</f>
        <v>3</v>
      </c>
      <c r="N4" cm="1">
        <f t="array" ref="N4">SUMPRODUCT(('Team Lineups'!$K$2:$K$2000&lt;&gt;"")*('Team Lineups'!$C$2:$C$2000=$A4)*COUNTIFS('Team Lineups'!$K$2:$K$2000,'Team Lineups'!$K$2:$K$2000,'Team Lineups'!$C$2:$C$2000,N$1))</f>
        <v>7</v>
      </c>
      <c r="O4" cm="1">
        <f t="array" ref="O4">SUMPRODUCT(('Team Lineups'!$K$2:$K$2000&lt;&gt;"")*('Team Lineups'!$C$2:$C$2000=$A4)*COUNTIFS('Team Lineups'!$K$2:$K$2000,'Team Lineups'!$K$2:$K$2000,'Team Lineups'!$C$2:$C$2000,O$1))</f>
        <v>4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3</v>
      </c>
      <c r="R4" cm="1">
        <f t="array" ref="R4">SUMPRODUCT(('Team Lineups'!$K$2:$K$2000&lt;&gt;"")*('Team Lineups'!$C$2:$C$2000=$A4)*COUNTIFS('Team Lineups'!$K$2:$K$2000,'Team Lineups'!$K$2:$K$2000,'Team Lineups'!$C$2:$C$2000,R$1))</f>
        <v>2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3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0</v>
      </c>
      <c r="AA4" cm="1">
        <f t="array" ref="AA4">SUMPRODUCT(('Team Lineups'!$K$2:$K$2000&lt;&gt;"")*('Team Lineups'!$C$2:$C$2000=$A4)*COUNTIFS('Team Lineups'!$K$2:$K$2000,'Team Lineups'!$K$2:$K$2000,'Team Lineups'!$C$2:$C$2000,AA$1))</f>
        <v>3</v>
      </c>
      <c r="AB4" cm="1">
        <f t="array" ref="AB4">SUMPRODUCT(('Team Lineups'!$K$2:$K$2000&lt;&gt;"")*('Team Lineups'!$C$2:$C$2000=$A4)*COUNTIFS('Team Lineups'!$K$2:$K$2000,'Team Lineups'!$K$2:$K$2000,'Team Lineups'!$C$2:$C$2000,AB$1))</f>
        <v>1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0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2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0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5</v>
      </c>
      <c r="C5" cm="1">
        <f t="array" ref="C5">SUMPRODUCT(('Team Lineups'!$K$2:$K$2000&lt;&gt;"")*('Team Lineups'!$C$2:$C$2000=$A5)*COUNTIFS('Team Lineups'!$K$2:$K$2000,'Team Lineups'!$K$2:$K$2000,'Team Lineups'!$C$2:$C$2000,C$1))</f>
        <v>6</v>
      </c>
      <c r="D5" cm="1">
        <f t="array" ref="D5">SUMPRODUCT(('Team Lineups'!$K$2:$K$2000&lt;&gt;"")*('Team Lineups'!$C$2:$C$2000=$A5)*COUNTIFS('Team Lineups'!$K$2:$K$2000,'Team Lineups'!$K$2:$K$2000,'Team Lineups'!$C$2:$C$2000,D$1))</f>
        <v>5</v>
      </c>
      <c r="E5" t="s">
        <v>77</v>
      </c>
      <c r="F5" cm="1">
        <f t="array" ref="F5">SUMPRODUCT(('Team Lineups'!$K$2:$K$2000&lt;&gt;"")*('Team Lineups'!$C$2:$C$2000=$A5)*COUNTIFS('Team Lineups'!$K$2:$K$2000,'Team Lineups'!$K$2:$K$2000,'Team Lineups'!$C$2:$C$2000,F$1))</f>
        <v>5</v>
      </c>
      <c r="G5" cm="1">
        <f t="array" ref="G5">SUMPRODUCT(('Team Lineups'!$K$2:$K$2000&lt;&gt;"")*('Team Lineups'!$C$2:$C$2000=$A5)*COUNTIFS('Team Lineups'!$K$2:$K$2000,'Team Lineups'!$K$2:$K$2000,'Team Lineups'!$C$2:$C$2000,G$1))</f>
        <v>6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2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5</v>
      </c>
      <c r="M5" cm="1">
        <f t="array" ref="M5">SUMPRODUCT(('Team Lineups'!$K$2:$K$2000&lt;&gt;"")*('Team Lineups'!$C$2:$C$2000=$A5)*COUNTIFS('Team Lineups'!$K$2:$K$2000,'Team Lineups'!$K$2:$K$2000,'Team Lineups'!$C$2:$C$2000,M$1))</f>
        <v>3</v>
      </c>
      <c r="N5" cm="1">
        <f t="array" ref="N5">SUMPRODUCT(('Team Lineups'!$K$2:$K$2000&lt;&gt;"")*('Team Lineups'!$C$2:$C$2000=$A5)*COUNTIFS('Team Lineups'!$K$2:$K$2000,'Team Lineups'!$K$2:$K$2000,'Team Lineups'!$C$2:$C$2000,N$1))</f>
        <v>3</v>
      </c>
      <c r="O5" cm="1">
        <f t="array" ref="O5">SUMPRODUCT(('Team Lineups'!$K$2:$K$2000&lt;&gt;"")*('Team Lineups'!$C$2:$C$2000=$A5)*COUNTIFS('Team Lineups'!$K$2:$K$2000,'Team Lineups'!$K$2:$K$2000,'Team Lineups'!$C$2:$C$2000,O$1))</f>
        <v>2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3</v>
      </c>
      <c r="R5" cm="1">
        <f t="array" ref="R5">SUMPRODUCT(('Team Lineups'!$K$2:$K$2000&lt;&gt;"")*('Team Lineups'!$C$2:$C$2000=$A5)*COUNTIFS('Team Lineups'!$K$2:$K$2000,'Team Lineups'!$K$2:$K$2000,'Team Lineups'!$C$2:$C$2000,R$1))</f>
        <v>3</v>
      </c>
      <c r="S5" cm="1">
        <f t="array" ref="S5">SUMPRODUCT(('Team Lineups'!$K$2:$K$2000&lt;&gt;"")*('Team Lineups'!$C$2:$C$2000=$A5)*COUNTIFS('Team Lineups'!$K$2:$K$2000,'Team Lineups'!$K$2:$K$2000,'Team Lineups'!$C$2:$C$2000,S$1))</f>
        <v>2</v>
      </c>
      <c r="T5" cm="1">
        <f t="array" ref="T5">SUMPRODUCT(('Team Lineups'!$K$2:$K$2000&lt;&gt;"")*('Team Lineups'!$C$2:$C$2000=$A5)*COUNTIFS('Team Lineups'!$K$2:$K$2000,'Team Lineups'!$K$2:$K$2000,'Team Lineups'!$C$2:$C$2000,T$1))</f>
        <v>0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0</v>
      </c>
      <c r="AA5" cm="1">
        <f t="array" ref="AA5">SUMPRODUCT(('Team Lineups'!$K$2:$K$2000&lt;&gt;"")*('Team Lineups'!$C$2:$C$2000=$A5)*COUNTIFS('Team Lineups'!$K$2:$K$2000,'Team Lineups'!$K$2:$K$2000,'Team Lineups'!$C$2:$C$2000,AA$1))</f>
        <v>6</v>
      </c>
      <c r="AB5" cm="1">
        <f t="array" ref="AB5">SUMPRODUCT(('Team Lineups'!$K$2:$K$2000&lt;&gt;"")*('Team Lineups'!$C$2:$C$2000=$A5)*COUNTIFS('Team Lineups'!$K$2:$K$2000,'Team Lineups'!$K$2:$K$2000,'Team Lineups'!$C$2:$C$2000,AB$1))</f>
        <v>1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0</v>
      </c>
      <c r="AE5" cm="1">
        <f t="array" ref="AE5">SUMPRODUCT(('Team Lineups'!$K$2:$K$2000&lt;&gt;"")*('Team Lineups'!$C$2:$C$2000=$A5)*COUNTIFS('Team Lineups'!$K$2:$K$2000,'Team Lineups'!$K$2:$K$2000,'Team Lineups'!$C$2:$C$2000,AE$1))</f>
        <v>1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0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0</v>
      </c>
      <c r="AK5" cm="1">
        <f t="array" ref="AK5">SUMPRODUCT(('Team Lineups'!$K$2:$K$2000&lt;&gt;"")*('Team Lineups'!$C$2:$C$2000=$A5)*COUNTIFS('Team Lineups'!$K$2:$K$2000,'Team Lineups'!$K$2:$K$2000,'Team Lineups'!$C$2:$C$2000,AK$1))</f>
        <v>2</v>
      </c>
      <c r="AL5" cm="1">
        <f t="array" ref="AL5">SUMPRODUCT(('Team Lineups'!$K$2:$K$2000&lt;&gt;"")*('Team Lineups'!$C$2:$C$2000=$A5)*COUNTIFS('Team Lineups'!$K$2:$K$2000,'Team Lineups'!$K$2:$K$2000,'Team Lineups'!$C$2:$C$2000,AL$1))</f>
        <v>2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2</v>
      </c>
      <c r="C6" cm="1">
        <f t="array" ref="C6">SUMPRODUCT(('Team Lineups'!$K$2:$K$2000&lt;&gt;"")*('Team Lineups'!$C$2:$C$2000=$A6)*COUNTIFS('Team Lineups'!$K$2:$K$2000,'Team Lineups'!$K$2:$K$2000,'Team Lineups'!$C$2:$C$2000,C$1))</f>
        <v>2</v>
      </c>
      <c r="D6" cm="1">
        <f t="array" ref="D6">SUMPRODUCT(('Team Lineups'!$K$2:$K$2000&lt;&gt;"")*('Team Lineups'!$C$2:$C$2000=$A6)*COUNTIFS('Team Lineups'!$K$2:$K$2000,'Team Lineups'!$K$2:$K$2000,'Team Lineups'!$C$2:$C$2000,D$1))</f>
        <v>6</v>
      </c>
      <c r="E6" cm="1">
        <f t="array" ref="E6">SUMPRODUCT(('Team Lineups'!$K$2:$K$2000&lt;&gt;"")*('Team Lineups'!$C$2:$C$2000=$A6)*COUNTIFS('Team Lineups'!$K$2:$K$2000,'Team Lineups'!$K$2:$K$2000,'Team Lineups'!$C$2:$C$2000,E$1))</f>
        <v>5</v>
      </c>
      <c r="F6" t="s">
        <v>77</v>
      </c>
      <c r="G6" cm="1">
        <f t="array" ref="G6">SUMPRODUCT(('Team Lineups'!$K$2:$K$2000&lt;&gt;"")*('Team Lineups'!$C$2:$C$2000=$A6)*COUNTIFS('Team Lineups'!$K$2:$K$2000,'Team Lineups'!$K$2:$K$2000,'Team Lineups'!$C$2:$C$2000,G$1))</f>
        <v>1</v>
      </c>
      <c r="H6" cm="1">
        <f t="array" ref="H6">SUMPRODUCT(('Team Lineups'!$K$2:$K$2000&lt;&gt;"")*('Team Lineups'!$C$2:$C$2000=$A6)*COUNTIFS('Team Lineups'!$K$2:$K$2000,'Team Lineups'!$K$2:$K$2000,'Team Lineups'!$C$2:$C$2000,H$1))</f>
        <v>2</v>
      </c>
      <c r="I6" cm="1">
        <f t="array" ref="I6">SUMPRODUCT(('Team Lineups'!$K$2:$K$2000&lt;&gt;"")*('Team Lineups'!$C$2:$C$2000=$A6)*COUNTIFS('Team Lineups'!$K$2:$K$2000,'Team Lineups'!$K$2:$K$2000,'Team Lineups'!$C$2:$C$2000,I$1))</f>
        <v>4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5</v>
      </c>
      <c r="M6" cm="1">
        <f t="array" ref="M6">SUMPRODUCT(('Team Lineups'!$K$2:$K$2000&lt;&gt;"")*('Team Lineups'!$C$2:$C$2000=$A6)*COUNTIFS('Team Lineups'!$K$2:$K$2000,'Team Lineups'!$K$2:$K$2000,'Team Lineups'!$C$2:$C$2000,M$1))</f>
        <v>6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3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3</v>
      </c>
      <c r="R6" cm="1">
        <f t="array" ref="R6">SUMPRODUCT(('Team Lineups'!$K$2:$K$2000&lt;&gt;"")*('Team Lineups'!$C$2:$C$2000=$A6)*COUNTIFS('Team Lineups'!$K$2:$K$2000,'Team Lineups'!$K$2:$K$2000,'Team Lineups'!$C$2:$C$2000,R$1))</f>
        <v>5</v>
      </c>
      <c r="S6" cm="1">
        <f t="array" ref="S6">SUMPRODUCT(('Team Lineups'!$K$2:$K$2000&lt;&gt;"")*('Team Lineups'!$C$2:$C$2000=$A6)*COUNTIFS('Team Lineups'!$K$2:$K$2000,'Team Lineups'!$K$2:$K$2000,'Team Lineups'!$C$2:$C$2000,S$1))</f>
        <v>3</v>
      </c>
      <c r="T6" cm="1">
        <f t="array" ref="T6">SUMPRODUCT(('Team Lineups'!$K$2:$K$2000&lt;&gt;"")*('Team Lineups'!$C$2:$C$2000=$A6)*COUNTIFS('Team Lineups'!$K$2:$K$2000,'Team Lineups'!$K$2:$K$2000,'Team Lineups'!$C$2:$C$2000,T$1))</f>
        <v>0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4</v>
      </c>
      <c r="AB6" cm="1">
        <f t="array" ref="AB6">SUMPRODUCT(('Team Lineups'!$K$2:$K$2000&lt;&gt;"")*('Team Lineups'!$C$2:$C$2000=$A6)*COUNTIFS('Team Lineups'!$K$2:$K$2000,'Team Lineups'!$K$2:$K$2000,'Team Lineups'!$C$2:$C$2000,AB$1))</f>
        <v>1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0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0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0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0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4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1</v>
      </c>
      <c r="E7" cm="1">
        <f t="array" ref="E7">SUMPRODUCT(('Team Lineups'!$K$2:$K$2000&lt;&gt;"")*('Team Lineups'!$C$2:$C$2000=$A7)*COUNTIFS('Team Lineups'!$K$2:$K$2000,'Team Lineups'!$K$2:$K$2000,'Team Lineups'!$C$2:$C$2000,E$1))</f>
        <v>6</v>
      </c>
      <c r="F7" cm="1">
        <f t="array" ref="F7">SUMPRODUCT(('Team Lineups'!$K$2:$K$2000&lt;&gt;"")*('Team Lineups'!$C$2:$C$2000=$A7)*COUNTIFS('Team Lineups'!$K$2:$K$2000,'Team Lineups'!$K$2:$K$2000,'Team Lineups'!$C$2:$C$2000,F$1))</f>
        <v>1</v>
      </c>
      <c r="G7" t="s">
        <v>77</v>
      </c>
      <c r="H7" cm="1">
        <f t="array" ref="H7">SUMPRODUCT(('Team Lineups'!$K$2:$K$2000&lt;&gt;"")*('Team Lineups'!$C$2:$C$2000=$A7)*COUNTIFS('Team Lineups'!$K$2:$K$2000,'Team Lineups'!$K$2:$K$2000,'Team Lineups'!$C$2:$C$2000,H$1))</f>
        <v>4</v>
      </c>
      <c r="I7" cm="1">
        <f t="array" ref="I7">SUMPRODUCT(('Team Lineups'!$K$2:$K$2000&lt;&gt;"")*('Team Lineups'!$C$2:$C$2000=$A7)*COUNTIFS('Team Lineups'!$K$2:$K$2000,'Team Lineups'!$K$2:$K$2000,'Team Lineups'!$C$2:$C$2000,I$1))</f>
        <v>6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4</v>
      </c>
      <c r="M7" cm="1">
        <f t="array" ref="M7">SUMPRODUCT(('Team Lineups'!$K$2:$K$2000&lt;&gt;"")*('Team Lineups'!$C$2:$C$2000=$A7)*COUNTIFS('Team Lineups'!$K$2:$K$2000,'Team Lineups'!$K$2:$K$2000,'Team Lineups'!$C$2:$C$2000,M$1))</f>
        <v>8</v>
      </c>
      <c r="N7" cm="1">
        <f t="array" ref="N7">SUMPRODUCT(('Team Lineups'!$K$2:$K$2000&lt;&gt;"")*('Team Lineups'!$C$2:$C$2000=$A7)*COUNTIFS('Team Lineups'!$K$2:$K$2000,'Team Lineups'!$K$2:$K$2000,'Team Lineups'!$C$2:$C$2000,N$1))</f>
        <v>3</v>
      </c>
      <c r="O7" cm="1">
        <f t="array" ref="O7">SUMPRODUCT(('Team Lineups'!$K$2:$K$2000&lt;&gt;"")*('Team Lineups'!$C$2:$C$2000=$A7)*COUNTIFS('Team Lineups'!$K$2:$K$2000,'Team Lineups'!$K$2:$K$2000,'Team Lineups'!$C$2:$C$2000,O$1))</f>
        <v>0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3</v>
      </c>
      <c r="R7" cm="1">
        <f t="array" ref="R7">SUMPRODUCT(('Team Lineups'!$K$2:$K$2000&lt;&gt;"")*('Team Lineups'!$C$2:$C$2000=$A7)*COUNTIFS('Team Lineups'!$K$2:$K$2000,'Team Lineups'!$K$2:$K$2000,'Team Lineups'!$C$2:$C$2000,R$1))</f>
        <v>4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1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2</v>
      </c>
      <c r="AA7" cm="1">
        <f t="array" ref="AA7">SUMPRODUCT(('Team Lineups'!$K$2:$K$2000&lt;&gt;"")*('Team Lineups'!$C$2:$C$2000=$A7)*COUNTIFS('Team Lineups'!$K$2:$K$2000,'Team Lineups'!$K$2:$K$2000,'Team Lineups'!$C$2:$C$2000,AA$1))</f>
        <v>4</v>
      </c>
      <c r="AB7" cm="1">
        <f t="array" ref="AB7">SUMPRODUCT(('Team Lineups'!$K$2:$K$2000&lt;&gt;"")*('Team Lineups'!$C$2:$C$2000=$A7)*COUNTIFS('Team Lineups'!$K$2:$K$2000,'Team Lineups'!$K$2:$K$2000,'Team Lineups'!$C$2:$C$2000,AB$1))</f>
        <v>2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2</v>
      </c>
      <c r="AE7" cm="1">
        <f t="array" ref="AE7">SUMPRODUCT(('Team Lineups'!$K$2:$K$2000&lt;&gt;"")*('Team Lineups'!$C$2:$C$2000=$A7)*COUNTIFS('Team Lineups'!$K$2:$K$2000,'Team Lineups'!$K$2:$K$2000,'Team Lineups'!$C$2:$C$2000,AE$1))</f>
        <v>0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0</v>
      </c>
      <c r="AH7" cm="1">
        <f t="array" ref="AH7">SUMPRODUCT(('Team Lineups'!$K$2:$K$2000&lt;&gt;"")*('Team Lineups'!$C$2:$C$2000=$A7)*COUNTIFS('Team Lineups'!$K$2:$K$2000,'Team Lineups'!$K$2:$K$2000,'Team Lineups'!$C$2:$C$2000,AH$1))</f>
        <v>0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0</v>
      </c>
      <c r="AK7" cm="1">
        <f t="array" ref="AK7">SUMPRODUCT(('Team Lineups'!$K$2:$K$2000&lt;&gt;"")*('Team Lineups'!$C$2:$C$2000=$A7)*COUNTIFS('Team Lineups'!$K$2:$K$2000,'Team Lineups'!$K$2:$K$2000,'Team Lineups'!$C$2:$C$2000,AK$1))</f>
        <v>2</v>
      </c>
      <c r="AL7" cm="1">
        <f t="array" ref="AL7">SUMPRODUCT(('Team Lineups'!$K$2:$K$2000&lt;&gt;"")*('Team Lineups'!$C$2:$C$2000=$A7)*COUNTIFS('Team Lineups'!$K$2:$K$2000,'Team Lineups'!$K$2:$K$2000,'Team Lineups'!$C$2:$C$2000,AL$1))</f>
        <v>2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3</v>
      </c>
      <c r="C8" cm="1">
        <f t="array" ref="C8">SUMPRODUCT(('Team Lineups'!$K$2:$K$2000&lt;&gt;"")*('Team Lineups'!$C$2:$C$2000=$A8)*COUNTIFS('Team Lineups'!$K$2:$K$2000,'Team Lineups'!$K$2:$K$2000,'Team Lineups'!$C$2:$C$2000,C$1))</f>
        <v>2</v>
      </c>
      <c r="D8" cm="1">
        <f t="array" ref="D8">SUMPRODUCT(('Team Lineups'!$K$2:$K$2000&lt;&gt;"")*('Team Lineups'!$C$2:$C$2000=$A8)*COUNTIFS('Team Lineups'!$K$2:$K$2000,'Team Lineups'!$K$2:$K$2000,'Team Lineups'!$C$2:$C$2000,D$1))</f>
        <v>3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2</v>
      </c>
      <c r="G8" cm="1">
        <f t="array" ref="G8">SUMPRODUCT(('Team Lineups'!$K$2:$K$2000&lt;&gt;"")*('Team Lineups'!$C$2:$C$2000=$A8)*COUNTIFS('Team Lineups'!$K$2:$K$2000,'Team Lineups'!$K$2:$K$2000,'Team Lineups'!$C$2:$C$2000,G$1))</f>
        <v>4</v>
      </c>
      <c r="H8" t="s">
        <v>77</v>
      </c>
      <c r="I8" cm="1">
        <f t="array" ref="I8">SUMPRODUCT(('Team Lineups'!$K$2:$K$2000&lt;&gt;"")*('Team Lineups'!$C$2:$C$2000=$A8)*COUNTIFS('Team Lineups'!$K$2:$K$2000,'Team Lineups'!$K$2:$K$2000,'Team Lineups'!$C$2:$C$2000,I$1))</f>
        <v>6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1</v>
      </c>
      <c r="M8" cm="1">
        <f t="array" ref="M8">SUMPRODUCT(('Team Lineups'!$K$2:$K$2000&lt;&gt;"")*('Team Lineups'!$C$2:$C$2000=$A8)*COUNTIFS('Team Lineups'!$K$2:$K$2000,'Team Lineups'!$K$2:$K$2000,'Team Lineups'!$C$2:$C$2000,M$1))</f>
        <v>4</v>
      </c>
      <c r="N8" cm="1">
        <f t="array" ref="N8">SUMPRODUCT(('Team Lineups'!$K$2:$K$2000&lt;&gt;"")*('Team Lineups'!$C$2:$C$2000=$A8)*COUNTIFS('Team Lineups'!$K$2:$K$2000,'Team Lineups'!$K$2:$K$2000,'Team Lineups'!$C$2:$C$2000,N$1))</f>
        <v>3</v>
      </c>
      <c r="O8" cm="1">
        <f t="array" ref="O8">SUMPRODUCT(('Team Lineups'!$K$2:$K$2000&lt;&gt;"")*('Team Lineups'!$C$2:$C$2000=$A8)*COUNTIFS('Team Lineups'!$K$2:$K$2000,'Team Lineups'!$K$2:$K$2000,'Team Lineups'!$C$2:$C$2000,O$1))</f>
        <v>4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7</v>
      </c>
      <c r="R8" cm="1">
        <f t="array" ref="R8">SUMPRODUCT(('Team Lineups'!$K$2:$K$2000&lt;&gt;"")*('Team Lineups'!$C$2:$C$2000=$A8)*COUNTIFS('Team Lineups'!$K$2:$K$2000,'Team Lineups'!$K$2:$K$2000,'Team Lineups'!$C$2:$C$2000,R$1))</f>
        <v>3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2</v>
      </c>
      <c r="AA8" cm="1">
        <f t="array" ref="AA8">SUMPRODUCT(('Team Lineups'!$K$2:$K$2000&lt;&gt;"")*('Team Lineups'!$C$2:$C$2000=$A8)*COUNTIFS('Team Lineups'!$K$2:$K$2000,'Team Lineups'!$K$2:$K$2000,'Team Lineups'!$C$2:$C$2000,AA$1))</f>
        <v>1</v>
      </c>
      <c r="AB8" cm="1">
        <f t="array" ref="AB8">SUMPRODUCT(('Team Lineups'!$K$2:$K$2000&lt;&gt;"")*('Team Lineups'!$C$2:$C$2000=$A8)*COUNTIFS('Team Lineups'!$K$2:$K$2000,'Team Lineups'!$K$2:$K$2000,'Team Lineups'!$C$2:$C$2000,AB$1))</f>
        <v>5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2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0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0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0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6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6</v>
      </c>
      <c r="E9" cm="1">
        <f t="array" ref="E9">SUMPRODUCT(('Team Lineups'!$K$2:$K$2000&lt;&gt;"")*('Team Lineups'!$C$2:$C$2000=$A9)*COUNTIFS('Team Lineups'!$K$2:$K$2000,'Team Lineups'!$K$2:$K$2000,'Team Lineups'!$C$2:$C$2000,E$1))</f>
        <v>2</v>
      </c>
      <c r="F9" cm="1">
        <f t="array" ref="F9">SUMPRODUCT(('Team Lineups'!$K$2:$K$2000&lt;&gt;"")*('Team Lineups'!$C$2:$C$2000=$A9)*COUNTIFS('Team Lineups'!$K$2:$K$2000,'Team Lineups'!$K$2:$K$2000,'Team Lineups'!$C$2:$C$2000,F$1))</f>
        <v>4</v>
      </c>
      <c r="G9" cm="1">
        <f t="array" ref="G9">SUMPRODUCT(('Team Lineups'!$K$2:$K$2000&lt;&gt;"")*('Team Lineups'!$C$2:$C$2000=$A9)*COUNTIFS('Team Lineups'!$K$2:$K$2000,'Team Lineups'!$K$2:$K$2000,'Team Lineups'!$C$2:$C$2000,G$1))</f>
        <v>6</v>
      </c>
      <c r="H9" cm="1">
        <f t="array" ref="H9">SUMPRODUCT(('Team Lineups'!$K$2:$K$2000&lt;&gt;"")*('Team Lineups'!$C$2:$C$2000=$A9)*COUNTIFS('Team Lineups'!$K$2:$K$2000,'Team Lineups'!$K$2:$K$2000,'Team Lineups'!$C$2:$C$2000,H$1))</f>
        <v>6</v>
      </c>
      <c r="I9" t="s">
        <v>77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5</v>
      </c>
      <c r="M9" cm="1">
        <f t="array" ref="M9">SUMPRODUCT(('Team Lineups'!$K$2:$K$2000&lt;&gt;"")*('Team Lineups'!$C$2:$C$2000=$A9)*COUNTIFS('Team Lineups'!$K$2:$K$2000,'Team Lineups'!$K$2:$K$2000,'Team Lineups'!$C$2:$C$2000,M$1))</f>
        <v>5</v>
      </c>
      <c r="N9" cm="1">
        <f t="array" ref="N9">SUMPRODUCT(('Team Lineups'!$K$2:$K$2000&lt;&gt;"")*('Team Lineups'!$C$2:$C$2000=$A9)*COUNTIFS('Team Lineups'!$K$2:$K$2000,'Team Lineups'!$K$2:$K$2000,'Team Lineups'!$C$2:$C$2000,N$1))</f>
        <v>5</v>
      </c>
      <c r="O9" cm="1">
        <f t="array" ref="O9">SUMPRODUCT(('Team Lineups'!$K$2:$K$2000&lt;&gt;"")*('Team Lineups'!$C$2:$C$2000=$A9)*COUNTIFS('Team Lineups'!$K$2:$K$2000,'Team Lineups'!$K$2:$K$2000,'Team Lineups'!$C$2:$C$2000,O$1))</f>
        <v>3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4</v>
      </c>
      <c r="R9" cm="1">
        <f t="array" ref="R9">SUMPRODUCT(('Team Lineups'!$K$2:$K$2000&lt;&gt;"")*('Team Lineups'!$C$2:$C$2000=$A9)*COUNTIFS('Team Lineups'!$K$2:$K$2000,'Team Lineups'!$K$2:$K$2000,'Team Lineups'!$C$2:$C$2000,R$1))</f>
        <v>3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2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3</v>
      </c>
      <c r="AA9" cm="1">
        <f t="array" ref="AA9">SUMPRODUCT(('Team Lineups'!$K$2:$K$2000&lt;&gt;"")*('Team Lineups'!$C$2:$C$2000=$A9)*COUNTIFS('Team Lineups'!$K$2:$K$2000,'Team Lineups'!$K$2:$K$2000,'Team Lineups'!$C$2:$C$2000,AA$1))</f>
        <v>4</v>
      </c>
      <c r="AB9" cm="1">
        <f t="array" ref="AB9">SUMPRODUCT(('Team Lineups'!$K$2:$K$2000&lt;&gt;"")*('Team Lineups'!$C$2:$C$2000=$A9)*COUNTIFS('Team Lineups'!$K$2:$K$2000,'Team Lineups'!$K$2:$K$2000,'Team Lineups'!$C$2:$C$2000,AB$1))</f>
        <v>2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3</v>
      </c>
      <c r="AE9" cm="1">
        <f t="array" ref="AE9">SUMPRODUCT(('Team Lineups'!$K$2:$K$2000&lt;&gt;"")*('Team Lineups'!$C$2:$C$2000=$A9)*COUNTIFS('Team Lineups'!$K$2:$K$2000,'Team Lineups'!$K$2:$K$2000,'Team Lineups'!$C$2:$C$2000,AE$1))</f>
        <v>0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0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2</v>
      </c>
      <c r="AK9" cm="1">
        <f t="array" ref="AK9">SUMPRODUCT(('Team Lineups'!$K$2:$K$2000&lt;&gt;"")*('Team Lineups'!$C$2:$C$2000=$A9)*COUNTIFS('Team Lineups'!$K$2:$K$2000,'Team Lineups'!$K$2:$K$2000,'Team Lineups'!$C$2:$C$2000,AK$1))</f>
        <v>0</v>
      </c>
      <c r="AL9" cm="1">
        <f t="array" ref="AL9">SUMPRODUCT(('Team Lineups'!$K$2:$K$2000&lt;&gt;"")*('Team Lineups'!$C$2:$C$2000=$A9)*COUNTIFS('Team Lineups'!$K$2:$K$2000,'Team Lineups'!$K$2:$K$2000,'Team Lineups'!$C$2:$C$2000,AL$1))</f>
        <v>0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t="s">
        <v>77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t="s">
        <v>77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2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6</v>
      </c>
      <c r="E12" cm="1">
        <f t="array" ref="E12">SUMPRODUCT(('Team Lineups'!$K$2:$K$2000&lt;&gt;"")*('Team Lineups'!$C$2:$C$2000=$A12)*COUNTIFS('Team Lineups'!$K$2:$K$2000,'Team Lineups'!$K$2:$K$2000,'Team Lineups'!$C$2:$C$2000,E$1))</f>
        <v>5</v>
      </c>
      <c r="F12" cm="1">
        <f t="array" ref="F12">SUMPRODUCT(('Team Lineups'!$K$2:$K$2000&lt;&gt;"")*('Team Lineups'!$C$2:$C$2000=$A12)*COUNTIFS('Team Lineups'!$K$2:$K$2000,'Team Lineups'!$K$2:$K$2000,'Team Lineups'!$C$2:$C$2000,F$1))</f>
        <v>5</v>
      </c>
      <c r="G12" cm="1">
        <f t="array" ref="G12">SUMPRODUCT(('Team Lineups'!$K$2:$K$2000&lt;&gt;"")*('Team Lineups'!$C$2:$C$2000=$A12)*COUNTIFS('Team Lineups'!$K$2:$K$2000,'Team Lineups'!$K$2:$K$2000,'Team Lineups'!$C$2:$C$2000,G$1))</f>
        <v>4</v>
      </c>
      <c r="H12" cm="1">
        <f t="array" ref="H12">SUMPRODUCT(('Team Lineups'!$K$2:$K$2000&lt;&gt;"")*('Team Lineups'!$C$2:$C$2000=$A12)*COUNTIFS('Team Lineups'!$K$2:$K$2000,'Team Lineups'!$K$2:$K$2000,'Team Lineups'!$C$2:$C$2000,H$1))</f>
        <v>1</v>
      </c>
      <c r="I12" cm="1">
        <f t="array" ref="I12">SUMPRODUCT(('Team Lineups'!$K$2:$K$2000&lt;&gt;"")*('Team Lineups'!$C$2:$C$2000=$A12)*COUNTIFS('Team Lineups'!$K$2:$K$2000,'Team Lineups'!$K$2:$K$2000,'Team Lineups'!$C$2:$C$2000,I$1))</f>
        <v>5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t="s">
        <v>77</v>
      </c>
      <c r="M12" cm="1">
        <f t="array" ref="M12">SUMPRODUCT(('Team Lineups'!$K$2:$K$2000&lt;&gt;"")*('Team Lineups'!$C$2:$C$2000=$A12)*COUNTIFS('Team Lineups'!$K$2:$K$2000,'Team Lineups'!$K$2:$K$2000,'Team Lineups'!$C$2:$C$2000,M$1))</f>
        <v>6</v>
      </c>
      <c r="N12" cm="1">
        <f t="array" ref="N12">SUMPRODUCT(('Team Lineups'!$K$2:$K$2000&lt;&gt;"")*('Team Lineups'!$C$2:$C$2000=$A12)*COUNTIFS('Team Lineups'!$K$2:$K$2000,'Team Lineups'!$K$2:$K$2000,'Team Lineups'!$C$2:$C$2000,N$1))</f>
        <v>4</v>
      </c>
      <c r="O12" cm="1">
        <f t="array" ref="O12">SUMPRODUCT(('Team Lineups'!$K$2:$K$2000&lt;&gt;"")*('Team Lineups'!$C$2:$C$2000=$A12)*COUNTIFS('Team Lineups'!$K$2:$K$2000,'Team Lineups'!$K$2:$K$2000,'Team Lineups'!$C$2:$C$2000,O$1))</f>
        <v>3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4</v>
      </c>
      <c r="R12" cm="1">
        <f t="array" ref="R12">SUMPRODUCT(('Team Lineups'!$K$2:$K$2000&lt;&gt;"")*('Team Lineups'!$C$2:$C$2000=$A12)*COUNTIFS('Team Lineups'!$K$2:$K$2000,'Team Lineups'!$K$2:$K$2000,'Team Lineups'!$C$2:$C$2000,R$1))</f>
        <v>2</v>
      </c>
      <c r="S12" cm="1">
        <f t="array" ref="S12">SUMPRODUCT(('Team Lineups'!$K$2:$K$2000&lt;&gt;"")*('Team Lineups'!$C$2:$C$2000=$A12)*COUNTIFS('Team Lineups'!$K$2:$K$2000,'Team Lineups'!$K$2:$K$2000,'Team Lineups'!$C$2:$C$2000,S$1))</f>
        <v>6</v>
      </c>
      <c r="T12" cm="1">
        <f t="array" ref="T12">SUMPRODUCT(('Team Lineups'!$K$2:$K$2000&lt;&gt;"")*('Team Lineups'!$C$2:$C$2000=$A12)*COUNTIFS('Team Lineups'!$K$2:$K$2000,'Team Lineups'!$K$2:$K$2000,'Team Lineups'!$C$2:$C$2000,T$1))</f>
        <v>2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0</v>
      </c>
      <c r="AA12" cm="1">
        <f t="array" ref="AA12">SUMPRODUCT(('Team Lineups'!$K$2:$K$2000&lt;&gt;"")*('Team Lineups'!$C$2:$C$2000=$A12)*COUNTIFS('Team Lineups'!$K$2:$K$2000,'Team Lineups'!$K$2:$K$2000,'Team Lineups'!$C$2:$C$2000,AA$1))</f>
        <v>4</v>
      </c>
      <c r="AB12" cm="1">
        <f t="array" ref="AB12">SUMPRODUCT(('Team Lineups'!$K$2:$K$2000&lt;&gt;"")*('Team Lineups'!$C$2:$C$2000=$A12)*COUNTIFS('Team Lineups'!$K$2:$K$2000,'Team Lineups'!$K$2:$K$2000,'Team Lineups'!$C$2:$C$2000,AB$1))</f>
        <v>3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2</v>
      </c>
      <c r="AE12" cm="1">
        <f t="array" ref="AE12">SUMPRODUCT(('Team Lineups'!$K$2:$K$2000&lt;&gt;"")*('Team Lineups'!$C$2:$C$2000=$A12)*COUNTIFS('Team Lineups'!$K$2:$K$2000,'Team Lineups'!$K$2:$K$2000,'Team Lineups'!$C$2:$C$2000,AE$1))</f>
        <v>0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2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0</v>
      </c>
      <c r="AK12" cm="1">
        <f t="array" ref="AK12">SUMPRODUCT(('Team Lineups'!$K$2:$K$2000&lt;&gt;"")*('Team Lineups'!$C$2:$C$2000=$A12)*COUNTIFS('Team Lineups'!$K$2:$K$2000,'Team Lineups'!$K$2:$K$2000,'Team Lineups'!$C$2:$C$2000,AK$1))</f>
        <v>0</v>
      </c>
      <c r="AL12" cm="1">
        <f t="array" ref="AL12">SUMPRODUCT(('Team Lineups'!$K$2:$K$2000&lt;&gt;"")*('Team Lineups'!$C$2:$C$2000=$A12)*COUNTIFS('Team Lineups'!$K$2:$K$2000,'Team Lineups'!$K$2:$K$2000,'Team Lineups'!$C$2:$C$2000,AL$1))</f>
        <v>0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5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3</v>
      </c>
      <c r="E13" cm="1">
        <f t="array" ref="E13">SUMPRODUCT(('Team Lineups'!$K$2:$K$2000&lt;&gt;"")*('Team Lineups'!$C$2:$C$2000=$A13)*COUNTIFS('Team Lineups'!$K$2:$K$2000,'Team Lineups'!$K$2:$K$2000,'Team Lineups'!$C$2:$C$2000,E$1))</f>
        <v>3</v>
      </c>
      <c r="F13" cm="1">
        <f t="array" ref="F13">SUMPRODUCT(('Team Lineups'!$K$2:$K$2000&lt;&gt;"")*('Team Lineups'!$C$2:$C$2000=$A13)*COUNTIFS('Team Lineups'!$K$2:$K$2000,'Team Lineups'!$K$2:$K$2000,'Team Lineups'!$C$2:$C$2000,F$1))</f>
        <v>6</v>
      </c>
      <c r="G13" cm="1">
        <f t="array" ref="G13">SUMPRODUCT(('Team Lineups'!$K$2:$K$2000&lt;&gt;"")*('Team Lineups'!$C$2:$C$2000=$A13)*COUNTIFS('Team Lineups'!$K$2:$K$2000,'Team Lineups'!$K$2:$K$2000,'Team Lineups'!$C$2:$C$2000,G$1))</f>
        <v>8</v>
      </c>
      <c r="H13" cm="1">
        <f t="array" ref="H13">SUMPRODUCT(('Team Lineups'!$K$2:$K$2000&lt;&gt;"")*('Team Lineups'!$C$2:$C$2000=$A13)*COUNTIFS('Team Lineups'!$K$2:$K$2000,'Team Lineups'!$K$2:$K$2000,'Team Lineups'!$C$2:$C$2000,H$1))</f>
        <v>4</v>
      </c>
      <c r="I13" cm="1">
        <f t="array" ref="I13">SUMPRODUCT(('Team Lineups'!$K$2:$K$2000&lt;&gt;"")*('Team Lineups'!$C$2:$C$2000=$A13)*COUNTIFS('Team Lineups'!$K$2:$K$2000,'Team Lineups'!$K$2:$K$2000,'Team Lineups'!$C$2:$C$2000,I$1))</f>
        <v>5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6</v>
      </c>
      <c r="M13" t="s">
        <v>77</v>
      </c>
      <c r="N13" cm="1">
        <f t="array" ref="N13">SUMPRODUCT(('Team Lineups'!$K$2:$K$2000&lt;&gt;"")*('Team Lineups'!$C$2:$C$2000=$A13)*COUNTIFS('Team Lineups'!$K$2:$K$2000,'Team Lineups'!$K$2:$K$2000,'Team Lineups'!$C$2:$C$2000,N$1))</f>
        <v>4</v>
      </c>
      <c r="O13" cm="1">
        <f t="array" ref="O13">SUMPRODUCT(('Team Lineups'!$K$2:$K$2000&lt;&gt;"")*('Team Lineups'!$C$2:$C$2000=$A13)*COUNTIFS('Team Lineups'!$K$2:$K$2000,'Team Lineups'!$K$2:$K$2000,'Team Lineups'!$C$2:$C$2000,O$1))</f>
        <v>2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4</v>
      </c>
      <c r="R13" cm="1">
        <f t="array" ref="R13">SUMPRODUCT(('Team Lineups'!$K$2:$K$2000&lt;&gt;"")*('Team Lineups'!$C$2:$C$2000=$A13)*COUNTIFS('Team Lineups'!$K$2:$K$2000,'Team Lineups'!$K$2:$K$2000,'Team Lineups'!$C$2:$C$2000,R$1))</f>
        <v>4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1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4</v>
      </c>
      <c r="AA13" cm="1">
        <f t="array" ref="AA13">SUMPRODUCT(('Team Lineups'!$K$2:$K$2000&lt;&gt;"")*('Team Lineups'!$C$2:$C$2000=$A13)*COUNTIFS('Team Lineups'!$K$2:$K$2000,'Team Lineups'!$K$2:$K$2000,'Team Lineups'!$C$2:$C$2000,AA$1))</f>
        <v>3</v>
      </c>
      <c r="AB13" cm="1">
        <f t="array" ref="AB13">SUMPRODUCT(('Team Lineups'!$K$2:$K$2000&lt;&gt;"")*('Team Lineups'!$C$2:$C$2000=$A13)*COUNTIFS('Team Lineups'!$K$2:$K$2000,'Team Lineups'!$K$2:$K$2000,'Team Lineups'!$C$2:$C$2000,AB$1))</f>
        <v>1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2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2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0</v>
      </c>
      <c r="AK13" cm="1">
        <f t="array" ref="AK13">SUMPRODUCT(('Team Lineups'!$K$2:$K$2000&lt;&gt;"")*('Team Lineups'!$C$2:$C$2000=$A13)*COUNTIFS('Team Lineups'!$K$2:$K$2000,'Team Lineups'!$K$2:$K$2000,'Team Lineups'!$C$2:$C$2000,AK$1))</f>
        <v>0</v>
      </c>
      <c r="AL13" cm="1">
        <f t="array" ref="AL13">SUMPRODUCT(('Team Lineups'!$K$2:$K$2000&lt;&gt;"")*('Team Lineups'!$C$2:$C$2000=$A13)*COUNTIFS('Team Lineups'!$K$2:$K$2000,'Team Lineups'!$K$2:$K$2000,'Team Lineups'!$C$2:$C$2000,AL$1))</f>
        <v>0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6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7</v>
      </c>
      <c r="E14" cm="1">
        <f t="array" ref="E14">SUMPRODUCT(('Team Lineups'!$K$2:$K$2000&lt;&gt;"")*('Team Lineups'!$C$2:$C$2000=$A14)*COUNTIFS('Team Lineups'!$K$2:$K$2000,'Team Lineups'!$K$2:$K$2000,'Team Lineups'!$C$2:$C$2000,E$1))</f>
        <v>3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3</v>
      </c>
      <c r="H14" cm="1">
        <f t="array" ref="H14">SUMPRODUCT(('Team Lineups'!$K$2:$K$2000&lt;&gt;"")*('Team Lineups'!$C$2:$C$2000=$A14)*COUNTIFS('Team Lineups'!$K$2:$K$2000,'Team Lineups'!$K$2:$K$2000,'Team Lineups'!$C$2:$C$2000,H$1))</f>
        <v>3</v>
      </c>
      <c r="I14" cm="1">
        <f t="array" ref="I14">SUMPRODUCT(('Team Lineups'!$K$2:$K$2000&lt;&gt;"")*('Team Lineups'!$C$2:$C$2000=$A14)*COUNTIFS('Team Lineups'!$K$2:$K$2000,'Team Lineups'!$K$2:$K$2000,'Team Lineups'!$C$2:$C$2000,I$1))</f>
        <v>5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4</v>
      </c>
      <c r="M14" cm="1">
        <f t="array" ref="M14">SUMPRODUCT(('Team Lineups'!$K$2:$K$2000&lt;&gt;"")*('Team Lineups'!$C$2:$C$2000=$A14)*COUNTIFS('Team Lineups'!$K$2:$K$2000,'Team Lineups'!$K$2:$K$2000,'Team Lineups'!$C$2:$C$2000,M$1))</f>
        <v>4</v>
      </c>
      <c r="N14" t="s">
        <v>77</v>
      </c>
      <c r="O14" cm="1">
        <f t="array" ref="O14">SUMPRODUCT(('Team Lineups'!$K$2:$K$2000&lt;&gt;"")*('Team Lineups'!$C$2:$C$2000=$A14)*COUNTIFS('Team Lineups'!$K$2:$K$2000,'Team Lineups'!$K$2:$K$2000,'Team Lineups'!$C$2:$C$2000,O$1))</f>
        <v>2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2</v>
      </c>
      <c r="R14" cm="1">
        <f t="array" ref="R14">SUMPRODUCT(('Team Lineups'!$K$2:$K$2000&lt;&gt;"")*('Team Lineups'!$C$2:$C$2000=$A14)*COUNTIFS('Team Lineups'!$K$2:$K$2000,'Team Lineups'!$K$2:$K$2000,'Team Lineups'!$C$2:$C$2000,R$1))</f>
        <v>0</v>
      </c>
      <c r="S14" cm="1">
        <f t="array" ref="S14">SUMPRODUCT(('Team Lineups'!$K$2:$K$2000&lt;&gt;"")*('Team Lineups'!$C$2:$C$2000=$A14)*COUNTIFS('Team Lineups'!$K$2:$K$2000,'Team Lineups'!$K$2:$K$2000,'Team Lineups'!$C$2:$C$2000,S$1))</f>
        <v>1</v>
      </c>
      <c r="T14" cm="1">
        <f t="array" ref="T14">SUMPRODUCT(('Team Lineups'!$K$2:$K$2000&lt;&gt;"")*('Team Lineups'!$C$2:$C$2000=$A14)*COUNTIFS('Team Lineups'!$K$2:$K$2000,'Team Lineups'!$K$2:$K$2000,'Team Lineups'!$C$2:$C$2000,T$1))</f>
        <v>2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1</v>
      </c>
      <c r="AB14" cm="1">
        <f t="array" ref="AB14">SUMPRODUCT(('Team Lineups'!$K$2:$K$2000&lt;&gt;"")*('Team Lineups'!$C$2:$C$2000=$A14)*COUNTIFS('Team Lineups'!$K$2:$K$2000,'Team Lineups'!$K$2:$K$2000,'Team Lineups'!$C$2:$C$2000,AB$1))</f>
        <v>1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1</v>
      </c>
      <c r="AE14" cm="1">
        <f t="array" ref="AE14">SUMPRODUCT(('Team Lineups'!$K$2:$K$2000&lt;&gt;"")*('Team Lineups'!$C$2:$C$2000=$A14)*COUNTIFS('Team Lineups'!$K$2:$K$2000,'Team Lineups'!$K$2:$K$2000,'Team Lineups'!$C$2:$C$2000,AE$1))</f>
        <v>0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0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2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0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1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4</v>
      </c>
      <c r="E15" cm="1">
        <f t="array" ref="E15">SUMPRODUCT(('Team Lineups'!$K$2:$K$2000&lt;&gt;"")*('Team Lineups'!$C$2:$C$2000=$A15)*COUNTIFS('Team Lineups'!$K$2:$K$2000,'Team Lineups'!$K$2:$K$2000,'Team Lineups'!$C$2:$C$2000,E$1))</f>
        <v>2</v>
      </c>
      <c r="F15" cm="1">
        <f t="array" ref="F15">SUMPRODUCT(('Team Lineups'!$K$2:$K$2000&lt;&gt;"")*('Team Lineups'!$C$2:$C$2000=$A15)*COUNTIFS('Team Lineups'!$K$2:$K$2000,'Team Lineups'!$K$2:$K$2000,'Team Lineups'!$C$2:$C$2000,F$1))</f>
        <v>3</v>
      </c>
      <c r="G15" cm="1">
        <f t="array" ref="G15">SUMPRODUCT(('Team Lineups'!$K$2:$K$2000&lt;&gt;"")*('Team Lineups'!$C$2:$C$2000=$A15)*COUNTIFS('Team Lineups'!$K$2:$K$2000,'Team Lineups'!$K$2:$K$2000,'Team Lineups'!$C$2:$C$2000,G$1))</f>
        <v>0</v>
      </c>
      <c r="H15" cm="1">
        <f t="array" ref="H15">SUMPRODUCT(('Team Lineups'!$K$2:$K$2000&lt;&gt;"")*('Team Lineups'!$C$2:$C$2000=$A15)*COUNTIFS('Team Lineups'!$K$2:$K$2000,'Team Lineups'!$K$2:$K$2000,'Team Lineups'!$C$2:$C$2000,H$1))</f>
        <v>4</v>
      </c>
      <c r="I15" cm="1">
        <f t="array" ref="I15">SUMPRODUCT(('Team Lineups'!$K$2:$K$2000&lt;&gt;"")*('Team Lineups'!$C$2:$C$2000=$A15)*COUNTIFS('Team Lineups'!$K$2:$K$2000,'Team Lineups'!$K$2:$K$2000,'Team Lineups'!$C$2:$C$2000,I$1))</f>
        <v>3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3</v>
      </c>
      <c r="M15" cm="1">
        <f t="array" ref="M15">SUMPRODUCT(('Team Lineups'!$K$2:$K$2000&lt;&gt;"")*('Team Lineups'!$C$2:$C$2000=$A15)*COUNTIFS('Team Lineups'!$K$2:$K$2000,'Team Lineups'!$K$2:$K$2000,'Team Lineups'!$C$2:$C$2000,M$1))</f>
        <v>2</v>
      </c>
      <c r="N15" cm="1">
        <f t="array" ref="N15">SUMPRODUCT(('Team Lineups'!$K$2:$K$2000&lt;&gt;"")*('Team Lineups'!$C$2:$C$2000=$A15)*COUNTIFS('Team Lineups'!$K$2:$K$2000,'Team Lineups'!$K$2:$K$2000,'Team Lineups'!$C$2:$C$2000,N$1))</f>
        <v>2</v>
      </c>
      <c r="O15" t="s">
        <v>77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4</v>
      </c>
      <c r="R15" cm="1">
        <f t="array" ref="R15">SUMPRODUCT(('Team Lineups'!$K$2:$K$2000&lt;&gt;"")*('Team Lineups'!$C$2:$C$2000=$A15)*COUNTIFS('Team Lineups'!$K$2:$K$2000,'Team Lineups'!$K$2:$K$2000,'Team Lineups'!$C$2:$C$2000,R$1))</f>
        <v>1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2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1</v>
      </c>
      <c r="AA15" cm="1">
        <f t="array" ref="AA15">SUMPRODUCT(('Team Lineups'!$K$2:$K$2000&lt;&gt;"")*('Team Lineups'!$C$2:$C$2000=$A15)*COUNTIFS('Team Lineups'!$K$2:$K$2000,'Team Lineups'!$K$2:$K$2000,'Team Lineups'!$C$2:$C$2000,AA$1))</f>
        <v>2</v>
      </c>
      <c r="AB15" cm="1">
        <f t="array" ref="AB15">SUMPRODUCT(('Team Lineups'!$K$2:$K$2000&lt;&gt;"")*('Team Lineups'!$C$2:$C$2000=$A15)*COUNTIFS('Team Lineups'!$K$2:$K$2000,'Team Lineups'!$K$2:$K$2000,'Team Lineups'!$C$2:$C$2000,AB$1))</f>
        <v>2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2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0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0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t="s">
        <v>77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0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</row>
    <row r="17" spans="1:38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4</v>
      </c>
      <c r="C17" cm="1">
        <f t="array" ref="C17">SUMPRODUCT(('Team Lineups'!$K$2:$K$2000&lt;&gt;"")*('Team Lineups'!$C$2:$C$2000=$A17)*COUNTIFS('Team Lineups'!$K$2:$K$2000,'Team Lineups'!$K$2:$K$2000,'Team Lineups'!$C$2:$C$2000,C$1))</f>
        <v>3</v>
      </c>
      <c r="D17" cm="1">
        <f t="array" ref="D17">SUMPRODUCT(('Team Lineups'!$K$2:$K$2000&lt;&gt;"")*('Team Lineups'!$C$2:$C$2000=$A17)*COUNTIFS('Team Lineups'!$K$2:$K$2000,'Team Lineups'!$K$2:$K$2000,'Team Lineups'!$C$2:$C$2000,D$1))</f>
        <v>3</v>
      </c>
      <c r="E17" cm="1">
        <f t="array" ref="E17">SUMPRODUCT(('Team Lineups'!$K$2:$K$2000&lt;&gt;"")*('Team Lineups'!$C$2:$C$2000=$A17)*COUNTIFS('Team Lineups'!$K$2:$K$2000,'Team Lineups'!$K$2:$K$2000,'Team Lineups'!$C$2:$C$2000,E$1))</f>
        <v>3</v>
      </c>
      <c r="F17" cm="1">
        <f t="array" ref="F17">SUMPRODUCT(('Team Lineups'!$K$2:$K$2000&lt;&gt;"")*('Team Lineups'!$C$2:$C$2000=$A17)*COUNTIFS('Team Lineups'!$K$2:$K$2000,'Team Lineups'!$K$2:$K$2000,'Team Lineups'!$C$2:$C$2000,F$1))</f>
        <v>3</v>
      </c>
      <c r="G17" cm="1">
        <f t="array" ref="G17">SUMPRODUCT(('Team Lineups'!$K$2:$K$2000&lt;&gt;"")*('Team Lineups'!$C$2:$C$2000=$A17)*COUNTIFS('Team Lineups'!$K$2:$K$2000,'Team Lineups'!$K$2:$K$2000,'Team Lineups'!$C$2:$C$2000,G$1))</f>
        <v>3</v>
      </c>
      <c r="H17" cm="1">
        <f t="array" ref="H17">SUMPRODUCT(('Team Lineups'!$K$2:$K$2000&lt;&gt;"")*('Team Lineups'!$C$2:$C$2000=$A17)*COUNTIFS('Team Lineups'!$K$2:$K$2000,'Team Lineups'!$K$2:$K$2000,'Team Lineups'!$C$2:$C$2000,H$1))</f>
        <v>7</v>
      </c>
      <c r="I17" cm="1">
        <f t="array" ref="I17">SUMPRODUCT(('Team Lineups'!$K$2:$K$2000&lt;&gt;"")*('Team Lineups'!$C$2:$C$2000=$A17)*COUNTIFS('Team Lineups'!$K$2:$K$2000,'Team Lineups'!$K$2:$K$2000,'Team Lineups'!$C$2:$C$2000,I$1))</f>
        <v>4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4</v>
      </c>
      <c r="M17" cm="1">
        <f t="array" ref="M17">SUMPRODUCT(('Team Lineups'!$K$2:$K$2000&lt;&gt;"")*('Team Lineups'!$C$2:$C$2000=$A17)*COUNTIFS('Team Lineups'!$K$2:$K$2000,'Team Lineups'!$K$2:$K$2000,'Team Lineups'!$C$2:$C$2000,M$1))</f>
        <v>4</v>
      </c>
      <c r="N17" cm="1">
        <f t="array" ref="N17">SUMPRODUCT(('Team Lineups'!$K$2:$K$2000&lt;&gt;"")*('Team Lineups'!$C$2:$C$2000=$A17)*COUNTIFS('Team Lineups'!$K$2:$K$2000,'Team Lineups'!$K$2:$K$2000,'Team Lineups'!$C$2:$C$2000,N$1))</f>
        <v>2</v>
      </c>
      <c r="O17" cm="1">
        <f t="array" ref="O17">SUMPRODUCT(('Team Lineups'!$K$2:$K$2000&lt;&gt;"")*('Team Lineups'!$C$2:$C$2000=$A17)*COUNTIFS('Team Lineups'!$K$2:$K$2000,'Team Lineups'!$K$2:$K$2000,'Team Lineups'!$C$2:$C$2000,O$1))</f>
        <v>4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t="s">
        <v>77</v>
      </c>
      <c r="R17" cm="1">
        <f t="array" ref="R17">SUMPRODUCT(('Team Lineups'!$K$2:$K$2000&lt;&gt;"")*('Team Lineups'!$C$2:$C$2000=$A17)*COUNTIFS('Team Lineups'!$K$2:$K$2000,'Team Lineups'!$K$2:$K$2000,'Team Lineups'!$C$2:$C$2000,R$1))</f>
        <v>2</v>
      </c>
      <c r="S17" cm="1">
        <f t="array" ref="S17">SUMPRODUCT(('Team Lineups'!$K$2:$K$2000&lt;&gt;"")*('Team Lineups'!$C$2:$C$2000=$A17)*COUNTIFS('Team Lineups'!$K$2:$K$2000,'Team Lineups'!$K$2:$K$2000,'Team Lineups'!$C$2:$C$2000,S$1))</f>
        <v>4</v>
      </c>
      <c r="T17" cm="1">
        <f t="array" ref="T17">SUMPRODUCT(('Team Lineups'!$K$2:$K$2000&lt;&gt;"")*('Team Lineups'!$C$2:$C$2000=$A17)*COUNTIFS('Team Lineups'!$K$2:$K$2000,'Team Lineups'!$K$2:$K$2000,'Team Lineups'!$C$2:$C$2000,T$1))</f>
        <v>1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1</v>
      </c>
      <c r="AA17" cm="1">
        <f t="array" ref="AA17">SUMPRODUCT(('Team Lineups'!$K$2:$K$2000&lt;&gt;"")*('Team Lineups'!$C$2:$C$2000=$A17)*COUNTIFS('Team Lineups'!$K$2:$K$2000,'Team Lineups'!$K$2:$K$2000,'Team Lineups'!$C$2:$C$2000,AA$1))</f>
        <v>2</v>
      </c>
      <c r="AB17" cm="1">
        <f t="array" ref="AB17">SUMPRODUCT(('Team Lineups'!$K$2:$K$2000&lt;&gt;"")*('Team Lineups'!$C$2:$C$2000=$A17)*COUNTIFS('Team Lineups'!$K$2:$K$2000,'Team Lineups'!$K$2:$K$2000,'Team Lineups'!$C$2:$C$2000,AB$1))</f>
        <v>2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0</v>
      </c>
      <c r="AE17" cm="1">
        <f t="array" ref="AE17">SUMPRODUCT(('Team Lineups'!$K$2:$K$2000&lt;&gt;"")*('Team Lineups'!$C$2:$C$2000=$A17)*COUNTIFS('Team Lineups'!$K$2:$K$2000,'Team Lineups'!$K$2:$K$2000,'Team Lineups'!$C$2:$C$2000,AE$1))</f>
        <v>4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0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0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0</v>
      </c>
    </row>
    <row r="18" spans="1:38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0</v>
      </c>
      <c r="C18" cm="1">
        <f t="array" ref="C18">SUMPRODUCT(('Team Lineups'!$K$2:$K$2000&lt;&gt;"")*('Team Lineups'!$C$2:$C$2000=$A18)*COUNTIFS('Team Lineups'!$K$2:$K$2000,'Team Lineups'!$K$2:$K$2000,'Team Lineups'!$C$2:$C$2000,C$1))</f>
        <v>0</v>
      </c>
      <c r="D18" cm="1">
        <f t="array" ref="D18">SUMPRODUCT(('Team Lineups'!$K$2:$K$2000&lt;&gt;"")*('Team Lineups'!$C$2:$C$2000=$A18)*COUNTIFS('Team Lineups'!$K$2:$K$2000,'Team Lineups'!$K$2:$K$2000,'Team Lineups'!$C$2:$C$2000,D$1))</f>
        <v>2</v>
      </c>
      <c r="E18" cm="1">
        <f t="array" ref="E18">SUMPRODUCT(('Team Lineups'!$K$2:$K$2000&lt;&gt;"")*('Team Lineups'!$C$2:$C$2000=$A18)*COUNTIFS('Team Lineups'!$K$2:$K$2000,'Team Lineups'!$K$2:$K$2000,'Team Lineups'!$C$2:$C$2000,E$1))</f>
        <v>3</v>
      </c>
      <c r="F18" cm="1">
        <f t="array" ref="F18">SUMPRODUCT(('Team Lineups'!$K$2:$K$2000&lt;&gt;"")*('Team Lineups'!$C$2:$C$2000=$A18)*COUNTIFS('Team Lineups'!$K$2:$K$2000,'Team Lineups'!$K$2:$K$2000,'Team Lineups'!$C$2:$C$2000,F$1))</f>
        <v>5</v>
      </c>
      <c r="G18" cm="1">
        <f t="array" ref="G18">SUMPRODUCT(('Team Lineups'!$K$2:$K$2000&lt;&gt;"")*('Team Lineups'!$C$2:$C$2000=$A18)*COUNTIFS('Team Lineups'!$K$2:$K$2000,'Team Lineups'!$K$2:$K$2000,'Team Lineups'!$C$2:$C$2000,G$1))</f>
        <v>4</v>
      </c>
      <c r="H18" cm="1">
        <f t="array" ref="H18">SUMPRODUCT(('Team Lineups'!$K$2:$K$2000&lt;&gt;"")*('Team Lineups'!$C$2:$C$2000=$A18)*COUNTIFS('Team Lineups'!$K$2:$K$2000,'Team Lineups'!$K$2:$K$2000,'Team Lineups'!$C$2:$C$2000,H$1))</f>
        <v>3</v>
      </c>
      <c r="I18" cm="1">
        <f t="array" ref="I18">SUMPRODUCT(('Team Lineups'!$K$2:$K$2000&lt;&gt;"")*('Team Lineups'!$C$2:$C$2000=$A18)*COUNTIFS('Team Lineups'!$K$2:$K$2000,'Team Lineups'!$K$2:$K$2000,'Team Lineups'!$C$2:$C$2000,I$1))</f>
        <v>3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2</v>
      </c>
      <c r="M18" cm="1">
        <f t="array" ref="M18">SUMPRODUCT(('Team Lineups'!$K$2:$K$2000&lt;&gt;"")*('Team Lineups'!$C$2:$C$2000=$A18)*COUNTIFS('Team Lineups'!$K$2:$K$2000,'Team Lineups'!$K$2:$K$2000,'Team Lineups'!$C$2:$C$2000,M$1))</f>
        <v>4</v>
      </c>
      <c r="N18" cm="1">
        <f t="array" ref="N18">SUMPRODUCT(('Team Lineups'!$K$2:$K$2000&lt;&gt;"")*('Team Lineups'!$C$2:$C$2000=$A18)*COUNTIFS('Team Lineups'!$K$2:$K$2000,'Team Lineups'!$K$2:$K$2000,'Team Lineups'!$C$2:$C$2000,N$1))</f>
        <v>0</v>
      </c>
      <c r="O18" cm="1">
        <f t="array" ref="O18">SUMPRODUCT(('Team Lineups'!$K$2:$K$2000&lt;&gt;"")*('Team Lineups'!$C$2:$C$2000=$A18)*COUNTIFS('Team Lineups'!$K$2:$K$2000,'Team Lineups'!$K$2:$K$2000,'Team Lineups'!$C$2:$C$2000,O$1))</f>
        <v>1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2</v>
      </c>
      <c r="R18" t="s">
        <v>77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0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2</v>
      </c>
      <c r="AA18" cm="1">
        <f t="array" ref="AA18">SUMPRODUCT(('Team Lineups'!$K$2:$K$2000&lt;&gt;"")*('Team Lineups'!$C$2:$C$2000=$A18)*COUNTIFS('Team Lineups'!$K$2:$K$2000,'Team Lineups'!$K$2:$K$2000,'Team Lineups'!$C$2:$C$2000,AA$1))</f>
        <v>2</v>
      </c>
      <c r="AB18" cm="1">
        <f t="array" ref="AB18">SUMPRODUCT(('Team Lineups'!$K$2:$K$2000&lt;&gt;"")*('Team Lineups'!$C$2:$C$2000=$A18)*COUNTIFS('Team Lineups'!$K$2:$K$2000,'Team Lineups'!$K$2:$K$2000,'Team Lineups'!$C$2:$C$2000,AB$1))</f>
        <v>1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0</v>
      </c>
      <c r="AE18" cm="1">
        <f t="array" ref="AE18">SUMPRODUCT(('Team Lineups'!$K$2:$K$2000&lt;&gt;"")*('Team Lineups'!$C$2:$C$2000=$A18)*COUNTIFS('Team Lineups'!$K$2:$K$2000,'Team Lineups'!$K$2:$K$2000,'Team Lineups'!$C$2:$C$2000,AE$1))</f>
        <v>0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0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2</v>
      </c>
    </row>
    <row r="19" spans="1:38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2</v>
      </c>
      <c r="C19" cm="1">
        <f t="array" ref="C19">SUMPRODUCT(('Team Lineups'!$K$2:$K$2000&lt;&gt;"")*('Team Lineups'!$C$2:$C$2000=$A19)*COUNTIFS('Team Lineups'!$K$2:$K$2000,'Team Lineups'!$K$2:$K$2000,'Team Lineups'!$C$2:$C$2000,C$1))</f>
        <v>1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2</v>
      </c>
      <c r="F19" cm="1">
        <f t="array" ref="F19">SUMPRODUCT(('Team Lineups'!$K$2:$K$2000&lt;&gt;"")*('Team Lineups'!$C$2:$C$2000=$A19)*COUNTIFS('Team Lineups'!$K$2:$K$2000,'Team Lineups'!$K$2:$K$2000,'Team Lineups'!$C$2:$C$2000,F$1))</f>
        <v>3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6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1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4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t="s">
        <v>77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2</v>
      </c>
      <c r="AB19" cm="1">
        <f t="array" ref="AB19">SUMPRODUCT(('Team Lineups'!$K$2:$K$2000&lt;&gt;"")*('Team Lineups'!$C$2:$C$2000=$A19)*COUNTIFS('Team Lineups'!$K$2:$K$2000,'Team Lineups'!$K$2:$K$2000,'Team Lineups'!$C$2:$C$2000,AB$1))</f>
        <v>2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2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0</v>
      </c>
    </row>
    <row r="20" spans="1:38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3</v>
      </c>
      <c r="E20" cm="1">
        <f t="array" ref="E20">SUMPRODUCT(('Team Lineups'!$K$2:$K$2000&lt;&gt;"")*('Team Lineups'!$C$2:$C$2000=$A20)*COUNTIFS('Team Lineups'!$K$2:$K$2000,'Team Lineups'!$K$2:$K$2000,'Team Lineups'!$C$2:$C$2000,E$1))</f>
        <v>0</v>
      </c>
      <c r="F20" cm="1">
        <f t="array" ref="F20">SUMPRODUCT(('Team Lineups'!$K$2:$K$2000&lt;&gt;"")*('Team Lineups'!$C$2:$C$2000=$A20)*COUNTIFS('Team Lineups'!$K$2:$K$2000,'Team Lineups'!$K$2:$K$2000,'Team Lineups'!$C$2:$C$2000,F$1))</f>
        <v>0</v>
      </c>
      <c r="G20" cm="1">
        <f t="array" ref="G20">SUMPRODUCT(('Team Lineups'!$K$2:$K$2000&lt;&gt;"")*('Team Lineups'!$C$2:$C$2000=$A20)*COUNTIFS('Team Lineups'!$K$2:$K$2000,'Team Lineups'!$K$2:$K$2000,'Team Lineups'!$C$2:$C$2000,G$1))</f>
        <v>1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2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2</v>
      </c>
      <c r="M20" cm="1">
        <f t="array" ref="M20">SUMPRODUCT(('Team Lineups'!$K$2:$K$2000&lt;&gt;"")*('Team Lineups'!$C$2:$C$2000=$A20)*COUNTIFS('Team Lineups'!$K$2:$K$2000,'Team Lineups'!$K$2:$K$2000,'Team Lineups'!$C$2:$C$2000,M$1))</f>
        <v>1</v>
      </c>
      <c r="N20" cm="1">
        <f t="array" ref="N20">SUMPRODUCT(('Team Lineups'!$K$2:$K$2000&lt;&gt;"")*('Team Lineups'!$C$2:$C$2000=$A20)*COUNTIFS('Team Lineups'!$K$2:$K$2000,'Team Lineups'!$K$2:$K$2000,'Team Lineups'!$C$2:$C$2000,N$1))</f>
        <v>2</v>
      </c>
      <c r="O20" cm="1">
        <f t="array" ref="O20">SUMPRODUCT(('Team Lineups'!$K$2:$K$2000&lt;&gt;"")*('Team Lineups'!$C$2:$C$2000=$A20)*COUNTIFS('Team Lineups'!$K$2:$K$2000,'Team Lineups'!$K$2:$K$2000,'Team Lineups'!$C$2:$C$2000,O$1))</f>
        <v>2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1</v>
      </c>
      <c r="R20" cm="1">
        <f t="array" ref="R20">SUMPRODUCT(('Team Lineups'!$K$2:$K$2000&lt;&gt;"")*('Team Lineups'!$C$2:$C$2000=$A20)*COUNTIFS('Team Lineups'!$K$2:$K$2000,'Team Lineups'!$K$2:$K$2000,'Team Lineups'!$C$2:$C$2000,R$1))</f>
        <v>0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t="s">
        <v>77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1</v>
      </c>
      <c r="AB20" cm="1">
        <f t="array" ref="AB20">SUMPRODUCT(('Team Lineups'!$K$2:$K$2000&lt;&gt;"")*('Team Lineups'!$C$2:$C$2000=$A20)*COUNTIFS('Team Lineups'!$K$2:$K$2000,'Team Lineups'!$K$2:$K$2000,'Team Lineups'!$C$2:$C$2000,AB$1))</f>
        <v>1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1</v>
      </c>
      <c r="AE20" cm="1">
        <f t="array" ref="AE20">SUMPRODUCT(('Team Lineups'!$K$2:$K$2000&lt;&gt;"")*('Team Lineups'!$C$2:$C$2000=$A20)*COUNTIFS('Team Lineups'!$K$2:$K$2000,'Team Lineups'!$K$2:$K$2000,'Team Lineups'!$C$2:$C$2000,AE$1))</f>
        <v>1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0</v>
      </c>
      <c r="AK20" cm="1">
        <f t="array" ref="AK20">SUMPRODUCT(('Team Lineups'!$K$2:$K$2000&lt;&gt;"")*('Team Lineups'!$C$2:$C$2000=$A20)*COUNTIFS('Team Lineups'!$K$2:$K$2000,'Team Lineups'!$K$2:$K$2000,'Team Lineups'!$C$2:$C$2000,AK$1))</f>
        <v>0</v>
      </c>
      <c r="AL20" cm="1">
        <f t="array" ref="AL20">SUMPRODUCT(('Team Lineups'!$K$2:$K$2000&lt;&gt;"")*('Team Lineups'!$C$2:$C$2000=$A20)*COUNTIFS('Team Lineups'!$K$2:$K$2000,'Team Lineups'!$K$2:$K$2000,'Team Lineups'!$C$2:$C$2000,AL$1))</f>
        <v>0</v>
      </c>
    </row>
    <row r="21" spans="1:38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t="s">
        <v>77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</row>
    <row r="22" spans="1:38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t="s">
        <v>77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</row>
    <row r="23" spans="1:38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t="s">
        <v>77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0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0</v>
      </c>
    </row>
    <row r="24" spans="1:38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t="s">
        <v>77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</row>
    <row r="25" spans="1:38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t="s">
        <v>77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</row>
    <row r="26" spans="1:38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1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0</v>
      </c>
      <c r="E26" cm="1">
        <f t="array" ref="E26">SUMPRODUCT(('Team Lineups'!$K$2:$K$2000&lt;&gt;"")*('Team Lineups'!$C$2:$C$2000=$A26)*COUNTIFS('Team Lineups'!$K$2:$K$2000,'Team Lineups'!$K$2:$K$2000,'Team Lineups'!$C$2:$C$2000,E$1))</f>
        <v>0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2</v>
      </c>
      <c r="H26" cm="1">
        <f t="array" ref="H26">SUMPRODUCT(('Team Lineups'!$K$2:$K$2000&lt;&gt;"")*('Team Lineups'!$C$2:$C$2000=$A26)*COUNTIFS('Team Lineups'!$K$2:$K$2000,'Team Lineups'!$K$2:$K$2000,'Team Lineups'!$C$2:$C$2000,H$1))</f>
        <v>2</v>
      </c>
      <c r="I26" cm="1">
        <f t="array" ref="I26">SUMPRODUCT(('Team Lineups'!$K$2:$K$2000&lt;&gt;"")*('Team Lineups'!$C$2:$C$2000=$A26)*COUNTIFS('Team Lineups'!$K$2:$K$2000,'Team Lineups'!$K$2:$K$2000,'Team Lineups'!$C$2:$C$2000,I$1))</f>
        <v>3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0</v>
      </c>
      <c r="M26" cm="1">
        <f t="array" ref="M26">SUMPRODUCT(('Team Lineups'!$K$2:$K$2000&lt;&gt;"")*('Team Lineups'!$C$2:$C$2000=$A26)*COUNTIFS('Team Lineups'!$K$2:$K$2000,'Team Lineups'!$K$2:$K$2000,'Team Lineups'!$C$2:$C$2000,M$1))</f>
        <v>4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1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1</v>
      </c>
      <c r="R26" cm="1">
        <f t="array" ref="R26">SUMPRODUCT(('Team Lineups'!$K$2:$K$2000&lt;&gt;"")*('Team Lineups'!$C$2:$C$2000=$A26)*COUNTIFS('Team Lineups'!$K$2:$K$2000,'Team Lineups'!$K$2:$K$2000,'Team Lineups'!$C$2:$C$2000,R$1))</f>
        <v>2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t="s">
        <v>77</v>
      </c>
      <c r="AA26" cm="1">
        <f t="array" ref="AA26">SUMPRODUCT(('Team Lineups'!$K$2:$K$2000&lt;&gt;"")*('Team Lineups'!$C$2:$C$2000=$A26)*COUNTIFS('Team Lineups'!$K$2:$K$2000,'Team Lineups'!$K$2:$K$2000,'Team Lineups'!$C$2:$C$2000,AA$1))</f>
        <v>0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0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0</v>
      </c>
      <c r="AK26" cm="1">
        <f t="array" ref="AK26">SUMPRODUCT(('Team Lineups'!$K$2:$K$2000&lt;&gt;"")*('Team Lineups'!$C$2:$C$2000=$A26)*COUNTIFS('Team Lineups'!$K$2:$K$2000,'Team Lineups'!$K$2:$K$2000,'Team Lineups'!$C$2:$C$2000,AK$1))</f>
        <v>0</v>
      </c>
      <c r="AL26" cm="1">
        <f t="array" ref="AL26">SUMPRODUCT(('Team Lineups'!$K$2:$K$2000&lt;&gt;"")*('Team Lineups'!$C$2:$C$2000=$A26)*COUNTIFS('Team Lineups'!$K$2:$K$2000,'Team Lineups'!$K$2:$K$2000,'Team Lineups'!$C$2:$C$2000,AL$1))</f>
        <v>0</v>
      </c>
    </row>
    <row r="27" spans="1:38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2</v>
      </c>
      <c r="C27" cm="1">
        <f t="array" ref="C27">SUMPRODUCT(('Team Lineups'!$K$2:$K$2000&lt;&gt;"")*('Team Lineups'!$C$2:$C$2000=$A27)*COUNTIFS('Team Lineups'!$K$2:$K$2000,'Team Lineups'!$K$2:$K$2000,'Team Lineups'!$C$2:$C$2000,C$1))</f>
        <v>3</v>
      </c>
      <c r="D27" cm="1">
        <f t="array" ref="D27">SUMPRODUCT(('Team Lineups'!$K$2:$K$2000&lt;&gt;"")*('Team Lineups'!$C$2:$C$2000=$A27)*COUNTIFS('Team Lineups'!$K$2:$K$2000,'Team Lineups'!$K$2:$K$2000,'Team Lineups'!$C$2:$C$2000,D$1))</f>
        <v>3</v>
      </c>
      <c r="E27" cm="1">
        <f t="array" ref="E27">SUMPRODUCT(('Team Lineups'!$K$2:$K$2000&lt;&gt;"")*('Team Lineups'!$C$2:$C$2000=$A27)*COUNTIFS('Team Lineups'!$K$2:$K$2000,'Team Lineups'!$K$2:$K$2000,'Team Lineups'!$C$2:$C$2000,E$1))</f>
        <v>6</v>
      </c>
      <c r="F27" cm="1">
        <f t="array" ref="F27">SUMPRODUCT(('Team Lineups'!$K$2:$K$2000&lt;&gt;"")*('Team Lineups'!$C$2:$C$2000=$A27)*COUNTIFS('Team Lineups'!$K$2:$K$2000,'Team Lineups'!$K$2:$K$2000,'Team Lineups'!$C$2:$C$2000,F$1))</f>
        <v>4</v>
      </c>
      <c r="G27" cm="1">
        <f t="array" ref="G27">SUMPRODUCT(('Team Lineups'!$K$2:$K$2000&lt;&gt;"")*('Team Lineups'!$C$2:$C$2000=$A27)*COUNTIFS('Team Lineups'!$K$2:$K$2000,'Team Lineups'!$K$2:$K$2000,'Team Lineups'!$C$2:$C$2000,G$1))</f>
        <v>4</v>
      </c>
      <c r="H27" cm="1">
        <f t="array" ref="H27">SUMPRODUCT(('Team Lineups'!$K$2:$K$2000&lt;&gt;"")*('Team Lineups'!$C$2:$C$2000=$A27)*COUNTIFS('Team Lineups'!$K$2:$K$2000,'Team Lineups'!$K$2:$K$2000,'Team Lineups'!$C$2:$C$2000,H$1))</f>
        <v>1</v>
      </c>
      <c r="I27" cm="1">
        <f t="array" ref="I27">SUMPRODUCT(('Team Lineups'!$K$2:$K$2000&lt;&gt;"")*('Team Lineups'!$C$2:$C$2000=$A27)*COUNTIFS('Team Lineups'!$K$2:$K$2000,'Team Lineups'!$K$2:$K$2000,'Team Lineups'!$C$2:$C$2000,I$1))</f>
        <v>4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4</v>
      </c>
      <c r="M27" cm="1">
        <f t="array" ref="M27">SUMPRODUCT(('Team Lineups'!$K$2:$K$2000&lt;&gt;"")*('Team Lineups'!$C$2:$C$2000=$A27)*COUNTIFS('Team Lineups'!$K$2:$K$2000,'Team Lineups'!$K$2:$K$2000,'Team Lineups'!$C$2:$C$2000,M$1))</f>
        <v>3</v>
      </c>
      <c r="N27" cm="1">
        <f t="array" ref="N27">SUMPRODUCT(('Team Lineups'!$K$2:$K$2000&lt;&gt;"")*('Team Lineups'!$C$2:$C$2000=$A27)*COUNTIFS('Team Lineups'!$K$2:$K$2000,'Team Lineups'!$K$2:$K$2000,'Team Lineups'!$C$2:$C$2000,N$1))</f>
        <v>1</v>
      </c>
      <c r="O27" cm="1">
        <f t="array" ref="O27">SUMPRODUCT(('Team Lineups'!$K$2:$K$2000&lt;&gt;"")*('Team Lineups'!$C$2:$C$2000=$A27)*COUNTIFS('Team Lineups'!$K$2:$K$2000,'Team Lineups'!$K$2:$K$2000,'Team Lineups'!$C$2:$C$2000,O$1))</f>
        <v>2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2</v>
      </c>
      <c r="R27" cm="1">
        <f t="array" ref="R27">SUMPRODUCT(('Team Lineups'!$K$2:$K$2000&lt;&gt;"")*('Team Lineups'!$C$2:$C$2000=$A27)*COUNTIFS('Team Lineups'!$K$2:$K$2000,'Team Lineups'!$K$2:$K$2000,'Team Lineups'!$C$2:$C$2000,R$1))</f>
        <v>2</v>
      </c>
      <c r="S27" cm="1">
        <f t="array" ref="S27">SUMPRODUCT(('Team Lineups'!$K$2:$K$2000&lt;&gt;"")*('Team Lineups'!$C$2:$C$2000=$A27)*COUNTIFS('Team Lineups'!$K$2:$K$2000,'Team Lineups'!$K$2:$K$2000,'Team Lineups'!$C$2:$C$2000,S$1))</f>
        <v>2</v>
      </c>
      <c r="T27" cm="1">
        <f t="array" ref="T27">SUMPRODUCT(('Team Lineups'!$K$2:$K$2000&lt;&gt;"")*('Team Lineups'!$C$2:$C$2000=$A27)*COUNTIFS('Team Lineups'!$K$2:$K$2000,'Team Lineups'!$K$2:$K$2000,'Team Lineups'!$C$2:$C$2000,T$1))</f>
        <v>1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0</v>
      </c>
      <c r="AA27" t="s">
        <v>77</v>
      </c>
      <c r="AB27" cm="1">
        <f t="array" ref="AB27">SUMPRODUCT(('Team Lineups'!$K$2:$K$2000&lt;&gt;"")*('Team Lineups'!$C$2:$C$2000=$A27)*COUNTIFS('Team Lineups'!$K$2:$K$2000,'Team Lineups'!$K$2:$K$2000,'Team Lineups'!$C$2:$C$2000,AB$1))</f>
        <v>3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1</v>
      </c>
      <c r="AE27" cm="1">
        <f t="array" ref="AE27">SUMPRODUCT(('Team Lineups'!$K$2:$K$2000&lt;&gt;"")*('Team Lineups'!$C$2:$C$2000=$A27)*COUNTIFS('Team Lineups'!$K$2:$K$2000,'Team Lineups'!$K$2:$K$2000,'Team Lineups'!$C$2:$C$2000,AE$1))</f>
        <v>1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0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0</v>
      </c>
      <c r="AK27" cm="1">
        <f t="array" ref="AK27">SUMPRODUCT(('Team Lineups'!$K$2:$K$2000&lt;&gt;"")*('Team Lineups'!$C$2:$C$2000=$A27)*COUNTIFS('Team Lineups'!$K$2:$K$2000,'Team Lineups'!$K$2:$K$2000,'Team Lineups'!$C$2:$C$2000,AK$1))</f>
        <v>0</v>
      </c>
      <c r="AL27" cm="1">
        <f t="array" ref="AL27">SUMPRODUCT(('Team Lineups'!$K$2:$K$2000&lt;&gt;"")*('Team Lineups'!$C$2:$C$2000=$A27)*COUNTIFS('Team Lineups'!$K$2:$K$2000,'Team Lineups'!$K$2:$K$2000,'Team Lineups'!$C$2:$C$2000,AL$1))</f>
        <v>0</v>
      </c>
    </row>
    <row r="28" spans="1:38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0</v>
      </c>
      <c r="C28" cm="1">
        <f t="array" ref="C28">SUMPRODUCT(('Team Lineups'!$K$2:$K$2000&lt;&gt;"")*('Team Lineups'!$C$2:$C$2000=$A28)*COUNTIFS('Team Lineups'!$K$2:$K$2000,'Team Lineups'!$K$2:$K$2000,'Team Lineups'!$C$2:$C$2000,C$1))</f>
        <v>2</v>
      </c>
      <c r="D28" cm="1">
        <f t="array" ref="D28">SUMPRODUCT(('Team Lineups'!$K$2:$K$2000&lt;&gt;"")*('Team Lineups'!$C$2:$C$2000=$A28)*COUNTIFS('Team Lineups'!$K$2:$K$2000,'Team Lineups'!$K$2:$K$2000,'Team Lineups'!$C$2:$C$2000,D$1))</f>
        <v>1</v>
      </c>
      <c r="E28" cm="1">
        <f t="array" ref="E28">SUMPRODUCT(('Team Lineups'!$K$2:$K$2000&lt;&gt;"")*('Team Lineups'!$C$2:$C$2000=$A28)*COUNTIFS('Team Lineups'!$K$2:$K$2000,'Team Lineups'!$K$2:$K$2000,'Team Lineups'!$C$2:$C$2000,E$1))</f>
        <v>1</v>
      </c>
      <c r="F28" cm="1">
        <f t="array" ref="F28">SUMPRODUCT(('Team Lineups'!$K$2:$K$2000&lt;&gt;"")*('Team Lineups'!$C$2:$C$2000=$A28)*COUNTIFS('Team Lineups'!$K$2:$K$2000,'Team Lineups'!$K$2:$K$2000,'Team Lineups'!$C$2:$C$2000,F$1))</f>
        <v>1</v>
      </c>
      <c r="G28" cm="1">
        <f t="array" ref="G28">SUMPRODUCT(('Team Lineups'!$K$2:$K$2000&lt;&gt;"")*('Team Lineups'!$C$2:$C$2000=$A28)*COUNTIFS('Team Lineups'!$K$2:$K$2000,'Team Lineups'!$K$2:$K$2000,'Team Lineups'!$C$2:$C$2000,G$1))</f>
        <v>2</v>
      </c>
      <c r="H28" cm="1">
        <f t="array" ref="H28">SUMPRODUCT(('Team Lineups'!$K$2:$K$2000&lt;&gt;"")*('Team Lineups'!$C$2:$C$2000=$A28)*COUNTIFS('Team Lineups'!$K$2:$K$2000,'Team Lineups'!$K$2:$K$2000,'Team Lineups'!$C$2:$C$2000,H$1))</f>
        <v>5</v>
      </c>
      <c r="I28" cm="1">
        <f t="array" ref="I28">SUMPRODUCT(('Team Lineups'!$K$2:$K$2000&lt;&gt;"")*('Team Lineups'!$C$2:$C$2000=$A28)*COUNTIFS('Team Lineups'!$K$2:$K$2000,'Team Lineups'!$K$2:$K$2000,'Team Lineups'!$C$2:$C$2000,I$1))</f>
        <v>2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3</v>
      </c>
      <c r="M28" cm="1">
        <f t="array" ref="M28">SUMPRODUCT(('Team Lineups'!$K$2:$K$2000&lt;&gt;"")*('Team Lineups'!$C$2:$C$2000=$A28)*COUNTIFS('Team Lineups'!$K$2:$K$2000,'Team Lineups'!$K$2:$K$2000,'Team Lineups'!$C$2:$C$2000,M$1))</f>
        <v>1</v>
      </c>
      <c r="N28" cm="1">
        <f t="array" ref="N28">SUMPRODUCT(('Team Lineups'!$K$2:$K$2000&lt;&gt;"")*('Team Lineups'!$C$2:$C$2000=$A28)*COUNTIFS('Team Lineups'!$K$2:$K$2000,'Team Lineups'!$K$2:$K$2000,'Team Lineups'!$C$2:$C$2000,N$1))</f>
        <v>1</v>
      </c>
      <c r="O28" cm="1">
        <f t="array" ref="O28">SUMPRODUCT(('Team Lineups'!$K$2:$K$2000&lt;&gt;"")*('Team Lineups'!$C$2:$C$2000=$A28)*COUNTIFS('Team Lineups'!$K$2:$K$2000,'Team Lineups'!$K$2:$K$2000,'Team Lineups'!$C$2:$C$2000,O$1))</f>
        <v>2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2</v>
      </c>
      <c r="R28" cm="1">
        <f t="array" ref="R28">SUMPRODUCT(('Team Lineups'!$K$2:$K$2000&lt;&gt;"")*('Team Lineups'!$C$2:$C$2000=$A28)*COUNTIFS('Team Lineups'!$K$2:$K$2000,'Team Lineups'!$K$2:$K$2000,'Team Lineups'!$C$2:$C$2000,R$1))</f>
        <v>1</v>
      </c>
      <c r="S28" cm="1">
        <f t="array" ref="S28">SUMPRODUCT(('Team Lineups'!$K$2:$K$2000&lt;&gt;"")*('Team Lineups'!$C$2:$C$2000=$A28)*COUNTIFS('Team Lineups'!$K$2:$K$2000,'Team Lineups'!$K$2:$K$2000,'Team Lineups'!$C$2:$C$2000,S$1))</f>
        <v>2</v>
      </c>
      <c r="T28" cm="1">
        <f t="array" ref="T28">SUMPRODUCT(('Team Lineups'!$K$2:$K$2000&lt;&gt;"")*('Team Lineups'!$C$2:$C$2000=$A28)*COUNTIFS('Team Lineups'!$K$2:$K$2000,'Team Lineups'!$K$2:$K$2000,'Team Lineups'!$C$2:$C$2000,T$1))</f>
        <v>1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3</v>
      </c>
      <c r="AB28" t="s">
        <v>77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2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0</v>
      </c>
      <c r="AK28" cm="1">
        <f t="array" ref="AK28">SUMPRODUCT(('Team Lineups'!$K$2:$K$2000&lt;&gt;"")*('Team Lineups'!$C$2:$C$2000=$A28)*COUNTIFS('Team Lineups'!$K$2:$K$2000,'Team Lineups'!$K$2:$K$2000,'Team Lineups'!$C$2:$C$2000,AK$1))</f>
        <v>0</v>
      </c>
      <c r="AL28" cm="1">
        <f t="array" ref="AL28">SUMPRODUCT(('Team Lineups'!$K$2:$K$2000&lt;&gt;"")*('Team Lineups'!$C$2:$C$2000=$A28)*COUNTIFS('Team Lineups'!$K$2:$K$2000,'Team Lineups'!$K$2:$K$2000,'Team Lineups'!$C$2:$C$2000,AL$1))</f>
        <v>0</v>
      </c>
    </row>
    <row r="29" spans="1:38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t="s">
        <v>77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</row>
    <row r="30" spans="1:38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2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0</v>
      </c>
      <c r="F30" cm="1">
        <f t="array" ref="F30">SUMPRODUCT(('Team Lineups'!$K$2:$K$2000&lt;&gt;"")*('Team Lineups'!$C$2:$C$2000=$A30)*COUNTIFS('Team Lineups'!$K$2:$K$2000,'Team Lineups'!$K$2:$K$2000,'Team Lineups'!$C$2:$C$2000,F$1))</f>
        <v>0</v>
      </c>
      <c r="G30" cm="1">
        <f t="array" ref="G30">SUMPRODUCT(('Team Lineups'!$K$2:$K$2000&lt;&gt;"")*('Team Lineups'!$C$2:$C$2000=$A30)*COUNTIFS('Team Lineups'!$K$2:$K$2000,'Team Lineups'!$K$2:$K$2000,'Team Lineups'!$C$2:$C$2000,G$1))</f>
        <v>2</v>
      </c>
      <c r="H30" cm="1">
        <f t="array" ref="H30">SUMPRODUCT(('Team Lineups'!$K$2:$K$2000&lt;&gt;"")*('Team Lineups'!$C$2:$C$2000=$A30)*COUNTIFS('Team Lineups'!$K$2:$K$2000,'Team Lineups'!$K$2:$K$2000,'Team Lineups'!$C$2:$C$2000,H$1))</f>
        <v>2</v>
      </c>
      <c r="I30" cm="1">
        <f t="array" ref="I30">SUMPRODUCT(('Team Lineups'!$K$2:$K$2000&lt;&gt;"")*('Team Lineups'!$C$2:$C$2000=$A30)*COUNTIFS('Team Lineups'!$K$2:$K$2000,'Team Lineups'!$K$2:$K$2000,'Team Lineups'!$C$2:$C$2000,I$1))</f>
        <v>3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2</v>
      </c>
      <c r="M30" cm="1">
        <f t="array" ref="M30">SUMPRODUCT(('Team Lineups'!$K$2:$K$2000&lt;&gt;"")*('Team Lineups'!$C$2:$C$2000=$A30)*COUNTIFS('Team Lineups'!$K$2:$K$2000,'Team Lineups'!$K$2:$K$2000,'Team Lineups'!$C$2:$C$2000,M$1))</f>
        <v>2</v>
      </c>
      <c r="N30" cm="1">
        <f t="array" ref="N30">SUMPRODUCT(('Team Lineups'!$K$2:$K$2000&lt;&gt;"")*('Team Lineups'!$C$2:$C$2000=$A30)*COUNTIFS('Team Lineups'!$K$2:$K$2000,'Team Lineups'!$K$2:$K$2000,'Team Lineups'!$C$2:$C$2000,N$1))</f>
        <v>1</v>
      </c>
      <c r="O30" cm="1">
        <f t="array" ref="O30">SUMPRODUCT(('Team Lineups'!$K$2:$K$2000&lt;&gt;"")*('Team Lineups'!$C$2:$C$2000=$A30)*COUNTIFS('Team Lineups'!$K$2:$K$2000,'Team Lineups'!$K$2:$K$2000,'Team Lineups'!$C$2:$C$2000,O$1))</f>
        <v>2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0</v>
      </c>
      <c r="R30" cm="1">
        <f t="array" ref="R30">SUMPRODUCT(('Team Lineups'!$K$2:$K$2000&lt;&gt;"")*('Team Lineups'!$C$2:$C$2000=$A30)*COUNTIFS('Team Lineups'!$K$2:$K$2000,'Team Lineups'!$K$2:$K$2000,'Team Lineups'!$C$2:$C$2000,R$1))</f>
        <v>0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1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0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1</v>
      </c>
      <c r="AB30" cm="1">
        <f t="array" ref="AB30">SUMPRODUCT(('Team Lineups'!$K$2:$K$2000&lt;&gt;"")*('Team Lineups'!$C$2:$C$2000=$A30)*COUNTIFS('Team Lineups'!$K$2:$K$2000,'Team Lineups'!$K$2:$K$2000,'Team Lineups'!$C$2:$C$2000,AB$1))</f>
        <v>2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t="s">
        <v>77</v>
      </c>
      <c r="AE30" cm="1">
        <f t="array" ref="AE30">SUMPRODUCT(('Team Lineups'!$K$2:$K$2000&lt;&gt;"")*('Team Lineups'!$C$2:$C$2000=$A30)*COUNTIFS('Team Lineups'!$K$2:$K$2000,'Team Lineups'!$K$2:$K$2000,'Team Lineups'!$C$2:$C$2000,AE$1))</f>
        <v>0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0</v>
      </c>
      <c r="AH30" cm="1">
        <f t="array" ref="AH30">SUMPRODUCT(('Team Lineups'!$K$2:$K$2000&lt;&gt;"")*('Team Lineups'!$C$2:$C$2000=$A30)*COUNTIFS('Team Lineups'!$K$2:$K$2000,'Team Lineups'!$K$2:$K$2000,'Team Lineups'!$C$2:$C$2000,AH$1))</f>
        <v>0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0</v>
      </c>
      <c r="AK30" cm="1">
        <f t="array" ref="AK30">SUMPRODUCT(('Team Lineups'!$K$2:$K$2000&lt;&gt;"")*('Team Lineups'!$C$2:$C$2000=$A30)*COUNTIFS('Team Lineups'!$K$2:$K$2000,'Team Lineups'!$K$2:$K$2000,'Team Lineups'!$C$2:$C$2000,AK$1))</f>
        <v>0</v>
      </c>
      <c r="AL30" cm="1">
        <f t="array" ref="AL30">SUMPRODUCT(('Team Lineups'!$K$2:$K$2000&lt;&gt;"")*('Team Lineups'!$C$2:$C$2000=$A30)*COUNTIFS('Team Lineups'!$K$2:$K$2000,'Team Lineups'!$K$2:$K$2000,'Team Lineups'!$C$2:$C$2000,AL$1))</f>
        <v>0</v>
      </c>
    </row>
    <row r="31" spans="1:38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1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1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0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0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0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0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4</v>
      </c>
      <c r="R31" cm="1">
        <f t="array" ref="R31">SUMPRODUCT(('Team Lineups'!$K$2:$K$2000&lt;&gt;"")*('Team Lineups'!$C$2:$C$2000=$A31)*COUNTIFS('Team Lineups'!$K$2:$K$2000,'Team Lineups'!$K$2:$K$2000,'Team Lineups'!$C$2:$C$2000,R$1))</f>
        <v>0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1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1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0</v>
      </c>
      <c r="AE31" t="s">
        <v>77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</row>
    <row r="32" spans="1:38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t="s">
        <v>77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</row>
    <row r="33" spans="1:38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0</v>
      </c>
      <c r="D33" cm="1">
        <f t="array" ref="D33">SUMPRODUCT(('Team Lineups'!$K$2:$K$2000&lt;&gt;"")*('Team Lineups'!$C$2:$C$2000=$A33)*COUNTIFS('Team Lineups'!$K$2:$K$2000,'Team Lineups'!$K$2:$K$2000,'Team Lineups'!$C$2:$C$2000,D$1))</f>
        <v>0</v>
      </c>
      <c r="E33" cm="1">
        <f t="array" ref="E33">SUMPRODUCT(('Team Lineups'!$K$2:$K$2000&lt;&gt;"")*('Team Lineups'!$C$2:$C$2000=$A33)*COUNTIFS('Team Lineups'!$K$2:$K$2000,'Team Lineups'!$K$2:$K$2000,'Team Lineups'!$C$2:$C$2000,E$1))</f>
        <v>0</v>
      </c>
      <c r="F33" cm="1">
        <f t="array" ref="F33">SUMPRODUCT(('Team Lineups'!$K$2:$K$2000&lt;&gt;"")*('Team Lineups'!$C$2:$C$2000=$A33)*COUNTIFS('Team Lineups'!$K$2:$K$2000,'Team Lineups'!$K$2:$K$2000,'Team Lineups'!$C$2:$C$2000,F$1))</f>
        <v>0</v>
      </c>
      <c r="G33" cm="1">
        <f t="array" ref="G33">SUMPRODUCT(('Team Lineups'!$K$2:$K$2000&lt;&gt;"")*('Team Lineups'!$C$2:$C$2000=$A33)*COUNTIFS('Team Lineups'!$K$2:$K$2000,'Team Lineups'!$K$2:$K$2000,'Team Lineups'!$C$2:$C$2000,G$1))</f>
        <v>0</v>
      </c>
      <c r="H33" cm="1">
        <f t="array" ref="H33">SUMPRODUCT(('Team Lineups'!$K$2:$K$2000&lt;&gt;"")*('Team Lineups'!$C$2:$C$2000=$A33)*COUNTIFS('Team Lineups'!$K$2:$K$2000,'Team Lineups'!$K$2:$K$2000,'Team Lineups'!$C$2:$C$2000,H$1))</f>
        <v>0</v>
      </c>
      <c r="I33" cm="1">
        <f t="array" ref="I33">SUMPRODUCT(('Team Lineups'!$K$2:$K$2000&lt;&gt;"")*('Team Lineups'!$C$2:$C$2000=$A33)*COUNTIFS('Team Lineups'!$K$2:$K$2000,'Team Lineups'!$K$2:$K$2000,'Team Lineups'!$C$2:$C$2000,I$1))</f>
        <v>0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2</v>
      </c>
      <c r="M33" cm="1">
        <f t="array" ref="M33">SUMPRODUCT(('Team Lineups'!$K$2:$K$2000&lt;&gt;"")*('Team Lineups'!$C$2:$C$2000=$A33)*COUNTIFS('Team Lineups'!$K$2:$K$2000,'Team Lineups'!$K$2:$K$2000,'Team Lineups'!$C$2:$C$2000,M$1))</f>
        <v>2</v>
      </c>
      <c r="N33" cm="1">
        <f t="array" ref="N33">SUMPRODUCT(('Team Lineups'!$K$2:$K$2000&lt;&gt;"")*('Team Lineups'!$C$2:$C$2000=$A33)*COUNTIFS('Team Lineups'!$K$2:$K$2000,'Team Lineups'!$K$2:$K$2000,'Team Lineups'!$C$2:$C$2000,N$1))</f>
        <v>0</v>
      </c>
      <c r="O33" cm="1">
        <f t="array" ref="O33">SUMPRODUCT(('Team Lineups'!$K$2:$K$2000&lt;&gt;"")*('Team Lineups'!$C$2:$C$2000=$A33)*COUNTIFS('Team Lineups'!$K$2:$K$2000,'Team Lineups'!$K$2:$K$2000,'Team Lineups'!$C$2:$C$2000,O$1))</f>
        <v>0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0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2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0</v>
      </c>
      <c r="AA33" cm="1">
        <f t="array" ref="AA33">SUMPRODUCT(('Team Lineups'!$K$2:$K$2000&lt;&gt;"")*('Team Lineups'!$C$2:$C$2000=$A33)*COUNTIFS('Team Lineups'!$K$2:$K$2000,'Team Lineups'!$K$2:$K$2000,'Team Lineups'!$C$2:$C$2000,AA$1))</f>
        <v>0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0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t="s">
        <v>77</v>
      </c>
      <c r="AH33" cm="1">
        <f t="array" ref="AH33">SUMPRODUCT(('Team Lineups'!$K$2:$K$2000&lt;&gt;"")*('Team Lineups'!$C$2:$C$2000=$A33)*COUNTIFS('Team Lineups'!$K$2:$K$2000,'Team Lineups'!$K$2:$K$2000,'Team Lineups'!$C$2:$C$2000,AH$1))</f>
        <v>2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0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0</v>
      </c>
    </row>
    <row r="34" spans="1:38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0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0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2</v>
      </c>
      <c r="AH34" t="s">
        <v>77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</row>
    <row r="35" spans="1:38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t="s">
        <v>77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</row>
    <row r="36" spans="1:38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2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2</v>
      </c>
      <c r="E36" cm="1">
        <f t="array" ref="E36">SUMPRODUCT(('Team Lineups'!$K$2:$K$2000&lt;&gt;"")*('Team Lineups'!$C$2:$C$2000=$A36)*COUNTIFS('Team Lineups'!$K$2:$K$2000,'Team Lineups'!$K$2:$K$2000,'Team Lineups'!$C$2:$C$2000,E$1))</f>
        <v>0</v>
      </c>
      <c r="F36" cm="1">
        <f t="array" ref="F36">SUMPRODUCT(('Team Lineups'!$K$2:$K$2000&lt;&gt;"")*('Team Lineups'!$C$2:$C$2000=$A36)*COUNTIFS('Team Lineups'!$K$2:$K$2000,'Team Lineups'!$K$2:$K$2000,'Team Lineups'!$C$2:$C$2000,F$1))</f>
        <v>0</v>
      </c>
      <c r="G36" cm="1">
        <f t="array" ref="G36">SUMPRODUCT(('Team Lineups'!$K$2:$K$2000&lt;&gt;"")*('Team Lineups'!$C$2:$C$2000=$A36)*COUNTIFS('Team Lineups'!$K$2:$K$2000,'Team Lineups'!$K$2:$K$2000,'Team Lineups'!$C$2:$C$2000,G$1))</f>
        <v>0</v>
      </c>
      <c r="H36" cm="1">
        <f t="array" ref="H36">SUMPRODUCT(('Team Lineups'!$K$2:$K$2000&lt;&gt;"")*('Team Lineups'!$C$2:$C$2000=$A36)*COUNTIFS('Team Lineups'!$K$2:$K$2000,'Team Lineups'!$K$2:$K$2000,'Team Lineups'!$C$2:$C$2000,H$1))</f>
        <v>0</v>
      </c>
      <c r="I36" cm="1">
        <f t="array" ref="I36">SUMPRODUCT(('Team Lineups'!$K$2:$K$2000&lt;&gt;"")*('Team Lineups'!$C$2:$C$2000=$A36)*COUNTIFS('Team Lineups'!$K$2:$K$2000,'Team Lineups'!$K$2:$K$2000,'Team Lineups'!$C$2:$C$2000,I$1))</f>
        <v>2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0</v>
      </c>
      <c r="M36" cm="1">
        <f t="array" ref="M36">SUMPRODUCT(('Team Lineups'!$K$2:$K$2000&lt;&gt;"")*('Team Lineups'!$C$2:$C$2000=$A36)*COUNTIFS('Team Lineups'!$K$2:$K$2000,'Team Lineups'!$K$2:$K$2000,'Team Lineups'!$C$2:$C$2000,M$1))</f>
        <v>0</v>
      </c>
      <c r="N36" cm="1">
        <f t="array" ref="N36">SUMPRODUCT(('Team Lineups'!$K$2:$K$2000&lt;&gt;"")*('Team Lineups'!$C$2:$C$2000=$A36)*COUNTIFS('Team Lineups'!$K$2:$K$2000,'Team Lineups'!$K$2:$K$2000,'Team Lineups'!$C$2:$C$2000,N$1))</f>
        <v>2</v>
      </c>
      <c r="O36" cm="1">
        <f t="array" ref="O36">SUMPRODUCT(('Team Lineups'!$K$2:$K$2000&lt;&gt;"")*('Team Lineups'!$C$2:$C$2000=$A36)*COUNTIFS('Team Lineups'!$K$2:$K$2000,'Team Lineups'!$K$2:$K$2000,'Team Lineups'!$C$2:$C$2000,O$1))</f>
        <v>0</v>
      </c>
      <c r="P36" cm="1">
        <f t="array" ref="P36">SUMPRODUCT(('Team Lineups'!$K$2:$K$2000&lt;&gt;"")*('Team Lineups'!$C$2:$C$2000=$A36)*COUNTIFS('Team Lineups'!$K$2:$K$2000,'Team Lineups'!$K$2:$K$2000,'Team Lineups'!$C$2:$C$2000,P$1))</f>
        <v>0</v>
      </c>
      <c r="Q36" cm="1">
        <f t="array" ref="Q36">SUMPRODUCT(('Team Lineups'!$K$2:$K$2000&lt;&gt;"")*('Team Lineups'!$C$2:$C$2000=$A36)*COUNTIFS('Team Lineups'!$K$2:$K$2000,'Team Lineups'!$K$2:$K$2000,'Team Lineups'!$C$2:$C$2000,Q$1))</f>
        <v>0</v>
      </c>
      <c r="R36" cm="1">
        <f t="array" ref="R36">SUMPRODUCT(('Team Lineups'!$K$2:$K$2000&lt;&gt;"")*('Team Lineups'!$C$2:$C$2000=$A36)*COUNTIFS('Team Lineups'!$K$2:$K$2000,'Team Lineups'!$K$2:$K$2000,'Team Lineups'!$C$2:$C$2000,R$1))</f>
        <v>0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0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0</v>
      </c>
      <c r="AA36" cm="1">
        <f t="array" ref="AA36">SUMPRODUCT(('Team Lineups'!$K$2:$K$2000&lt;&gt;"")*('Team Lineups'!$C$2:$C$2000=$A36)*COUNTIFS('Team Lineups'!$K$2:$K$2000,'Team Lineups'!$K$2:$K$2000,'Team Lineups'!$C$2:$C$2000,AA$1))</f>
        <v>0</v>
      </c>
      <c r="AB36" cm="1">
        <f t="array" ref="AB36">SUMPRODUCT(('Team Lineups'!$K$2:$K$2000&lt;&gt;"")*('Team Lineups'!$C$2:$C$2000=$A36)*COUNTIFS('Team Lineups'!$K$2:$K$2000,'Team Lineups'!$K$2:$K$2000,'Team Lineups'!$C$2:$C$2000,AB$1))</f>
        <v>0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0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0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t="s">
        <v>77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0</v>
      </c>
    </row>
    <row r="37" spans="1:38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2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2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0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0</v>
      </c>
      <c r="M37" cm="1">
        <f t="array" ref="M37">SUMPRODUCT(('Team Lineups'!$K$2:$K$2000&lt;&gt;"")*('Team Lineups'!$C$2:$C$2000=$A37)*COUNTIFS('Team Lineups'!$K$2:$K$2000,'Team Lineups'!$K$2:$K$2000,'Team Lineups'!$C$2:$C$2000,M$1))</f>
        <v>0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0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0</v>
      </c>
      <c r="AA37" cm="1">
        <f t="array" ref="AA37">SUMPRODUCT(('Team Lineups'!$K$2:$K$2000&lt;&gt;"")*('Team Lineups'!$C$2:$C$2000=$A37)*COUNTIFS('Team Lineups'!$K$2:$K$2000,'Team Lineups'!$K$2:$K$2000,'Team Lineups'!$C$2:$C$2000,AA$1))</f>
        <v>0</v>
      </c>
      <c r="AB37" cm="1">
        <f t="array" ref="AB37">SUMPRODUCT(('Team Lineups'!$K$2:$K$2000&lt;&gt;"")*('Team Lineups'!$C$2:$C$2000=$A37)*COUNTIFS('Team Lineups'!$K$2:$K$2000,'Team Lineups'!$K$2:$K$2000,'Team Lineups'!$C$2:$C$2000,AB$1))</f>
        <v>0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0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t="s">
        <v>77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</row>
    <row r="38" spans="1:38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0</v>
      </c>
      <c r="C38" cm="1">
        <f t="array" ref="C38">SUMPRODUCT(('Team Lineups'!$K$2:$K$2000&lt;&gt;"")*('Team Lineups'!$C$2:$C$2000=$A38)*COUNTIFS('Team Lineups'!$K$2:$K$2000,'Team Lineups'!$K$2:$K$2000,'Team Lineups'!$C$2:$C$2000,C$1))</f>
        <v>0</v>
      </c>
      <c r="D38" cm="1">
        <f t="array" ref="D38">SUMPRODUCT(('Team Lineups'!$K$2:$K$2000&lt;&gt;"")*('Team Lineups'!$C$2:$C$2000=$A38)*COUNTIFS('Team Lineups'!$K$2:$K$2000,'Team Lineups'!$K$2:$K$2000,'Team Lineups'!$C$2:$C$2000,D$1))</f>
        <v>0</v>
      </c>
      <c r="E38" cm="1">
        <f t="array" ref="E38">SUMPRODUCT(('Team Lineups'!$K$2:$K$2000&lt;&gt;"")*('Team Lineups'!$C$2:$C$2000=$A38)*COUNTIFS('Team Lineups'!$K$2:$K$2000,'Team Lineups'!$K$2:$K$2000,'Team Lineups'!$C$2:$C$2000,E$1))</f>
        <v>2</v>
      </c>
      <c r="F38" cm="1">
        <f t="array" ref="F38">SUMPRODUCT(('Team Lineups'!$K$2:$K$2000&lt;&gt;"")*('Team Lineups'!$C$2:$C$2000=$A38)*COUNTIFS('Team Lineups'!$K$2:$K$2000,'Team Lineups'!$K$2:$K$2000,'Team Lineups'!$C$2:$C$2000,F$1))</f>
        <v>0</v>
      </c>
      <c r="G38" cm="1">
        <f t="array" ref="G38">SUMPRODUCT(('Team Lineups'!$K$2:$K$2000&lt;&gt;"")*('Team Lineups'!$C$2:$C$2000=$A38)*COUNTIFS('Team Lineups'!$K$2:$K$2000,'Team Lineups'!$K$2:$K$2000,'Team Lineups'!$C$2:$C$2000,G$1))</f>
        <v>2</v>
      </c>
      <c r="H38" cm="1">
        <f t="array" ref="H38">SUMPRODUCT(('Team Lineups'!$K$2:$K$2000&lt;&gt;"")*('Team Lineups'!$C$2:$C$2000=$A38)*COUNTIFS('Team Lineups'!$K$2:$K$2000,'Team Lineups'!$K$2:$K$2000,'Team Lineups'!$C$2:$C$2000,H$1))</f>
        <v>0</v>
      </c>
      <c r="I38" cm="1">
        <f t="array" ref="I38">SUMPRODUCT(('Team Lineups'!$K$2:$K$2000&lt;&gt;"")*('Team Lineups'!$C$2:$C$2000=$A38)*COUNTIFS('Team Lineups'!$K$2:$K$2000,'Team Lineups'!$K$2:$K$2000,'Team Lineups'!$C$2:$C$2000,I$1))</f>
        <v>0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0</v>
      </c>
      <c r="M38" cm="1">
        <f t="array" ref="M38">SUMPRODUCT(('Team Lineups'!$K$2:$K$2000&lt;&gt;"")*('Team Lineups'!$C$2:$C$2000=$A38)*COUNTIFS('Team Lineups'!$K$2:$K$2000,'Team Lineups'!$K$2:$K$2000,'Team Lineups'!$C$2:$C$2000,M$1))</f>
        <v>0</v>
      </c>
      <c r="N38" cm="1">
        <f t="array" ref="N38">SUMPRODUCT(('Team Lineups'!$K$2:$K$2000&lt;&gt;"")*('Team Lineups'!$C$2:$C$2000=$A38)*COUNTIFS('Team Lineups'!$K$2:$K$2000,'Team Lineups'!$K$2:$K$2000,'Team Lineups'!$C$2:$C$2000,N$1))</f>
        <v>0</v>
      </c>
      <c r="O38" cm="1">
        <f t="array" ref="O38">SUMPRODUCT(('Team Lineups'!$K$2:$K$2000&lt;&gt;"")*('Team Lineups'!$C$2:$C$2000=$A38)*COUNTIFS('Team Lineups'!$K$2:$K$2000,'Team Lineups'!$K$2:$K$2000,'Team Lineups'!$C$2:$C$2000,O$1))</f>
        <v>0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0</v>
      </c>
      <c r="R38" cm="1">
        <f t="array" ref="R38">SUMPRODUCT(('Team Lineups'!$K$2:$K$2000&lt;&gt;"")*('Team Lineups'!$C$2:$C$2000=$A38)*COUNTIFS('Team Lineups'!$K$2:$K$2000,'Team Lineups'!$K$2:$K$2000,'Team Lineups'!$C$2:$C$2000,R$1))</f>
        <v>2</v>
      </c>
      <c r="S38" cm="1">
        <f t="array" ref="S38">SUMPRODUCT(('Team Lineups'!$K$2:$K$2000&lt;&gt;"")*('Team Lineups'!$C$2:$C$2000=$A38)*COUNTIFS('Team Lineups'!$K$2:$K$2000,'Team Lineups'!$K$2:$K$2000,'Team Lineups'!$C$2:$C$2000,S$1))</f>
        <v>0</v>
      </c>
      <c r="T38" cm="1">
        <f t="array" ref="T38">SUMPRODUCT(('Team Lineups'!$K$2:$K$2000&lt;&gt;"")*('Team Lineups'!$C$2:$C$2000=$A38)*COUNTIFS('Team Lineups'!$K$2:$K$2000,'Team Lineups'!$K$2:$K$2000,'Team Lineups'!$C$2:$C$2000,T$1))</f>
        <v>0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0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0</v>
      </c>
      <c r="AA38" cm="1">
        <f t="array" ref="AA38">SUMPRODUCT(('Team Lineups'!$K$2:$K$2000&lt;&gt;"")*('Team Lineups'!$C$2:$C$2000=$A38)*COUNTIFS('Team Lineups'!$K$2:$K$2000,'Team Lineups'!$K$2:$K$2000,'Team Lineups'!$C$2:$C$2000,AA$1))</f>
        <v>0</v>
      </c>
      <c r="AB38" cm="1">
        <f t="array" ref="AB38">SUMPRODUCT(('Team Lineups'!$K$2:$K$2000&lt;&gt;"")*('Team Lineups'!$C$2:$C$2000=$A38)*COUNTIFS('Team Lineups'!$K$2:$K$2000,'Team Lineups'!$K$2:$K$2000,'Team Lineups'!$C$2:$C$2000,AB$1))</f>
        <v>0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0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0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0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t="s">
        <v>77</v>
      </c>
    </row>
    <row r="39" spans="1:38" x14ac:dyDescent="0.35">
      <c r="A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Team Lineups</vt:lpstr>
      <vt:lpstr>Players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2026-03-13T14:11:44Z</dcterms:modified>
</cp:coreProperties>
</file>