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6CB442C2-66CA-485F-ACFF-2C3009DF5F1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6" i="2" l="1"/>
  <c r="K497" i="2"/>
  <c r="K498" i="2"/>
  <c r="K499" i="2"/>
  <c r="K500" i="2"/>
  <c r="K501" i="2"/>
  <c r="K502" i="2"/>
  <c r="K503" i="2"/>
  <c r="K504" i="2"/>
  <c r="K505" i="2"/>
  <c r="K506" i="2"/>
  <c r="AS2" i="6" a="1"/>
  <c r="AS3" i="6" a="1"/>
  <c r="AS4" i="6" a="1"/>
  <c r="AS5" i="6" a="1"/>
  <c r="AS6" i="6" a="1"/>
  <c r="AS7" i="6" a="1"/>
  <c r="AS8" i="6" a="1"/>
  <c r="AS9" i="6" a="1"/>
  <c r="AS10" i="6" a="1"/>
  <c r="AS11" i="6" a="1"/>
  <c r="AS12" i="6" a="1"/>
  <c r="AS13" i="6" a="1"/>
  <c r="AS14" i="6" a="1"/>
  <c r="AS15" i="6" a="1"/>
  <c r="AS16" i="6" a="1"/>
  <c r="AS17" i="6" a="1"/>
  <c r="AS18" i="6" a="1"/>
  <c r="AS19" i="6" a="1"/>
  <c r="AS20" i="6" a="1"/>
  <c r="AS21" i="6" a="1"/>
  <c r="AS22" i="6" a="1"/>
  <c r="AS23" i="6" a="1"/>
  <c r="AS24" i="6" a="1"/>
  <c r="AS25" i="6" a="1"/>
  <c r="AS26" i="6" a="1"/>
  <c r="AS27" i="6" a="1"/>
  <c r="AS28" i="6" a="1"/>
  <c r="AS29" i="6" a="1"/>
  <c r="AS30" i="6" a="1"/>
  <c r="AS31" i="6" a="1"/>
  <c r="AS32" i="6" a="1"/>
  <c r="AS33" i="6" a="1"/>
  <c r="AS34" i="6" a="1"/>
  <c r="AS35" i="6" a="1"/>
  <c r="AS36" i="6" a="1"/>
  <c r="AS37" i="6" a="1"/>
  <c r="AS38" i="6" a="1"/>
  <c r="AS39" i="6" a="1"/>
  <c r="AS40" i="6" a="1"/>
  <c r="AS41" i="6" a="1"/>
  <c r="AS42" i="6" a="1"/>
  <c r="AS43" i="6" a="1"/>
  <c r="AS44" i="6" a="1"/>
  <c r="AS45" i="6" a="1"/>
  <c r="B45" i="6" a="1"/>
  <c r="C45" i="6" a="1"/>
  <c r="D45" i="6" a="1"/>
  <c r="E45" i="6" a="1"/>
  <c r="F45" i="6" a="1"/>
  <c r="G45" i="6" a="1"/>
  <c r="H45" i="6" a="1"/>
  <c r="I45" i="6" a="1"/>
  <c r="J45" i="6" a="1"/>
  <c r="K45" i="6" a="1"/>
  <c r="L45" i="6" a="1"/>
  <c r="M45" i="6" a="1"/>
  <c r="N45" i="6" a="1"/>
  <c r="O45" i="6" a="1"/>
  <c r="P45" i="6" a="1"/>
  <c r="Q45" i="6" a="1"/>
  <c r="R45" i="6" a="1"/>
  <c r="S45" i="6" a="1"/>
  <c r="T45" i="6" a="1"/>
  <c r="U45" i="6" a="1"/>
  <c r="V45" i="6" a="1"/>
  <c r="W45" i="6" a="1"/>
  <c r="X45" i="6" a="1"/>
  <c r="Y45" i="6" a="1"/>
  <c r="Z45" i="6" a="1"/>
  <c r="AA45" i="6" a="1"/>
  <c r="AB45" i="6" a="1"/>
  <c r="AC45" i="6" a="1"/>
  <c r="AD45" i="6" a="1"/>
  <c r="AE45" i="6" a="1"/>
  <c r="AF45" i="6" a="1"/>
  <c r="AG45" i="6" a="1"/>
  <c r="AH45" i="6" a="1"/>
  <c r="AI45" i="6" a="1"/>
  <c r="AJ45" i="6" a="1"/>
  <c r="AK45" i="6" a="1"/>
  <c r="AL45" i="6" a="1"/>
  <c r="AM45" i="6" a="1"/>
  <c r="AN45" i="6" a="1"/>
  <c r="AO45" i="6" a="1"/>
  <c r="AP45" i="6" a="1"/>
  <c r="AQ45" i="6" a="1"/>
  <c r="AR45" i="6" a="1"/>
  <c r="C47" i="3"/>
  <c r="D47" i="3"/>
  <c r="E47" i="3"/>
  <c r="F47" i="3"/>
  <c r="G47" i="3"/>
  <c r="H47" i="3"/>
  <c r="I47" i="3"/>
  <c r="L47" i="3"/>
  <c r="N47" i="3"/>
  <c r="O47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G494" i="2"/>
  <c r="K495" i="2"/>
  <c r="E44" i="1"/>
  <c r="F44" i="1"/>
  <c r="E475" i="2"/>
  <c r="F475" i="2"/>
  <c r="G475" i="2"/>
  <c r="E476" i="2"/>
  <c r="F476" i="2"/>
  <c r="G476" i="2"/>
  <c r="E477" i="2"/>
  <c r="F477" i="2"/>
  <c r="G477" i="2"/>
  <c r="E478" i="2"/>
  <c r="F478" i="2"/>
  <c r="G478" i="2"/>
  <c r="E479" i="2"/>
  <c r="F479" i="2"/>
  <c r="G479" i="2"/>
  <c r="E480" i="2"/>
  <c r="F480" i="2"/>
  <c r="G480" i="2"/>
  <c r="E481" i="2"/>
  <c r="F481" i="2"/>
  <c r="G481" i="2"/>
  <c r="E482" i="2"/>
  <c r="F482" i="2"/>
  <c r="G482" i="2"/>
  <c r="E483" i="2"/>
  <c r="F483" i="2"/>
  <c r="G483" i="2"/>
  <c r="E484" i="2"/>
  <c r="F484" i="2"/>
  <c r="G484" i="2"/>
  <c r="E485" i="2"/>
  <c r="F485" i="2"/>
  <c r="G485" i="2"/>
  <c r="E486" i="2"/>
  <c r="F486" i="2"/>
  <c r="G486" i="2"/>
  <c r="E487" i="2"/>
  <c r="F487" i="2"/>
  <c r="G487" i="2"/>
  <c r="E488" i="2"/>
  <c r="F488" i="2"/>
  <c r="G488" i="2"/>
  <c r="E489" i="2"/>
  <c r="F489" i="2"/>
  <c r="G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G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J47" i="3" l="1"/>
  <c r="M47" i="3"/>
  <c r="P47" i="3"/>
  <c r="K47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6" i="3"/>
  <c r="I46" i="3"/>
  <c r="G417" i="2"/>
  <c r="D46" i="3"/>
  <c r="H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G399" i="2" l="1"/>
  <c r="G391" i="2"/>
  <c r="G392" i="2"/>
  <c r="D44" i="3"/>
  <c r="E44" i="3"/>
  <c r="G395" i="2"/>
  <c r="G396" i="2"/>
  <c r="G398" i="2"/>
  <c r="G400" i="2"/>
  <c r="F46" i="3"/>
  <c r="K46" i="3"/>
  <c r="J46" i="3"/>
  <c r="F22" i="3"/>
  <c r="G394" i="2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F38" i="3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H14" i="3" l="1"/>
  <c r="G14" i="3"/>
  <c r="J14" i="3" s="1"/>
  <c r="I41" i="3"/>
  <c r="K41" i="3" s="1"/>
  <c r="H41" i="3"/>
  <c r="G41" i="3"/>
  <c r="J41" i="3" s="1"/>
  <c r="H44" i="3"/>
  <c r="F14" i="3"/>
  <c r="I44" i="3"/>
  <c r="K44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<sst xmlns="http://schemas.openxmlformats.org/spreadsheetml/2006/main" count="1221" uniqueCount="117">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</sst>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topLeftCell="B38" workbookViewId="0">
      <selection activeCell="J48" sqref="J48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19</v>
      </c>
      <c r="D4">
        <f>SUMIF('Team Lineups'!C:C,A4,'Team Lineups'!E:E)</f>
        <v>143</v>
      </c>
      <c r="E4">
        <f>SUMIF('Team Lineups'!C:C,A4,'Team Lineups'!F:F)</f>
        <v>138</v>
      </c>
      <c r="F4">
        <f t="shared" si="0"/>
        <v>5</v>
      </c>
      <c r="G4">
        <f>COUNTIFS('Team Lineups'!C:C,A4,'Team Lineups'!G:G,"Win")</f>
        <v>8</v>
      </c>
      <c r="H4">
        <f>COUNTIFS('Team Lineups'!C:C,A4,'Team Lineups'!G:G,"Draw")</f>
        <v>4</v>
      </c>
      <c r="I4">
        <f>COUNTIFS('Team Lineups'!C:C,A4,'Team Lineups'!G:G,"Loss")</f>
        <v>7</v>
      </c>
      <c r="J4" s="3">
        <f t="shared" si="3"/>
        <v>0.42105263157894735</v>
      </c>
      <c r="K4" s="3">
        <f t="shared" si="4"/>
        <v>0.36842105263157893</v>
      </c>
      <c r="L4">
        <f>SUMIF('Team Lineups'!C:C,A4,'Team Lineups'!H:H)</f>
        <v>12</v>
      </c>
      <c r="M4">
        <f t="shared" si="1"/>
        <v>0.63157894736842102</v>
      </c>
      <c r="N4">
        <f>SUMIF('Team Lineups'!C:C,A4,'Team Lineups'!I:I)</f>
        <v>6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20</v>
      </c>
      <c r="D5">
        <f>SUMIF('Team Lineups'!C:C,A5,'Team Lineups'!E:E)</f>
        <v>125</v>
      </c>
      <c r="E5">
        <f>SUMIF('Team Lineups'!C:C,A5,'Team Lineups'!F:F)</f>
        <v>141</v>
      </c>
      <c r="F5">
        <f t="shared" si="0"/>
        <v>-16</v>
      </c>
      <c r="G5">
        <f>COUNTIFS('Team Lineups'!C:C,A5,'Team Lineups'!G:G,"Win")</f>
        <v>5</v>
      </c>
      <c r="H5">
        <f>COUNTIFS('Team Lineups'!C:C,A5,'Team Lineups'!G:G,"Draw")</f>
        <v>3</v>
      </c>
      <c r="I5">
        <f>COUNTIFS('Team Lineups'!C:C,A5,'Team Lineups'!G:G,"Loss")</f>
        <v>12</v>
      </c>
      <c r="J5" s="3">
        <f t="shared" si="3"/>
        <v>0.25</v>
      </c>
      <c r="K5" s="3">
        <f t="shared" si="4"/>
        <v>0.6</v>
      </c>
      <c r="L5">
        <f>SUMIF('Team Lineups'!C:C,A5,'Team Lineups'!H:H)</f>
        <v>32</v>
      </c>
      <c r="M5">
        <f t="shared" si="1"/>
        <v>1.6</v>
      </c>
      <c r="N5">
        <f>SUMIF('Team Lineups'!C:C,A5,'Team Lineups'!I:I)</f>
        <v>23</v>
      </c>
      <c r="O5">
        <f>COUNTIF(Matches!G:G,A5)</f>
        <v>3</v>
      </c>
      <c r="P5">
        <f t="shared" si="2"/>
        <v>0.15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18</v>
      </c>
      <c r="D6">
        <f>SUMIF('Team Lineups'!C:C,A6,'Team Lineups'!E:E)</f>
        <v>116</v>
      </c>
      <c r="E6">
        <f>SUMIF('Team Lineups'!C:C,A6,'Team Lineups'!F:F)</f>
        <v>115</v>
      </c>
      <c r="F6">
        <f t="shared" si="0"/>
        <v>1</v>
      </c>
      <c r="G6">
        <f>COUNTIFS('Team Lineups'!C:C,A6,'Team Lineups'!G:G,"Win")</f>
        <v>7</v>
      </c>
      <c r="H6">
        <f>COUNTIFS('Team Lineups'!C:C,A6,'Team Lineups'!G:G,"Draw")</f>
        <v>6</v>
      </c>
      <c r="I6">
        <f>COUNTIFS('Team Lineups'!C:C,A6,'Team Lineups'!G:G,"Loss")</f>
        <v>5</v>
      </c>
      <c r="J6" s="3">
        <f t="shared" si="3"/>
        <v>0.3888888888888889</v>
      </c>
      <c r="K6" s="3">
        <f t="shared" si="4"/>
        <v>0.27777777777777779</v>
      </c>
      <c r="L6">
        <f>SUMIF('Team Lineups'!C:C,A6,'Team Lineups'!H:H)</f>
        <v>22</v>
      </c>
      <c r="M6">
        <f t="shared" si="1"/>
        <v>1.2222222222222223</v>
      </c>
      <c r="N6">
        <f>SUMIF('Team Lineups'!C:C,A6,'Team Lineups'!I:I)</f>
        <v>9</v>
      </c>
      <c r="O6">
        <f>COUNTIF(Matches!G:G,A6)</f>
        <v>1</v>
      </c>
      <c r="P6">
        <f t="shared" si="2"/>
        <v>5.5555555555555552E-2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26</v>
      </c>
      <c r="D7">
        <f>SUMIF('Team Lineups'!C:C,A7,'Team Lineups'!E:E)</f>
        <v>174</v>
      </c>
      <c r="E7">
        <f>SUMIF('Team Lineups'!C:C,A7,'Team Lineups'!F:F)</f>
        <v>189</v>
      </c>
      <c r="F7">
        <f t="shared" si="0"/>
        <v>-15</v>
      </c>
      <c r="G7">
        <f>COUNTIFS('Team Lineups'!C:C,A7,'Team Lineups'!G:G,"Win")</f>
        <v>9</v>
      </c>
      <c r="H7">
        <f>COUNTIFS('Team Lineups'!C:C,A7,'Team Lineups'!G:G,"Draw")</f>
        <v>4</v>
      </c>
      <c r="I7">
        <f>COUNTIFS('Team Lineups'!C:C,A7,'Team Lineups'!G:G,"Loss")</f>
        <v>12</v>
      </c>
      <c r="J7" s="3">
        <f t="shared" si="3"/>
        <v>0.34615384615384615</v>
      </c>
      <c r="K7" s="3">
        <f t="shared" si="4"/>
        <v>0.46153846153846156</v>
      </c>
      <c r="L7">
        <f>SUMIF('Team Lineups'!C:C,A7,'Team Lineups'!H:H)</f>
        <v>27</v>
      </c>
      <c r="M7">
        <f t="shared" si="1"/>
        <v>1.0384615384615385</v>
      </c>
      <c r="N7">
        <f>SUMIF('Team Lineups'!C:C,A7,'Team Lineups'!I:I)</f>
        <v>27</v>
      </c>
      <c r="O7">
        <f>COUNTIF(Matches!G:G,A7)</f>
        <v>3</v>
      </c>
      <c r="P7">
        <f t="shared" si="2"/>
        <v>0.11538461538461539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22</v>
      </c>
      <c r="D8">
        <f>SUMIF('Team Lineups'!C:C,A8,'Team Lineups'!E:E)</f>
        <v>159</v>
      </c>
      <c r="E8">
        <f>SUMIF('Team Lineups'!C:C,A8,'Team Lineups'!F:F)</f>
        <v>153</v>
      </c>
      <c r="F8">
        <f t="shared" si="0"/>
        <v>6</v>
      </c>
      <c r="G8">
        <f>COUNTIFS('Team Lineups'!C:C,A8,'Team Lineups'!G:G,"Win")</f>
        <v>10</v>
      </c>
      <c r="H8">
        <f>COUNTIFS('Team Lineups'!C:C,A8,'Team Lineups'!G:G,"Draw")</f>
        <v>5</v>
      </c>
      <c r="I8">
        <f>COUNTIFS('Team Lineups'!C:C,A8,'Team Lineups'!G:G,"Loss")</f>
        <v>7</v>
      </c>
      <c r="J8" s="3">
        <f t="shared" si="3"/>
        <v>0.45454545454545453</v>
      </c>
      <c r="K8" s="3">
        <f t="shared" si="4"/>
        <v>0.31818181818181818</v>
      </c>
      <c r="L8">
        <f>SUMIF('Team Lineups'!C:C,A8,'Team Lineups'!H:H)</f>
        <v>45</v>
      </c>
      <c r="M8">
        <f t="shared" si="1"/>
        <v>2.0454545454545454</v>
      </c>
      <c r="N8">
        <f>SUMIF('Team Lineups'!C:C,A8,'Team Lineups'!I:I)</f>
        <v>27</v>
      </c>
      <c r="O8">
        <f>COUNTIF(Matches!G:G,A8)</f>
        <v>6</v>
      </c>
      <c r="P8">
        <f t="shared" si="2"/>
        <v>0.27272727272727271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20</v>
      </c>
      <c r="D9">
        <f>SUMIF('Team Lineups'!C:C,A9,'Team Lineups'!E:E)</f>
        <v>108</v>
      </c>
      <c r="E9">
        <f>SUMIF('Team Lineups'!C:C,A9,'Team Lineups'!F:F)</f>
        <v>122</v>
      </c>
      <c r="F9">
        <f t="shared" si="0"/>
        <v>-14</v>
      </c>
      <c r="G9">
        <f>COUNTIFS('Team Lineups'!C:C,A9,'Team Lineups'!G:G,"Win")</f>
        <v>6</v>
      </c>
      <c r="H9">
        <f>COUNTIFS('Team Lineups'!C:C,A9,'Team Lineups'!G:G,"Draw")</f>
        <v>4</v>
      </c>
      <c r="I9">
        <f>COUNTIFS('Team Lineups'!C:C,A9,'Team Lineups'!G:G,"Loss")</f>
        <v>10</v>
      </c>
      <c r="J9" s="3">
        <f t="shared" si="3"/>
        <v>0.3</v>
      </c>
      <c r="K9" s="3">
        <f t="shared" si="4"/>
        <v>0.5</v>
      </c>
      <c r="L9">
        <f>SUMIF('Team Lineups'!C:C,A9,'Team Lineups'!H:H)</f>
        <v>12</v>
      </c>
      <c r="M9">
        <f t="shared" si="1"/>
        <v>0.6</v>
      </c>
      <c r="N9">
        <f>SUMIF('Team Lineups'!C:C,A9,'Team Lineups'!I:I)</f>
        <v>6</v>
      </c>
      <c r="O9">
        <f>COUNTIF(Matches!G:G,A9)</f>
        <v>1</v>
      </c>
      <c r="P9">
        <f t="shared" si="2"/>
        <v>0.05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28</v>
      </c>
      <c r="D12">
        <f>SUMIF('Team Lineups'!C:C,A12,'Team Lineups'!E:E)</f>
        <v>196</v>
      </c>
      <c r="E12">
        <f>SUMIF('Team Lineups'!C:C,A12,'Team Lineups'!F:F)</f>
        <v>190</v>
      </c>
      <c r="F12">
        <f t="shared" si="0"/>
        <v>6</v>
      </c>
      <c r="G12">
        <f>COUNTIFS('Team Lineups'!C:C,A12,'Team Lineups'!G:G,"Win")</f>
        <v>11</v>
      </c>
      <c r="H12">
        <f>COUNTIFS('Team Lineups'!C:C,A12,'Team Lineups'!G:G,"Draw")</f>
        <v>3</v>
      </c>
      <c r="I12">
        <f>COUNTIFS('Team Lineups'!C:C,A12,'Team Lineups'!G:G,"Loss")</f>
        <v>14</v>
      </c>
      <c r="J12" s="3">
        <f t="shared" si="3"/>
        <v>0.39285714285714285</v>
      </c>
      <c r="K12" s="3">
        <f t="shared" si="4"/>
        <v>0.5</v>
      </c>
      <c r="L12">
        <f>SUMIF('Team Lineups'!C:C,A12,'Team Lineups'!H:H)</f>
        <v>47</v>
      </c>
      <c r="M12">
        <f t="shared" si="1"/>
        <v>1.6785714285714286</v>
      </c>
      <c r="N12">
        <f>SUMIF('Team Lineups'!C:C,A12,'Team Lineups'!I:I)</f>
        <v>22</v>
      </c>
      <c r="O12">
        <f>COUNTIF(Matches!G:G,A12)</f>
        <v>1</v>
      </c>
      <c r="P12">
        <f t="shared" si="2"/>
        <v>3.5714285714285712E-2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21</v>
      </c>
      <c r="D16">
        <f>SUMIF('Team Lineups'!C:C,A16,'Team Lineups'!E:E)</f>
        <v>116</v>
      </c>
      <c r="E16">
        <f>SUMIF('Team Lineups'!C:C,A16,'Team Lineups'!F:F)</f>
        <v>133</v>
      </c>
      <c r="F16">
        <f t="shared" si="0"/>
        <v>-17</v>
      </c>
      <c r="G16">
        <f>COUNTIFS('Team Lineups'!C:C,A16,'Team Lineups'!G:G,"Win")</f>
        <v>6</v>
      </c>
      <c r="H16">
        <f>COUNTIFS('Team Lineups'!C:C,A16,'Team Lineups'!G:G,"Draw")</f>
        <v>5</v>
      </c>
      <c r="I16">
        <f>COUNTIFS('Team Lineups'!C:C,A16,'Team Lineups'!G:G,"Loss")</f>
        <v>10</v>
      </c>
      <c r="J16" s="3">
        <f t="shared" si="3"/>
        <v>0.2857142857142857</v>
      </c>
      <c r="K16" s="3">
        <f t="shared" si="4"/>
        <v>0.47619047619047616</v>
      </c>
      <c r="L16">
        <f>SUMIF('Team Lineups'!C:C,A16,'Team Lineups'!H:H)</f>
        <v>9</v>
      </c>
      <c r="M16">
        <f t="shared" si="1"/>
        <v>0.42857142857142855</v>
      </c>
      <c r="N16">
        <f>SUMIF('Team Lineups'!C:C,A16,'Team Lineups'!I:I)</f>
        <v>5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23</v>
      </c>
      <c r="D17">
        <f>SUMIF('Team Lineups'!C:C,A17,'Team Lineups'!E:E)</f>
        <v>141</v>
      </c>
      <c r="E17">
        <f>SUMIF('Team Lineups'!C:C,A17,'Team Lineups'!F:F)</f>
        <v>137</v>
      </c>
      <c r="F17">
        <f t="shared" si="0"/>
        <v>4</v>
      </c>
      <c r="G17">
        <f>COUNTIFS('Team Lineups'!C:C,A17,'Team Lineups'!G:G,"Win")</f>
        <v>11</v>
      </c>
      <c r="H17">
        <f>COUNTIFS('Team Lineups'!C:C,A17,'Team Lineups'!G:G,"Draw")</f>
        <v>5</v>
      </c>
      <c r="I17">
        <f>COUNTIFS('Team Lineups'!C:C,A17,'Team Lineups'!G:G,"Loss")</f>
        <v>7</v>
      </c>
      <c r="J17" s="3">
        <f t="shared" si="3"/>
        <v>0.47826086956521741</v>
      </c>
      <c r="K17" s="3">
        <f t="shared" si="4"/>
        <v>0.30434782608695654</v>
      </c>
      <c r="L17">
        <f>SUMIF('Team Lineups'!C:C,A17,'Team Lineups'!H:H)</f>
        <v>15</v>
      </c>
      <c r="M17">
        <f t="shared" si="1"/>
        <v>0.65217391304347827</v>
      </c>
      <c r="N17">
        <f>SUMIF('Team Lineups'!C:C,A17,'Team Lineups'!I:I)</f>
        <v>20</v>
      </c>
      <c r="O17">
        <f>COUNTIF(Matches!G:G,A17)</f>
        <v>1</v>
      </c>
      <c r="P17">
        <f t="shared" si="2"/>
        <v>4.3478260869565216E-2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24</v>
      </c>
      <c r="D18">
        <f>SUMIF('Team Lineups'!C:C,A18,'Team Lineups'!E:E)</f>
        <v>170</v>
      </c>
      <c r="E18">
        <f>SUMIF('Team Lineups'!C:C,A18,'Team Lineups'!F:F)</f>
        <v>187</v>
      </c>
      <c r="F18">
        <f t="shared" si="0"/>
        <v>-17</v>
      </c>
      <c r="G18">
        <f>COUNTIFS('Team Lineups'!C:C,A18,'Team Lineups'!G:G,"Win")</f>
        <v>9</v>
      </c>
      <c r="H18">
        <f>COUNTIFS('Team Lineups'!C:C,A18,'Team Lineups'!G:G,"Draw")</f>
        <v>4</v>
      </c>
      <c r="I18">
        <f>COUNTIFS('Team Lineups'!C:C,A18,'Team Lineups'!G:G,"Loss")</f>
        <v>11</v>
      </c>
      <c r="J18" s="3">
        <f t="shared" si="3"/>
        <v>0.375</v>
      </c>
      <c r="K18" s="3">
        <f t="shared" si="4"/>
        <v>0.45833333333333331</v>
      </c>
      <c r="L18">
        <f>SUMIF('Team Lineups'!C:C,A18,'Team Lineups'!H:H)</f>
        <v>15</v>
      </c>
      <c r="M18">
        <f t="shared" si="1"/>
        <v>0.625</v>
      </c>
      <c r="N18">
        <f>SUMIF('Team Lineups'!C:C,A18,'Team Lineups'!I:I)</f>
        <v>11</v>
      </c>
      <c r="O18">
        <f>COUNTIF(Matches!G:G,A18)</f>
        <v>1</v>
      </c>
      <c r="P18">
        <f t="shared" si="2"/>
        <v>4.1666666666666664E-2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10</v>
      </c>
      <c r="D21">
        <f>SUMIF('Team Lineups'!C:C,A21,'Team Lineups'!E:E)</f>
        <v>73</v>
      </c>
      <c r="E21">
        <f>SUMIF('Team Lineups'!C:C,A21,'Team Lineups'!F:F)</f>
        <v>84</v>
      </c>
      <c r="F21">
        <f t="shared" si="0"/>
        <v>-11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6</v>
      </c>
      <c r="J21" s="3">
        <f t="shared" si="3"/>
        <v>0.3</v>
      </c>
      <c r="K21" s="3">
        <f t="shared" si="4"/>
        <v>0.6</v>
      </c>
      <c r="L21">
        <f>SUMIF('Team Lineups'!C:C,A21,'Team Lineups'!H:H)</f>
        <v>6</v>
      </c>
      <c r="M21">
        <f t="shared" si="1"/>
        <v>0.6</v>
      </c>
      <c r="N21">
        <f>SUMIF('Team Lineups'!C:C,A21,'Team Lineups'!I:I)</f>
        <v>15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3</v>
      </c>
      <c r="D22">
        <f>SUMIF('Team Lineups'!C:C,A22,'Team Lineups'!E:E)</f>
        <v>15</v>
      </c>
      <c r="E22">
        <f>SUMIF('Team Lineups'!C:C,A22,'Team Lineups'!F:F)</f>
        <v>31</v>
      </c>
      <c r="F22">
        <f t="shared" si="0"/>
        <v>-16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3</v>
      </c>
      <c r="J22" s="3">
        <f t="shared" si="3"/>
        <v>0</v>
      </c>
      <c r="K22" s="3">
        <f t="shared" si="4"/>
        <v>1</v>
      </c>
      <c r="L22">
        <f>SUMIF('Team Lineups'!C:C,A22,'Team Lineups'!H:H)</f>
        <v>3</v>
      </c>
      <c r="M22">
        <f t="shared" si="1"/>
        <v>1</v>
      </c>
      <c r="N22">
        <f>SUMIF('Team Lineups'!C:C,A22,'Team Lineups'!I:I)</f>
        <v>4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28</v>
      </c>
      <c r="D23">
        <f>SUMIF('Team Lineups'!C:C,A23,'Team Lineups'!E:E)</f>
        <v>195</v>
      </c>
      <c r="E23">
        <f>SUMIF('Team Lineups'!C:C,A23,'Team Lineups'!F:F)</f>
        <v>166</v>
      </c>
      <c r="F23">
        <f t="shared" si="0"/>
        <v>29</v>
      </c>
      <c r="G23">
        <f>COUNTIFS('Team Lineups'!C:C,A23,'Team Lineups'!G:G,"Win")</f>
        <v>13</v>
      </c>
      <c r="H23">
        <f>COUNTIFS('Team Lineups'!C:C,A23,'Team Lineups'!G:G,"Draw")</f>
        <v>5</v>
      </c>
      <c r="I23">
        <f>COUNTIFS('Team Lineups'!C:C,A23,'Team Lineups'!G:G,"Loss")</f>
        <v>10</v>
      </c>
      <c r="J23" s="3">
        <f t="shared" si="3"/>
        <v>0.4642857142857143</v>
      </c>
      <c r="K23" s="3">
        <f t="shared" si="4"/>
        <v>0.35714285714285715</v>
      </c>
      <c r="L23">
        <f>SUMIF('Team Lineups'!C:C,A23,'Team Lineups'!H:H)</f>
        <v>40</v>
      </c>
      <c r="M23">
        <f t="shared" si="1"/>
        <v>1.4285714285714286</v>
      </c>
      <c r="N23">
        <f>SUMIF('Team Lineups'!C:C,A23,'Team Lineups'!I:I)</f>
        <v>12</v>
      </c>
      <c r="O23">
        <f>COUNTIF(Matches!G:G,A23)</f>
        <v>5</v>
      </c>
      <c r="P23">
        <f t="shared" si="2"/>
        <v>0.17857142857142858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27</v>
      </c>
      <c r="D24">
        <f>SUMIF('Team Lineups'!C:C,A24,'Team Lineups'!E:E)</f>
        <v>174</v>
      </c>
      <c r="E24">
        <f>SUMIF('Team Lineups'!C:C,A24,'Team Lineups'!F:F)</f>
        <v>180</v>
      </c>
      <c r="F24">
        <f t="shared" si="0"/>
        <v>-6</v>
      </c>
      <c r="G24">
        <f>COUNTIFS('Team Lineups'!C:C,A24,'Team Lineups'!G:G,"Win")</f>
        <v>10</v>
      </c>
      <c r="H24">
        <f>COUNTIFS('Team Lineups'!C:C,A24,'Team Lineups'!G:G,"Draw")</f>
        <v>5</v>
      </c>
      <c r="I24">
        <f>COUNTIFS('Team Lineups'!C:C,A24,'Team Lineups'!G:G,"Loss")</f>
        <v>12</v>
      </c>
      <c r="J24" s="3">
        <f t="shared" si="3"/>
        <v>0.37037037037037035</v>
      </c>
      <c r="K24" s="3">
        <f t="shared" si="4"/>
        <v>0.44444444444444442</v>
      </c>
      <c r="L24">
        <f>SUMIF('Team Lineups'!C:C,A24,'Team Lineups'!H:H)</f>
        <v>14</v>
      </c>
      <c r="M24">
        <f t="shared" si="1"/>
        <v>0.51851851851851849</v>
      </c>
      <c r="N24">
        <f>SUMIF('Team Lineups'!C:C,A24,'Team Lineups'!I:I)</f>
        <v>12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26</v>
      </c>
      <c r="D25">
        <f>SUMIF('Team Lineups'!C:C,A25,'Team Lineups'!E:E)</f>
        <v>180</v>
      </c>
      <c r="E25">
        <f>SUMIF('Team Lineups'!C:C,A25,'Team Lineups'!F:F)</f>
        <v>160</v>
      </c>
      <c r="F25">
        <f t="shared" si="0"/>
        <v>20</v>
      </c>
      <c r="G25">
        <f>COUNTIFS('Team Lineups'!C:C,A25,'Team Lineups'!G:G,"Win")</f>
        <v>14</v>
      </c>
      <c r="H25">
        <f>COUNTIFS('Team Lineups'!C:C,A25,'Team Lineups'!G:G,"Draw")</f>
        <v>4</v>
      </c>
      <c r="I25">
        <f>COUNTIFS('Team Lineups'!C:C,A25,'Team Lineups'!G:G,"Loss")</f>
        <v>8</v>
      </c>
      <c r="J25" s="3">
        <f t="shared" si="3"/>
        <v>0.53846153846153844</v>
      </c>
      <c r="K25" s="3">
        <f t="shared" si="4"/>
        <v>0.30769230769230771</v>
      </c>
      <c r="L25">
        <f>SUMIF('Team Lineups'!C:C,A25,'Team Lineups'!H:H)</f>
        <v>35</v>
      </c>
      <c r="M25">
        <f t="shared" si="1"/>
        <v>1.3461538461538463</v>
      </c>
      <c r="N25">
        <f>SUMIF('Team Lineups'!C:C,A25,'Team Lineups'!I:I)</f>
        <v>15</v>
      </c>
      <c r="O25">
        <f>COUNTIF(Matches!G:G,A25)</f>
        <v>2</v>
      </c>
      <c r="P25">
        <f t="shared" si="2"/>
        <v>7.6923076923076927E-2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13</v>
      </c>
      <c r="D26">
        <f>SUMIF('Team Lineups'!C:C,A26,'Team Lineups'!E:E)</f>
        <v>63</v>
      </c>
      <c r="E26">
        <f>SUMIF('Team Lineups'!C:C,A26,'Team Lineups'!F:F)</f>
        <v>76</v>
      </c>
      <c r="F26">
        <f t="shared" si="0"/>
        <v>-13</v>
      </c>
      <c r="G26">
        <f>COUNTIFS('Team Lineups'!C:C,A26,'Team Lineups'!G:G,"Win")</f>
        <v>3</v>
      </c>
      <c r="H26">
        <f>COUNTIFS('Team Lineups'!C:C,A26,'Team Lineups'!G:G,"Draw")</f>
        <v>2</v>
      </c>
      <c r="I26">
        <f>COUNTIFS('Team Lineups'!C:C,A26,'Team Lineups'!G:G,"Loss")</f>
        <v>8</v>
      </c>
      <c r="J26" s="3">
        <f t="shared" si="3"/>
        <v>0.23076923076923078</v>
      </c>
      <c r="K26" s="3">
        <f t="shared" si="4"/>
        <v>0.61538461538461542</v>
      </c>
      <c r="L26">
        <f>SUMIF('Team Lineups'!C:C,A26,'Team Lineups'!H:H)</f>
        <v>5</v>
      </c>
      <c r="M26">
        <f t="shared" si="1"/>
        <v>0.38461538461538464</v>
      </c>
      <c r="N26">
        <f>SUMIF('Team Lineups'!C:C,A26,'Team Lineups'!I:I)</f>
        <v>7</v>
      </c>
      <c r="O26">
        <f>COUNTIF(Matches!G:G,A26)</f>
        <v>2</v>
      </c>
      <c r="P26">
        <f t="shared" si="2"/>
        <v>0.15384615384615385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2</v>
      </c>
      <c r="D30">
        <f>SUMIF('Team Lineups'!C:C,A30,'Team Lineups'!E:E)</f>
        <v>23</v>
      </c>
      <c r="E30">
        <f>SUMIF('Team Lineups'!C:C,A30,'Team Lineups'!F:F)</f>
        <v>26</v>
      </c>
      <c r="F30">
        <f t="shared" si="5"/>
        <v>-3</v>
      </c>
      <c r="G30">
        <f>COUNTIFS('Team Lineups'!C:C,A30,'Team Lineups'!G:G,"Win")</f>
        <v>1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0.5</v>
      </c>
      <c r="K30" s="3">
        <f t="shared" si="4"/>
        <v>0.5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23</v>
      </c>
      <c r="D33">
        <f>SUMIF('Team Lineups'!C:C,A33,'Team Lineups'!E:E)</f>
        <v>161</v>
      </c>
      <c r="E33">
        <f>SUMIF('Team Lineups'!C:C,A33,'Team Lineups'!F:F)</f>
        <v>168</v>
      </c>
      <c r="F33">
        <f t="shared" si="5"/>
        <v>-7</v>
      </c>
      <c r="G33">
        <f>COUNTIFS('Team Lineups'!C:C,A33,'Team Lineups'!G:G,"Win")</f>
        <v>10</v>
      </c>
      <c r="H33">
        <f>COUNTIFS('Team Lineups'!C:C,A33,'Team Lineups'!G:G,"Draw")</f>
        <v>4</v>
      </c>
      <c r="I33">
        <f>COUNTIFS('Team Lineups'!C:C,A33,'Team Lineups'!G:G,"Loss")</f>
        <v>9</v>
      </c>
      <c r="J33" s="3">
        <f t="shared" si="6"/>
        <v>0.43478260869565216</v>
      </c>
      <c r="K33" s="3">
        <f t="shared" si="4"/>
        <v>0.39130434782608697</v>
      </c>
      <c r="L33">
        <f>SUMIF('Team Lineups'!C:C,A33,'Team Lineups'!H:H)</f>
        <v>58</v>
      </c>
      <c r="M33">
        <f t="shared" si="7"/>
        <v>2.5217391304347827</v>
      </c>
      <c r="N33">
        <f>SUMIF('Team Lineups'!C:C,A33,'Team Lineups'!I:I)</f>
        <v>20</v>
      </c>
      <c r="O33">
        <f>COUNTIF(Matches!G:G,A33)</f>
        <v>2</v>
      </c>
      <c r="P33">
        <f t="shared" si="8"/>
        <v>8.6956521739130432E-2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12</v>
      </c>
      <c r="D34">
        <f>SUMIF('Team Lineups'!C:C,A34,'Team Lineups'!E:E)</f>
        <v>86</v>
      </c>
      <c r="E34">
        <f>SUMIF('Team Lineups'!C:C,A34,'Team Lineups'!F:F)</f>
        <v>66</v>
      </c>
      <c r="F34">
        <f t="shared" si="5"/>
        <v>20</v>
      </c>
      <c r="G34">
        <f>COUNTIFS('Team Lineups'!C:C,A34,'Team Lineups'!G:G,"Win")</f>
        <v>8</v>
      </c>
      <c r="H34">
        <f>COUNTIFS('Team Lineups'!C:C,A34,'Team Lineups'!G:G,"Draw")</f>
        <v>1</v>
      </c>
      <c r="I34">
        <f>COUNTIFS('Team Lineups'!C:C,A34,'Team Lineups'!G:G,"Loss")</f>
        <v>3</v>
      </c>
      <c r="J34" s="3">
        <f t="shared" si="6"/>
        <v>0.66666666666666663</v>
      </c>
      <c r="K34" s="3">
        <f t="shared" si="4"/>
        <v>0.25</v>
      </c>
      <c r="L34">
        <f>SUMIF('Team Lineups'!C:C,A34,'Team Lineups'!H:H)</f>
        <v>20</v>
      </c>
      <c r="M34">
        <f t="shared" si="7"/>
        <v>1.6666666666666667</v>
      </c>
      <c r="N34">
        <f>SUMIF('Team Lineups'!C:C,A34,'Team Lineups'!I:I)</f>
        <v>12</v>
      </c>
      <c r="O34">
        <f>COUNTIF(Matches!G:G,A34)</f>
        <v>2</v>
      </c>
      <c r="P34">
        <f t="shared" si="8"/>
        <v>0.16666666666666666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10</v>
      </c>
      <c r="D37">
        <f>SUMIF('Team Lineups'!C:C,A37,'Team Lineups'!E:E)</f>
        <v>54</v>
      </c>
      <c r="E37">
        <f>SUMIF('Team Lineups'!C:C,A37,'Team Lineups'!F:F)</f>
        <v>65</v>
      </c>
      <c r="F37">
        <f t="shared" ref="F37:F42" si="17">D37-E37</f>
        <v>-11</v>
      </c>
      <c r="G37">
        <f>COUNTIFS('Team Lineups'!C:C,A37,'Team Lineups'!G:G,"Win")</f>
        <v>4</v>
      </c>
      <c r="H37">
        <f>COUNTIFS('Team Lineups'!C:C,A37,'Team Lineups'!G:G,"Draw")</f>
        <v>2</v>
      </c>
      <c r="I37">
        <f>COUNTIFS('Team Lineups'!C:C,A37,'Team Lineups'!G:G,"Loss")</f>
        <v>4</v>
      </c>
      <c r="J37" s="3">
        <f t="shared" ref="J37:J42" si="18">G37/C37</f>
        <v>0.4</v>
      </c>
      <c r="K37" s="3">
        <f t="shared" ref="K37:K42" si="19">I37/C37</f>
        <v>0.4</v>
      </c>
      <c r="L37">
        <f>SUMIF('Team Lineups'!C:C,A37,'Team Lineups'!H:H)</f>
        <v>8</v>
      </c>
      <c r="M37">
        <f t="shared" ref="M37:M42" si="20">L37/C37</f>
        <v>0.8</v>
      </c>
      <c r="N37">
        <f>SUMIF('Team Lineups'!C:C,A37,'Team Lineups'!I:I)</f>
        <v>8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15</v>
      </c>
      <c r="D41">
        <f>SUMIF('Team Lineups'!C:C,A41,'Team Lineups'!E:E)</f>
        <v>108</v>
      </c>
      <c r="E41">
        <f>SUMIF('Team Lineups'!C:C,A41,'Team Lineups'!F:F)</f>
        <v>108</v>
      </c>
      <c r="F41">
        <f t="shared" si="17"/>
        <v>0</v>
      </c>
      <c r="G41">
        <f>COUNTIFS('Team Lineups'!C:C,A41,'Team Lineups'!G:G,"Win")</f>
        <v>5</v>
      </c>
      <c r="H41">
        <f>COUNTIFS('Team Lineups'!C:C,A41,'Team Lineups'!G:G,"Draw")</f>
        <v>3</v>
      </c>
      <c r="I41">
        <f>COUNTIFS('Team Lineups'!C:C,A41,'Team Lineups'!G:G,"Loss")</f>
        <v>7</v>
      </c>
      <c r="J41" s="3">
        <f t="shared" si="18"/>
        <v>0.33333333333333331</v>
      </c>
      <c r="K41" s="3">
        <f t="shared" si="19"/>
        <v>0.46666666666666667</v>
      </c>
      <c r="L41">
        <f>SUMIF('Team Lineups'!C:C,A41,'Team Lineups'!H:H)</f>
        <v>13</v>
      </c>
      <c r="M41">
        <f t="shared" si="20"/>
        <v>0.8666666666666667</v>
      </c>
      <c r="N41">
        <f>SUMIF('Team Lineups'!C:C,A41,'Team Lineups'!I:I)</f>
        <v>5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16</v>
      </c>
      <c r="D42">
        <f>SUMIF('Team Lineups'!C:C,A42,'Team Lineups'!E:E)</f>
        <v>121</v>
      </c>
      <c r="E42">
        <f>SUMIF('Team Lineups'!C:C,A42,'Team Lineups'!F:F)</f>
        <v>116</v>
      </c>
      <c r="F42">
        <f t="shared" si="17"/>
        <v>5</v>
      </c>
      <c r="G42">
        <f>COUNTIFS('Team Lineups'!C:C,A42,'Team Lineups'!G:G,"Win")</f>
        <v>8</v>
      </c>
      <c r="H42">
        <f>COUNTIFS('Team Lineups'!C:C,A42,'Team Lineups'!G:G,"Draw")</f>
        <v>3</v>
      </c>
      <c r="I42">
        <f>COUNTIFS('Team Lineups'!C:C,A42,'Team Lineups'!G:G,"Loss")</f>
        <v>5</v>
      </c>
      <c r="J42" s="3">
        <f t="shared" si="18"/>
        <v>0.5</v>
      </c>
      <c r="K42" s="3">
        <f t="shared" si="19"/>
        <v>0.3125</v>
      </c>
      <c r="L42">
        <f>SUMIF('Team Lineups'!C:C,A42,'Team Lineups'!H:H)</f>
        <v>38</v>
      </c>
      <c r="M42">
        <f t="shared" si="20"/>
        <v>2.375</v>
      </c>
      <c r="N42">
        <f>SUMIF('Team Lineups'!C:C,A42,'Team Lineups'!I:I)</f>
        <v>17</v>
      </c>
      <c r="O42">
        <f>COUNTIF(Matches!G:G,A42)</f>
        <v>1</v>
      </c>
      <c r="P42">
        <f t="shared" si="21"/>
        <v>6.25E-2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7</v>
      </c>
      <c r="D44">
        <f>SUMIF('Team Lineups'!C:C,A44,'Team Lineups'!E:E)</f>
        <v>71</v>
      </c>
      <c r="E44">
        <f>SUMIF('Team Lineups'!C:C,A44,'Team Lineups'!F:F)</f>
        <v>56</v>
      </c>
      <c r="F44">
        <f t="shared" ref="F44" si="27">D44-E44</f>
        <v>15</v>
      </c>
      <c r="G44">
        <f>COUNTIFS('Team Lineups'!C:C,A44,'Team Lineups'!G:G,"Win")</f>
        <v>5</v>
      </c>
      <c r="H44">
        <f>COUNTIFS('Team Lineups'!C:C,A44,'Team Lineups'!G:G,"Draw")</f>
        <v>0</v>
      </c>
      <c r="I44">
        <f>COUNTIFS('Team Lineups'!C:C,A44,'Team Lineups'!G:G,"Loss")</f>
        <v>2</v>
      </c>
      <c r="J44" s="3">
        <f t="shared" ref="J44" si="28">G44/C44</f>
        <v>0.7142857142857143</v>
      </c>
      <c r="K44" s="3">
        <f t="shared" ref="K44" si="29">I44/C44</f>
        <v>0.2857142857142857</v>
      </c>
      <c r="L44">
        <f>SUMIF('Team Lineups'!C:C,A44,'Team Lineups'!H:H)</f>
        <v>19</v>
      </c>
      <c r="M44">
        <f t="shared" ref="M44" si="30">L44/C44</f>
        <v>2.7142857142857144</v>
      </c>
      <c r="N44">
        <f>SUMIF('Team Lineups'!C:C,A44,'Team Lineups'!I:I)</f>
        <v>13</v>
      </c>
      <c r="O44">
        <f>COUNTIF(Matches!G:G,A44)</f>
        <v>2</v>
      </c>
      <c r="P44">
        <f t="shared" ref="P44" si="31">O44/C44</f>
        <v>0.2857142857142857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9</v>
      </c>
      <c r="D45">
        <f>SUMIF('Team Lineups'!C:C,A45,'Team Lineups'!E:E)</f>
        <v>57</v>
      </c>
      <c r="E45">
        <f>SUMIF('Team Lineups'!C:C,A45,'Team Lineups'!F:F)</f>
        <v>61</v>
      </c>
      <c r="F45">
        <f t="shared" ref="F45" si="32">D45-E45</f>
        <v>-4</v>
      </c>
      <c r="G45">
        <f>COUNTIFS('Team Lineups'!C:C,A45,'Team Lineups'!G:G,"Win")</f>
        <v>4</v>
      </c>
      <c r="H45">
        <f>COUNTIFS('Team Lineups'!C:C,A45,'Team Lineups'!G:G,"Draw")</f>
        <v>1</v>
      </c>
      <c r="I45">
        <f>COUNTIFS('Team Lineups'!C:C,A45,'Team Lineups'!G:G,"Loss")</f>
        <v>4</v>
      </c>
      <c r="J45" s="3">
        <f t="shared" ref="J45" si="33">G45/C45</f>
        <v>0.44444444444444442</v>
      </c>
      <c r="K45" s="3">
        <f t="shared" ref="K45" si="34">I45/C45</f>
        <v>0.44444444444444442</v>
      </c>
      <c r="L45">
        <f>SUMIF('Team Lineups'!C:C,A45,'Team Lineups'!H:H)</f>
        <v>3</v>
      </c>
      <c r="M45">
        <f t="shared" ref="M45" si="35">L45/C45</f>
        <v>0.33333333333333331</v>
      </c>
      <c r="N45">
        <f>SUMIF('Team Lineups'!C:C,A45,'Team Lineups'!I:I)</f>
        <v>1</v>
      </c>
      <c r="O45">
        <f>COUNTIF(Matches!G:G,A45)</f>
        <v>3</v>
      </c>
      <c r="P45">
        <f t="shared" ref="P45" si="36">O45/C45</f>
        <v>0.33333333333333331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  <row r="47" spans="1:17" x14ac:dyDescent="0.35">
      <c r="A47" t="s">
        <v>116</v>
      </c>
      <c r="C47">
        <f>COUNTIF('Team Lineups'!C:C,A47)</f>
        <v>1</v>
      </c>
      <c r="D47">
        <f>SUMIF('Team Lineups'!C:C,A47,'Team Lineups'!E:E)</f>
        <v>12</v>
      </c>
      <c r="E47">
        <f>SUMIF('Team Lineups'!C:C,A47,'Team Lineups'!F:F)</f>
        <v>6</v>
      </c>
      <c r="F47">
        <f t="shared" ref="F47" si="42">D47-E47</f>
        <v>6</v>
      </c>
      <c r="G47">
        <f>COUNTIFS('Team Lineups'!C:C,A47,'Team Lineups'!G:G,"Win")</f>
        <v>1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ref="J47" si="43">G47/C47</f>
        <v>1</v>
      </c>
      <c r="K47" s="3">
        <f t="shared" ref="K47" si="44">I47/C47</f>
        <v>0</v>
      </c>
      <c r="L47">
        <f>SUMIF('Team Lineups'!C:C,A47,'Team Lineups'!H:H)</f>
        <v>1</v>
      </c>
      <c r="M47">
        <f t="shared" ref="M47" si="45">L47/C47</f>
        <v>1</v>
      </c>
      <c r="N47">
        <f>SUMIF('Team Lineups'!C:C,A47,'Team Lineups'!I:I)</f>
        <v>0</v>
      </c>
      <c r="O47">
        <f>COUNTIF(Matches!G:G,A47)</f>
        <v>0</v>
      </c>
      <c r="P47">
        <f t="shared" ref="P47" si="46">O47/C47</f>
        <v>0</v>
      </c>
      <c r="Q47">
        <f>SUMIF('Team Lineups'!C:C,A47,'Team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32" workbookViewId="0">
      <selection activeCell="D45" sqref="D45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6"/>
  <sheetViews>
    <sheetView tabSelected="1" topLeftCell="A494" workbookViewId="0">
      <selection activeCell="H506" sqref="H506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06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5"/>
  <sheetViews>
    <sheetView topLeftCell="AF31" workbookViewId="0">
      <selection activeCell="AW39" sqref="AW39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5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20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7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9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4</v>
      </c>
      <c r="M2" cm="1">
        <f t="array" ref="M2">SUMPRODUCT(('Team Lineups'!$K$2:$K$2000&lt;&gt;"")*('Team Lineups'!$C$2:$C$2000=$A2)*COUNTIFS('Team Lineups'!$K$2:$K$2000,'Team Lineups'!$K$2:$K$2000,'Team Lineups'!$C$2:$C$2000,M$1))</f>
        <v>6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4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5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7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22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3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3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0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23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4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3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6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3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1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24</v>
      </c>
      <c r="G6" cm="1">
        <f t="array" ref="G6">SUMPRODUCT(('Team Lineups'!$K$2:$K$2000&lt;&gt;"")*('Team Lineups'!$C$2:$C$2000=$A6)*COUNTIFS('Team Lineups'!$K$2:$K$2000,'Team Lineups'!$K$2:$K$2000,'Team Lineups'!$C$2:$C$2000,G$1))</f>
        <v>4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9</v>
      </c>
      <c r="M6" cm="1">
        <f t="array" ref="M6">SUMPRODUCT(('Team Lineups'!$K$2:$K$2000&lt;&gt;"")*('Team Lineups'!$C$2:$C$2000=$A6)*COUNTIFS('Team Lineups'!$K$2:$K$2000,'Team Lineups'!$K$2:$K$2000,'Team Lineups'!$C$2:$C$2000,M$1))</f>
        <v>9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4</v>
      </c>
      <c r="G7" cm="1">
        <f t="array" ref="G7">SUMPRODUCT(('Team Lineups'!$K$2:$K$2000&lt;&gt;"")*('Team Lineups'!$C$2:$C$2000=$A7)*COUNTIFS('Team Lineups'!$K$2:$K$2000,'Team Lineups'!$K$2:$K$2000,'Team Lineups'!$C$2:$C$2000,G$1))</f>
        <v>28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6</v>
      </c>
      <c r="M7" cm="1">
        <f t="array" ref="M7">SUMPRODUCT(('Team Lineups'!$K$2:$K$2000&lt;&gt;"")*('Team Lineups'!$C$2:$C$2000=$A7)*COUNTIFS('Team Lineups'!$K$2:$K$2000,'Team Lineups'!$K$2:$K$2000,'Team Lineups'!$C$2:$C$2000,M$1))</f>
        <v>11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2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7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9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5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2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2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6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21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8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1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1</v>
      </c>
      <c r="AQ8" cm="1">
        <f t="array" ref="AQ8">SUMPRODUCT(('Team Lineups'!$K$2:$K$2000&lt;&gt;"")*('Team Lineups'!$C$2:$C$2000=$A8)*COUNTIFS('Team Lineups'!$K$2:$K$2000,'Team Lineups'!$K$2:$K$2000,'Team Lineups'!$C$2:$C$2000,AQ$1))</f>
        <v>0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9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4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27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8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5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9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6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3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4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9</v>
      </c>
      <c r="G12" cm="1">
        <f t="array" ref="G12">SUMPRODUCT(('Team Lineups'!$K$2:$K$2000&lt;&gt;"")*('Team Lineups'!$C$2:$C$2000=$A12)*COUNTIFS('Team Lineups'!$K$2:$K$2000,'Team Lineups'!$K$2:$K$2000,'Team Lineups'!$C$2:$C$2000,G$1))</f>
        <v>6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26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8</v>
      </c>
      <c r="R12" cm="1">
        <f t="array" ref="R12">SUMPRODUCT(('Team Lineups'!$K$2:$K$2000&lt;&gt;"")*('Team Lineups'!$C$2:$C$2000=$A12)*COUNTIFS('Team Lineups'!$K$2:$K$2000,'Team Lineups'!$K$2:$K$2000,'Team Lineups'!$C$2:$C$2000,R$1))</f>
        <v>4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7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5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  <c r="AQ12" cm="1">
        <f t="array" ref="AQ12">SUMPRODUCT(('Team Lineups'!$K$2:$K$2000&lt;&gt;"")*('Team Lineups'!$C$2:$C$2000=$A12)*COUNTIFS('Team Lineups'!$K$2:$K$2000,'Team Lineups'!$K$2:$K$2000,'Team Lineups'!$C$2:$C$2000,AQ$1))</f>
        <v>2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6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9</v>
      </c>
      <c r="G13" cm="1">
        <f t="array" ref="G13">SUMPRODUCT(('Team Lineups'!$K$2:$K$2000&lt;&gt;"")*('Team Lineups'!$C$2:$C$2000=$A13)*COUNTIFS('Team Lineups'!$K$2:$K$2000,'Team Lineups'!$K$2:$K$2000,'Team Lineups'!$C$2:$C$2000,G$1))</f>
        <v>11</v>
      </c>
      <c r="H13" cm="1">
        <f t="array" ref="H13">SUMPRODUCT(('Team Lineups'!$K$2:$K$2000&lt;&gt;"")*('Team Lineups'!$C$2:$C$2000=$A13)*COUNTIFS('Team Lineups'!$K$2:$K$2000,'Team Lineups'!$K$2:$K$2000,'Team Lineups'!$C$2:$C$2000,H$1))</f>
        <v>8</v>
      </c>
      <c r="I13" cm="1">
        <f t="array" ref="I13">SUMPRODUCT(('Team Lineups'!$K$2:$K$2000&lt;&gt;"")*('Team Lineups'!$C$2:$C$2000=$A13)*COUNTIFS('Team Lineups'!$K$2:$K$2000,'Team Lineups'!$K$2:$K$2000,'Team Lineups'!$C$2:$C$2000,I$1))</f>
        <v>8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26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7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4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2</v>
      </c>
      <c r="AQ13" cm="1">
        <f t="array" ref="AQ13">SUMPRODUCT(('Team Lineups'!$K$2:$K$2000&lt;&gt;"")*('Team Lineups'!$C$2:$C$2000=$A13)*COUNTIFS('Team Lineups'!$K$2:$K$2000,'Team Lineups'!$K$2:$K$2000,'Team Lineups'!$C$2:$C$2000,AQ$1))</f>
        <v>0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3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2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13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9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1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1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</row>
    <row r="17" spans="1:45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6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8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9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28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3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3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5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3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2</v>
      </c>
      <c r="AQ17" cm="1">
        <f t="array" ref="AQ17">SUMPRODUCT(('Team Lineups'!$K$2:$K$2000&lt;&gt;"")*('Team Lineups'!$C$2:$C$2000=$A17)*COUNTIFS('Team Lineups'!$K$2:$K$2000,'Team Lineups'!$K$2:$K$2000,'Team Lineups'!$C$2:$C$2000,AQ$1))</f>
        <v>1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</row>
    <row r="18" spans="1:45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4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7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5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4</v>
      </c>
      <c r="M18" cm="1">
        <f t="array" ref="M18">SUMPRODUCT(('Team Lineups'!$K$2:$K$2000&lt;&gt;"")*('Team Lineups'!$C$2:$C$2000=$A18)*COUNTIFS('Team Lineups'!$K$2:$K$2000,'Team Lineups'!$K$2:$K$2000,'Team Lineups'!$C$2:$C$2000,M$1))</f>
        <v>7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19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5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2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  <c r="AQ18" cm="1">
        <f t="array" ref="AQ18">SUMPRODUCT(('Team Lineups'!$K$2:$K$2000&lt;&gt;"")*('Team Lineups'!$C$2:$C$2000=$A18)*COUNTIFS('Team Lineups'!$K$2:$K$2000,'Team Lineups'!$K$2:$K$2000,'Team Lineups'!$C$2:$C$2000,AQ$1))</f>
        <v>0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</row>
    <row r="19" spans="1:45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</row>
    <row r="20" spans="1:45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</row>
    <row r="21" spans="1:45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</row>
    <row r="22" spans="1:45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</row>
    <row r="23" spans="1:45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</row>
    <row r="24" spans="1:45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</row>
    <row r="25" spans="1:45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</row>
    <row r="26" spans="1:45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3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10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</row>
    <row r="27" spans="1:45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9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9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7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5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23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6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2</v>
      </c>
      <c r="AQ27" cm="1">
        <f t="array" ref="AQ27">SUMPRODUCT(('Team Lineups'!$K$2:$K$2000&lt;&gt;"")*('Team Lineups'!$C$2:$C$2000=$A27)*COUNTIFS('Team Lineups'!$K$2:$K$2000,'Team Lineups'!$K$2:$K$2000,'Team Lineups'!$C$2:$C$2000,AQ$1))</f>
        <v>1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</row>
    <row r="28" spans="1:45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18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</row>
    <row r="29" spans="1:45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</row>
    <row r="30" spans="1:45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5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12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3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2</v>
      </c>
      <c r="AQ30" cm="1">
        <f t="array" ref="AQ30">SUMPRODUCT(('Team Lineups'!$K$2:$K$2000&lt;&gt;"")*('Team Lineups'!$C$2:$C$2000=$A30)*COUNTIFS('Team Lineups'!$K$2:$K$2000,'Team Lineups'!$K$2:$K$2000,'Team Lineups'!$C$2:$C$2000,AQ$1))</f>
        <v>0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</row>
    <row r="31" spans="1:45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</row>
    <row r="32" spans="1:45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</row>
    <row r="33" spans="1:45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3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2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1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3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10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4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</row>
    <row r="34" spans="1:45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</row>
    <row r="35" spans="1:45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</row>
    <row r="36" spans="1:45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5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3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2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6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5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5</v>
      </c>
      <c r="R36" cm="1">
        <f t="array" ref="R36">SUMPRODUCT(('Team Lineups'!$K$2:$K$2000&lt;&gt;"")*('Team Lineups'!$C$2:$C$2000=$A36)*COUNTIFS('Team Lineups'!$K$2:$K$2000,'Team Lineups'!$K$2:$K$2000,'Team Lineups'!$C$2:$C$2000,R$1))</f>
        <v>2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6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15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3</v>
      </c>
      <c r="AQ36" cm="1">
        <f t="array" ref="AQ36">SUMPRODUCT(('Team Lineups'!$K$2:$K$2000&lt;&gt;"")*('Team Lineups'!$C$2:$C$2000=$A36)*COUNTIFS('Team Lineups'!$K$2:$K$2000,'Team Lineups'!$K$2:$K$2000,'Team Lineups'!$C$2:$C$2000,AQ$1))</f>
        <v>1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</row>
    <row r="37" spans="1:45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</row>
    <row r="38" spans="1:45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3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6</v>
      </c>
      <c r="H38" cm="1">
        <f t="array" ref="H38">SUMPRODUCT(('Team Lineups'!$K$2:$K$2000&lt;&gt;"")*('Team Lineups'!$C$2:$C$2000=$A38)*COUNTIFS('Team Lineups'!$K$2:$K$2000,'Team Lineups'!$K$2:$K$2000,'Team Lineups'!$C$2:$C$2000,H$1))</f>
        <v>1</v>
      </c>
      <c r="I38" cm="1">
        <f t="array" ref="I38">SUMPRODUCT(('Team Lineups'!$K$2:$K$2000&lt;&gt;"")*('Team Lineups'!$C$2:$C$2000=$A38)*COUNTIFS('Team Lineups'!$K$2:$K$2000,'Team Lineups'!$K$2:$K$2000,'Team Lineups'!$C$2:$C$2000,I$1))</f>
        <v>3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4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1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3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3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16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4</v>
      </c>
      <c r="AQ38" cm="1">
        <f t="array" ref="AQ38">SUMPRODUCT(('Team Lineups'!$K$2:$K$2000&lt;&gt;"")*('Team Lineups'!$C$2:$C$2000=$A38)*COUNTIFS('Team Lineups'!$K$2:$K$2000,'Team Lineups'!$K$2:$K$2000,'Team Lineups'!$C$2:$C$2000,AQ$1))</f>
        <v>1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</row>
    <row r="39" spans="1:45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</row>
    <row r="40" spans="1:45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</row>
    <row r="41" spans="1:45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7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</row>
    <row r="42" spans="1:45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1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2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2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2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2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4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3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4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9</v>
      </c>
      <c r="AQ42" cm="1">
        <f t="array" ref="AQ42">SUMPRODUCT(('Team Lineups'!$K$2:$K$2000&lt;&gt;"")*('Team Lineups'!$C$2:$C$2000=$A42)*COUNTIFS('Team Lineups'!$K$2:$K$2000,'Team Lineups'!$K$2:$K$2000,'Team Lineups'!$C$2:$C$2000,AQ$1))</f>
        <v>0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</row>
    <row r="43" spans="1:45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0</v>
      </c>
      <c r="E43" cm="1">
        <f t="array" ref="E43">SUMPRODUCT(('Team Lineups'!$K$2:$K$2000&lt;&gt;"")*('Team Lineups'!$C$2:$C$2000=$A43)*COUNTIFS('Team Lineups'!$K$2:$K$2000,'Team Lineups'!$K$2:$K$2000,'Team Lineups'!$C$2:$C$2000,E$1))</f>
        <v>1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0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2</v>
      </c>
      <c r="M43" cm="1">
        <f t="array" ref="M43">SUMPRODUCT(('Team Lineups'!$K$2:$K$2000&lt;&gt;"")*('Team Lineups'!$C$2:$C$2000=$A43)*COUNTIFS('Team Lineups'!$K$2:$K$2000,'Team Lineups'!$K$2:$K$2000,'Team Lineups'!$C$2:$C$2000,M$1))</f>
        <v>0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1</v>
      </c>
      <c r="R43" cm="1">
        <f t="array" ref="R43">SUMPRODUCT(('Team Lineups'!$K$2:$K$2000&lt;&gt;"")*('Team Lineups'!$C$2:$C$2000=$A43)*COUNTIFS('Team Lineups'!$K$2:$K$2000,'Team Lineups'!$K$2:$K$2000,'Team Lineups'!$C$2:$C$2000,R$1))</f>
        <v>0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1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0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1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1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0</v>
      </c>
      <c r="AQ43" cm="1">
        <f t="array" ref="AQ43">SUMPRODUCT(('Team Lineups'!$K$2:$K$2000&lt;&gt;"")*('Team Lineups'!$C$2:$C$2000=$A43)*COUNTIFS('Team Lineups'!$K$2:$K$2000,'Team Lineups'!$K$2:$K$2000,'Team Lineups'!$C$2:$C$2000,AQ$1))</f>
        <v>3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</row>
    <row r="44" spans="1:45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</row>
    <row r="45" spans="1:45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2026-07-10T15:47:40Z</dcterms:modified>
</cp:coreProperties>
</file>