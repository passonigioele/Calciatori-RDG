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43EF5344-6E84-42CA-B7BA-866873A04EDF}" xr6:coauthVersionLast="47" xr6:coauthVersionMax="47" xr10:uidLastSave="{00000000-0000-0000-0000-000000000000}"/>
  <bookViews>
    <workbookView xWindow="1965" yWindow="-13620" windowWidth="24240" windowHeight="13020" activeTab="1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3" i="2" l="1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E703" i="2"/>
  <c r="F703" i="2"/>
  <c r="G703" i="2"/>
  <c r="E704" i="2"/>
  <c r="F704" i="2"/>
  <c r="G704" i="2"/>
  <c r="E705" i="2"/>
  <c r="G705" i="2" s="1"/>
  <c r="F705" i="2"/>
  <c r="E706" i="2"/>
  <c r="G706" i="2" s="1"/>
  <c r="F706" i="2"/>
  <c r="E707" i="2"/>
  <c r="F707" i="2"/>
  <c r="G707" i="2"/>
  <c r="E708" i="2"/>
  <c r="F708" i="2"/>
  <c r="G708" i="2" s="1"/>
  <c r="E709" i="2"/>
  <c r="G709" i="2" s="1"/>
  <c r="F709" i="2"/>
  <c r="E710" i="2"/>
  <c r="G710" i="2" s="1"/>
  <c r="F710" i="2"/>
  <c r="E711" i="2"/>
  <c r="G711" i="2" s="1"/>
  <c r="F711" i="2"/>
  <c r="E712" i="2"/>
  <c r="G712" i="2" s="1"/>
  <c r="F712" i="2"/>
  <c r="E713" i="2"/>
  <c r="F713" i="2"/>
  <c r="G713" i="2" s="1"/>
  <c r="E714" i="2"/>
  <c r="G714" i="2" s="1"/>
  <c r="F714" i="2"/>
  <c r="E715" i="2"/>
  <c r="G715" i="2" s="1"/>
  <c r="F715" i="2"/>
  <c r="E716" i="2"/>
  <c r="F716" i="2"/>
  <c r="G716" i="2" s="1"/>
  <c r="E61" i="1"/>
  <c r="F61" i="1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E687" i="2"/>
  <c r="F687" i="2"/>
  <c r="E688" i="2"/>
  <c r="F688" i="2"/>
  <c r="E689" i="2"/>
  <c r="F689" i="2"/>
  <c r="E690" i="2"/>
  <c r="F690" i="2"/>
  <c r="G690" i="2" s="1"/>
  <c r="E691" i="2"/>
  <c r="F691" i="2"/>
  <c r="G691" i="2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G699" i="2" s="1"/>
  <c r="E700" i="2"/>
  <c r="F700" i="2"/>
  <c r="E701" i="2"/>
  <c r="F701" i="2"/>
  <c r="E702" i="2"/>
  <c r="F702" i="2"/>
  <c r="C52" i="3"/>
  <c r="D52" i="3"/>
  <c r="E52" i="3"/>
  <c r="L52" i="3"/>
  <c r="M52" i="3" s="1"/>
  <c r="N52" i="3"/>
  <c r="O52" i="3"/>
  <c r="P52" i="3" s="1"/>
  <c r="Q52" i="3"/>
  <c r="F60" i="1"/>
  <c r="E60" i="1"/>
  <c r="K675" i="2"/>
  <c r="K676" i="2"/>
  <c r="K677" i="2"/>
  <c r="K678" i="2"/>
  <c r="K679" i="2"/>
  <c r="K680" i="2"/>
  <c r="K681" i="2"/>
  <c r="K682" i="2"/>
  <c r="K683" i="2"/>
  <c r="K684" i="2"/>
  <c r="K685" i="2"/>
  <c r="K686" i="2"/>
  <c r="E675" i="2"/>
  <c r="F675" i="2"/>
  <c r="E676" i="2"/>
  <c r="F676" i="2"/>
  <c r="G676" i="2" s="1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F59" i="1"/>
  <c r="E59" i="1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G653" i="2" s="1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K639" i="2"/>
  <c r="E57" i="1"/>
  <c r="F57" i="1"/>
  <c r="E58" i="1"/>
  <c r="F58" i="1"/>
  <c r="E56" i="1"/>
  <c r="F56" i="1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D51" i="3" s="1"/>
  <c r="F638" i="2"/>
  <c r="E51" i="3" s="1"/>
  <c r="K619" i="2"/>
  <c r="E54" i="1"/>
  <c r="F54" i="1"/>
  <c r="E55" i="1"/>
  <c r="F55" i="1"/>
  <c r="A2" i="6" a="1"/>
  <c r="C51" i="3"/>
  <c r="L51" i="3"/>
  <c r="N51" i="3"/>
  <c r="O51" i="3"/>
  <c r="Q51" i="3"/>
  <c r="K607" i="2"/>
  <c r="K608" i="2"/>
  <c r="K609" i="2"/>
  <c r="K610" i="2"/>
  <c r="K611" i="2"/>
  <c r="K612" i="2"/>
  <c r="K613" i="2"/>
  <c r="K614" i="2"/>
  <c r="K615" i="2"/>
  <c r="K616" i="2"/>
  <c r="K617" i="2"/>
  <c r="K618" i="2"/>
  <c r="E603" i="2"/>
  <c r="F603" i="2"/>
  <c r="G603" i="2" s="1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G610" i="2" s="1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K606" i="2"/>
  <c r="K605" i="2"/>
  <c r="K604" i="2"/>
  <c r="K603" i="2"/>
  <c r="E53" i="1"/>
  <c r="F53" i="1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G594" i="2" s="1"/>
  <c r="E595" i="2"/>
  <c r="F595" i="2"/>
  <c r="E596" i="2"/>
  <c r="F596" i="2"/>
  <c r="E597" i="2"/>
  <c r="F597" i="2"/>
  <c r="E598" i="2"/>
  <c r="F598" i="2"/>
  <c r="E599" i="2"/>
  <c r="F599" i="2"/>
  <c r="E600" i="2"/>
  <c r="F600" i="2"/>
  <c r="G600" i="2" s="1"/>
  <c r="E601" i="2"/>
  <c r="F601" i="2"/>
  <c r="E602" i="2"/>
  <c r="F602" i="2"/>
  <c r="E52" i="1"/>
  <c r="F52" i="1"/>
  <c r="C50" i="3"/>
  <c r="D50" i="3"/>
  <c r="E50" i="3"/>
  <c r="L50" i="3"/>
  <c r="N50" i="3"/>
  <c r="O50" i="3"/>
  <c r="Q50" i="3"/>
  <c r="E51" i="1"/>
  <c r="F51" i="1"/>
  <c r="F577" i="2" s="1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F578" i="2"/>
  <c r="F579" i="2"/>
  <c r="F580" i="2"/>
  <c r="F581" i="2"/>
  <c r="F582" i="2"/>
  <c r="F583" i="2"/>
  <c r="F584" i="2"/>
  <c r="F585" i="2"/>
  <c r="F586" i="2"/>
  <c r="F587" i="2"/>
  <c r="F588" i="2"/>
  <c r="E577" i="2"/>
  <c r="E578" i="2"/>
  <c r="E579" i="2"/>
  <c r="E580" i="2"/>
  <c r="E581" i="2"/>
  <c r="E582" i="2"/>
  <c r="E583" i="2"/>
  <c r="E584" i="2"/>
  <c r="G584" i="2" s="1"/>
  <c r="E585" i="2"/>
  <c r="E586" i="2"/>
  <c r="E587" i="2"/>
  <c r="E588" i="2"/>
  <c r="E575" i="2"/>
  <c r="F575" i="2"/>
  <c r="E576" i="2"/>
  <c r="F576" i="2"/>
  <c r="G582" i="2"/>
  <c r="G585" i="2"/>
  <c r="G587" i="2"/>
  <c r="G588" i="2"/>
  <c r="K575" i="2"/>
  <c r="E50" i="1"/>
  <c r="F50" i="1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55" i="2"/>
  <c r="E49" i="1"/>
  <c r="F49" i="1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E48" i="1"/>
  <c r="F48" i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K527" i="2"/>
  <c r="E47" i="1"/>
  <c r="F47" i="1"/>
  <c r="C31" i="3"/>
  <c r="L31" i="3"/>
  <c r="N31" i="3"/>
  <c r="O31" i="3"/>
  <c r="Q49" i="3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C49" i="3"/>
  <c r="D49" i="3"/>
  <c r="L49" i="3"/>
  <c r="N49" i="3"/>
  <c r="O49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8" i="3"/>
  <c r="L48" i="3"/>
  <c r="N48" i="3"/>
  <c r="O48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7" i="3"/>
  <c r="L7" i="3"/>
  <c r="N7" i="3"/>
  <c r="O7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 s="1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12" i="3"/>
  <c r="L12" i="3"/>
  <c r="N12" i="3"/>
  <c r="O12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36" i="3"/>
  <c r="L36" i="3"/>
  <c r="N36" i="3"/>
  <c r="O36" i="3"/>
  <c r="Q44" i="3"/>
  <c r="E24" i="1"/>
  <c r="F24" i="1"/>
  <c r="E25" i="1"/>
  <c r="F25" i="1"/>
  <c r="C47" i="3"/>
  <c r="L47" i="3"/>
  <c r="N47" i="3"/>
  <c r="O47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22" i="3"/>
  <c r="L22" i="3"/>
  <c r="N22" i="3"/>
  <c r="O22" i="3"/>
  <c r="Q37" i="3"/>
  <c r="C30" i="3"/>
  <c r="L30" i="3"/>
  <c r="N30" i="3"/>
  <c r="O30" i="3"/>
  <c r="Q38" i="3"/>
  <c r="C25" i="3"/>
  <c r="L25" i="3"/>
  <c r="N25" i="3"/>
  <c r="O25" i="3"/>
  <c r="Q39" i="3"/>
  <c r="C6" i="3"/>
  <c r="L6" i="3"/>
  <c r="N6" i="3"/>
  <c r="O6" i="3"/>
  <c r="Q40" i="3"/>
  <c r="C18" i="3"/>
  <c r="L18" i="3"/>
  <c r="N18" i="3"/>
  <c r="O18" i="3"/>
  <c r="Q41" i="3"/>
  <c r="C26" i="3"/>
  <c r="L26" i="3"/>
  <c r="N26" i="3"/>
  <c r="O26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46" i="3"/>
  <c r="L46" i="3"/>
  <c r="N46" i="3"/>
  <c r="O46" i="3"/>
  <c r="Q36" i="3"/>
  <c r="K164" i="2"/>
  <c r="K163" i="2"/>
  <c r="K162" i="2"/>
  <c r="K161" i="2"/>
  <c r="K160" i="2"/>
  <c r="K159" i="2"/>
  <c r="K158" i="2"/>
  <c r="K157" i="2"/>
  <c r="K156" i="2"/>
  <c r="K155" i="2"/>
  <c r="C8" i="3"/>
  <c r="L8" i="3"/>
  <c r="N8" i="3"/>
  <c r="O8" i="3"/>
  <c r="Q35" i="3"/>
  <c r="Q34" i="3"/>
  <c r="O34" i="3"/>
  <c r="N34" i="3"/>
  <c r="L34" i="3"/>
  <c r="C34" i="3"/>
  <c r="Q33" i="3"/>
  <c r="O24" i="3"/>
  <c r="N24" i="3"/>
  <c r="L24" i="3"/>
  <c r="C24" i="3"/>
  <c r="Q32" i="3"/>
  <c r="O45" i="3"/>
  <c r="N45" i="3"/>
  <c r="L45" i="3"/>
  <c r="C45" i="3"/>
  <c r="Q31" i="3"/>
  <c r="O5" i="3"/>
  <c r="N5" i="3"/>
  <c r="L5" i="3"/>
  <c r="C5" i="3"/>
  <c r="Q30" i="3"/>
  <c r="O16" i="3"/>
  <c r="N16" i="3"/>
  <c r="L16" i="3"/>
  <c r="C16" i="3"/>
  <c r="Q29" i="3"/>
  <c r="O38" i="3"/>
  <c r="N38" i="3"/>
  <c r="L38" i="3"/>
  <c r="C38" i="3"/>
  <c r="Q28" i="3"/>
  <c r="O44" i="3"/>
  <c r="N44" i="3"/>
  <c r="L44" i="3"/>
  <c r="C44" i="3"/>
  <c r="Q27" i="3"/>
  <c r="O4" i="3"/>
  <c r="N4" i="3"/>
  <c r="L4" i="3"/>
  <c r="C4" i="3"/>
  <c r="Q26" i="3"/>
  <c r="O11" i="3"/>
  <c r="N11" i="3"/>
  <c r="L11" i="3"/>
  <c r="C11" i="3"/>
  <c r="Q25" i="3"/>
  <c r="O29" i="3"/>
  <c r="N29" i="3"/>
  <c r="L29" i="3"/>
  <c r="C29" i="3"/>
  <c r="Q24" i="3"/>
  <c r="O21" i="3"/>
  <c r="N21" i="3"/>
  <c r="L21" i="3"/>
  <c r="C21" i="3"/>
  <c r="Q23" i="3"/>
  <c r="O32" i="3"/>
  <c r="N32" i="3"/>
  <c r="L32" i="3"/>
  <c r="C32" i="3"/>
  <c r="Q22" i="3"/>
  <c r="O3" i="3"/>
  <c r="N3" i="3"/>
  <c r="L3" i="3"/>
  <c r="C3" i="3"/>
  <c r="Q21" i="3"/>
  <c r="O10" i="3"/>
  <c r="N10" i="3"/>
  <c r="L10" i="3"/>
  <c r="C10" i="3"/>
  <c r="Q20" i="3"/>
  <c r="O43" i="3"/>
  <c r="N43" i="3"/>
  <c r="L43" i="3"/>
  <c r="C43" i="3"/>
  <c r="Q19" i="3"/>
  <c r="O42" i="3"/>
  <c r="N42" i="3"/>
  <c r="L42" i="3"/>
  <c r="C42" i="3"/>
  <c r="Q18" i="3"/>
  <c r="O20" i="3"/>
  <c r="N20" i="3"/>
  <c r="L20" i="3"/>
  <c r="C20" i="3"/>
  <c r="Q17" i="3"/>
  <c r="O28" i="3"/>
  <c r="N28" i="3"/>
  <c r="L28" i="3"/>
  <c r="C28" i="3"/>
  <c r="Q16" i="3"/>
  <c r="O17" i="3"/>
  <c r="N17" i="3"/>
  <c r="L17" i="3"/>
  <c r="C17" i="3"/>
  <c r="Q15" i="3"/>
  <c r="O37" i="3"/>
  <c r="N37" i="3"/>
  <c r="L37" i="3"/>
  <c r="C37" i="3"/>
  <c r="Q14" i="3"/>
  <c r="O9" i="3"/>
  <c r="N9" i="3"/>
  <c r="L9" i="3"/>
  <c r="C9" i="3"/>
  <c r="Q13" i="3"/>
  <c r="O2" i="3"/>
  <c r="N2" i="3"/>
  <c r="L2" i="3"/>
  <c r="I2" i="3"/>
  <c r="H2" i="3"/>
  <c r="G2" i="3"/>
  <c r="E2" i="3"/>
  <c r="D2" i="3"/>
  <c r="C2" i="3"/>
  <c r="Q12" i="3"/>
  <c r="O14" i="3"/>
  <c r="N14" i="3"/>
  <c r="L14" i="3"/>
  <c r="C14" i="3"/>
  <c r="Q11" i="3"/>
  <c r="O41" i="3"/>
  <c r="N41" i="3"/>
  <c r="L41" i="3"/>
  <c r="C41" i="3"/>
  <c r="Q10" i="3"/>
  <c r="O33" i="3"/>
  <c r="N33" i="3"/>
  <c r="L33" i="3"/>
  <c r="C33" i="3"/>
  <c r="Q9" i="3"/>
  <c r="O15" i="3"/>
  <c r="N15" i="3"/>
  <c r="L15" i="3"/>
  <c r="C15" i="3"/>
  <c r="Q8" i="3"/>
  <c r="O27" i="3"/>
  <c r="N27" i="3"/>
  <c r="L27" i="3"/>
  <c r="C27" i="3"/>
  <c r="Q7" i="3"/>
  <c r="O19" i="3"/>
  <c r="N19" i="3"/>
  <c r="L19" i="3"/>
  <c r="C19" i="3"/>
  <c r="Q6" i="3"/>
  <c r="O35" i="3"/>
  <c r="N35" i="3"/>
  <c r="L35" i="3"/>
  <c r="C35" i="3"/>
  <c r="Q5" i="3"/>
  <c r="O13" i="3"/>
  <c r="N13" i="3"/>
  <c r="L13" i="3"/>
  <c r="C13" i="3"/>
  <c r="Q4" i="3"/>
  <c r="O23" i="3"/>
  <c r="N23" i="3"/>
  <c r="L23" i="3"/>
  <c r="C23" i="3"/>
  <c r="Q3" i="3"/>
  <c r="O39" i="3"/>
  <c r="N39" i="3"/>
  <c r="L39" i="3"/>
  <c r="C39" i="3"/>
  <c r="Q2" i="3"/>
  <c r="O40" i="3"/>
  <c r="N40" i="3"/>
  <c r="L40" i="3"/>
  <c r="C40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4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45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5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44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43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687" i="2" l="1"/>
  <c r="G688" i="2"/>
  <c r="G689" i="2"/>
  <c r="G692" i="2"/>
  <c r="G693" i="2"/>
  <c r="G694" i="2"/>
  <c r="G695" i="2"/>
  <c r="G696" i="2"/>
  <c r="G697" i="2"/>
  <c r="G698" i="2"/>
  <c r="G700" i="2"/>
  <c r="G701" i="2"/>
  <c r="G702" i="2"/>
  <c r="G677" i="2"/>
  <c r="H52" i="3"/>
  <c r="I52" i="3"/>
  <c r="K52" i="3" s="1"/>
  <c r="G52" i="3"/>
  <c r="J52" i="3" s="1"/>
  <c r="F52" i="3"/>
  <c r="G675" i="2"/>
  <c r="G678" i="2"/>
  <c r="G679" i="2"/>
  <c r="G680" i="2"/>
  <c r="G681" i="2"/>
  <c r="G682" i="2"/>
  <c r="G683" i="2"/>
  <c r="G684" i="2"/>
  <c r="G685" i="2"/>
  <c r="G686" i="2"/>
  <c r="G639" i="2"/>
  <c r="G640" i="2"/>
  <c r="G641" i="2"/>
  <c r="G642" i="2"/>
  <c r="G515" i="2"/>
  <c r="E49" i="3"/>
  <c r="F49" i="3" s="1"/>
  <c r="G643" i="2"/>
  <c r="G644" i="2"/>
  <c r="G645" i="2"/>
  <c r="G646" i="2"/>
  <c r="G647" i="2"/>
  <c r="G648" i="2"/>
  <c r="G649" i="2"/>
  <c r="G524" i="2"/>
  <c r="G652" i="2"/>
  <c r="G650" i="2"/>
  <c r="G651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19" i="2"/>
  <c r="M51" i="3"/>
  <c r="G562" i="2"/>
  <c r="E41" i="3"/>
  <c r="D41" i="3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M50" i="3"/>
  <c r="P50" i="3"/>
  <c r="G612" i="2"/>
  <c r="G605" i="2"/>
  <c r="G613" i="2"/>
  <c r="G563" i="2"/>
  <c r="G508" i="2"/>
  <c r="G511" i="2"/>
  <c r="G618" i="2"/>
  <c r="G615" i="2"/>
  <c r="G611" i="2"/>
  <c r="G547" i="2"/>
  <c r="G538" i="2"/>
  <c r="G593" i="2"/>
  <c r="G548" i="2"/>
  <c r="G608" i="2"/>
  <c r="G589" i="2"/>
  <c r="G609" i="2"/>
  <c r="G616" i="2"/>
  <c r="G604" i="2"/>
  <c r="G607" i="2"/>
  <c r="F51" i="3"/>
  <c r="G614" i="2"/>
  <c r="G617" i="2"/>
  <c r="G606" i="2"/>
  <c r="P51" i="3"/>
  <c r="G592" i="2"/>
  <c r="G597" i="2"/>
  <c r="G590" i="2"/>
  <c r="G591" i="2"/>
  <c r="G595" i="2"/>
  <c r="G596" i="2"/>
  <c r="G598" i="2"/>
  <c r="G602" i="2"/>
  <c r="G599" i="2"/>
  <c r="G601" i="2"/>
  <c r="I50" i="3"/>
  <c r="K50" i="3" s="1"/>
  <c r="H50" i="3"/>
  <c r="G50" i="3"/>
  <c r="J50" i="3" s="1"/>
  <c r="G577" i="2"/>
  <c r="G578" i="2"/>
  <c r="G580" i="2"/>
  <c r="G583" i="2"/>
  <c r="F50" i="3"/>
  <c r="G586" i="2"/>
  <c r="G581" i="2"/>
  <c r="G576" i="2"/>
  <c r="G535" i="2"/>
  <c r="G129" i="2"/>
  <c r="G575" i="2"/>
  <c r="G579" i="2"/>
  <c r="G564" i="2"/>
  <c r="G536" i="2"/>
  <c r="G526" i="2"/>
  <c r="G561" i="2"/>
  <c r="E565" i="2"/>
  <c r="E566" i="2"/>
  <c r="E568" i="2"/>
  <c r="E569" i="2"/>
  <c r="F570" i="2"/>
  <c r="F571" i="2"/>
  <c r="E22" i="3" s="1"/>
  <c r="F572" i="2"/>
  <c r="E12" i="3" s="1"/>
  <c r="F573" i="2"/>
  <c r="F574" i="2"/>
  <c r="E567" i="2"/>
  <c r="F566" i="2"/>
  <c r="E31" i="3" s="1"/>
  <c r="F567" i="2"/>
  <c r="E570" i="2"/>
  <c r="F568" i="2"/>
  <c r="F569" i="2"/>
  <c r="E571" i="2"/>
  <c r="D22" i="3" s="1"/>
  <c r="E572" i="2"/>
  <c r="E573" i="2"/>
  <c r="E574" i="2"/>
  <c r="F565" i="2"/>
  <c r="G555" i="2"/>
  <c r="G556" i="2"/>
  <c r="G557" i="2"/>
  <c r="G558" i="2"/>
  <c r="G559" i="2"/>
  <c r="G560" i="2"/>
  <c r="G546" i="2"/>
  <c r="G549" i="2"/>
  <c r="G533" i="2"/>
  <c r="G530" i="2"/>
  <c r="G541" i="2"/>
  <c r="G543" i="2"/>
  <c r="G551" i="2"/>
  <c r="G507" i="2"/>
  <c r="G513" i="2"/>
  <c r="G69" i="2"/>
  <c r="G542" i="2"/>
  <c r="G545" i="2"/>
  <c r="G431" i="2"/>
  <c r="G554" i="2"/>
  <c r="G544" i="2"/>
  <c r="G534" i="2"/>
  <c r="G553" i="2"/>
  <c r="G510" i="2"/>
  <c r="G509" i="2"/>
  <c r="G552" i="2"/>
  <c r="G550" i="2"/>
  <c r="G528" i="2"/>
  <c r="G540" i="2"/>
  <c r="G532" i="2"/>
  <c r="G537" i="2"/>
  <c r="G527" i="2"/>
  <c r="G531" i="2"/>
  <c r="G529" i="2"/>
  <c r="G539" i="2"/>
  <c r="G104" i="2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16" i="3"/>
  <c r="P31" i="3"/>
  <c r="M31" i="3"/>
  <c r="M49" i="3"/>
  <c r="P49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8" i="3"/>
  <c r="G476" i="2"/>
  <c r="D48" i="3"/>
  <c r="G494" i="2"/>
  <c r="G475" i="2"/>
  <c r="M48" i="3"/>
  <c r="P48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7" i="3"/>
  <c r="G417" i="2"/>
  <c r="D7" i="3"/>
  <c r="G418" i="2"/>
  <c r="E3" i="3"/>
  <c r="D3" i="3"/>
  <c r="G128" i="2"/>
  <c r="G80" i="2"/>
  <c r="P7" i="3"/>
  <c r="M7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12" i="3"/>
  <c r="P12" i="3"/>
  <c r="G285" i="2"/>
  <c r="G43" i="2"/>
  <c r="G279" i="2"/>
  <c r="G288" i="2"/>
  <c r="D47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36" i="3"/>
  <c r="P36" i="3"/>
  <c r="P47" i="3"/>
  <c r="K2" i="3"/>
  <c r="J2" i="3"/>
  <c r="G243" i="2"/>
  <c r="G229" i="2"/>
  <c r="E47" i="3"/>
  <c r="G247" i="2"/>
  <c r="G245" i="2"/>
  <c r="G261" i="2"/>
  <c r="G249" i="2"/>
  <c r="G250" i="2"/>
  <c r="G255" i="2"/>
  <c r="D30" i="3"/>
  <c r="G130" i="2"/>
  <c r="G256" i="2"/>
  <c r="G105" i="2"/>
  <c r="G22" i="2"/>
  <c r="F2" i="3"/>
  <c r="M47" i="3"/>
  <c r="M25" i="3"/>
  <c r="M30" i="3"/>
  <c r="P18" i="3"/>
  <c r="M18" i="3"/>
  <c r="M26" i="3"/>
  <c r="G199" i="2"/>
  <c r="G175" i="2"/>
  <c r="G79" i="2"/>
  <c r="G180" i="2"/>
  <c r="E234" i="2"/>
  <c r="F241" i="2"/>
  <c r="E235" i="2"/>
  <c r="D25" i="3" s="1"/>
  <c r="F240" i="2"/>
  <c r="F242" i="2"/>
  <c r="E6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6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G232" i="2"/>
  <c r="G227" i="2"/>
  <c r="G219" i="2"/>
  <c r="G178" i="2"/>
  <c r="G207" i="2"/>
  <c r="E30" i="3"/>
  <c r="G205" i="2"/>
  <c r="P30" i="3"/>
  <c r="P25" i="3"/>
  <c r="P26" i="3"/>
  <c r="M6" i="3"/>
  <c r="P6" i="3"/>
  <c r="M22" i="3"/>
  <c r="P22" i="3"/>
  <c r="G220" i="2"/>
  <c r="P14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M46" i="3"/>
  <c r="P46" i="3"/>
  <c r="M8" i="3"/>
  <c r="P8" i="3"/>
  <c r="G118" i="2"/>
  <c r="G41" i="2"/>
  <c r="P32" i="3"/>
  <c r="P27" i="3"/>
  <c r="P19" i="3"/>
  <c r="P33" i="3"/>
  <c r="P15" i="3"/>
  <c r="P13" i="3"/>
  <c r="P23" i="3"/>
  <c r="P35" i="3"/>
  <c r="P41" i="3"/>
  <c r="P2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37" i="3"/>
  <c r="P39" i="3"/>
  <c r="P9" i="3"/>
  <c r="P34" i="3"/>
  <c r="P16" i="3"/>
  <c r="P5" i="3"/>
  <c r="P44" i="3"/>
  <c r="P11" i="3"/>
  <c r="P21" i="3"/>
  <c r="P3" i="3"/>
  <c r="P42" i="3"/>
  <c r="P20" i="3"/>
  <c r="P40" i="3"/>
  <c r="P17" i="3"/>
  <c r="P24" i="3"/>
  <c r="P45" i="3"/>
  <c r="P38" i="3"/>
  <c r="P4" i="3"/>
  <c r="P29" i="3"/>
  <c r="P10" i="3"/>
  <c r="P28" i="3"/>
  <c r="P43" i="3"/>
  <c r="G145" i="2"/>
  <c r="G33" i="2"/>
  <c r="G108" i="2"/>
  <c r="G89" i="2"/>
  <c r="G68" i="2"/>
  <c r="G50" i="2"/>
  <c r="D45" i="3"/>
  <c r="F45" i="3" s="1"/>
  <c r="G45" i="2"/>
  <c r="D5" i="3"/>
  <c r="F5" i="3" s="1"/>
  <c r="G44" i="2"/>
  <c r="D16" i="3"/>
  <c r="G76" i="2"/>
  <c r="G136" i="2"/>
  <c r="G92" i="2"/>
  <c r="G83" i="2"/>
  <c r="G53" i="2"/>
  <c r="G95" i="2"/>
  <c r="G82" i="2"/>
  <c r="E38" i="3"/>
  <c r="E33" i="3"/>
  <c r="F161" i="2"/>
  <c r="F162" i="2"/>
  <c r="F160" i="2"/>
  <c r="E39" i="3" s="1"/>
  <c r="F163" i="2"/>
  <c r="E156" i="2"/>
  <c r="E155" i="2"/>
  <c r="E157" i="2"/>
  <c r="E158" i="2"/>
  <c r="E159" i="2"/>
  <c r="F164" i="2"/>
  <c r="E163" i="2"/>
  <c r="E162" i="2"/>
  <c r="E164" i="2"/>
  <c r="F159" i="2"/>
  <c r="F158" i="2"/>
  <c r="E13" i="3" s="1"/>
  <c r="F157" i="2"/>
  <c r="F155" i="2"/>
  <c r="F156" i="2"/>
  <c r="E160" i="2"/>
  <c r="E161" i="2"/>
  <c r="F170" i="2"/>
  <c r="E15" i="3" s="1"/>
  <c r="F172" i="2"/>
  <c r="E27" i="3" s="1"/>
  <c r="E166" i="2"/>
  <c r="E169" i="2"/>
  <c r="F173" i="2"/>
  <c r="E21" i="3" s="1"/>
  <c r="E168" i="2"/>
  <c r="E167" i="2"/>
  <c r="D42" i="3" s="1"/>
  <c r="F171" i="2"/>
  <c r="E29" i="3" s="1"/>
  <c r="F174" i="2"/>
  <c r="E37" i="3" s="1"/>
  <c r="E165" i="2"/>
  <c r="F166" i="2"/>
  <c r="E173" i="2"/>
  <c r="F165" i="2"/>
  <c r="E170" i="2"/>
  <c r="D15" i="3" s="1"/>
  <c r="E172" i="2"/>
  <c r="D27" i="3" s="1"/>
  <c r="E174" i="2"/>
  <c r="F169" i="2"/>
  <c r="E46" i="3" s="1"/>
  <c r="F167" i="2"/>
  <c r="E42" i="3" s="1"/>
  <c r="E171" i="2"/>
  <c r="F168" i="2"/>
  <c r="G61" i="2"/>
  <c r="M33" i="3"/>
  <c r="M15" i="3"/>
  <c r="M27" i="3"/>
  <c r="M19" i="3"/>
  <c r="M35" i="3"/>
  <c r="M13" i="3"/>
  <c r="M23" i="3"/>
  <c r="M39" i="3"/>
  <c r="M40" i="3"/>
  <c r="M10" i="3"/>
  <c r="M43" i="3"/>
  <c r="M42" i="3"/>
  <c r="M20" i="3"/>
  <c r="M17" i="3"/>
  <c r="M37" i="3"/>
  <c r="M14" i="3"/>
  <c r="M41" i="3"/>
  <c r="M2" i="3"/>
  <c r="M34" i="3"/>
  <c r="M24" i="3"/>
  <c r="M45" i="3"/>
  <c r="M5" i="3"/>
  <c r="M16" i="3"/>
  <c r="M38" i="3"/>
  <c r="M44" i="3"/>
  <c r="M4" i="3"/>
  <c r="M11" i="3"/>
  <c r="M29" i="3"/>
  <c r="M21" i="3"/>
  <c r="M32" i="3"/>
  <c r="M3" i="3"/>
  <c r="M28" i="3"/>
  <c r="M9" i="3"/>
  <c r="G149" i="2"/>
  <c r="G90" i="2"/>
  <c r="G58" i="2"/>
  <c r="G47" i="2"/>
  <c r="G20" i="2"/>
  <c r="E40" i="3"/>
  <c r="G96" i="2"/>
  <c r="D4" i="3"/>
  <c r="F4" i="3" s="1"/>
  <c r="G84" i="2"/>
  <c r="G55" i="2"/>
  <c r="D38" i="3"/>
  <c r="G40" i="2"/>
  <c r="G39" i="2"/>
  <c r="D44" i="3"/>
  <c r="F44" i="3" s="1"/>
  <c r="G34" i="2"/>
  <c r="D33" i="3"/>
  <c r="G27" i="2"/>
  <c r="G25" i="2"/>
  <c r="G24" i="2"/>
  <c r="G23" i="2"/>
  <c r="G18" i="2"/>
  <c r="G16" i="2"/>
  <c r="G15" i="2"/>
  <c r="G12" i="2"/>
  <c r="D43" i="3"/>
  <c r="F43" i="3" s="1"/>
  <c r="G11" i="2"/>
  <c r="D40" i="3"/>
  <c r="G10" i="2"/>
  <c r="G9" i="2"/>
  <c r="G8" i="2"/>
  <c r="G7" i="2"/>
  <c r="G6" i="2"/>
  <c r="G5" i="2"/>
  <c r="G4" i="2"/>
  <c r="G3" i="2"/>
  <c r="G2" i="2"/>
  <c r="G569" i="2" l="1"/>
  <c r="G49" i="3"/>
  <c r="J49" i="3" s="1"/>
  <c r="H49" i="3"/>
  <c r="I49" i="3"/>
  <c r="K49" i="3" s="1"/>
  <c r="G574" i="2"/>
  <c r="G565" i="2"/>
  <c r="D31" i="3"/>
  <c r="F31" i="3" s="1"/>
  <c r="G566" i="2"/>
  <c r="F41" i="3"/>
  <c r="I51" i="3"/>
  <c r="K51" i="3" s="1"/>
  <c r="H51" i="3"/>
  <c r="G51" i="3"/>
  <c r="J51" i="3" s="1"/>
  <c r="G567" i="2"/>
  <c r="G573" i="2"/>
  <c r="G568" i="2"/>
  <c r="D12" i="3"/>
  <c r="F12" i="3" s="1"/>
  <c r="G572" i="2"/>
  <c r="G12" i="3" s="1"/>
  <c r="J12" i="3" s="1"/>
  <c r="E34" i="3"/>
  <c r="G570" i="2"/>
  <c r="G571" i="2"/>
  <c r="E11" i="3"/>
  <c r="D11" i="3"/>
  <c r="H31" i="3"/>
  <c r="G31" i="3"/>
  <c r="J31" i="3" s="1"/>
  <c r="I31" i="3"/>
  <c r="K31" i="3" s="1"/>
  <c r="H7" i="3"/>
  <c r="G7" i="3"/>
  <c r="J7" i="3" s="1"/>
  <c r="I7" i="3"/>
  <c r="K7" i="3" s="1"/>
  <c r="F48" i="3"/>
  <c r="F16" i="3"/>
  <c r="I41" i="3"/>
  <c r="K41" i="3" s="1"/>
  <c r="H41" i="3"/>
  <c r="G41" i="3"/>
  <c r="J41" i="3" s="1"/>
  <c r="G48" i="3"/>
  <c r="J48" i="3" s="1"/>
  <c r="H48" i="3"/>
  <c r="I48" i="3"/>
  <c r="K48" i="3" s="1"/>
  <c r="G399" i="2"/>
  <c r="G391" i="2"/>
  <c r="G392" i="2"/>
  <c r="D36" i="3"/>
  <c r="E36" i="3"/>
  <c r="G395" i="2"/>
  <c r="G396" i="2"/>
  <c r="G398" i="2"/>
  <c r="G400" i="2"/>
  <c r="F7" i="3"/>
  <c r="F3" i="3"/>
  <c r="G394" i="2"/>
  <c r="D18" i="3"/>
  <c r="D23" i="3"/>
  <c r="D9" i="3"/>
  <c r="E9" i="3"/>
  <c r="E18" i="3"/>
  <c r="D26" i="3"/>
  <c r="E20" i="3"/>
  <c r="D24" i="3"/>
  <c r="E24" i="3"/>
  <c r="D10" i="3"/>
  <c r="D19" i="3"/>
  <c r="E19" i="3"/>
  <c r="E10" i="3"/>
  <c r="D20" i="3"/>
  <c r="H3" i="3"/>
  <c r="G3" i="3"/>
  <c r="J3" i="3" s="1"/>
  <c r="I3" i="3"/>
  <c r="K3" i="3" s="1"/>
  <c r="G393" i="2"/>
  <c r="G397" i="2"/>
  <c r="G401" i="2"/>
  <c r="G402" i="2"/>
  <c r="F47" i="3"/>
  <c r="I47" i="3"/>
  <c r="K47" i="3" s="1"/>
  <c r="G47" i="3"/>
  <c r="J47" i="3" s="1"/>
  <c r="H47" i="3"/>
  <c r="F30" i="3"/>
  <c r="G233" i="2"/>
  <c r="G236" i="2"/>
  <c r="G241" i="2"/>
  <c r="G238" i="2"/>
  <c r="G242" i="2"/>
  <c r="G239" i="2"/>
  <c r="G240" i="2"/>
  <c r="E35" i="3"/>
  <c r="D28" i="3"/>
  <c r="E17" i="3"/>
  <c r="E14" i="3"/>
  <c r="E8" i="3"/>
  <c r="E32" i="3"/>
  <c r="F22" i="3"/>
  <c r="E26" i="3"/>
  <c r="G237" i="2"/>
  <c r="E25" i="3"/>
  <c r="F25" i="3" s="1"/>
  <c r="G235" i="2"/>
  <c r="E28" i="3"/>
  <c r="D14" i="3"/>
  <c r="D17" i="3"/>
  <c r="G234" i="2"/>
  <c r="E23" i="3"/>
  <c r="H30" i="3"/>
  <c r="I30" i="3"/>
  <c r="K30" i="3" s="1"/>
  <c r="G30" i="3"/>
  <c r="J30" i="3" s="1"/>
  <c r="F6" i="3"/>
  <c r="F38" i="3"/>
  <c r="B1" i="6" a="1"/>
  <c r="F27" i="3"/>
  <c r="F33" i="3"/>
  <c r="G45" i="3"/>
  <c r="J45" i="3" s="1"/>
  <c r="I45" i="3"/>
  <c r="K45" i="3" s="1"/>
  <c r="H45" i="3"/>
  <c r="H5" i="3"/>
  <c r="G5" i="3"/>
  <c r="J5" i="3" s="1"/>
  <c r="I5" i="3"/>
  <c r="K5" i="3" s="1"/>
  <c r="G16" i="3"/>
  <c r="J16" i="3" s="1"/>
  <c r="H16" i="3"/>
  <c r="I16" i="3"/>
  <c r="K16" i="3" s="1"/>
  <c r="G173" i="2"/>
  <c r="G21" i="3" s="1"/>
  <c r="J21" i="3" s="1"/>
  <c r="D21" i="3"/>
  <c r="F21" i="3" s="1"/>
  <c r="G174" i="2"/>
  <c r="G37" i="3" s="1"/>
  <c r="J37" i="3" s="1"/>
  <c r="D37" i="3"/>
  <c r="F37" i="3" s="1"/>
  <c r="G171" i="2"/>
  <c r="G29" i="3" s="1"/>
  <c r="J29" i="3" s="1"/>
  <c r="D29" i="3"/>
  <c r="F29" i="3" s="1"/>
  <c r="G159" i="2"/>
  <c r="G161" i="2"/>
  <c r="F42" i="3"/>
  <c r="D8" i="3"/>
  <c r="G155" i="2"/>
  <c r="D34" i="3"/>
  <c r="G163" i="2"/>
  <c r="D46" i="3"/>
  <c r="F46" i="3" s="1"/>
  <c r="G169" i="2"/>
  <c r="G164" i="2"/>
  <c r="G168" i="2"/>
  <c r="G167" i="2"/>
  <c r="G42" i="3" s="1"/>
  <c r="J42" i="3" s="1"/>
  <c r="G165" i="2"/>
  <c r="G170" i="2"/>
  <c r="G172" i="2"/>
  <c r="G156" i="2"/>
  <c r="G157" i="2"/>
  <c r="G158" i="2"/>
  <c r="H13" i="3" s="1"/>
  <c r="D13" i="3"/>
  <c r="F13" i="3" s="1"/>
  <c r="G162" i="2"/>
  <c r="D35" i="3"/>
  <c r="G160" i="2"/>
  <c r="D39" i="3"/>
  <c r="F39" i="3" s="1"/>
  <c r="G166" i="2"/>
  <c r="D32" i="3"/>
  <c r="F15" i="3"/>
  <c r="F40" i="3"/>
  <c r="G4" i="3"/>
  <c r="J4" i="3" s="1"/>
  <c r="H4" i="3"/>
  <c r="I4" i="3"/>
  <c r="K4" i="3" s="1"/>
  <c r="G38" i="3"/>
  <c r="J38" i="3" s="1"/>
  <c r="H38" i="3"/>
  <c r="I38" i="3"/>
  <c r="K38" i="3" s="1"/>
  <c r="G44" i="3"/>
  <c r="J44" i="3" s="1"/>
  <c r="H44" i="3"/>
  <c r="I44" i="3"/>
  <c r="K44" i="3" s="1"/>
  <c r="H33" i="3"/>
  <c r="I33" i="3"/>
  <c r="K33" i="3" s="1"/>
  <c r="G33" i="3"/>
  <c r="J33" i="3" s="1"/>
  <c r="G43" i="3"/>
  <c r="J43" i="3" s="1"/>
  <c r="H43" i="3"/>
  <c r="I43" i="3"/>
  <c r="K43" i="3" s="1"/>
  <c r="G40" i="3"/>
  <c r="J40" i="3" s="1"/>
  <c r="H40" i="3"/>
  <c r="I40" i="3"/>
  <c r="K40" i="3" s="1"/>
  <c r="AY22" i="6" l="1" a="1"/>
  <c r="AY32" i="6" a="1"/>
  <c r="AY38" i="6" a="1"/>
  <c r="AY47" i="6" a="1"/>
  <c r="G51" i="6" a="1"/>
  <c r="R51" i="6" a="1"/>
  <c r="Z51" i="6" a="1"/>
  <c r="AJ51" i="6" a="1"/>
  <c r="AT51" i="6" a="1"/>
  <c r="AY30" i="6" a="1"/>
  <c r="AY40" i="6" a="1"/>
  <c r="B51" i="6" a="1"/>
  <c r="M51" i="6" a="1"/>
  <c r="W51" i="6" a="1"/>
  <c r="AH51" i="6" a="1"/>
  <c r="AS51" i="6" a="1"/>
  <c r="AY27" i="6" a="1"/>
  <c r="AY37" i="6" a="1"/>
  <c r="AY48" i="6" a="1"/>
  <c r="I51" i="6" a="1"/>
  <c r="S51" i="6" a="1"/>
  <c r="AF51" i="6" a="1"/>
  <c r="AQ51" i="6" a="1"/>
  <c r="AY25" i="6" a="1"/>
  <c r="AY35" i="6" a="1"/>
  <c r="AY44" i="6" a="1"/>
  <c r="C51" i="6" a="1"/>
  <c r="H51" i="6" a="1"/>
  <c r="Q51" i="6" a="1"/>
  <c r="Y51" i="6" a="1"/>
  <c r="AC51" i="6" a="1"/>
  <c r="AM51" i="6" a="1"/>
  <c r="AW51" i="6" a="1"/>
  <c r="AY28" i="6" a="1"/>
  <c r="AY39" i="6" a="1"/>
  <c r="AY50" i="6" a="1"/>
  <c r="K51" i="6" a="1"/>
  <c r="T51" i="6" a="1"/>
  <c r="AE51" i="6" a="1"/>
  <c r="AO51" i="6" a="1"/>
  <c r="AY26" i="6" a="1"/>
  <c r="AY36" i="6" a="1"/>
  <c r="AY46" i="6" a="1"/>
  <c r="F51" i="6" a="1"/>
  <c r="O51" i="6" a="1"/>
  <c r="X51" i="6" a="1"/>
  <c r="AI51" i="6" a="1"/>
  <c r="AN51" i="6" a="1"/>
  <c r="AX51" i="6" a="1"/>
  <c r="AY29" i="6" a="1"/>
  <c r="AY41" i="6" a="1"/>
  <c r="AY49" i="6" a="1"/>
  <c r="J51" i="6" a="1"/>
  <c r="U51" i="6" a="1"/>
  <c r="AD51" i="6" a="1"/>
  <c r="AP51" i="6" a="1"/>
  <c r="AY31" i="6" a="1"/>
  <c r="AY42" i="6" a="1"/>
  <c r="AY51" i="6" a="1"/>
  <c r="L51" i="6" a="1"/>
  <c r="V51" i="6" a="1"/>
  <c r="AG51" i="6" a="1"/>
  <c r="AR51" i="6" a="1"/>
  <c r="AY24" i="6" a="1"/>
  <c r="AY34" i="6" a="1"/>
  <c r="AY45" i="6" a="1"/>
  <c r="E51" i="6" a="1"/>
  <c r="P51" i="6" a="1"/>
  <c r="AB51" i="6" a="1"/>
  <c r="AL51" i="6" a="1"/>
  <c r="AU51" i="6" a="1"/>
  <c r="AY23" i="6" a="1"/>
  <c r="AY33" i="6" a="1"/>
  <c r="AY43" i="6" a="1"/>
  <c r="D51" i="6" a="1"/>
  <c r="N51" i="6" a="1"/>
  <c r="AA51" i="6" a="1"/>
  <c r="AK51" i="6" a="1"/>
  <c r="AV51" i="6" a="1"/>
  <c r="AY8" i="6" a="1"/>
  <c r="AY7" i="6" a="1"/>
  <c r="AY10" i="6" a="1"/>
  <c r="AY20" i="6" a="1"/>
  <c r="AY11" i="6" a="1"/>
  <c r="AY16" i="6" a="1"/>
  <c r="AY3" i="6" a="1"/>
  <c r="AY13" i="6" a="1"/>
  <c r="AY6" i="6" a="1"/>
  <c r="AY18" i="6" a="1"/>
  <c r="AY5" i="6" a="1"/>
  <c r="AY19" i="6" a="1"/>
  <c r="AY4" i="6" a="1"/>
  <c r="AY17" i="6" a="1"/>
  <c r="AY2" i="6" a="1"/>
  <c r="AY21" i="6" a="1"/>
  <c r="AY15" i="6" a="1"/>
  <c r="AY12" i="6" a="1"/>
  <c r="AY14" i="6" a="1"/>
  <c r="AY9" i="6" a="1"/>
  <c r="AX2" i="6" a="1"/>
  <c r="E50" i="6" a="1"/>
  <c r="AS50" i="6" a="1"/>
  <c r="AX49" i="6" a="1"/>
  <c r="AW50" i="6" a="1"/>
  <c r="AX34" i="6" a="1"/>
  <c r="AI50" i="6" a="1"/>
  <c r="AX6" i="6" a="1"/>
  <c r="AO50" i="6" a="1"/>
  <c r="AX4" i="6" a="1"/>
  <c r="AX9" i="6" a="1"/>
  <c r="AX20" i="6" a="1"/>
  <c r="AX31" i="6" a="1"/>
  <c r="AX41" i="6" a="1"/>
  <c r="B50" i="6" a="1"/>
  <c r="AX10" i="6" a="1"/>
  <c r="AX46" i="6" a="1"/>
  <c r="N50" i="6" a="1"/>
  <c r="AX14" i="6" a="1"/>
  <c r="O50" i="6" a="1"/>
  <c r="AK50" i="6" a="1"/>
  <c r="AX24" i="6" a="1"/>
  <c r="R50" i="6" a="1"/>
  <c r="AF50" i="6" a="1"/>
  <c r="AX8" i="6" a="1"/>
  <c r="AG50" i="6" a="1"/>
  <c r="V50" i="6" a="1"/>
  <c r="AX26" i="6" a="1"/>
  <c r="Z50" i="6" a="1"/>
  <c r="AV50" i="6" a="1"/>
  <c r="AX35" i="6" a="1"/>
  <c r="S50" i="6" a="1"/>
  <c r="AX39" i="6" a="1"/>
  <c r="AR50" i="6" a="1"/>
  <c r="AX28" i="6" a="1"/>
  <c r="Q50" i="6" a="1"/>
  <c r="AX13" i="6" a="1"/>
  <c r="AX25" i="6" a="1"/>
  <c r="X50" i="6" a="1"/>
  <c r="AE50" i="6" a="1"/>
  <c r="AX30" i="6" a="1"/>
  <c r="H50" i="6" a="1"/>
  <c r="AX19" i="6" a="1"/>
  <c r="AB50" i="6" a="1"/>
  <c r="AX23" i="6" a="1"/>
  <c r="AX45" i="6" a="1"/>
  <c r="F50" i="6" a="1"/>
  <c r="AP50" i="6" a="1"/>
  <c r="AX5" i="6" a="1"/>
  <c r="I50" i="6" a="1"/>
  <c r="AX37" i="6" a="1"/>
  <c r="AX36" i="6" a="1"/>
  <c r="AA50" i="6" a="1"/>
  <c r="AX17" i="6" a="1"/>
  <c r="AX50" i="6" a="1"/>
  <c r="AX32" i="6" a="1"/>
  <c r="AX3" i="6" a="1"/>
  <c r="W50" i="6" a="1"/>
  <c r="AH50" i="6" a="1"/>
  <c r="AX38" i="6" a="1"/>
  <c r="AL50" i="6" a="1"/>
  <c r="AX16" i="6" a="1"/>
  <c r="AX44" i="6" a="1"/>
  <c r="AD50" i="6" a="1"/>
  <c r="AQ50" i="6" a="1"/>
  <c r="AX12" i="6" a="1"/>
  <c r="K50" i="6" a="1"/>
  <c r="P50" i="6" a="1"/>
  <c r="AX15" i="6" a="1"/>
  <c r="AX43" i="6" a="1"/>
  <c r="Y50" i="6" a="1"/>
  <c r="AT50" i="6" a="1"/>
  <c r="U50" i="6" a="1"/>
  <c r="AX7" i="6" a="1"/>
  <c r="J50" i="6" a="1"/>
  <c r="AX48" i="6" a="1"/>
  <c r="AM50" i="6" a="1"/>
  <c r="AX33" i="6" a="1"/>
  <c r="G50" i="6" a="1"/>
  <c r="AX18" i="6" a="1"/>
  <c r="AX22" i="6" a="1"/>
  <c r="AX21" i="6" a="1"/>
  <c r="M50" i="6" a="1"/>
  <c r="AN50" i="6" a="1"/>
  <c r="AX47" i="6" a="1"/>
  <c r="T50" i="6" a="1"/>
  <c r="AJ50" i="6" a="1"/>
  <c r="AX40" i="6" a="1"/>
  <c r="AX42" i="6" a="1"/>
  <c r="AX11" i="6" a="1"/>
  <c r="L50" i="6" a="1"/>
  <c r="AC50" i="6" a="1"/>
  <c r="AX27" i="6" a="1"/>
  <c r="C50" i="6" a="1"/>
  <c r="AU50" i="6" a="1"/>
  <c r="AX29" i="6" a="1"/>
  <c r="D50" i="6" a="1"/>
  <c r="AW2" i="6" a="1"/>
  <c r="C49" i="6" a="1"/>
  <c r="AW45" i="6" a="1"/>
  <c r="AT49" i="6" a="1"/>
  <c r="B49" i="6" a="1"/>
  <c r="AW16" i="6" a="1"/>
  <c r="AW10" i="6" a="1"/>
  <c r="AS49" i="6" a="1"/>
  <c r="AG49" i="6" a="1"/>
  <c r="AW12" i="6" a="1"/>
  <c r="AW18" i="6" a="1"/>
  <c r="AW24" i="6" a="1"/>
  <c r="AW31" i="6" a="1"/>
  <c r="AW38" i="6" a="1"/>
  <c r="AW49" i="6" a="1"/>
  <c r="K49" i="6" a="1"/>
  <c r="W49" i="6" a="1"/>
  <c r="AH49" i="6" a="1"/>
  <c r="V49" i="6" a="1"/>
  <c r="AW14" i="6" a="1"/>
  <c r="AW43" i="6" a="1"/>
  <c r="AW44" i="6" a="1"/>
  <c r="S49" i="6" a="1"/>
  <c r="AJ49" i="6" a="1"/>
  <c r="AW36" i="6" a="1"/>
  <c r="AW21" i="6" a="1"/>
  <c r="AW11" i="6" a="1"/>
  <c r="AW8" i="6" a="1"/>
  <c r="AW46" i="6" a="1"/>
  <c r="AD49" i="6" a="1"/>
  <c r="Y49" i="6" a="1"/>
  <c r="AW32" i="6" a="1"/>
  <c r="AW3" i="6" a="1"/>
  <c r="AQ49" i="6" a="1"/>
  <c r="AB49" i="6" a="1"/>
  <c r="AW23" i="6" a="1"/>
  <c r="AW13" i="6" a="1"/>
  <c r="AW40" i="6" a="1"/>
  <c r="AO49" i="6" a="1"/>
  <c r="AI49" i="6" a="1"/>
  <c r="AW39" i="6" a="1"/>
  <c r="AW9" i="6" a="1"/>
  <c r="AW4" i="6" a="1"/>
  <c r="AM49" i="6" a="1"/>
  <c r="AW30" i="6" a="1"/>
  <c r="AW19" i="6" a="1"/>
  <c r="AW35" i="6" a="1"/>
  <c r="R49" i="6" a="1"/>
  <c r="N49" i="6" a="1"/>
  <c r="AW25" i="6" a="1"/>
  <c r="AL49" i="6" a="1"/>
  <c r="AF49" i="6" a="1"/>
  <c r="AW34" i="6" a="1"/>
  <c r="AW17" i="6" a="1"/>
  <c r="AW26" i="6" a="1"/>
  <c r="F49" i="6" a="1"/>
  <c r="E49" i="6" a="1"/>
  <c r="AV49" i="6" a="1"/>
  <c r="Z49" i="6" a="1"/>
  <c r="U49" i="6" a="1"/>
  <c r="AW41" i="6" a="1"/>
  <c r="J49" i="6" a="1"/>
  <c r="AW7" i="6" a="1"/>
  <c r="I49" i="6" a="1"/>
  <c r="T49" i="6" a="1"/>
  <c r="AC49" i="6" a="1"/>
  <c r="O49" i="6" a="1"/>
  <c r="AW47" i="6" a="1"/>
  <c r="Q49" i="6" a="1"/>
  <c r="AW48" i="6" a="1"/>
  <c r="AW27" i="6" a="1"/>
  <c r="AN49" i="6" a="1"/>
  <c r="AE49" i="6" a="1"/>
  <c r="L49" i="6" a="1"/>
  <c r="X49" i="6" a="1"/>
  <c r="AW29" i="6" a="1"/>
  <c r="AW28" i="6" a="1"/>
  <c r="AW5" i="6" a="1"/>
  <c r="AR49" i="6" a="1"/>
  <c r="AW33" i="6" a="1"/>
  <c r="AA49" i="6" a="1"/>
  <c r="AP49" i="6" a="1"/>
  <c r="AK49" i="6" a="1"/>
  <c r="AU49" i="6" a="1"/>
  <c r="H49" i="6" a="1"/>
  <c r="D49" i="6" a="1"/>
  <c r="AW37" i="6" a="1"/>
  <c r="AW20" i="6" a="1"/>
  <c r="P49" i="6" a="1"/>
  <c r="G49" i="6" a="1"/>
  <c r="AW42" i="6" a="1"/>
  <c r="M49" i="6" a="1"/>
  <c r="AW22" i="6" a="1"/>
  <c r="AW15" i="6" a="1"/>
  <c r="AW6" i="6" a="1"/>
  <c r="I12" i="3"/>
  <c r="K12" i="3" s="1"/>
  <c r="H12" i="3"/>
  <c r="F34" i="3"/>
  <c r="G20" i="3"/>
  <c r="J20" i="3" s="1"/>
  <c r="H20" i="3"/>
  <c r="I20" i="3"/>
  <c r="K20" i="3" s="1"/>
  <c r="F11" i="3"/>
  <c r="I22" i="3"/>
  <c r="K22" i="3" s="1"/>
  <c r="G22" i="3"/>
  <c r="J22" i="3" s="1"/>
  <c r="H22" i="3"/>
  <c r="AV10" i="6" a="1"/>
  <c r="AV47" i="6" a="1"/>
  <c r="AG48" i="6" a="1"/>
  <c r="AV27" i="6" a="1"/>
  <c r="AV17" i="6" a="1"/>
  <c r="AV9" i="6" a="1"/>
  <c r="AV4" i="6" a="1"/>
  <c r="AV6" i="6" a="1"/>
  <c r="AU48" i="6" a="1"/>
  <c r="AV5" i="6" a="1"/>
  <c r="AV14" i="6" a="1"/>
  <c r="AV22" i="6" a="1"/>
  <c r="AV35" i="6" a="1"/>
  <c r="AV46" i="6" a="1"/>
  <c r="L48" i="6" a="1"/>
  <c r="AH48" i="6" a="1"/>
  <c r="E48" i="6" a="1"/>
  <c r="AV38" i="6" a="1"/>
  <c r="AV48" i="6" a="1"/>
  <c r="V48" i="6" a="1"/>
  <c r="AV36" i="6" a="1"/>
  <c r="AV26" i="6" a="1"/>
  <c r="AV3" i="6" a="1"/>
  <c r="AR48" i="6" a="1"/>
  <c r="AL48" i="6" a="1"/>
  <c r="Z48" i="6" a="1"/>
  <c r="AD48" i="6" a="1"/>
  <c r="H48" i="6" a="1"/>
  <c r="Y48" i="6" a="1"/>
  <c r="AE48" i="6" a="1"/>
  <c r="AV7" i="6" a="1"/>
  <c r="AB48" i="6" a="1"/>
  <c r="D48" i="6" a="1"/>
  <c r="Q48" i="6" a="1"/>
  <c r="AV15" i="6" a="1"/>
  <c r="AV43" i="6" a="1"/>
  <c r="AV30" i="6" a="1"/>
  <c r="B48" i="6" a="1"/>
  <c r="AC48" i="6" a="1"/>
  <c r="T48" i="6" a="1"/>
  <c r="X48" i="6" a="1"/>
  <c r="AA48" i="6" a="1"/>
  <c r="O48" i="6" a="1"/>
  <c r="AV31" i="6" a="1"/>
  <c r="AV39" i="6" a="1"/>
  <c r="M48" i="6" a="1"/>
  <c r="AM48" i="6" a="1"/>
  <c r="K48" i="6" a="1"/>
  <c r="AV40" i="6" a="1"/>
  <c r="G48" i="6" a="1"/>
  <c r="F48" i="6" a="1"/>
  <c r="AN48" i="6" a="1"/>
  <c r="U48" i="6" a="1"/>
  <c r="R48" i="6" a="1"/>
  <c r="AO48" i="6" a="1"/>
  <c r="AV8" i="6" a="1"/>
  <c r="AJ48" i="6" a="1"/>
  <c r="N48" i="6" a="1"/>
  <c r="AV44" i="6" a="1"/>
  <c r="AT48" i="6" a="1"/>
  <c r="AK48" i="6" a="1"/>
  <c r="AV24" i="6" a="1"/>
  <c r="AV23" i="6" a="1"/>
  <c r="AV37" i="6" a="1"/>
  <c r="S48" i="6" a="1"/>
  <c r="C48" i="6" a="1"/>
  <c r="AV28" i="6" a="1"/>
  <c r="AV34" i="6" a="1"/>
  <c r="AV32" i="6" a="1"/>
  <c r="AV21" i="6" a="1"/>
  <c r="AP48" i="6" a="1"/>
  <c r="AV25" i="6" a="1"/>
  <c r="I48" i="6" a="1"/>
  <c r="AV41" i="6" a="1"/>
  <c r="AV18" i="6" a="1"/>
  <c r="AV19" i="6" a="1"/>
  <c r="AV20" i="6" a="1"/>
  <c r="P48" i="6" a="1"/>
  <c r="AI48" i="6" a="1"/>
  <c r="AQ48" i="6" a="1"/>
  <c r="AV45" i="6" a="1"/>
  <c r="AV33" i="6" a="1"/>
  <c r="AV13" i="6" a="1"/>
  <c r="AV11" i="6" a="1"/>
  <c r="AV42" i="6" a="1"/>
  <c r="AV2" i="6" a="1"/>
  <c r="AV29" i="6" a="1"/>
  <c r="J48" i="6" a="1"/>
  <c r="AV16" i="6" a="1"/>
  <c r="AV12" i="6" a="1"/>
  <c r="AS48" i="6" a="1"/>
  <c r="AF48" i="6" a="1"/>
  <c r="W48" i="6" a="1"/>
  <c r="AU12" i="6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26" i="3"/>
  <c r="I9" i="3"/>
  <c r="K9" i="3" s="1"/>
  <c r="F18" i="3"/>
  <c r="H9" i="3"/>
  <c r="G9" i="3"/>
  <c r="J9" i="3" s="1"/>
  <c r="I18" i="3"/>
  <c r="K18" i="3" s="1"/>
  <c r="H18" i="3"/>
  <c r="G18" i="3"/>
  <c r="J18" i="3" s="1"/>
  <c r="H36" i="3"/>
  <c r="F9" i="3"/>
  <c r="I36" i="3"/>
  <c r="K36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36" i="3"/>
  <c r="J36" i="3" s="1"/>
  <c r="F36" i="3"/>
  <c r="F24" i="3"/>
  <c r="F10" i="3"/>
  <c r="F19" i="3"/>
  <c r="F20" i="3"/>
  <c r="F23" i="3"/>
  <c r="G10" i="3"/>
  <c r="J10" i="3" s="1"/>
  <c r="G13" i="3"/>
  <c r="J13" i="3" s="1"/>
  <c r="I13" i="3"/>
  <c r="K13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28" i="3"/>
  <c r="J28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28" i="3"/>
  <c r="G6" i="3"/>
  <c r="J6" i="3" s="1"/>
  <c r="H6" i="3"/>
  <c r="I6" i="3"/>
  <c r="K6" i="3" s="1"/>
  <c r="F14" i="3"/>
  <c r="F17" i="3"/>
  <c r="G17" i="3"/>
  <c r="J17" i="3" s="1"/>
  <c r="F8" i="3"/>
  <c r="F35" i="3"/>
  <c r="F32" i="3"/>
  <c r="H26" i="3"/>
  <c r="I26" i="3"/>
  <c r="K26" i="3" s="1"/>
  <c r="G26" i="3"/>
  <c r="J26" i="3" s="1"/>
  <c r="H25" i="3"/>
  <c r="I25" i="3"/>
  <c r="K25" i="3" s="1"/>
  <c r="G25" i="3"/>
  <c r="J25" i="3" s="1"/>
  <c r="G23" i="3"/>
  <c r="J23" i="3" s="1"/>
  <c r="H23" i="3"/>
  <c r="I23" i="3"/>
  <c r="K23" i="3" s="1"/>
  <c r="O2" i="6" a="1"/>
  <c r="W2" i="6" a="1"/>
  <c r="S2" i="6" a="1"/>
  <c r="J2" i="6" a="1"/>
  <c r="B42" i="6" s="1" a="1"/>
  <c r="G35" i="3"/>
  <c r="J35" i="3" s="1"/>
  <c r="H35" i="3"/>
  <c r="I35" i="3"/>
  <c r="K35" i="3" s="1"/>
  <c r="I14" i="3"/>
  <c r="K14" i="3" s="1"/>
  <c r="G14" i="3"/>
  <c r="J14" i="3" s="1"/>
  <c r="H14" i="3"/>
  <c r="I21" i="3"/>
  <c r="K21" i="3" s="1"/>
  <c r="H21" i="3"/>
  <c r="G39" i="3"/>
  <c r="J39" i="3" s="1"/>
  <c r="H39" i="3"/>
  <c r="I39" i="3"/>
  <c r="K39" i="3" s="1"/>
  <c r="G11" i="3"/>
  <c r="J11" i="3" s="1"/>
  <c r="H11" i="3"/>
  <c r="I11" i="3"/>
  <c r="K11" i="3" s="1"/>
  <c r="H10" i="3"/>
  <c r="I10" i="3"/>
  <c r="K10" i="3" s="1"/>
  <c r="H42" i="3"/>
  <c r="I42" i="3"/>
  <c r="K42" i="3" s="1"/>
  <c r="H15" i="3"/>
  <c r="I15" i="3"/>
  <c r="K15" i="3" s="1"/>
  <c r="G15" i="3"/>
  <c r="J15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27" i="3"/>
  <c r="J27" i="3" s="1"/>
  <c r="H27" i="3"/>
  <c r="I27" i="3"/>
  <c r="K27" i="3" s="1"/>
  <c r="H37" i="3"/>
  <c r="I37" i="3"/>
  <c r="K37" i="3" s="1"/>
  <c r="G19" i="3"/>
  <c r="J19" i="3" s="1"/>
  <c r="H19" i="3"/>
  <c r="I19" i="3"/>
  <c r="K19" i="3" s="1"/>
  <c r="H29" i="3"/>
  <c r="I29" i="3"/>
  <c r="K29" i="3" s="1"/>
  <c r="I28" i="3"/>
  <c r="K28" i="3" s="1"/>
  <c r="H28" i="3"/>
  <c r="G32" i="3"/>
  <c r="J32" i="3" s="1"/>
  <c r="H32" i="3"/>
  <c r="I32" i="3"/>
  <c r="K32" i="3" s="1"/>
  <c r="G24" i="3"/>
  <c r="J24" i="3" s="1"/>
  <c r="H24" i="3"/>
  <c r="I24" i="3"/>
  <c r="K24" i="3" s="1"/>
  <c r="H17" i="3"/>
  <c r="I17" i="3"/>
  <c r="K17" i="3" s="1"/>
  <c r="I8" i="3"/>
  <c r="K8" i="3" s="1"/>
  <c r="H8" i="3"/>
  <c r="G8" i="3"/>
  <c r="J8" i="3" s="1"/>
  <c r="G34" i="3"/>
  <c r="J34" i="3" s="1"/>
  <c r="H34" i="3"/>
  <c r="I34" i="3"/>
  <c r="K34" i="3" s="1"/>
  <c r="I46" i="3"/>
  <c r="K46" i="3" s="1"/>
  <c r="G46" i="3"/>
  <c r="J46" i="3" s="1"/>
  <c r="H4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<sst xmlns="http://schemas.openxmlformats.org/spreadsheetml/2006/main" count="1697" uniqueCount="133">
  <si>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</si>
  <si>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</si>
  <si>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</si>
  <si>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</si>
  <si>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</si>
  <si>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</si>
  <si>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</si>
  <si>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</si>
  <si>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</si>
  <si>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</si>
  <si>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</si>
  <si>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</si>
  <si>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</si>
  <si>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</si>
  <si>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</si>
  <si>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</si>
  <si>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</si>
  <si>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</si>
  <si>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</si>
  <si>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</si>
  <si>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</si>
  <si>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</si>
  <si>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</si>
  <si>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</si>
  <si>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</si>
  <si>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</si>
  <si>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</si>
  <si>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</si>
  <si>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</si>
  <si>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</si>
  <si>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</si>
  <si>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</si>
  <si>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</si>
  <si>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</si>
  <si>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</si>
  <si>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</si>
  <si>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</si>
  <si>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</si>
  <si>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</si>
  <si>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</si>
  <si>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</si>
  <si>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</si>
  <si>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</si>
  <si>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</si>
  <si>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</si>
  <si>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</si>
  <si>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</si>
  <si>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</si>
  <si>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</si>
  <si>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</si>
  <si>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</si>
  <si>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</si>
  <si>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</si>
  <si>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</si>
  <si>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</si>
  <si>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</si>
  <si>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</si>
  <si>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</si>
  <si>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</si>
  <si>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</si>
  <si>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</si>
  <si>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</si>
  <si>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</si>
  <si>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</si>
  <si>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</si>
  <si>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</si>
  <si>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</si>
  <si>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</si>
  <si>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</si>
  <si>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</si>
  <si>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</si>
  <si>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</si>
  <si>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</si>
  <si>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</si>
  <si>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</si>
  <si>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</si>
  <si>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</si>
  <si>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</si>
  <si>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</si>
  <si>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</si>
  <si>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</si>
  <si>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</si>
  <si>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</si>
  <si>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</si>
  <si>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</si>
  <si>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</si>
  <si>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</si>
  <si>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</si>
  <si>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</si>
  <si>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</si>
  <si>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</si>
  <si>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</si>
  <si>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</si>
  <si>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</si>
  <si>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</si>
  <si>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</si>
  <si>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</si>
  <si>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</si>
  <si>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</si>
  <si>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</si>
  <si>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</si>
  <si>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</si>
  <si>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</si>
  <si>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</si>
  <si>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</si>
  <si>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</si>
  <si>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</si>
  <si>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</si>
  <si>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</si>
  <si>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</si>
  <si>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</si>
  <si>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</si>
  <si>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</si>
  <si>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</si>
  <si>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</si>
  <si>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</si>
  <si>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</si>
  <si>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</si>
  <si>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</si>
  <si>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</si>
  <si>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</si>
  <si>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</si>
  <si>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</si>
  <si>
    <t>12-10</t>
  </si>
  <si>
    <t>11-8</t>
  </si>
  <si>
    <t>Renan</t>
  </si>
  <si>
    <t>3-4</t>
  </si>
  <si>
    <t>10-4</t>
  </si>
  <si>
    <t>Felipe</t>
  </si>
  <si>
    <t>5-8</t>
  </si>
  <si>
    <t>4-7</t>
  </si>
  <si>
    <t>Georgian</t>
  </si>
  <si>
    <t>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</si>
</sst>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topLeftCell="A46" workbookViewId="0">
      <selection activeCell="F54" sqref="F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47</v>
      </c>
      <c r="C2">
        <f>COUNTIF('Team Lineups'!C:C,A2)</f>
        <v>0</v>
      </c>
      <c r="D2">
        <f>SUMIF('Team Lineups'!C:C,A2,'Team Lineups'!E:E)</f>
        <v>0</v>
      </c>
      <c r="E2">
        <f>SUMIF('Team Lineups'!C:C,A2,'Team Lineups'!F:F)</f>
        <v>0</v>
      </c>
      <c r="F2">
        <f t="shared" ref="F2:F49" si="0">D2-E2</f>
        <v>0</v>
      </c>
      <c r="G2">
        <f>COUNTIFS('Team Lineups'!C:C,A2,'Team Lineups'!G:G,"Win")</f>
        <v>0</v>
      </c>
      <c r="H2">
        <f>COUNTIFS('Team Lineups'!C:C,A2,'Team Lineups'!G:G,"Draw")</f>
        <v>0</v>
      </c>
      <c r="I2">
        <f>COUNTIFS('Team Lineups'!C:C,A2,'Team Lineups'!G:G,"Loss")</f>
        <v>0</v>
      </c>
      <c r="J2" s="3" t="e">
        <f t="shared" ref="J2:J49" si="1">G2/C2</f>
        <v>#DIV/0!</v>
      </c>
      <c r="K2" s="3" t="e">
        <f t="shared" ref="K2:K49" si="2">I2/C2</f>
        <v>#DIV/0!</v>
      </c>
      <c r="L2">
        <f>SUMIF('Team Lineups'!C:C,A2,'Team Lineups'!H:H)</f>
        <v>0</v>
      </c>
      <c r="M2" t="e">
        <f t="shared" ref="M2:M49" si="3">L2/C2</f>
        <v>#DIV/0!</v>
      </c>
      <c r="N2">
        <f>SUMIF('Team Lineups'!C:C,A2,'Team Lineups'!I:I)</f>
        <v>0</v>
      </c>
      <c r="O2">
        <f>COUNTIF(Matches!G:G,A2)</f>
        <v>0</v>
      </c>
      <c r="P2" t="e">
        <f t="shared" ref="P2:P49" si="4">O2/C2</f>
        <v>#DIV/0!</v>
      </c>
      <c r="Q2">
        <f>SUMIF('Team Lineups'!C:C,A2,'Team Lineups'!J:J)</f>
        <v>0</v>
      </c>
    </row>
    <row r="3" spans="1:17" x14ac:dyDescent="0.35">
      <c r="A3" t="s">
        <v>52</v>
      </c>
      <c r="C3">
        <f>COUNTIF('Team Lineups'!C:C,A3)</f>
        <v>12</v>
      </c>
      <c r="D3">
        <f>SUMIF('Team Lineups'!C:C,A3,'Team Lineups'!E:E)</f>
        <v>73</v>
      </c>
      <c r="E3">
        <f>SUMIF('Team Lineups'!C:C,A3,'Team Lineups'!F:F)</f>
        <v>104</v>
      </c>
      <c r="F3">
        <f t="shared" si="0"/>
        <v>-31</v>
      </c>
      <c r="G3">
        <f>COUNTIFS('Team Lineups'!C:C,A3,'Team Lineups'!G:G,"Win")</f>
        <v>3</v>
      </c>
      <c r="H3">
        <f>COUNTIFS('Team Lineups'!C:C,A3,'Team Lineups'!G:G,"Draw")</f>
        <v>0</v>
      </c>
      <c r="I3">
        <f>COUNTIFS('Team Lineups'!C:C,A3,'Team Lineups'!G:G,"Loss")</f>
        <v>9</v>
      </c>
      <c r="J3" s="3">
        <f t="shared" si="1"/>
        <v>0.25</v>
      </c>
      <c r="K3" s="3">
        <f t="shared" si="2"/>
        <v>0.75</v>
      </c>
      <c r="L3">
        <f>SUMIF('Team Lineups'!C:C,A3,'Team Lineups'!H:H)</f>
        <v>18</v>
      </c>
      <c r="M3">
        <f t="shared" si="3"/>
        <v>1.5</v>
      </c>
      <c r="N3">
        <f>SUMIF('Team Lineups'!C:C,A3,'Team Lineups'!I:I)</f>
        <v>11</v>
      </c>
      <c r="O3">
        <f>COUNTIF(Matches!G:G,A3)</f>
        <v>0</v>
      </c>
      <c r="P3">
        <f t="shared" si="4"/>
        <v>0</v>
      </c>
      <c r="Q3">
        <f>SUMIF('Team Lineups'!C:C,A3,'Team Lineups'!J:J)</f>
        <v>0</v>
      </c>
    </row>
    <row r="4" spans="1:17" x14ac:dyDescent="0.35">
      <c r="A4" t="s">
        <v>55</v>
      </c>
      <c r="C4">
        <f>COUNTIF('Team Lineups'!C:C,A4)</f>
        <v>1</v>
      </c>
      <c r="D4">
        <f>SUMIF('Team Lineups'!C:C,A4,'Team Lineups'!E:E)</f>
        <v>3</v>
      </c>
      <c r="E4">
        <f>SUMIF('Team Lineups'!C:C,A4,'Team Lineups'!F:F)</f>
        <v>6</v>
      </c>
      <c r="F4">
        <f t="shared" si="0"/>
        <v>-3</v>
      </c>
      <c r="G4">
        <f>COUNTIFS('Team Lineups'!C:C,A4,'Team Lineups'!G:G,"Win")</f>
        <v>0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 t="shared" si="1"/>
        <v>0</v>
      </c>
      <c r="K4" s="3">
        <f t="shared" si="2"/>
        <v>1</v>
      </c>
      <c r="L4">
        <f>SUMIF('Team Lineups'!C:C,A4,'Team Lineups'!H:H)</f>
        <v>0</v>
      </c>
      <c r="M4">
        <f t="shared" si="3"/>
        <v>0</v>
      </c>
      <c r="N4">
        <f>SUMIF('Team Lineups'!C:C,A4,'Team Lineups'!I:I)</f>
        <v>0</v>
      </c>
      <c r="O4">
        <f>COUNTIF(Matches!G:G,A4)</f>
        <v>0</v>
      </c>
      <c r="P4">
        <f t="shared" si="4"/>
        <v>0</v>
      </c>
      <c r="Q4">
        <f>SUMIF('Team Lineups'!C:C,A4,'Team Lineups'!J:J)</f>
        <v>0</v>
      </c>
    </row>
    <row r="5" spans="1:17" x14ac:dyDescent="0.35">
      <c r="A5" t="s">
        <v>62</v>
      </c>
      <c r="C5">
        <f>COUNTIF('Team Lineups'!C:C,A5)</f>
        <v>1</v>
      </c>
      <c r="D5">
        <f>SUMIF('Team Lineups'!C:C,A5,'Team Lineups'!E:E)</f>
        <v>8</v>
      </c>
      <c r="E5">
        <f>SUMIF('Team Lineups'!C:C,A5,'Team Lineups'!F:F)</f>
        <v>13</v>
      </c>
      <c r="F5">
        <f t="shared" si="0"/>
        <v>-5</v>
      </c>
      <c r="G5">
        <f>COUNTIFS('Team Lineups'!C:C,A5,'Team Lineups'!G:G,"Win")</f>
        <v>0</v>
      </c>
      <c r="H5">
        <f>COUNTIFS('Team Lineups'!C:C,A5,'Team Lineups'!G:G,"Draw")</f>
        <v>0</v>
      </c>
      <c r="I5">
        <f>COUNTIFS('Team Lineups'!C:C,A5,'Team Lineups'!G:G,"Loss")</f>
        <v>1</v>
      </c>
      <c r="J5" s="3">
        <f t="shared" si="1"/>
        <v>0</v>
      </c>
      <c r="K5" s="3">
        <f t="shared" si="2"/>
        <v>1</v>
      </c>
      <c r="L5">
        <f>SUMIF('Team Lineups'!C:C,A5,'Team Lineups'!H:H)</f>
        <v>1</v>
      </c>
      <c r="M5">
        <f t="shared" si="3"/>
        <v>1</v>
      </c>
      <c r="N5">
        <f>SUMIF('Team Lineups'!C:C,A5,'Team Lineups'!I:I)</f>
        <v>3</v>
      </c>
      <c r="O5">
        <f>COUNTIF(Matches!G:G,A5)</f>
        <v>0</v>
      </c>
      <c r="P5">
        <f t="shared" si="4"/>
        <v>0</v>
      </c>
      <c r="Q5">
        <f>SUMIF('Team Lineups'!C:C,A5,'Team Lineups'!J:J)</f>
        <v>0</v>
      </c>
    </row>
    <row r="6" spans="1:17" x14ac:dyDescent="0.35">
      <c r="A6" t="s">
        <v>87</v>
      </c>
      <c r="C6">
        <f>COUNTIF('Team Lineups'!C:C,A6)</f>
        <v>2</v>
      </c>
      <c r="D6">
        <f>SUMIF('Team Lineups'!C:C,A6,'Team Lineups'!E:E)</f>
        <v>2</v>
      </c>
      <c r="E6">
        <f>SUMIF('Team Lineups'!C:C,A6,'Team Lineups'!F:F)</f>
        <v>9</v>
      </c>
      <c r="F6">
        <f t="shared" si="0"/>
        <v>-7</v>
      </c>
      <c r="G6">
        <f>COUNTIFS('Team Lineups'!C:C,A6,'Team Lineups'!G:G,"Win")</f>
        <v>0</v>
      </c>
      <c r="H6">
        <f>COUNTIFS('Team Lineups'!C:C,A6,'Team Lineups'!G:G,"Draw")</f>
        <v>0</v>
      </c>
      <c r="I6">
        <f>COUNTIFS('Team Lineups'!C:C,A6,'Team Lineups'!G:G,"Loss")</f>
        <v>2</v>
      </c>
      <c r="J6" s="3">
        <f t="shared" si="1"/>
        <v>0</v>
      </c>
      <c r="K6" s="3">
        <f t="shared" si="2"/>
        <v>1</v>
      </c>
      <c r="L6">
        <f>SUMIF('Team Lineups'!C:C,A6,'Team Lineups'!H:H)</f>
        <v>0</v>
      </c>
      <c r="M6">
        <f t="shared" si="3"/>
        <v>0</v>
      </c>
      <c r="N6">
        <f>SUMIF('Team Lineups'!C:C,A6,'Team Lineups'!I:I)</f>
        <v>1</v>
      </c>
      <c r="O6">
        <f>COUNTIF(Matches!G:G,A6)</f>
        <v>0</v>
      </c>
      <c r="P6">
        <f t="shared" si="4"/>
        <v>0</v>
      </c>
      <c r="Q6">
        <f>SUMIF('Team Lineups'!C:C,A6,'Team Lineups'!J:J)</f>
        <v>0</v>
      </c>
    </row>
    <row r="7" spans="1:17" x14ac:dyDescent="0.35">
      <c r="A7" t="s">
        <v>111</v>
      </c>
      <c r="C7">
        <f>COUNTIF('Team Lineups'!C:C,A7)</f>
        <v>1</v>
      </c>
      <c r="D7">
        <f>SUMIF('Team Lineups'!C:C,A7,'Team Lineups'!E:E)</f>
        <v>7</v>
      </c>
      <c r="E7">
        <f>SUMIF('Team Lineups'!C:C,A7,'Team Lineups'!F:F)</f>
        <v>9</v>
      </c>
      <c r="F7">
        <f t="shared" si="0"/>
        <v>-2</v>
      </c>
      <c r="G7">
        <f>COUNTIFS('Team Lineups'!C:C,A7,'Team Lineups'!G:G,"Win")</f>
        <v>0</v>
      </c>
      <c r="H7">
        <f>COUNTIFS('Team Lineups'!C:C,A7,'Team Lineups'!G:G,"Draw")</f>
        <v>0</v>
      </c>
      <c r="I7">
        <f>COUNTIFS('Team Lineups'!C:C,A7,'Team Lineups'!G:G,"Loss")</f>
        <v>1</v>
      </c>
      <c r="J7" s="3">
        <f t="shared" si="1"/>
        <v>0</v>
      </c>
      <c r="K7" s="3">
        <f t="shared" si="2"/>
        <v>1</v>
      </c>
      <c r="L7">
        <f>SUMIF('Team Lineups'!C:C,A7,'Team Lineups'!H:H)</f>
        <v>1</v>
      </c>
      <c r="M7">
        <f t="shared" si="3"/>
        <v>1</v>
      </c>
      <c r="N7">
        <f>SUMIF('Team Lineups'!C:C,A7,'Team Lineups'!I:I)</f>
        <v>1</v>
      </c>
      <c r="O7">
        <f>COUNTIF(Matches!G:G,A7)</f>
        <v>0</v>
      </c>
      <c r="P7">
        <f t="shared" si="4"/>
        <v>0</v>
      </c>
      <c r="Q7">
        <f>SUMIF('Team Lineups'!C:C,A7,'Team Lineups'!J:J)</f>
        <v>0</v>
      </c>
    </row>
    <row r="8" spans="1:17" x14ac:dyDescent="0.35">
      <c r="A8" t="s">
        <v>77</v>
      </c>
      <c r="C8">
        <f>COUNTIF('Team Lineups'!C:C,A8)</f>
        <v>7</v>
      </c>
      <c r="D8">
        <f>SUMIF('Team Lineups'!C:C,A8,'Team Lineups'!E:E)</f>
        <v>35</v>
      </c>
      <c r="E8">
        <f>SUMIF('Team Lineups'!C:C,A8,'Team Lineups'!F:F)</f>
        <v>46</v>
      </c>
      <c r="F8">
        <f t="shared" si="0"/>
        <v>-11</v>
      </c>
      <c r="G8">
        <f>COUNTIFS('Team Lineups'!C:C,A8,'Team Lineups'!G:G,"Win")</f>
        <v>1</v>
      </c>
      <c r="H8">
        <f>COUNTIFS('Team Lineups'!C:C,A8,'Team Lineups'!G:G,"Draw")</f>
        <v>0</v>
      </c>
      <c r="I8">
        <f>COUNTIFS('Team Lineups'!C:C,A8,'Team Lineups'!G:G,"Loss")</f>
        <v>6</v>
      </c>
      <c r="J8" s="3">
        <f t="shared" si="1"/>
        <v>0.14285714285714285</v>
      </c>
      <c r="K8" s="3">
        <f t="shared" si="2"/>
        <v>0.8571428571428571</v>
      </c>
      <c r="L8">
        <f>SUMIF('Team Lineups'!C:C,A8,'Team Lineups'!H:H)</f>
        <v>3</v>
      </c>
      <c r="M8">
        <f t="shared" si="3"/>
        <v>0.42857142857142855</v>
      </c>
      <c r="N8">
        <f>SUMIF('Team Lineups'!C:C,A8,'Team Lineups'!I:I)</f>
        <v>2</v>
      </c>
      <c r="O8">
        <f>COUNTIF(Matches!G:G,A8)</f>
        <v>0</v>
      </c>
      <c r="P8">
        <f t="shared" si="4"/>
        <v>0</v>
      </c>
      <c r="Q8">
        <f>SUMIF('Team Lineups'!C:C,A8,'Team Lineups'!J:J)</f>
        <v>0</v>
      </c>
    </row>
    <row r="9" spans="1:17" x14ac:dyDescent="0.35">
      <c r="A9" t="s">
        <v>48</v>
      </c>
      <c r="C9">
        <f>COUNTIF('Team Lineups'!C:C,A9)</f>
        <v>9</v>
      </c>
      <c r="D9">
        <f>SUMIF('Team Lineups'!C:C,A9,'Team Lineups'!E:E)</f>
        <v>68</v>
      </c>
      <c r="E9">
        <f>SUMIF('Team Lineups'!C:C,A9,'Team Lineups'!F:F)</f>
        <v>77</v>
      </c>
      <c r="F9">
        <f t="shared" si="0"/>
        <v>-9</v>
      </c>
      <c r="G9">
        <f>COUNTIFS('Team Lineups'!C:C,A9,'Team Lineups'!G:G,"Win")</f>
        <v>3</v>
      </c>
      <c r="H9">
        <f>COUNTIFS('Team Lineups'!C:C,A9,'Team Lineups'!G:G,"Draw")</f>
        <v>0</v>
      </c>
      <c r="I9">
        <f>COUNTIFS('Team Lineups'!C:C,A9,'Team Lineups'!G:G,"Loss")</f>
        <v>6</v>
      </c>
      <c r="J9" s="3">
        <f t="shared" si="1"/>
        <v>0.33333333333333331</v>
      </c>
      <c r="K9" s="3">
        <f t="shared" si="2"/>
        <v>0.66666666666666663</v>
      </c>
      <c r="L9">
        <f>SUMIF('Team Lineups'!C:C,A9,'Team Lineups'!H:H)</f>
        <v>3</v>
      </c>
      <c r="M9">
        <f t="shared" si="3"/>
        <v>0.33333333333333331</v>
      </c>
      <c r="N9">
        <f>SUMIF('Team Lineups'!C:C,A9,'Team Lineups'!I:I)</f>
        <v>7</v>
      </c>
      <c r="O9">
        <f>COUNTIF(Matches!G:G,A9)</f>
        <v>1</v>
      </c>
      <c r="P9">
        <f t="shared" si="4"/>
        <v>0.1111111111111111</v>
      </c>
      <c r="Q9">
        <f>SUMIF('Team Lineups'!C:C,A9,'Team Lineups'!J:J)</f>
        <v>0</v>
      </c>
    </row>
    <row r="10" spans="1:17" x14ac:dyDescent="0.35">
      <c r="A10" t="s">
        <v>51</v>
      </c>
      <c r="C10">
        <f>COUNTIF('Team Lineups'!C:C,A10)</f>
        <v>16</v>
      </c>
      <c r="D10">
        <f>SUMIF('Team Lineups'!C:C,A10,'Team Lineups'!E:E)</f>
        <v>108</v>
      </c>
      <c r="E10">
        <f>SUMIF('Team Lineups'!C:C,A10,'Team Lineups'!F:F)</f>
        <v>134</v>
      </c>
      <c r="F10">
        <f t="shared" si="0"/>
        <v>-26</v>
      </c>
      <c r="G10">
        <f>COUNTIFS('Team Lineups'!C:C,A10,'Team Lineups'!G:G,"Win")</f>
        <v>4</v>
      </c>
      <c r="H10">
        <f>COUNTIFS('Team Lineups'!C:C,A10,'Team Lineups'!G:G,"Draw")</f>
        <v>2</v>
      </c>
      <c r="I10">
        <f>COUNTIFS('Team Lineups'!C:C,A10,'Team Lineups'!G:G,"Loss")</f>
        <v>10</v>
      </c>
      <c r="J10" s="3">
        <f t="shared" si="1"/>
        <v>0.25</v>
      </c>
      <c r="K10" s="3">
        <f t="shared" si="2"/>
        <v>0.625</v>
      </c>
      <c r="L10">
        <f>SUMIF('Team Lineups'!C:C,A10,'Team Lineups'!H:H)</f>
        <v>9</v>
      </c>
      <c r="M10">
        <f t="shared" si="3"/>
        <v>0.5625</v>
      </c>
      <c r="N10">
        <f>SUMIF('Team Lineups'!C:C,A10,'Team Lineups'!I:I)</f>
        <v>19</v>
      </c>
      <c r="O10">
        <f>COUNTIF(Matches!G:G,A10)</f>
        <v>1</v>
      </c>
      <c r="P10">
        <f t="shared" si="4"/>
        <v>6.25E-2</v>
      </c>
      <c r="Q10">
        <f>SUMIF('Team Lineups'!C:C,A10,'Team Lineups'!J:J)</f>
        <v>1</v>
      </c>
    </row>
    <row r="11" spans="1:17" x14ac:dyDescent="0.35">
      <c r="A11" t="s">
        <v>54</v>
      </c>
      <c r="C11">
        <f>COUNTIF('Team Lineups'!C:C,A11)</f>
        <v>18</v>
      </c>
      <c r="D11">
        <f>SUMIF('Team Lineups'!C:C,A11,'Team Lineups'!E:E)</f>
        <v>95</v>
      </c>
      <c r="E11">
        <f>SUMIF('Team Lineups'!C:C,A11,'Team Lineups'!F:F)</f>
        <v>106</v>
      </c>
      <c r="F11">
        <f t="shared" si="0"/>
        <v>-11</v>
      </c>
      <c r="G11">
        <f>COUNTIFS('Team Lineups'!C:C,A11,'Team Lineups'!G:G,"Win")</f>
        <v>6</v>
      </c>
      <c r="H11">
        <f>COUNTIFS('Team Lineups'!C:C,A11,'Team Lineups'!G:G,"Draw")</f>
        <v>2</v>
      </c>
      <c r="I11">
        <f>COUNTIFS('Team Lineups'!C:C,A11,'Team Lineups'!G:G,"Loss")</f>
        <v>10</v>
      </c>
      <c r="J11" s="3">
        <f t="shared" si="1"/>
        <v>0.33333333333333331</v>
      </c>
      <c r="K11" s="3">
        <f t="shared" si="2"/>
        <v>0.55555555555555558</v>
      </c>
      <c r="L11">
        <f>SUMIF('Team Lineups'!C:C,A11,'Team Lineups'!H:H)</f>
        <v>7</v>
      </c>
      <c r="M11">
        <f t="shared" si="3"/>
        <v>0.3888888888888889</v>
      </c>
      <c r="N11">
        <f>SUMIF('Team Lineups'!C:C,A11,'Team Lineups'!I:I)</f>
        <v>13</v>
      </c>
      <c r="O11">
        <f>COUNTIF(Matches!G:G,A11)</f>
        <v>3</v>
      </c>
      <c r="P11">
        <f t="shared" si="4"/>
        <v>0.16666666666666666</v>
      </c>
      <c r="Q11">
        <f>SUMIF('Team Lineups'!C:C,A11,'Team Lineups'!J:J)</f>
        <v>0</v>
      </c>
    </row>
    <row r="12" spans="1:17" x14ac:dyDescent="0.35">
      <c r="A12" t="s">
        <v>99</v>
      </c>
      <c r="C12">
        <f>COUNTIF('Team Lineups'!C:C,A12)</f>
        <v>19</v>
      </c>
      <c r="D12">
        <f>SUMIF('Team Lineups'!C:C,A12,'Team Lineups'!E:E)</f>
        <v>105</v>
      </c>
      <c r="E12">
        <f>SUMIF('Team Lineups'!C:C,A12,'Team Lineups'!F:F)</f>
        <v>124</v>
      </c>
      <c r="F12">
        <f t="shared" si="0"/>
        <v>-19</v>
      </c>
      <c r="G12">
        <f>COUNTIFS('Team Lineups'!C:C,A12,'Team Lineups'!G:G,"Win")</f>
        <v>7</v>
      </c>
      <c r="H12">
        <f>COUNTIFS('Team Lineups'!C:C,A12,'Team Lineups'!G:G,"Draw")</f>
        <v>2</v>
      </c>
      <c r="I12">
        <f>COUNTIFS('Team Lineups'!C:C,A12,'Team Lineups'!G:G,"Loss")</f>
        <v>10</v>
      </c>
      <c r="J12" s="3">
        <f t="shared" si="1"/>
        <v>0.36842105263157893</v>
      </c>
      <c r="K12" s="3">
        <f t="shared" si="2"/>
        <v>0.52631578947368418</v>
      </c>
      <c r="L12">
        <f>SUMIF('Team Lineups'!C:C,A12,'Team Lineups'!H:H)</f>
        <v>5</v>
      </c>
      <c r="M12">
        <f t="shared" si="3"/>
        <v>0.26315789473684209</v>
      </c>
      <c r="N12">
        <f>SUMIF('Team Lineups'!C:C,A12,'Team Lineups'!I:I)</f>
        <v>3</v>
      </c>
      <c r="O12">
        <f>COUNTIF(Matches!G:G,A12)</f>
        <v>3</v>
      </c>
      <c r="P12">
        <f t="shared" si="4"/>
        <v>0.15789473684210525</v>
      </c>
      <c r="Q12">
        <f>SUMIF('Team Lineups'!C:C,A12,'Team Lineups'!J:J)</f>
        <v>1</v>
      </c>
    </row>
    <row r="13" spans="1:17" x14ac:dyDescent="0.35">
      <c r="A13" t="s">
        <v>16</v>
      </c>
      <c r="C13">
        <f>COUNTIF('Team Lineups'!C:C,A13)</f>
        <v>28</v>
      </c>
      <c r="D13">
        <f>SUMIF('Team Lineups'!C:C,A13,'Team Lineups'!E:E)</f>
        <v>178</v>
      </c>
      <c r="E13">
        <f>SUMIF('Team Lineups'!C:C,A13,'Team Lineups'!F:F)</f>
        <v>194</v>
      </c>
      <c r="F13">
        <f t="shared" si="0"/>
        <v>-16</v>
      </c>
      <c r="G13">
        <f>COUNTIFS('Team Lineups'!C:C,A13,'Team Lineups'!G:G,"Win")</f>
        <v>9</v>
      </c>
      <c r="H13">
        <f>COUNTIFS('Team Lineups'!C:C,A13,'Team Lineups'!G:G,"Draw")</f>
        <v>3</v>
      </c>
      <c r="I13">
        <f>COUNTIFS('Team Lineups'!C:C,A13,'Team Lineups'!G:G,"Loss")</f>
        <v>16</v>
      </c>
      <c r="J13" s="3">
        <f t="shared" si="1"/>
        <v>0.32142857142857145</v>
      </c>
      <c r="K13" s="3">
        <f t="shared" si="2"/>
        <v>0.5714285714285714</v>
      </c>
      <c r="L13">
        <f>SUMIF('Team Lineups'!C:C,A13,'Team Lineups'!H:H)</f>
        <v>39</v>
      </c>
      <c r="M13">
        <f t="shared" si="3"/>
        <v>1.3928571428571428</v>
      </c>
      <c r="N13">
        <f>SUMIF('Team Lineups'!C:C,A13,'Team Lineups'!I:I)</f>
        <v>27</v>
      </c>
      <c r="O13">
        <f>COUNTIF(Matches!G:G,A13)</f>
        <v>4</v>
      </c>
      <c r="P13">
        <f t="shared" si="4"/>
        <v>0.14285714285714285</v>
      </c>
      <c r="Q13">
        <f>SUMIF('Team Lineups'!C:C,A13,'Team Lineups'!J:J)</f>
        <v>0</v>
      </c>
    </row>
    <row r="14" spans="1:17" x14ac:dyDescent="0.35">
      <c r="A14" t="s">
        <v>46</v>
      </c>
      <c r="C14">
        <f>COUNTIF('Team Lineups'!C:C,A14)</f>
        <v>39</v>
      </c>
      <c r="D14">
        <f>SUMIF('Team Lineups'!C:C,A14,'Team Lineups'!E:E)</f>
        <v>264</v>
      </c>
      <c r="E14">
        <f>SUMIF('Team Lineups'!C:C,A14,'Team Lineups'!F:F)</f>
        <v>278</v>
      </c>
      <c r="F14">
        <f t="shared" si="0"/>
        <v>-14</v>
      </c>
      <c r="G14">
        <f>COUNTIFS('Team Lineups'!C:C,A14,'Team Lineups'!G:G,"Win")</f>
        <v>13</v>
      </c>
      <c r="H14">
        <f>COUNTIFS('Team Lineups'!C:C,A14,'Team Lineups'!G:G,"Draw")</f>
        <v>4</v>
      </c>
      <c r="I14">
        <f>COUNTIFS('Team Lineups'!C:C,A14,'Team Lineups'!G:G,"Loss")</f>
        <v>22</v>
      </c>
      <c r="J14" s="3">
        <f t="shared" si="1"/>
        <v>0.33333333333333331</v>
      </c>
      <c r="K14" s="3">
        <f t="shared" si="2"/>
        <v>0.5641025641025641</v>
      </c>
      <c r="L14">
        <f>SUMIF('Team Lineups'!C:C,A14,'Team Lineups'!H:H)</f>
        <v>69</v>
      </c>
      <c r="M14">
        <f t="shared" si="3"/>
        <v>1.7692307692307692</v>
      </c>
      <c r="N14">
        <f>SUMIF('Team Lineups'!C:C,A14,'Team Lineups'!I:I)</f>
        <v>28</v>
      </c>
      <c r="O14">
        <f>COUNTIF(Matches!G:G,A14)</f>
        <v>1</v>
      </c>
      <c r="P14">
        <f t="shared" si="4"/>
        <v>2.564102564102564E-2</v>
      </c>
      <c r="Q14">
        <f>SUMIF('Team Lineups'!C:C,A14,'Team Lineups'!J:J)</f>
        <v>2</v>
      </c>
    </row>
    <row r="15" spans="1:17" x14ac:dyDescent="0.35">
      <c r="A15" t="s">
        <v>43</v>
      </c>
      <c r="C15">
        <f>COUNTIF('Team Lineups'!C:C,A15)</f>
        <v>26</v>
      </c>
      <c r="D15">
        <f>SUMIF('Team Lineups'!C:C,A15,'Team Lineups'!E:E)</f>
        <v>140</v>
      </c>
      <c r="E15">
        <f>SUMIF('Team Lineups'!C:C,A15,'Team Lineups'!F:F)</f>
        <v>159</v>
      </c>
      <c r="F15">
        <f t="shared" si="0"/>
        <v>-19</v>
      </c>
      <c r="G15">
        <f>COUNTIFS('Team Lineups'!C:C,A15,'Team Lineups'!G:G,"Win")</f>
        <v>9</v>
      </c>
      <c r="H15">
        <f>COUNTIFS('Team Lineups'!C:C,A15,'Team Lineups'!G:G,"Draw")</f>
        <v>5</v>
      </c>
      <c r="I15">
        <f>COUNTIFS('Team Lineups'!C:C,A15,'Team Lineups'!G:G,"Loss")</f>
        <v>12</v>
      </c>
      <c r="J15" s="3">
        <f t="shared" si="1"/>
        <v>0.34615384615384615</v>
      </c>
      <c r="K15" s="3">
        <f t="shared" si="2"/>
        <v>0.46153846153846156</v>
      </c>
      <c r="L15">
        <f>SUMIF('Team Lineups'!C:C,A15,'Team Lineups'!H:H)</f>
        <v>13</v>
      </c>
      <c r="M15">
        <f t="shared" si="3"/>
        <v>0.5</v>
      </c>
      <c r="N15">
        <f>SUMIF('Team Lineups'!C:C,A15,'Team Lineups'!I:I)</f>
        <v>8</v>
      </c>
      <c r="O15">
        <f>COUNTIF(Matches!G:G,A15)</f>
        <v>1</v>
      </c>
      <c r="P15">
        <f t="shared" si="4"/>
        <v>3.8461538461538464E-2</v>
      </c>
      <c r="Q15">
        <f>SUMIF('Team Lineups'!C:C,A15,'Team Lineups'!J:J)</f>
        <v>1</v>
      </c>
    </row>
    <row r="16" spans="1:17" x14ac:dyDescent="0.35">
      <c r="A16" t="s">
        <v>61</v>
      </c>
      <c r="C16">
        <f>COUNTIF('Team Lineups'!C:C,A16)</f>
        <v>2</v>
      </c>
      <c r="D16">
        <f>SUMIF('Team Lineups'!C:C,A16,'Team Lineups'!E:E)</f>
        <v>23</v>
      </c>
      <c r="E16">
        <f>SUMIF('Team Lineups'!C:C,A16,'Team Lineups'!F:F)</f>
        <v>26</v>
      </c>
      <c r="F16">
        <f t="shared" si="0"/>
        <v>-3</v>
      </c>
      <c r="G16">
        <f>COUNTIFS('Team Lineups'!C:C,A16,'Team Lineups'!G:G,"Win")</f>
        <v>1</v>
      </c>
      <c r="H16">
        <f>COUNTIFS('Team Lineups'!C:C,A16,'Team Lineups'!G:G,"Draw")</f>
        <v>0</v>
      </c>
      <c r="I16">
        <f>COUNTIFS('Team Lineups'!C:C,A16,'Team Lineups'!G:G,"Loss")</f>
        <v>1</v>
      </c>
      <c r="J16" s="3">
        <f t="shared" si="1"/>
        <v>0.5</v>
      </c>
      <c r="K16" s="3">
        <f t="shared" si="2"/>
        <v>0.5</v>
      </c>
      <c r="L16">
        <f>SUMIF('Team Lineups'!C:C,A16,'Team Lineups'!H:H)</f>
        <v>0</v>
      </c>
      <c r="M16">
        <f t="shared" si="3"/>
        <v>0</v>
      </c>
      <c r="N16">
        <f>SUMIF('Team Lineups'!C:C,A16,'Team Lineups'!I:I)</f>
        <v>0</v>
      </c>
      <c r="O16">
        <f>COUNTIF(Matches!G:G,A16)</f>
        <v>0</v>
      </c>
      <c r="P16">
        <f t="shared" si="4"/>
        <v>0</v>
      </c>
      <c r="Q16">
        <f>SUMIF('Team Lineups'!C:C,A16,'Team Lineups'!J:J)</f>
        <v>0</v>
      </c>
    </row>
    <row r="17" spans="1:17" x14ac:dyDescent="0.35">
      <c r="A17" t="s">
        <v>24</v>
      </c>
      <c r="C17">
        <f>COUNTIF('Team Lineups'!C:C,A17)</f>
        <v>29</v>
      </c>
      <c r="D17">
        <f>SUMIF('Team Lineups'!C:C,A17,'Team Lineups'!E:E)</f>
        <v>162</v>
      </c>
      <c r="E17">
        <f>SUMIF('Team Lineups'!C:C,A17,'Team Lineups'!F:F)</f>
        <v>182</v>
      </c>
      <c r="F17">
        <f t="shared" si="0"/>
        <v>-20</v>
      </c>
      <c r="G17">
        <f>COUNTIFS('Team Lineups'!C:C,A17,'Team Lineups'!G:G,"Win")</f>
        <v>9</v>
      </c>
      <c r="H17">
        <f>COUNTIFS('Team Lineups'!C:C,A17,'Team Lineups'!G:G,"Draw")</f>
        <v>6</v>
      </c>
      <c r="I17">
        <f>COUNTIFS('Team Lineups'!C:C,A17,'Team Lineups'!G:G,"Loss")</f>
        <v>14</v>
      </c>
      <c r="J17" s="3">
        <f t="shared" si="1"/>
        <v>0.31034482758620691</v>
      </c>
      <c r="K17" s="3">
        <f t="shared" si="2"/>
        <v>0.48275862068965519</v>
      </c>
      <c r="L17">
        <f>SUMIF('Team Lineups'!C:C,A17,'Team Lineups'!H:H)</f>
        <v>11</v>
      </c>
      <c r="M17">
        <f t="shared" si="3"/>
        <v>0.37931034482758619</v>
      </c>
      <c r="N17">
        <f>SUMIF('Team Lineups'!C:C,A17,'Team Lineups'!I:I)</f>
        <v>9</v>
      </c>
      <c r="O17">
        <f>COUNTIF(Matches!G:G,A17)</f>
        <v>0</v>
      </c>
      <c r="P17">
        <f t="shared" si="4"/>
        <v>0</v>
      </c>
      <c r="Q17">
        <f>SUMIF('Team Lineups'!C:C,A17,'Team Lineups'!J:J)</f>
        <v>0</v>
      </c>
    </row>
    <row r="18" spans="1:17" x14ac:dyDescent="0.35">
      <c r="A18" t="s">
        <v>88</v>
      </c>
      <c r="C18">
        <f>COUNTIF('Team Lineups'!C:C,A18)</f>
        <v>23</v>
      </c>
      <c r="D18">
        <f>SUMIF('Team Lineups'!C:C,A18,'Team Lineups'!E:E)</f>
        <v>166</v>
      </c>
      <c r="E18">
        <f>SUMIF('Team Lineups'!C:C,A18,'Team Lineups'!F:F)</f>
        <v>164</v>
      </c>
      <c r="F18">
        <f t="shared" si="0"/>
        <v>2</v>
      </c>
      <c r="G18">
        <f>COUNTIFS('Team Lineups'!C:C,A18,'Team Lineups'!G:G,"Win")</f>
        <v>10</v>
      </c>
      <c r="H18">
        <f>COUNTIFS('Team Lineups'!C:C,A18,'Team Lineups'!G:G,"Draw")</f>
        <v>4</v>
      </c>
      <c r="I18">
        <f>COUNTIFS('Team Lineups'!C:C,A18,'Team Lineups'!G:G,"Loss")</f>
        <v>9</v>
      </c>
      <c r="J18" s="3">
        <f t="shared" si="1"/>
        <v>0.43478260869565216</v>
      </c>
      <c r="K18" s="3">
        <f t="shared" si="2"/>
        <v>0.39130434782608697</v>
      </c>
      <c r="L18">
        <f>SUMIF('Team Lineups'!C:C,A18,'Team Lineups'!H:H)</f>
        <v>16</v>
      </c>
      <c r="M18">
        <f t="shared" si="3"/>
        <v>0.69565217391304346</v>
      </c>
      <c r="N18">
        <f>SUMIF('Team Lineups'!C:C,A18,'Team Lineups'!I:I)</f>
        <v>8</v>
      </c>
      <c r="O18">
        <f>COUNTIF(Matches!G:G,A18)</f>
        <v>1</v>
      </c>
      <c r="P18">
        <f t="shared" si="4"/>
        <v>4.3478260869565216E-2</v>
      </c>
      <c r="Q18">
        <f>SUMIF('Team Lineups'!C:C,A18,'Team Lineups'!J:J)</f>
        <v>1</v>
      </c>
    </row>
    <row r="19" spans="1:17" x14ac:dyDescent="0.35">
      <c r="A19" t="s">
        <v>42</v>
      </c>
      <c r="C19">
        <f>COUNTIF('Team Lineups'!C:C,A19)</f>
        <v>37</v>
      </c>
      <c r="D19">
        <f>SUMIF('Team Lineups'!C:C,A19,'Team Lineups'!E:E)</f>
        <v>248</v>
      </c>
      <c r="E19">
        <f>SUMIF('Team Lineups'!C:C,A19,'Team Lineups'!F:F)</f>
        <v>269</v>
      </c>
      <c r="F19">
        <f t="shared" si="0"/>
        <v>-21</v>
      </c>
      <c r="G19">
        <f>COUNTIFS('Team Lineups'!C:C,A19,'Team Lineups'!G:G,"Win")</f>
        <v>14</v>
      </c>
      <c r="H19">
        <f>COUNTIFS('Team Lineups'!C:C,A19,'Team Lineups'!G:G,"Draw")</f>
        <v>4</v>
      </c>
      <c r="I19">
        <f>COUNTIFS('Team Lineups'!C:C,A19,'Team Lineups'!G:G,"Loss")</f>
        <v>18</v>
      </c>
      <c r="J19" s="3">
        <f t="shared" si="1"/>
        <v>0.3783783783783784</v>
      </c>
      <c r="K19" s="3">
        <f t="shared" si="2"/>
        <v>0.48648648648648651</v>
      </c>
      <c r="L19">
        <f>SUMIF('Team Lineups'!C:C,A19,'Team Lineups'!H:H)</f>
        <v>41</v>
      </c>
      <c r="M19">
        <f t="shared" si="3"/>
        <v>1.1081081081081081</v>
      </c>
      <c r="N19">
        <f>SUMIF('Team Lineups'!C:C,A19,'Team Lineups'!I:I)</f>
        <v>36</v>
      </c>
      <c r="O19">
        <f>COUNTIF(Matches!G:G,A19)</f>
        <v>6</v>
      </c>
      <c r="P19">
        <f t="shared" si="4"/>
        <v>0.16216216216216217</v>
      </c>
      <c r="Q19">
        <f>SUMIF('Team Lineups'!C:C,A19,'Team Lineups'!J:J)</f>
        <v>0</v>
      </c>
    </row>
    <row r="20" spans="1:17" x14ac:dyDescent="0.35">
      <c r="A20" t="s">
        <v>21</v>
      </c>
      <c r="C20">
        <f>COUNTIF('Team Lineups'!C:C,A20)</f>
        <v>31</v>
      </c>
      <c r="D20">
        <f>SUMIF('Team Lineups'!C:C,A20,'Team Lineups'!E:E)</f>
        <v>215</v>
      </c>
      <c r="E20">
        <f>SUMIF('Team Lineups'!C:C,A20,'Team Lineups'!F:F)</f>
        <v>233</v>
      </c>
      <c r="F20">
        <f t="shared" si="0"/>
        <v>-18</v>
      </c>
      <c r="G20">
        <f>COUNTIFS('Team Lineups'!C:C,A20,'Team Lineups'!G:G,"Win")</f>
        <v>11</v>
      </c>
      <c r="H20">
        <f>COUNTIFS('Team Lineups'!C:C,A20,'Team Lineups'!G:G,"Draw")</f>
        <v>5</v>
      </c>
      <c r="I20">
        <f>COUNTIFS('Team Lineups'!C:C,A20,'Team Lineups'!G:G,"Loss")</f>
        <v>15</v>
      </c>
      <c r="J20" s="3">
        <f t="shared" si="1"/>
        <v>0.35483870967741937</v>
      </c>
      <c r="K20" s="3">
        <f t="shared" si="2"/>
        <v>0.4838709677419355</v>
      </c>
      <c r="L20">
        <f>SUMIF('Team Lineups'!C:C,A20,'Team Lineups'!H:H)</f>
        <v>18</v>
      </c>
      <c r="M20">
        <f t="shared" si="3"/>
        <v>0.58064516129032262</v>
      </c>
      <c r="N20">
        <f>SUMIF('Team Lineups'!C:C,A20,'Team Lineups'!I:I)</f>
        <v>12</v>
      </c>
      <c r="O20">
        <f>COUNTIF(Matches!G:G,A20)</f>
        <v>2</v>
      </c>
      <c r="P20">
        <f t="shared" si="4"/>
        <v>6.4516129032258063E-2</v>
      </c>
      <c r="Q20">
        <f>SUMIF('Team Lineups'!C:C,A20,'Team Lineups'!J:J)</f>
        <v>0</v>
      </c>
    </row>
    <row r="21" spans="1:17" x14ac:dyDescent="0.35">
      <c r="A21" t="s">
        <v>25</v>
      </c>
      <c r="C21">
        <f>COUNTIF('Team Lineups'!C:C,A21)</f>
        <v>36</v>
      </c>
      <c r="D21">
        <f>SUMIF('Team Lineups'!C:C,A21,'Team Lineups'!E:E)</f>
        <v>238</v>
      </c>
      <c r="E21">
        <f>SUMIF('Team Lineups'!C:C,A21,'Team Lineups'!F:F)</f>
        <v>242</v>
      </c>
      <c r="F21">
        <f t="shared" si="0"/>
        <v>-4</v>
      </c>
      <c r="G21">
        <f>COUNTIFS('Team Lineups'!C:C,A21,'Team Lineups'!G:G,"Win")</f>
        <v>15</v>
      </c>
      <c r="H21">
        <f>COUNTIFS('Team Lineups'!C:C,A21,'Team Lineups'!G:G,"Draw")</f>
        <v>5</v>
      </c>
      <c r="I21">
        <f>COUNTIFS('Team Lineups'!C:C,A21,'Team Lineups'!G:G,"Loss")</f>
        <v>16</v>
      </c>
      <c r="J21" s="3">
        <f t="shared" si="1"/>
        <v>0.41666666666666669</v>
      </c>
      <c r="K21" s="3">
        <f t="shared" si="2"/>
        <v>0.44444444444444442</v>
      </c>
      <c r="L21">
        <f>SUMIF('Team Lineups'!C:C,A21,'Team Lineups'!H:H)</f>
        <v>21</v>
      </c>
      <c r="M21">
        <f t="shared" si="3"/>
        <v>0.58333333333333337</v>
      </c>
      <c r="N21">
        <f>SUMIF('Team Lineups'!C:C,A21,'Team Lineups'!I:I)</f>
        <v>14</v>
      </c>
      <c r="O21">
        <f>COUNTIF(Matches!G:G,A21)</f>
        <v>0</v>
      </c>
      <c r="P21">
        <f t="shared" si="4"/>
        <v>0</v>
      </c>
      <c r="Q21">
        <f>SUMIF('Team Lineups'!C:C,A21,'Team Lineups'!J:J)</f>
        <v>0</v>
      </c>
    </row>
    <row r="22" spans="1:17" x14ac:dyDescent="0.35">
      <c r="A22" t="s">
        <v>84</v>
      </c>
      <c r="C22">
        <f>COUNTIF('Team Lineups'!C:C,A22)</f>
        <v>13</v>
      </c>
      <c r="D22">
        <f>SUMIF('Team Lineups'!C:C,A22,'Team Lineups'!E:E)</f>
        <v>79</v>
      </c>
      <c r="E22">
        <f>SUMIF('Team Lineups'!C:C,A22,'Team Lineups'!F:F)</f>
        <v>90</v>
      </c>
      <c r="F22">
        <f t="shared" si="0"/>
        <v>-11</v>
      </c>
      <c r="G22">
        <f>COUNTIFS('Team Lineups'!C:C,A22,'Team Lineups'!G:G,"Win")</f>
        <v>5</v>
      </c>
      <c r="H22">
        <f>COUNTIFS('Team Lineups'!C:C,A22,'Team Lineups'!G:G,"Draw")</f>
        <v>2</v>
      </c>
      <c r="I22">
        <f>COUNTIFS('Team Lineups'!C:C,A22,'Team Lineups'!G:G,"Loss")</f>
        <v>6</v>
      </c>
      <c r="J22" s="3">
        <f t="shared" si="1"/>
        <v>0.38461538461538464</v>
      </c>
      <c r="K22" s="3">
        <f t="shared" si="2"/>
        <v>0.46153846153846156</v>
      </c>
      <c r="L22">
        <f>SUMIF('Team Lineups'!C:C,A22,'Team Lineups'!H:H)</f>
        <v>9</v>
      </c>
      <c r="M22">
        <f t="shared" si="3"/>
        <v>0.69230769230769229</v>
      </c>
      <c r="N22">
        <f>SUMIF('Team Lineups'!C:C,A22,'Team Lineups'!I:I)</f>
        <v>11</v>
      </c>
      <c r="O22">
        <f>COUNTIF(Matches!G:G,A22)</f>
        <v>0</v>
      </c>
      <c r="P22">
        <f t="shared" si="4"/>
        <v>0</v>
      </c>
      <c r="Q22">
        <f>SUMIF('Team Lineups'!C:C,A22,'Team Lineups'!J:J)</f>
        <v>1</v>
      </c>
    </row>
    <row r="23" spans="1:17" x14ac:dyDescent="0.35">
      <c r="A23" t="s">
        <v>40</v>
      </c>
      <c r="C23">
        <f>COUNTIF('Team Lineups'!C:C,A23)</f>
        <v>27</v>
      </c>
      <c r="D23">
        <f>SUMIF('Team Lineups'!C:C,A23,'Team Lineups'!E:E)</f>
        <v>192</v>
      </c>
      <c r="E23">
        <f>SUMIF('Team Lineups'!C:C,A23,'Team Lineups'!F:F)</f>
        <v>198</v>
      </c>
      <c r="F23">
        <f t="shared" si="0"/>
        <v>-6</v>
      </c>
      <c r="G23">
        <f>COUNTIFS('Team Lineups'!C:C,A23,'Team Lineups'!G:G,"Win")</f>
        <v>11</v>
      </c>
      <c r="H23">
        <f>COUNTIFS('Team Lineups'!C:C,A23,'Team Lineups'!G:G,"Draw")</f>
        <v>4</v>
      </c>
      <c r="I23">
        <f>COUNTIFS('Team Lineups'!C:C,A23,'Team Lineups'!G:G,"Loss")</f>
        <v>12</v>
      </c>
      <c r="J23" s="3">
        <f t="shared" si="1"/>
        <v>0.40740740740740738</v>
      </c>
      <c r="K23" s="3">
        <f t="shared" si="2"/>
        <v>0.44444444444444442</v>
      </c>
      <c r="L23">
        <f>SUMIF('Team Lineups'!C:C,A23,'Team Lineups'!H:H)</f>
        <v>16</v>
      </c>
      <c r="M23">
        <f t="shared" si="3"/>
        <v>0.59259259259259256</v>
      </c>
      <c r="N23">
        <f>SUMIF('Team Lineups'!C:C,A23,'Team Lineups'!I:I)</f>
        <v>8</v>
      </c>
      <c r="O23">
        <f>COUNTIF(Matches!G:G,A23)</f>
        <v>0</v>
      </c>
      <c r="P23">
        <f t="shared" si="4"/>
        <v>0</v>
      </c>
      <c r="Q23">
        <f>SUMIF('Team Lineups'!C:C,A23,'Team Lineups'!J:J)</f>
        <v>0</v>
      </c>
    </row>
    <row r="24" spans="1:17" x14ac:dyDescent="0.35">
      <c r="A24" t="s">
        <v>66</v>
      </c>
      <c r="C24">
        <f>COUNTIF('Team Lineups'!C:C,A24)</f>
        <v>33</v>
      </c>
      <c r="D24">
        <f>SUMIF('Team Lineups'!C:C,A24,'Team Lineups'!E:E)</f>
        <v>228</v>
      </c>
      <c r="E24">
        <f>SUMIF('Team Lineups'!C:C,A24,'Team Lineups'!F:F)</f>
        <v>232</v>
      </c>
      <c r="F24">
        <f t="shared" si="0"/>
        <v>-4</v>
      </c>
      <c r="G24">
        <f>COUNTIFS('Team Lineups'!C:C,A24,'Team Lineups'!G:G,"Win")</f>
        <v>16</v>
      </c>
      <c r="H24">
        <f>COUNTIFS('Team Lineups'!C:C,A24,'Team Lineups'!G:G,"Draw")</f>
        <v>4</v>
      </c>
      <c r="I24">
        <f>COUNTIFS('Team Lineups'!C:C,A24,'Team Lineups'!G:G,"Loss")</f>
        <v>13</v>
      </c>
      <c r="J24" s="3">
        <f t="shared" si="1"/>
        <v>0.48484848484848486</v>
      </c>
      <c r="K24" s="3">
        <f t="shared" si="2"/>
        <v>0.39393939393939392</v>
      </c>
      <c r="L24">
        <f>SUMIF('Team Lineups'!C:C,A24,'Team Lineups'!H:H)</f>
        <v>78</v>
      </c>
      <c r="M24">
        <f t="shared" si="3"/>
        <v>2.3636363636363638</v>
      </c>
      <c r="N24">
        <f>SUMIF('Team Lineups'!C:C,A24,'Team Lineups'!I:I)</f>
        <v>34</v>
      </c>
      <c r="O24">
        <f>COUNTIF(Matches!G:G,A24)</f>
        <v>3</v>
      </c>
      <c r="P24">
        <f t="shared" si="4"/>
        <v>9.0909090909090912E-2</v>
      </c>
      <c r="Q24">
        <f>SUMIF('Team Lineups'!C:C,A24,'Team Lineups'!J:J)</f>
        <v>0</v>
      </c>
    </row>
    <row r="25" spans="1:17" x14ac:dyDescent="0.35">
      <c r="A25" t="s">
        <v>86</v>
      </c>
      <c r="C25">
        <f>COUNTIF('Team Lineups'!C:C,A25)</f>
        <v>5</v>
      </c>
      <c r="D25">
        <f>SUMIF('Team Lineups'!C:C,A25,'Team Lineups'!E:E)</f>
        <v>33</v>
      </c>
      <c r="E25">
        <f>SUMIF('Team Lineups'!C:C,A25,'Team Lineups'!F:F)</f>
        <v>19</v>
      </c>
      <c r="F25">
        <f t="shared" si="0"/>
        <v>14</v>
      </c>
      <c r="G25">
        <f>COUNTIFS('Team Lineups'!C:C,A25,'Team Lineups'!G:G,"Win")</f>
        <v>3</v>
      </c>
      <c r="H25">
        <f>COUNTIFS('Team Lineups'!C:C,A25,'Team Lineups'!G:G,"Draw")</f>
        <v>0</v>
      </c>
      <c r="I25">
        <f>COUNTIFS('Team Lineups'!C:C,A25,'Team Lineups'!G:G,"Loss")</f>
        <v>2</v>
      </c>
      <c r="J25" s="3">
        <f t="shared" si="1"/>
        <v>0.6</v>
      </c>
      <c r="K25" s="3">
        <f t="shared" si="2"/>
        <v>0.4</v>
      </c>
      <c r="L25">
        <f>SUMIF('Team Lineups'!C:C,A25,'Team Lineups'!H:H)</f>
        <v>7</v>
      </c>
      <c r="M25">
        <f t="shared" si="3"/>
        <v>1.4</v>
      </c>
      <c r="N25">
        <f>SUMIF('Team Lineups'!C:C,A25,'Team Lineups'!I:I)</f>
        <v>2</v>
      </c>
      <c r="O25">
        <f>COUNTIF(Matches!G:G,A25)</f>
        <v>0</v>
      </c>
      <c r="P25">
        <f t="shared" si="4"/>
        <v>0</v>
      </c>
      <c r="Q25">
        <f>SUMIF('Team Lineups'!C:C,A25,'Team Lineups'!J:J)</f>
        <v>0</v>
      </c>
    </row>
    <row r="26" spans="1:17" x14ac:dyDescent="0.35">
      <c r="A26" t="s">
        <v>89</v>
      </c>
      <c r="C26">
        <f>COUNTIF('Team Lineups'!C:C,A26)</f>
        <v>29</v>
      </c>
      <c r="D26">
        <f>SUMIF('Team Lineups'!C:C,A26,'Team Lineups'!E:E)</f>
        <v>207</v>
      </c>
      <c r="E26">
        <f>SUMIF('Team Lineups'!C:C,A26,'Team Lineups'!F:F)</f>
        <v>205</v>
      </c>
      <c r="F26">
        <f t="shared" si="0"/>
        <v>2</v>
      </c>
      <c r="G26">
        <f>COUNTIFS('Team Lineups'!C:C,A26,'Team Lineups'!G:G,"Win")</f>
        <v>12</v>
      </c>
      <c r="H26">
        <f>COUNTIFS('Team Lineups'!C:C,A26,'Team Lineups'!G:G,"Draw")</f>
        <v>4</v>
      </c>
      <c r="I26">
        <f>COUNTIFS('Team Lineups'!C:C,A26,'Team Lineups'!G:G,"Loss")</f>
        <v>13</v>
      </c>
      <c r="J26" s="3">
        <f t="shared" si="1"/>
        <v>0.41379310344827586</v>
      </c>
      <c r="K26" s="3">
        <f t="shared" si="2"/>
        <v>0.44827586206896552</v>
      </c>
      <c r="L26">
        <f>SUMIF('Team Lineups'!C:C,A26,'Team Lineups'!H:H)</f>
        <v>66</v>
      </c>
      <c r="M26">
        <f t="shared" si="3"/>
        <v>2.2758620689655173</v>
      </c>
      <c r="N26">
        <f>SUMIF('Team Lineups'!C:C,A26,'Team Lineups'!I:I)</f>
        <v>21</v>
      </c>
      <c r="O26">
        <f>COUNTIF(Matches!G:G,A26)</f>
        <v>1</v>
      </c>
      <c r="P26">
        <f t="shared" si="4"/>
        <v>3.4482758620689655E-2</v>
      </c>
      <c r="Q26">
        <f>SUMIF('Team Lineups'!C:C,A26,'Team Lineups'!J:J)</f>
        <v>0</v>
      </c>
    </row>
    <row r="27" spans="1:17" x14ac:dyDescent="0.35">
      <c r="A27" t="s">
        <v>19</v>
      </c>
      <c r="C27">
        <f>COUNTIF('Team Lineups'!C:C,A27)</f>
        <v>32</v>
      </c>
      <c r="D27">
        <f>SUMIF('Team Lineups'!C:C,A27,'Team Lineups'!E:E)</f>
        <v>234</v>
      </c>
      <c r="E27">
        <f>SUMIF('Team Lineups'!C:C,A27,'Team Lineups'!F:F)</f>
        <v>219</v>
      </c>
      <c r="F27">
        <f t="shared" si="0"/>
        <v>15</v>
      </c>
      <c r="G27">
        <f>COUNTIFS('Team Lineups'!C:C,A27,'Team Lineups'!G:G,"Win")</f>
        <v>15</v>
      </c>
      <c r="H27">
        <f>COUNTIFS('Team Lineups'!C:C,A27,'Team Lineups'!G:G,"Draw")</f>
        <v>6</v>
      </c>
      <c r="I27">
        <f>COUNTIFS('Team Lineups'!C:C,A27,'Team Lineups'!G:G,"Loss")</f>
        <v>11</v>
      </c>
      <c r="J27" s="3">
        <f t="shared" si="1"/>
        <v>0.46875</v>
      </c>
      <c r="K27" s="3">
        <f t="shared" si="2"/>
        <v>0.34375</v>
      </c>
      <c r="L27">
        <f>SUMIF('Team Lineups'!C:C,A27,'Team Lineups'!H:H)</f>
        <v>58</v>
      </c>
      <c r="M27">
        <f t="shared" si="3"/>
        <v>1.8125</v>
      </c>
      <c r="N27">
        <f>SUMIF('Team Lineups'!C:C,A27,'Team Lineups'!I:I)</f>
        <v>37</v>
      </c>
      <c r="O27">
        <f>COUNTIF(Matches!G:G,A27)</f>
        <v>7</v>
      </c>
      <c r="P27">
        <f t="shared" si="4"/>
        <v>0.21875</v>
      </c>
      <c r="Q27">
        <f>SUMIF('Team Lineups'!C:C,A27,'Team Lineups'!J:J)</f>
        <v>0</v>
      </c>
    </row>
    <row r="28" spans="1:17" x14ac:dyDescent="0.35">
      <c r="A28" t="s">
        <v>20</v>
      </c>
      <c r="C28">
        <f>COUNTIF('Team Lineups'!C:C,A28)</f>
        <v>31</v>
      </c>
      <c r="D28">
        <f>SUMIF('Team Lineups'!C:C,A28,'Team Lineups'!E:E)</f>
        <v>196</v>
      </c>
      <c r="E28">
        <f>SUMIF('Team Lineups'!C:C,A28,'Team Lineups'!F:F)</f>
        <v>191</v>
      </c>
      <c r="F28">
        <f t="shared" si="0"/>
        <v>5</v>
      </c>
      <c r="G28">
        <f>COUNTIFS('Team Lineups'!C:C,A28,'Team Lineups'!G:G,"Win")</f>
        <v>14</v>
      </c>
      <c r="H28">
        <f>COUNTIFS('Team Lineups'!C:C,A28,'Team Lineups'!G:G,"Draw")</f>
        <v>5</v>
      </c>
      <c r="I28">
        <f>COUNTIFS('Team Lineups'!C:C,A28,'Team Lineups'!G:G,"Loss")</f>
        <v>12</v>
      </c>
      <c r="J28" s="3">
        <f t="shared" si="1"/>
        <v>0.45161290322580644</v>
      </c>
      <c r="K28" s="3">
        <f t="shared" si="2"/>
        <v>0.38709677419354838</v>
      </c>
      <c r="L28">
        <f>SUMIF('Team Lineups'!C:C,A28,'Team Lineups'!H:H)</f>
        <v>19</v>
      </c>
      <c r="M28">
        <f t="shared" si="3"/>
        <v>0.61290322580645162</v>
      </c>
      <c r="N28">
        <f>SUMIF('Team Lineups'!C:C,A28,'Team Lineups'!I:I)</f>
        <v>23</v>
      </c>
      <c r="O28">
        <f>COUNTIF(Matches!G:G,A28)</f>
        <v>1</v>
      </c>
      <c r="P28">
        <f t="shared" si="4"/>
        <v>3.2258064516129031E-2</v>
      </c>
      <c r="Q28">
        <f>SUMIF('Team Lineups'!C:C,A28,'Team Lineups'!J:J)</f>
        <v>1</v>
      </c>
    </row>
    <row r="29" spans="1:17" x14ac:dyDescent="0.35">
      <c r="A29" t="s">
        <v>53</v>
      </c>
      <c r="C29">
        <f>COUNTIF('Team Lineups'!C:C,A29)</f>
        <v>37</v>
      </c>
      <c r="D29">
        <f>SUMIF('Team Lineups'!C:C,A29,'Team Lineups'!E:E)</f>
        <v>256</v>
      </c>
      <c r="E29">
        <f>SUMIF('Team Lineups'!C:C,A29,'Team Lineups'!F:F)</f>
        <v>238</v>
      </c>
      <c r="F29">
        <f t="shared" si="0"/>
        <v>18</v>
      </c>
      <c r="G29">
        <f>COUNTIFS('Team Lineups'!C:C,A29,'Team Lineups'!G:G,"Win")</f>
        <v>19</v>
      </c>
      <c r="H29">
        <f>COUNTIFS('Team Lineups'!C:C,A29,'Team Lineups'!G:G,"Draw")</f>
        <v>5</v>
      </c>
      <c r="I29">
        <f>COUNTIFS('Team Lineups'!C:C,A29,'Team Lineups'!G:G,"Loss")</f>
        <v>13</v>
      </c>
      <c r="J29" s="3">
        <f t="shared" si="1"/>
        <v>0.51351351351351349</v>
      </c>
      <c r="K29" s="3">
        <f t="shared" si="2"/>
        <v>0.35135135135135137</v>
      </c>
      <c r="L29">
        <f>SUMIF('Team Lineups'!C:C,A29,'Team Lineups'!H:H)</f>
        <v>39</v>
      </c>
      <c r="M29">
        <f t="shared" si="3"/>
        <v>1.0540540540540539</v>
      </c>
      <c r="N29">
        <f>SUMIF('Team Lineups'!C:C,A29,'Team Lineups'!I:I)</f>
        <v>25</v>
      </c>
      <c r="O29">
        <f>COUNTIF(Matches!G:G,A29)</f>
        <v>2</v>
      </c>
      <c r="P29">
        <f t="shared" si="4"/>
        <v>5.4054054054054057E-2</v>
      </c>
      <c r="Q29">
        <f>SUMIF('Team Lineups'!C:C,A29,'Team Lineups'!J:J)</f>
        <v>3</v>
      </c>
    </row>
    <row r="30" spans="1:17" x14ac:dyDescent="0.35">
      <c r="A30" t="s">
        <v>85</v>
      </c>
      <c r="C30">
        <f>COUNTIF('Team Lineups'!C:C,A30)</f>
        <v>3</v>
      </c>
      <c r="D30">
        <f>SUMIF('Team Lineups'!C:C,A30,'Team Lineups'!E:E)</f>
        <v>17</v>
      </c>
      <c r="E30">
        <f>SUMIF('Team Lineups'!C:C,A30,'Team Lineups'!F:F)</f>
        <v>15</v>
      </c>
      <c r="F30">
        <f t="shared" si="0"/>
        <v>2</v>
      </c>
      <c r="G30">
        <f>COUNTIFS('Team Lineups'!C:C,A30,'Team Lineups'!G:G,"Win")</f>
        <v>2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1"/>
        <v>0.66666666666666663</v>
      </c>
      <c r="K30" s="3">
        <f t="shared" si="2"/>
        <v>0.33333333333333331</v>
      </c>
      <c r="L30">
        <f>SUMIF('Team Lineups'!C:C,A30,'Team Lineups'!H:H)</f>
        <v>5</v>
      </c>
      <c r="M30">
        <f t="shared" si="3"/>
        <v>1.6666666666666667</v>
      </c>
      <c r="N30">
        <f>SUMIF('Team Lineups'!C:C,A30,'Team Lineups'!I:I)</f>
        <v>0</v>
      </c>
      <c r="O30">
        <f>COUNTIF(Matches!G:G,A30)</f>
        <v>2</v>
      </c>
      <c r="P30">
        <f t="shared" si="4"/>
        <v>0.66666666666666663</v>
      </c>
      <c r="Q30">
        <f>SUMIF('Team Lineups'!C:C,A30,'Team Lineups'!J:J)</f>
        <v>0</v>
      </c>
    </row>
    <row r="31" spans="1:17" x14ac:dyDescent="0.35">
      <c r="A31" t="s">
        <v>121</v>
      </c>
      <c r="C31">
        <f>COUNTIF('Team Lineups'!C:C,A31)</f>
        <v>9</v>
      </c>
      <c r="D31">
        <f>SUMIF('Team Lineups'!C:C,A31,'Team Lineups'!E:E)</f>
        <v>62</v>
      </c>
      <c r="E31">
        <f>SUMIF('Team Lineups'!C:C,A31,'Team Lineups'!F:F)</f>
        <v>49</v>
      </c>
      <c r="F31">
        <f t="shared" si="0"/>
        <v>13</v>
      </c>
      <c r="G31">
        <f>COUNTIFS('Team Lineups'!C:C,A31,'Team Lineups'!G:G,"Win")</f>
        <v>6</v>
      </c>
      <c r="H31">
        <f>COUNTIFS('Team Lineups'!C:C,A31,'Team Lineups'!G:G,"Draw")</f>
        <v>0</v>
      </c>
      <c r="I31">
        <f>COUNTIFS('Team Lineups'!C:C,A31,'Team Lineups'!G:G,"Loss")</f>
        <v>3</v>
      </c>
      <c r="J31" s="3">
        <f t="shared" si="1"/>
        <v>0.66666666666666663</v>
      </c>
      <c r="K31" s="3">
        <f t="shared" si="2"/>
        <v>0.33333333333333331</v>
      </c>
      <c r="L31">
        <f>SUMIF('Team Lineups'!C:C,A31,'Team Lineups'!H:H)</f>
        <v>18</v>
      </c>
      <c r="M31">
        <f t="shared" si="3"/>
        <v>2</v>
      </c>
      <c r="N31">
        <f>SUMIF('Team Lineups'!C:C,A31,'Team Lineups'!I:I)</f>
        <v>3</v>
      </c>
      <c r="O31">
        <f>COUNTIF(Matches!G:G,A31)</f>
        <v>2</v>
      </c>
      <c r="P31">
        <f t="shared" si="4"/>
        <v>0.22222222222222221</v>
      </c>
      <c r="Q31">
        <f>SUMIF('Team Lineups'!C:C,A31,'Team Lineups'!J:J)</f>
        <v>0</v>
      </c>
    </row>
    <row r="32" spans="1:17" x14ac:dyDescent="0.35">
      <c r="A32" t="s">
        <v>22</v>
      </c>
      <c r="C32">
        <f>COUNTIF('Team Lineups'!C:C,A32)</f>
        <v>40</v>
      </c>
      <c r="D32">
        <f>SUMIF('Team Lineups'!C:C,A32,'Team Lineups'!E:E)</f>
        <v>279</v>
      </c>
      <c r="E32">
        <f>SUMIF('Team Lineups'!C:C,A32,'Team Lineups'!F:F)</f>
        <v>244</v>
      </c>
      <c r="F32">
        <f t="shared" si="0"/>
        <v>35</v>
      </c>
      <c r="G32">
        <f>COUNTIFS('Team Lineups'!C:C,A32,'Team Lineups'!G:G,"Win")</f>
        <v>19</v>
      </c>
      <c r="H32">
        <f>COUNTIFS('Team Lineups'!C:C,A32,'Team Lineups'!G:G,"Draw")</f>
        <v>6</v>
      </c>
      <c r="I32">
        <f>COUNTIFS('Team Lineups'!C:C,A32,'Team Lineups'!G:G,"Loss")</f>
        <v>15</v>
      </c>
      <c r="J32" s="3">
        <f t="shared" si="1"/>
        <v>0.47499999999999998</v>
      </c>
      <c r="K32" s="3">
        <f t="shared" si="2"/>
        <v>0.375</v>
      </c>
      <c r="L32">
        <f>SUMIF('Team Lineups'!C:C,A32,'Team Lineups'!H:H)</f>
        <v>54</v>
      </c>
      <c r="M32">
        <f t="shared" si="3"/>
        <v>1.35</v>
      </c>
      <c r="N32">
        <f>SUMIF('Team Lineups'!C:C,A32,'Team Lineups'!I:I)</f>
        <v>21</v>
      </c>
      <c r="O32">
        <f>COUNTIF(Matches!G:G,A32)</f>
        <v>6</v>
      </c>
      <c r="P32">
        <f t="shared" si="4"/>
        <v>0.15</v>
      </c>
      <c r="Q32">
        <f>SUMIF('Team Lineups'!C:C,A32,'Team Lineups'!J:J)</f>
        <v>1</v>
      </c>
    </row>
    <row r="33" spans="1:17" x14ac:dyDescent="0.35">
      <c r="A33" t="s">
        <v>44</v>
      </c>
      <c r="C33">
        <f>COUNTIF('Team Lineups'!C:C,A33)</f>
        <v>14</v>
      </c>
      <c r="D33">
        <f>SUMIF('Team Lineups'!C:C,A33,'Team Lineups'!E:E)</f>
        <v>80</v>
      </c>
      <c r="E33">
        <f>SUMIF('Team Lineups'!C:C,A33,'Team Lineups'!F:F)</f>
        <v>74</v>
      </c>
      <c r="F33">
        <f t="shared" si="0"/>
        <v>6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4</v>
      </c>
      <c r="J33" s="3">
        <f t="shared" si="1"/>
        <v>0.5</v>
      </c>
      <c r="K33" s="3">
        <f t="shared" si="2"/>
        <v>0.2857142857142857</v>
      </c>
      <c r="L33">
        <f>SUMIF('Team Lineups'!C:C,A33,'Team Lineups'!H:H)</f>
        <v>21</v>
      </c>
      <c r="M33">
        <f t="shared" si="3"/>
        <v>1.5</v>
      </c>
      <c r="N33">
        <f>SUMIF('Team Lineups'!C:C,A33,'Team Lineups'!I:I)</f>
        <v>14</v>
      </c>
      <c r="O33">
        <f>COUNTIF(Matches!G:G,A33)</f>
        <v>2</v>
      </c>
      <c r="P33">
        <f t="shared" si="4"/>
        <v>0.14285714285714285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22</v>
      </c>
      <c r="D34">
        <f>SUMIF('Team Lineups'!C:C,A34,'Team Lineups'!E:E)</f>
        <v>155</v>
      </c>
      <c r="E34">
        <f>SUMIF('Team Lineups'!C:C,A34,'Team Lineups'!F:F)</f>
        <v>132</v>
      </c>
      <c r="F34">
        <f t="shared" si="0"/>
        <v>23</v>
      </c>
      <c r="G34">
        <f>COUNTIFS('Team Lineups'!C:C,A34,'Team Lineups'!G:G,"Win")</f>
        <v>14</v>
      </c>
      <c r="H34">
        <f>COUNTIFS('Team Lineups'!C:C,A34,'Team Lineups'!G:G,"Draw")</f>
        <v>2</v>
      </c>
      <c r="I34">
        <f>COUNTIFS('Team Lineups'!C:C,A34,'Team Lineups'!G:G,"Loss")</f>
        <v>6</v>
      </c>
      <c r="J34" s="3">
        <f t="shared" si="1"/>
        <v>0.63636363636363635</v>
      </c>
      <c r="K34" s="3">
        <f t="shared" si="2"/>
        <v>0.27272727272727271</v>
      </c>
      <c r="L34">
        <f>SUMIF('Team Lineups'!C:C,A34,'Team Lineups'!H:H)</f>
        <v>40</v>
      </c>
      <c r="M34">
        <f t="shared" si="3"/>
        <v>1.8181818181818181</v>
      </c>
      <c r="N34">
        <f>SUMIF('Team Lineups'!C:C,A34,'Team Lineups'!I:I)</f>
        <v>19</v>
      </c>
      <c r="O34">
        <f>COUNTIF(Matches!G:G,A34)</f>
        <v>5</v>
      </c>
      <c r="P34">
        <f t="shared" si="4"/>
        <v>0.22727272727272727</v>
      </c>
      <c r="Q34">
        <f>SUMIF('Team Lineups'!C:C,A34,'Team Lineups'!J:J)</f>
        <v>0</v>
      </c>
    </row>
    <row r="35" spans="1:17" x14ac:dyDescent="0.35">
      <c r="A35" t="s">
        <v>41</v>
      </c>
      <c r="C35">
        <f>COUNTIF('Team Lineups'!C:C,A35)</f>
        <v>22</v>
      </c>
      <c r="D35">
        <f>SUMIF('Team Lineups'!C:C,A35,'Team Lineups'!E:E)</f>
        <v>145</v>
      </c>
      <c r="E35">
        <f>SUMIF('Team Lineups'!C:C,A35,'Team Lineups'!F:F)</f>
        <v>135</v>
      </c>
      <c r="F35">
        <f t="shared" si="0"/>
        <v>10</v>
      </c>
      <c r="G35">
        <f>COUNTIFS('Team Lineups'!C:C,A35,'Team Lineups'!G:G,"Win")</f>
        <v>10</v>
      </c>
      <c r="H35">
        <f>COUNTIFS('Team Lineups'!C:C,A35,'Team Lineups'!G:G,"Draw")</f>
        <v>6</v>
      </c>
      <c r="I35">
        <f>COUNTIFS('Team Lineups'!C:C,A35,'Team Lineups'!G:G,"Loss")</f>
        <v>6</v>
      </c>
      <c r="J35" s="3">
        <f t="shared" si="1"/>
        <v>0.45454545454545453</v>
      </c>
      <c r="K35" s="3">
        <f t="shared" si="2"/>
        <v>0.27272727272727271</v>
      </c>
      <c r="L35">
        <f>SUMIF('Team Lineups'!C:C,A35,'Team Lineups'!H:H)</f>
        <v>27</v>
      </c>
      <c r="M35">
        <f t="shared" si="3"/>
        <v>1.2272727272727273</v>
      </c>
      <c r="N35">
        <f>SUMIF('Team Lineups'!C:C,A35,'Team Lineups'!I:I)</f>
        <v>9</v>
      </c>
      <c r="O35">
        <f>COUNTIF(Matches!G:G,A35)</f>
        <v>1</v>
      </c>
      <c r="P35">
        <f t="shared" si="4"/>
        <v>4.5454545454545456E-2</v>
      </c>
      <c r="Q35">
        <f>SUMIF('Team Lineups'!C:C,A35,'Team Lineups'!J:J)</f>
        <v>2</v>
      </c>
    </row>
    <row r="36" spans="1:17" x14ac:dyDescent="0.35">
      <c r="A36" t="s">
        <v>98</v>
      </c>
      <c r="C36">
        <f>COUNTIF('Team Lineups'!C:C,A36)</f>
        <v>8</v>
      </c>
      <c r="D36">
        <f>SUMIF('Team Lineups'!C:C,A36,'Team Lineups'!E:E)</f>
        <v>85</v>
      </c>
      <c r="E36">
        <f>SUMIF('Team Lineups'!C:C,A36,'Team Lineups'!F:F)</f>
        <v>64</v>
      </c>
      <c r="F36">
        <f t="shared" si="0"/>
        <v>21</v>
      </c>
      <c r="G36">
        <f>COUNTIFS('Team Lineups'!C:C,A36,'Team Lineups'!G:G,"Win")</f>
        <v>6</v>
      </c>
      <c r="H36">
        <f>COUNTIFS('Team Lineups'!C:C,A36,'Team Lineups'!G:G,"Draw")</f>
        <v>0</v>
      </c>
      <c r="I36">
        <f>COUNTIFS('Team Lineups'!C:C,A36,'Team Lineups'!G:G,"Loss")</f>
        <v>2</v>
      </c>
      <c r="J36" s="3">
        <f t="shared" si="1"/>
        <v>0.75</v>
      </c>
      <c r="K36" s="3">
        <f t="shared" si="2"/>
        <v>0.25</v>
      </c>
      <c r="L36">
        <f>SUMIF('Team Lineups'!C:C,A36,'Team Lineups'!H:H)</f>
        <v>22</v>
      </c>
      <c r="M36">
        <f t="shared" si="3"/>
        <v>2.75</v>
      </c>
      <c r="N36">
        <f>SUMIF('Team Lineups'!C:C,A36,'Team Lineups'!I:I)</f>
        <v>14</v>
      </c>
      <c r="O36">
        <f>COUNTIF(Matches!G:G,A36)</f>
        <v>2</v>
      </c>
      <c r="P36">
        <f t="shared" si="4"/>
        <v>0.25</v>
      </c>
      <c r="Q36">
        <f>SUMIF('Team Lineups'!C:C,A36,'Team Lineups'!J:J)</f>
        <v>0</v>
      </c>
    </row>
    <row r="37" spans="1:17" x14ac:dyDescent="0.35">
      <c r="A37" t="s">
        <v>49</v>
      </c>
      <c r="C37">
        <f>COUNTIF('Team Lineups'!C:C,A37)</f>
        <v>10</v>
      </c>
      <c r="D37">
        <f>SUMIF('Team Lineups'!C:C,A37,'Team Lineups'!E:E)</f>
        <v>74</v>
      </c>
      <c r="E37">
        <f>SUMIF('Team Lineups'!C:C,A37,'Team Lineups'!F:F)</f>
        <v>53</v>
      </c>
      <c r="F37">
        <f t="shared" si="0"/>
        <v>21</v>
      </c>
      <c r="G37">
        <f>COUNTIFS('Team Lineups'!C:C,A37,'Team Lineups'!G:G,"Win")</f>
        <v>5</v>
      </c>
      <c r="H37">
        <f>COUNTIFS('Team Lineups'!C:C,A37,'Team Lineups'!G:G,"Draw")</f>
        <v>3</v>
      </c>
      <c r="I37">
        <f>COUNTIFS('Team Lineups'!C:C,A37,'Team Lineups'!G:G,"Loss")</f>
        <v>2</v>
      </c>
      <c r="J37" s="3">
        <f t="shared" si="1"/>
        <v>0.5</v>
      </c>
      <c r="K37" s="3">
        <f t="shared" si="2"/>
        <v>0.2</v>
      </c>
      <c r="L37">
        <f>SUMIF('Team Lineups'!C:C,A37,'Team Lineups'!H:H)</f>
        <v>5</v>
      </c>
      <c r="M37">
        <f t="shared" si="3"/>
        <v>0.5</v>
      </c>
      <c r="N37">
        <f>SUMIF('Team Lineups'!C:C,A37,'Team Lineups'!I:I)</f>
        <v>8</v>
      </c>
      <c r="O37">
        <f>COUNTIF(Matches!G:G,A37)</f>
        <v>0</v>
      </c>
      <c r="P37">
        <f t="shared" si="4"/>
        <v>0</v>
      </c>
      <c r="Q37">
        <f>SUMIF('Team Lineups'!C:C,A37,'Team Lineups'!J:J)</f>
        <v>0</v>
      </c>
    </row>
    <row r="38" spans="1:17" x14ac:dyDescent="0.35">
      <c r="A38" t="s">
        <v>60</v>
      </c>
      <c r="C38">
        <f>COUNTIF('Team Lineups'!C:C,A38)</f>
        <v>5</v>
      </c>
      <c r="D38">
        <f>SUMIF('Team Lineups'!C:C,A38,'Team Lineups'!E:E)</f>
        <v>50</v>
      </c>
      <c r="E38">
        <f>SUMIF('Team Lineups'!C:C,A38,'Team Lineups'!F:F)</f>
        <v>43</v>
      </c>
      <c r="F38">
        <f t="shared" si="0"/>
        <v>7</v>
      </c>
      <c r="G38">
        <f>COUNTIFS('Team Lineups'!C:C,A38,'Team Lineups'!G:G,"Win")</f>
        <v>3</v>
      </c>
      <c r="H38">
        <f>COUNTIFS('Team Lineups'!C:C,A38,'Team Lineups'!G:G,"Draw")</f>
        <v>1</v>
      </c>
      <c r="I38">
        <f>COUNTIFS('Team Lineups'!C:C,A38,'Team Lineups'!G:G,"Loss")</f>
        <v>1</v>
      </c>
      <c r="J38" s="3">
        <f t="shared" si="1"/>
        <v>0.6</v>
      </c>
      <c r="K38" s="3">
        <f t="shared" si="2"/>
        <v>0.2</v>
      </c>
      <c r="L38">
        <f>SUMIF('Team Lineups'!C:C,A38,'Team Lineups'!H:H)</f>
        <v>4</v>
      </c>
      <c r="M38">
        <f t="shared" si="3"/>
        <v>0.8</v>
      </c>
      <c r="N38">
        <f>SUMIF('Team Lineups'!C:C,A38,'Team Lineups'!I:I)</f>
        <v>1</v>
      </c>
      <c r="O38">
        <f>COUNTIF(Matches!G:G,A38)</f>
        <v>0</v>
      </c>
      <c r="P38">
        <f t="shared" si="4"/>
        <v>0</v>
      </c>
      <c r="Q38">
        <f>SUMIF('Team Lineups'!C:C,A38,'Team Lineups'!J:J)</f>
        <v>0</v>
      </c>
    </row>
    <row r="39" spans="1:17" x14ac:dyDescent="0.35">
      <c r="A39" t="s">
        <v>18</v>
      </c>
      <c r="C39">
        <f>COUNTIF('Team Lineups'!C:C,A39)</f>
        <v>12</v>
      </c>
      <c r="D39">
        <f>SUMIF('Team Lineups'!C:C,A39,'Team Lineups'!E:E)</f>
        <v>68</v>
      </c>
      <c r="E39">
        <f>SUMIF('Team Lineups'!C:C,A39,'Team Lineups'!F:F)</f>
        <v>66</v>
      </c>
      <c r="F39">
        <f t="shared" si="0"/>
        <v>2</v>
      </c>
      <c r="G39">
        <f>COUNTIFS('Team Lineups'!C:C,A39,'Team Lineups'!G:G,"Win")</f>
        <v>5</v>
      </c>
      <c r="H39">
        <f>COUNTIFS('Team Lineups'!C:C,A39,'Team Lineups'!G:G,"Draw")</f>
        <v>5</v>
      </c>
      <c r="I39">
        <f>COUNTIFS('Team Lineups'!C:C,A39,'Team Lineups'!G:G,"Loss")</f>
        <v>2</v>
      </c>
      <c r="J39" s="3">
        <f t="shared" si="1"/>
        <v>0.41666666666666669</v>
      </c>
      <c r="K39" s="3">
        <f t="shared" si="2"/>
        <v>0.16666666666666666</v>
      </c>
      <c r="L39">
        <f>SUMIF('Team Lineups'!C:C,A39,'Team Lineups'!H:H)</f>
        <v>11</v>
      </c>
      <c r="M39">
        <f t="shared" si="3"/>
        <v>0.91666666666666663</v>
      </c>
      <c r="N39">
        <f>SUMIF('Team Lineups'!C:C,A39,'Team Lineups'!I:I)</f>
        <v>6</v>
      </c>
      <c r="O39">
        <f>COUNTIF(Matches!G:G,A39)</f>
        <v>0</v>
      </c>
      <c r="P39">
        <f t="shared" si="4"/>
        <v>0</v>
      </c>
      <c r="Q39">
        <f>SUMIF('Team Lineups'!C:C,A39,'Team Lineups'!J:J)</f>
        <v>0</v>
      </c>
    </row>
    <row r="40" spans="1:17" x14ac:dyDescent="0.35">
      <c r="A40" t="s">
        <v>26</v>
      </c>
      <c r="C40">
        <f>COUNTIF('Team Lineups'!C:C,A40)</f>
        <v>2</v>
      </c>
      <c r="D40">
        <f>SUMIF('Team Lineups'!C:C,A40,'Team Lineups'!E:E)</f>
        <v>14</v>
      </c>
      <c r="E40">
        <f>SUMIF('Team Lineups'!C:C,A40,'Team Lineups'!F:F)</f>
        <v>12</v>
      </c>
      <c r="F40">
        <f t="shared" si="0"/>
        <v>2</v>
      </c>
      <c r="G40">
        <f>COUNTIFS('Team Lineups'!C:C,A40,'Team Lineups'!G:G,"Win")</f>
        <v>1</v>
      </c>
      <c r="H40">
        <f>COUNTIFS('Team Lineups'!C:C,A40,'Team Lineups'!G:G,"Draw")</f>
        <v>1</v>
      </c>
      <c r="I40">
        <f>COUNTIFS('Team Lineups'!C:C,A40,'Team Lineups'!G:G,"Loss")</f>
        <v>0</v>
      </c>
      <c r="J40" s="3">
        <f t="shared" si="1"/>
        <v>0.5</v>
      </c>
      <c r="K40" s="3">
        <f t="shared" si="2"/>
        <v>0</v>
      </c>
      <c r="L40">
        <f>SUMIF('Team Lineups'!C:C,A40,'Team Lineups'!H:H)</f>
        <v>5</v>
      </c>
      <c r="M40">
        <f t="shared" si="3"/>
        <v>2.5</v>
      </c>
      <c r="N40">
        <f>SUMIF('Team Lineups'!C:C,A40,'Team Lineups'!I:I)</f>
        <v>2</v>
      </c>
      <c r="O40">
        <f>COUNTIF(Matches!G:G,A40)</f>
        <v>2</v>
      </c>
      <c r="P40">
        <f t="shared" si="4"/>
        <v>1</v>
      </c>
      <c r="Q40">
        <f>SUMIF('Team Lineups'!C:C,A40,'Team Lineups'!J:J)</f>
        <v>0</v>
      </c>
    </row>
    <row r="41" spans="1:17" x14ac:dyDescent="0.35">
      <c r="A41" t="s">
        <v>45</v>
      </c>
      <c r="C41">
        <f>COUNTIF('Team Lineups'!C:C,A41)</f>
        <v>7</v>
      </c>
      <c r="D41">
        <f>SUMIF('Team Lineups'!C:C,A41,'Team Lineups'!E:E)</f>
        <v>66</v>
      </c>
      <c r="E41">
        <f>SUMIF('Team Lineups'!C:C,A41,'Team Lineups'!F:F)</f>
        <v>42</v>
      </c>
      <c r="F41">
        <f t="shared" si="0"/>
        <v>24</v>
      </c>
      <c r="G41">
        <f>COUNTIFS('Team Lineups'!C:C,A41,'Team Lineups'!G:G,"Win")</f>
        <v>7</v>
      </c>
      <c r="H41">
        <f>COUNTIFS('Team Lineups'!C:C,A41,'Team Lineups'!G:G,"Draw")</f>
        <v>0</v>
      </c>
      <c r="I41">
        <f>COUNTIFS('Team Lineups'!C:C,A41,'Team Lineups'!G:G,"Loss")</f>
        <v>0</v>
      </c>
      <c r="J41" s="3">
        <f t="shared" si="1"/>
        <v>1</v>
      </c>
      <c r="K41" s="3">
        <f t="shared" si="2"/>
        <v>0</v>
      </c>
      <c r="L41">
        <f>SUMIF('Team Lineups'!C:C,A41,'Team Lineups'!H:H)</f>
        <v>3</v>
      </c>
      <c r="M41">
        <f t="shared" si="3"/>
        <v>0.42857142857142855</v>
      </c>
      <c r="N41">
        <f>SUMIF('Team Lineups'!C:C,A41,'Team Lineups'!I:I)</f>
        <v>1</v>
      </c>
      <c r="O41">
        <f>COUNTIF(Matches!G:G,A41)</f>
        <v>0</v>
      </c>
      <c r="P41">
        <f t="shared" si="4"/>
        <v>0</v>
      </c>
      <c r="Q41">
        <f>SUMIF('Team Lineups'!C:C,A41,'Team Lineups'!J:J)</f>
        <v>0</v>
      </c>
    </row>
    <row r="42" spans="1:17" x14ac:dyDescent="0.35">
      <c r="A42" t="s">
        <v>50</v>
      </c>
      <c r="C42">
        <f>COUNTIF('Team Lineups'!C:C,A42)</f>
        <v>6</v>
      </c>
      <c r="D42">
        <f>SUMIF('Team Lineups'!C:C,A42,'Team Lineups'!E:E)</f>
        <v>50</v>
      </c>
      <c r="E42">
        <f>SUMIF('Team Lineups'!C:C,A42,'Team Lineups'!F:F)</f>
        <v>41</v>
      </c>
      <c r="F42">
        <f t="shared" si="0"/>
        <v>9</v>
      </c>
      <c r="G42">
        <f>COUNTIFS('Team Lineups'!C:C,A42,'Team Lineups'!G:G,"Win")</f>
        <v>4</v>
      </c>
      <c r="H42">
        <f>COUNTIFS('Team Lineups'!C:C,A42,'Team Lineups'!G:G,"Draw")</f>
        <v>1</v>
      </c>
      <c r="I42">
        <f>COUNTIFS('Team Lineups'!C:C,A42,'Team Lineups'!G:G,"Loss")</f>
        <v>1</v>
      </c>
      <c r="J42" s="3">
        <f t="shared" si="1"/>
        <v>0.66666666666666663</v>
      </c>
      <c r="K42" s="3">
        <f t="shared" si="2"/>
        <v>0.16666666666666666</v>
      </c>
      <c r="L42">
        <f>SUMIF('Team Lineups'!C:C,A42,'Team Lineups'!H:H)</f>
        <v>8</v>
      </c>
      <c r="M42">
        <f t="shared" si="3"/>
        <v>1.3333333333333333</v>
      </c>
      <c r="N42">
        <f>SUMIF('Team Lineups'!C:C,A42,'Team Lineups'!I:I)</f>
        <v>1</v>
      </c>
      <c r="O42">
        <f>COUNTIF(Matches!G:G,A42)</f>
        <v>0</v>
      </c>
      <c r="P42">
        <f t="shared" si="4"/>
        <v>0</v>
      </c>
      <c r="Q42">
        <f>SUMIF('Team Lineups'!C:C,A42,'Team Lineups'!J:J)</f>
        <v>0</v>
      </c>
    </row>
    <row r="43" spans="1:17" x14ac:dyDescent="0.35">
      <c r="A43" t="s">
        <v>27</v>
      </c>
      <c r="C43">
        <f>COUNTIF('Team Lineups'!C:C,A43)</f>
        <v>1</v>
      </c>
      <c r="D43">
        <f>SUMIF('Team Lineups'!C:C,A43,'Team Lineups'!E:E)</f>
        <v>7</v>
      </c>
      <c r="E43">
        <f>SUMIF('Team Lineups'!C:C,A43,'Team Lineups'!F:F)</f>
        <v>7</v>
      </c>
      <c r="F43">
        <f t="shared" si="0"/>
        <v>0</v>
      </c>
      <c r="G43">
        <f>COUNTIFS('Team Lineups'!C:C,A43,'Team Lineups'!G:G,"Win")</f>
        <v>0</v>
      </c>
      <c r="H43">
        <f>COUNTIFS('Team Lineups'!C:C,A43,'Team Lineups'!G:G,"Draw")</f>
        <v>1</v>
      </c>
      <c r="I43">
        <f>COUNTIFS('Team Lineups'!C:C,A43,'Team Lineups'!G:G,"Loss")</f>
        <v>0</v>
      </c>
      <c r="J43" s="3">
        <f t="shared" si="1"/>
        <v>0</v>
      </c>
      <c r="K43" s="3">
        <f t="shared" si="2"/>
        <v>0</v>
      </c>
      <c r="L43">
        <f>SUMIF('Team Lineups'!C:C,A43,'Team Lineups'!H:H)</f>
        <v>0</v>
      </c>
      <c r="M43">
        <f t="shared" si="3"/>
        <v>0</v>
      </c>
      <c r="N43">
        <f>SUMIF('Team Lineups'!C:C,A43,'Team Lineups'!I:I)</f>
        <v>0</v>
      </c>
      <c r="O43">
        <f>COUNTIF(Matches!G:G,A43)</f>
        <v>0</v>
      </c>
      <c r="P43">
        <f t="shared" si="4"/>
        <v>0</v>
      </c>
      <c r="Q43">
        <f>SUMIF('Team Lineups'!C:C,A43,'Team Lineups'!J:J)</f>
        <v>0</v>
      </c>
    </row>
    <row r="44" spans="1:17" x14ac:dyDescent="0.35">
      <c r="A44" t="s">
        <v>59</v>
      </c>
      <c r="C44">
        <f>COUNTIF('Team Lineups'!C:C,A44)</f>
        <v>1</v>
      </c>
      <c r="D44">
        <f>SUMIF('Team Lineups'!C:C,A44,'Team Lineups'!E:E)</f>
        <v>13</v>
      </c>
      <c r="E44">
        <f>SUMIF('Team Lineups'!C:C,A44,'Team Lineups'!F:F)</f>
        <v>8</v>
      </c>
      <c r="F44">
        <f t="shared" si="0"/>
        <v>5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si="1"/>
        <v>1</v>
      </c>
      <c r="K44" s="3">
        <f t="shared" si="2"/>
        <v>0</v>
      </c>
      <c r="L44">
        <f>SUMIF('Team Lineups'!C:C,A44,'Team Lineups'!H:H)</f>
        <v>2</v>
      </c>
      <c r="M44">
        <f t="shared" si="3"/>
        <v>2</v>
      </c>
      <c r="N44">
        <f>SUMIF('Team Lineups'!C:C,A44,'Team Lineups'!I:I)</f>
        <v>2</v>
      </c>
      <c r="O44">
        <f>COUNTIF(Matches!G:G,A44)</f>
        <v>0</v>
      </c>
      <c r="P44">
        <f t="shared" si="4"/>
        <v>0</v>
      </c>
      <c r="Q44">
        <f>SUMIF('Team Lineups'!C:C,A44,'Team Lineups'!J:J)</f>
        <v>0</v>
      </c>
    </row>
    <row r="45" spans="1:17" x14ac:dyDescent="0.35">
      <c r="A45" t="s">
        <v>64</v>
      </c>
      <c r="C45">
        <f>COUNTIF('Team Lineups'!C:C,A45)</f>
        <v>1</v>
      </c>
      <c r="D45">
        <f>SUMIF('Team Lineups'!C:C,A45,'Team Lineups'!E:E)</f>
        <v>10</v>
      </c>
      <c r="E45">
        <f>SUMIF('Team Lineups'!C:C,A45,'Team Lineups'!F:F)</f>
        <v>8</v>
      </c>
      <c r="F45">
        <f t="shared" si="0"/>
        <v>2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0</v>
      </c>
      <c r="J45" s="3">
        <f t="shared" si="1"/>
        <v>1</v>
      </c>
      <c r="K45" s="3">
        <f t="shared" si="2"/>
        <v>0</v>
      </c>
      <c r="L45">
        <f>SUMIF('Team Lineups'!C:C,A45,'Team Lineups'!H:H)</f>
        <v>2</v>
      </c>
      <c r="M45">
        <f t="shared" si="3"/>
        <v>2</v>
      </c>
      <c r="N45">
        <f>SUMIF('Team Lineups'!C:C,A45,'Team Lineups'!I:I)</f>
        <v>3</v>
      </c>
      <c r="O45">
        <f>COUNTIF(Matches!G:G,A45)</f>
        <v>0</v>
      </c>
      <c r="P45">
        <f t="shared" si="4"/>
        <v>0</v>
      </c>
      <c r="Q45">
        <f>SUMIF('Team Lineups'!C:C,A45,'Team Lineups'!J:J)</f>
        <v>0</v>
      </c>
    </row>
    <row r="46" spans="1:17" x14ac:dyDescent="0.35">
      <c r="A46" t="s">
        <v>78</v>
      </c>
      <c r="C46">
        <f>COUNTIF('Team Lineups'!C:C,A46)</f>
        <v>1</v>
      </c>
      <c r="D46">
        <f>SUMIF('Team Lineups'!C:C,A46,'Team Lineups'!E:E)</f>
        <v>6</v>
      </c>
      <c r="E46">
        <f>SUMIF('Team Lineups'!C:C,A46,'Team Lineups'!F:F)</f>
        <v>6</v>
      </c>
      <c r="F46">
        <f t="shared" si="0"/>
        <v>0</v>
      </c>
      <c r="G46">
        <f>COUNTIFS('Team Lineups'!C:C,A46,'Team Lineups'!G:G,"Win")</f>
        <v>0</v>
      </c>
      <c r="H46">
        <f>COUNTIFS('Team Lineups'!C:C,A46,'Team Lineups'!G:G,"Draw")</f>
        <v>1</v>
      </c>
      <c r="I46">
        <f>COUNTIFS('Team Lineups'!C:C,A46,'Team Lineups'!G:G,"Loss")</f>
        <v>0</v>
      </c>
      <c r="J46" s="3">
        <f t="shared" si="1"/>
        <v>0</v>
      </c>
      <c r="K46" s="3">
        <f t="shared" si="2"/>
        <v>0</v>
      </c>
      <c r="L46">
        <f>SUMIF('Team Lineups'!C:C,A46,'Team Lineups'!H:H)</f>
        <v>3</v>
      </c>
      <c r="M46">
        <f t="shared" si="3"/>
        <v>3</v>
      </c>
      <c r="N46">
        <f>SUMIF('Team Lineups'!C:C,A46,'Team Lineups'!I:I)</f>
        <v>0</v>
      </c>
      <c r="O46">
        <f>COUNTIF(Matches!G:G,A46)</f>
        <v>0</v>
      </c>
      <c r="P46">
        <f t="shared" si="4"/>
        <v>0</v>
      </c>
      <c r="Q46">
        <f>SUMIF('Team Lineups'!C:C,A46,'Team Lineups'!J:J)</f>
        <v>0</v>
      </c>
    </row>
    <row r="47" spans="1:17" x14ac:dyDescent="0.35">
      <c r="A47" t="s">
        <v>95</v>
      </c>
      <c r="C47">
        <f>COUNTIF('Team Lineups'!C:C,A47)</f>
        <v>2</v>
      </c>
      <c r="D47">
        <f>SUMIF('Team Lineups'!C:C,A47,'Team Lineups'!E:E)</f>
        <v>22</v>
      </c>
      <c r="E47">
        <f>SUMIF('Team Lineups'!C:C,A47,'Team Lineups'!F:F)</f>
        <v>16</v>
      </c>
      <c r="F47">
        <f t="shared" si="0"/>
        <v>6</v>
      </c>
      <c r="G47">
        <f>COUNTIFS('Team Lineups'!C:C,A47,'Team Lineups'!G:G,"Win")</f>
        <v>2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si="1"/>
        <v>1</v>
      </c>
      <c r="K47" s="3">
        <f t="shared" si="2"/>
        <v>0</v>
      </c>
      <c r="L47">
        <f>SUMIF('Team Lineups'!C:C,A47,'Team Lineups'!H:H)</f>
        <v>5</v>
      </c>
      <c r="M47">
        <f t="shared" si="3"/>
        <v>2.5</v>
      </c>
      <c r="N47">
        <f>SUMIF('Team Lineups'!C:C,A47,'Team Lineups'!I:I)</f>
        <v>2</v>
      </c>
      <c r="O47">
        <f>COUNTIF(Matches!G:G,A47)</f>
        <v>0</v>
      </c>
      <c r="P47">
        <f t="shared" si="4"/>
        <v>0</v>
      </c>
      <c r="Q47">
        <f>SUMIF('Team Lineups'!C:C,A47,'Team Lineups'!J:J)</f>
        <v>0</v>
      </c>
    </row>
    <row r="48" spans="1:17" x14ac:dyDescent="0.35">
      <c r="A48" t="s">
        <v>116</v>
      </c>
      <c r="C48">
        <f>COUNTIF('Team Lineups'!C:C,A48)</f>
        <v>1</v>
      </c>
      <c r="D48">
        <f>SUMIF('Team Lineups'!C:C,A48,'Team Lineups'!E:E)</f>
        <v>12</v>
      </c>
      <c r="E48">
        <f>SUMIF('Team Lineups'!C:C,A48,'Team Lineups'!F:F)</f>
        <v>6</v>
      </c>
      <c r="F48">
        <f t="shared" si="0"/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 t="shared" si="1"/>
        <v>1</v>
      </c>
      <c r="K48" s="3">
        <f t="shared" si="2"/>
        <v>0</v>
      </c>
      <c r="L48">
        <f>SUMIF('Team Lineups'!C:C,A48,'Team Lineups'!H:H)</f>
        <v>1</v>
      </c>
      <c r="M48">
        <f t="shared" si="3"/>
        <v>1</v>
      </c>
      <c r="N48">
        <f>SUMIF('Team Lineups'!C:C,A48,'Team Lineups'!I:I)</f>
        <v>0</v>
      </c>
      <c r="O48">
        <f>COUNTIF(Matches!G:G,A48)</f>
        <v>0</v>
      </c>
      <c r="P48">
        <f t="shared" si="4"/>
        <v>0</v>
      </c>
      <c r="Q48">
        <f>SUMIF('Team Lineups'!C:C,A48,'Team Lineups'!J:J)</f>
        <v>0</v>
      </c>
    </row>
    <row r="49" spans="1:17" x14ac:dyDescent="0.35">
      <c r="A49" t="s">
        <v>120</v>
      </c>
      <c r="C49">
        <f>COUNTIF('Team Lineups'!C:C,A49)</f>
        <v>1</v>
      </c>
      <c r="D49">
        <f>SUMIF('Team Lineups'!C:C,A49,'Team Lineups'!E:E)</f>
        <v>14</v>
      </c>
      <c r="E49">
        <f>SUMIF('Team Lineups'!C:C,A49,'Team Lineups'!F:F)</f>
        <v>8</v>
      </c>
      <c r="F49">
        <f t="shared" si="0"/>
        <v>6</v>
      </c>
      <c r="G49">
        <f>COUNTIFS('Team Lineups'!C:C,A49,'Team Lineups'!G:G,"Win")</f>
        <v>1</v>
      </c>
      <c r="H49">
        <f>COUNTIFS('Team Lineups'!C:C,A49,'Team Lineups'!G:G,"Draw")</f>
        <v>0</v>
      </c>
      <c r="I49">
        <f>COUNTIFS('Team Lineups'!C:C,A49,'Team Lineups'!G:G,"Loss")</f>
        <v>0</v>
      </c>
      <c r="J49" s="3">
        <f t="shared" si="1"/>
        <v>1</v>
      </c>
      <c r="K49" s="3">
        <f t="shared" si="2"/>
        <v>0</v>
      </c>
      <c r="L49">
        <f>SUMIF('Team Lineups'!C:C,A49,'Team Lineups'!H:H)</f>
        <v>2</v>
      </c>
      <c r="M49">
        <f t="shared" si="3"/>
        <v>2</v>
      </c>
      <c r="N49">
        <f>SUMIF('Team Lineups'!C:C,A49,'Team Lineups'!I:I)</f>
        <v>4</v>
      </c>
      <c r="O49">
        <f>COUNTIF(Matches!G:G,A49)</f>
        <v>0</v>
      </c>
      <c r="P49">
        <f t="shared" si="4"/>
        <v>0</v>
      </c>
      <c r="Q49">
        <f>SUMIF('Team Lineups'!C:C,A49,'Team Lineups'!J:J)</f>
        <v>0</v>
      </c>
    </row>
    <row r="50" spans="1:17" x14ac:dyDescent="0.35">
      <c r="A50" t="s">
        <v>125</v>
      </c>
      <c r="C50">
        <f>COUNTIF('Team Lineups'!C:C,A50)</f>
        <v>1</v>
      </c>
      <c r="D50">
        <f>SUMIF('Team Lineups'!C:C,A50,'Team Lineups'!E:E)</f>
        <v>3</v>
      </c>
      <c r="E50">
        <f>SUMIF('Team Lineups'!C:C,A50,'Team Lineups'!F:F)</f>
        <v>4</v>
      </c>
      <c r="F50">
        <f t="shared" ref="F50" si="5">D50-E50</f>
        <v>-1</v>
      </c>
      <c r="G50">
        <f>COUNTIFS('Team Lineups'!C:C,A50,'Team Lineups'!G:G,"Win")</f>
        <v>0</v>
      </c>
      <c r="H50">
        <f>COUNTIFS('Team Lineups'!C:C,A50,'Team Lineups'!G:G,"Draw")</f>
        <v>0</v>
      </c>
      <c r="I50">
        <f>COUNTIFS('Team Lineups'!C:C,A50,'Team Lineups'!G:G,"Loss")</f>
        <v>1</v>
      </c>
      <c r="J50" s="3">
        <f t="shared" ref="J50" si="6">G50/C50</f>
        <v>0</v>
      </c>
      <c r="K50" s="3">
        <f t="shared" ref="K50" si="7">I50/C50</f>
        <v>1</v>
      </c>
      <c r="L50">
        <f>SUMIF('Team Lineups'!C:C,A50,'Team Lineups'!H:H)</f>
        <v>0</v>
      </c>
      <c r="M50">
        <f t="shared" ref="M50" si="8">L50/C50</f>
        <v>0</v>
      </c>
      <c r="N50">
        <f>SUMIF('Team Lineups'!C:C,A50,'Team Lineups'!I:I)</f>
        <v>0</v>
      </c>
      <c r="O50">
        <f>COUNTIF(Matches!G:G,A50)</f>
        <v>0</v>
      </c>
      <c r="P50">
        <f t="shared" ref="P50" si="9">O50/C50</f>
        <v>0</v>
      </c>
      <c r="Q50">
        <f>SUMIF('Team Lineups'!C:C,A50,'Team Lineups'!J:J)</f>
        <v>0</v>
      </c>
    </row>
    <row r="51" spans="1:17" x14ac:dyDescent="0.35">
      <c r="A51" t="s">
        <v>128</v>
      </c>
      <c r="C51">
        <f>COUNTIF('Team Lineups'!C:C,A51)</f>
        <v>1</v>
      </c>
      <c r="D51">
        <f>SUMIF('Team Lineups'!C:C,A51,'Team Lineups'!E:E)</f>
        <v>8</v>
      </c>
      <c r="E51">
        <f>SUMIF('Team Lineups'!C:C,A51,'Team Lineups'!F:F)</f>
        <v>5</v>
      </c>
      <c r="F51">
        <f t="shared" ref="F51" si="10">D51-E51</f>
        <v>3</v>
      </c>
      <c r="G51">
        <f>COUNTIFS('Team Lineups'!C:C,A51,'Team Lineups'!G:G,"Win")</f>
        <v>1</v>
      </c>
      <c r="H51">
        <f>COUNTIFS('Team Lineups'!C:C,A51,'Team Lineups'!G:G,"Draw")</f>
        <v>0</v>
      </c>
      <c r="I51">
        <f>COUNTIFS('Team Lineups'!C:C,A51,'Team Lineups'!G:G,"Loss")</f>
        <v>0</v>
      </c>
      <c r="J51" s="3">
        <f t="shared" ref="J51" si="11">G51/C51</f>
        <v>1</v>
      </c>
      <c r="K51" s="3">
        <f t="shared" ref="K51" si="12">I51/C51</f>
        <v>0</v>
      </c>
      <c r="L51">
        <f>SUMIF('Team Lineups'!C:C,A51,'Team Lineups'!H:H)</f>
        <v>2</v>
      </c>
      <c r="M51">
        <f t="shared" ref="M51" si="13">L51/C51</f>
        <v>2</v>
      </c>
      <c r="N51">
        <f>SUMIF('Team Lineups'!C:C,A51,'Team Lineups'!I:I)</f>
        <v>0</v>
      </c>
      <c r="O51">
        <f>COUNTIF(Matches!G:G,A51)</f>
        <v>0</v>
      </c>
      <c r="P51">
        <f t="shared" ref="P51" si="14">O51/C51</f>
        <v>0</v>
      </c>
      <c r="Q51">
        <f>SUMIF('Team Lineups'!C:C,A51,'Team Lineups'!J:J)</f>
        <v>0</v>
      </c>
    </row>
    <row r="52" spans="1:17" x14ac:dyDescent="0.35">
      <c r="A52" t="s">
        <v>131</v>
      </c>
      <c r="C52">
        <f>COUNTIF('Team Lineups'!C:C,A52)</f>
        <v>1</v>
      </c>
      <c r="D52">
        <f>SUMIF('Team Lineups'!C:C,A52,'Team Lineups'!E:E)</f>
        <v>7</v>
      </c>
      <c r="E52">
        <f>SUMIF('Team Lineups'!C:C,A52,'Team Lineups'!F:F)</f>
        <v>4</v>
      </c>
      <c r="F52">
        <f t="shared" ref="F52" si="15">D52-E52</f>
        <v>3</v>
      </c>
      <c r="G52">
        <f>COUNTIFS('Team Lineups'!C:C,A52,'Team Lineups'!G:G,"Win")</f>
        <v>1</v>
      </c>
      <c r="H52">
        <f>COUNTIFS('Team Lineups'!C:C,A52,'Team Lineups'!G:G,"Draw")</f>
        <v>0</v>
      </c>
      <c r="I52">
        <f>COUNTIFS('Team Lineups'!C:C,A52,'Team Lineups'!G:G,"Loss")</f>
        <v>0</v>
      </c>
      <c r="J52" s="3">
        <f t="shared" ref="J52" si="16">G52/C52</f>
        <v>1</v>
      </c>
      <c r="K52" s="3">
        <f t="shared" ref="K52" si="17">I52/C52</f>
        <v>0</v>
      </c>
      <c r="L52">
        <f>SUMIF('Team Lineups'!C:C,A52,'Team Lineups'!H:H)</f>
        <v>1</v>
      </c>
      <c r="M52">
        <f t="shared" ref="M52" si="18">L52/C52</f>
        <v>1</v>
      </c>
      <c r="N52">
        <f>SUMIF('Team Lineups'!C:C,A52,'Team Lineups'!I:I)</f>
        <v>0</v>
      </c>
      <c r="O52">
        <f>COUNTIF(Matches!G:G,A52)</f>
        <v>0</v>
      </c>
      <c r="P52">
        <f t="shared" ref="P52" si="19">O52/C52</f>
        <v>0</v>
      </c>
      <c r="Q52">
        <f>SUMIF('Team Lineups'!C:C,A52,'Team Lineups'!J:J)</f>
        <v>0</v>
      </c>
    </row>
  </sheetData>
  <autoFilter ref="A1:P27" xr:uid="{00000000-0001-0000-0200-000000000000}">
    <sortState xmlns:xlrd2="http://schemas.microsoft.com/office/spreadsheetml/2017/richdata2" ref="A2:P49">
      <sortCondition descending="1" ref="K1:K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B1" sqref="B1:B1048576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A48">
        <v>47</v>
      </c>
      <c r="B48" s="2">
        <v>46233</v>
      </c>
      <c r="C48" t="s">
        <v>7</v>
      </c>
      <c r="D48" s="1" t="s">
        <v>104</v>
      </c>
      <c r="E48">
        <f t="shared" ref="E48" si="50">VALUE(LEFT(D48, FIND("-", D48)-1))</f>
        <v>10</v>
      </c>
      <c r="F48">
        <f t="shared" ref="F48" si="51">VALUE(MID(D48, FIND("-", D48)+1, 10))</f>
        <v>5</v>
      </c>
      <c r="G48" t="s">
        <v>121</v>
      </c>
    </row>
    <row r="49" spans="1:7" x14ac:dyDescent="0.35">
      <c r="A49">
        <v>48</v>
      </c>
      <c r="B49" s="2">
        <v>46240</v>
      </c>
      <c r="C49" t="s">
        <v>7</v>
      </c>
      <c r="D49" s="1" t="s">
        <v>123</v>
      </c>
      <c r="E49">
        <f t="shared" ref="E49:E50" si="52">VALUE(LEFT(D49, FIND("-", D49)-1))</f>
        <v>12</v>
      </c>
      <c r="F49">
        <f t="shared" ref="F49:F50" si="53">VALUE(MID(D49, FIND("-", D49)+1, 10))</f>
        <v>10</v>
      </c>
      <c r="G49" t="s">
        <v>16</v>
      </c>
    </row>
    <row r="50" spans="1:7" x14ac:dyDescent="0.35">
      <c r="A50">
        <v>49</v>
      </c>
      <c r="B50" s="2">
        <v>46240</v>
      </c>
      <c r="C50" t="s">
        <v>7</v>
      </c>
      <c r="D50" s="1" t="s">
        <v>124</v>
      </c>
      <c r="E50">
        <f t="shared" si="52"/>
        <v>11</v>
      </c>
      <c r="F50">
        <f t="shared" si="53"/>
        <v>8</v>
      </c>
      <c r="G50" t="s">
        <v>75</v>
      </c>
    </row>
    <row r="51" spans="1:7" x14ac:dyDescent="0.35">
      <c r="A51">
        <v>50</v>
      </c>
      <c r="B51" s="2">
        <v>46247</v>
      </c>
      <c r="C51" t="s">
        <v>7</v>
      </c>
      <c r="D51" s="1" t="s">
        <v>110</v>
      </c>
      <c r="E51">
        <f t="shared" ref="E51" si="54">VALUE(LEFT(D51, FIND("-", D51)-1))</f>
        <v>9</v>
      </c>
      <c r="F51">
        <f t="shared" ref="F51" si="55">VALUE(MID(D51, FIND("-", D51)+1, 10))</f>
        <v>7</v>
      </c>
      <c r="G51" t="s">
        <v>88</v>
      </c>
    </row>
    <row r="52" spans="1:7" x14ac:dyDescent="0.35">
      <c r="A52">
        <v>51</v>
      </c>
      <c r="B52" s="2">
        <v>46254</v>
      </c>
      <c r="C52" t="s">
        <v>7</v>
      </c>
      <c r="D52" s="1" t="s">
        <v>126</v>
      </c>
      <c r="E52">
        <f t="shared" ref="E52" si="56">VALUE(LEFT(D52, FIND("-", D52)-1))</f>
        <v>3</v>
      </c>
      <c r="F52">
        <f t="shared" ref="F52" si="57">VALUE(MID(D52, FIND("-", D52)+1, 10))</f>
        <v>4</v>
      </c>
      <c r="G52" t="s">
        <v>75</v>
      </c>
    </row>
    <row r="53" spans="1:7" x14ac:dyDescent="0.35">
      <c r="A53">
        <v>52</v>
      </c>
      <c r="B53" s="2">
        <v>46261</v>
      </c>
      <c r="C53" t="s">
        <v>7</v>
      </c>
      <c r="D53" s="1" t="s">
        <v>127</v>
      </c>
      <c r="E53">
        <f t="shared" ref="E53" si="58">VALUE(LEFT(D53, FIND("-", D53)-1))</f>
        <v>10</v>
      </c>
      <c r="F53">
        <f t="shared" ref="F53" si="59">VALUE(MID(D53, FIND("-", D53)+1, 10))</f>
        <v>4</v>
      </c>
      <c r="G53" t="s">
        <v>54</v>
      </c>
    </row>
    <row r="54" spans="1:7" x14ac:dyDescent="0.35">
      <c r="A54">
        <v>53</v>
      </c>
      <c r="B54" s="2">
        <v>46633</v>
      </c>
      <c r="C54" t="s">
        <v>7</v>
      </c>
      <c r="D54" s="1" t="s">
        <v>73</v>
      </c>
      <c r="E54">
        <f t="shared" ref="E54:E55" si="60">VALUE(LEFT(D54, FIND("-", D54)-1))</f>
        <v>6</v>
      </c>
      <c r="F54">
        <f t="shared" ref="F54:F55" si="61">VALUE(MID(D54, FIND("-", D54)+1, 10))</f>
        <v>5</v>
      </c>
      <c r="G54" t="s">
        <v>121</v>
      </c>
    </row>
    <row r="55" spans="1:7" x14ac:dyDescent="0.35">
      <c r="A55">
        <v>54</v>
      </c>
      <c r="B55" s="2">
        <v>46633</v>
      </c>
      <c r="C55" t="s">
        <v>7</v>
      </c>
      <c r="D55" s="1" t="s">
        <v>129</v>
      </c>
      <c r="E55">
        <f t="shared" si="60"/>
        <v>5</v>
      </c>
      <c r="F55">
        <f t="shared" si="61"/>
        <v>8</v>
      </c>
      <c r="G55" t="s">
        <v>42</v>
      </c>
    </row>
    <row r="56" spans="1:7" x14ac:dyDescent="0.35">
      <c r="A56">
        <v>55</v>
      </c>
      <c r="B56" s="2">
        <v>46275</v>
      </c>
      <c r="C56" t="s">
        <v>7</v>
      </c>
      <c r="D56" s="1" t="s">
        <v>114</v>
      </c>
      <c r="E56">
        <f t="shared" ref="E56" si="62">VALUE(LEFT(D56, FIND("-", D56)-1))</f>
        <v>9</v>
      </c>
      <c r="F56">
        <f t="shared" ref="F56" si="63">VALUE(MID(D56, FIND("-", D56)+1, 10))</f>
        <v>6</v>
      </c>
      <c r="G56" t="s">
        <v>75</v>
      </c>
    </row>
    <row r="57" spans="1:7" x14ac:dyDescent="0.35">
      <c r="A57">
        <v>56</v>
      </c>
      <c r="B57" s="2">
        <v>46282</v>
      </c>
      <c r="C57" t="s">
        <v>7</v>
      </c>
      <c r="D57" s="1" t="s">
        <v>122</v>
      </c>
      <c r="E57">
        <f t="shared" ref="E57:E58" si="64">VALUE(LEFT(D57, FIND("-", D57)-1))</f>
        <v>4</v>
      </c>
      <c r="F57">
        <f t="shared" ref="F57:F58" si="65">VALUE(MID(D57, FIND("-", D57)+1, 10))</f>
        <v>5</v>
      </c>
      <c r="G57" t="s">
        <v>42</v>
      </c>
    </row>
    <row r="58" spans="1:7" x14ac:dyDescent="0.35">
      <c r="A58">
        <v>57</v>
      </c>
      <c r="B58" s="2">
        <v>46289</v>
      </c>
      <c r="C58" t="s">
        <v>7</v>
      </c>
      <c r="D58" s="1" t="s">
        <v>90</v>
      </c>
      <c r="E58">
        <f t="shared" si="64"/>
        <v>3</v>
      </c>
      <c r="F58">
        <f t="shared" si="65"/>
        <v>2</v>
      </c>
      <c r="G58" t="s">
        <v>42</v>
      </c>
    </row>
    <row r="59" spans="1:7" x14ac:dyDescent="0.35">
      <c r="A59">
        <v>58</v>
      </c>
      <c r="B59" s="2">
        <v>46296</v>
      </c>
      <c r="C59" t="s">
        <v>7</v>
      </c>
      <c r="D59" s="1" t="s">
        <v>80</v>
      </c>
      <c r="E59">
        <f t="shared" ref="E59" si="66">VALUE(LEFT(D59, FIND("-", D59)-1))</f>
        <v>6</v>
      </c>
      <c r="F59">
        <f t="shared" ref="F59" si="67">VALUE(MID(D59, FIND("-", D59)+1, 10))</f>
        <v>6</v>
      </c>
      <c r="G59" t="s">
        <v>51</v>
      </c>
    </row>
    <row r="60" spans="1:7" x14ac:dyDescent="0.35">
      <c r="A60">
        <v>59</v>
      </c>
      <c r="B60" s="2">
        <v>46303</v>
      </c>
      <c r="C60" t="s">
        <v>7</v>
      </c>
      <c r="D60" s="1" t="s">
        <v>130</v>
      </c>
      <c r="E60">
        <f t="shared" ref="E60" si="68">VALUE(LEFT(D60, FIND("-", D60)-1))</f>
        <v>4</v>
      </c>
      <c r="F60">
        <f t="shared" ref="F60" si="69">VALUE(MID(D60, FIND("-", D60)+1, 10))</f>
        <v>7</v>
      </c>
      <c r="G60" t="s">
        <v>66</v>
      </c>
    </row>
    <row r="61" spans="1:7" x14ac:dyDescent="0.35">
      <c r="A61">
        <v>60</v>
      </c>
      <c r="B61" s="2">
        <v>46310</v>
      </c>
      <c r="C61" t="s">
        <v>7</v>
      </c>
      <c r="D61" s="1" t="s">
        <v>132</v>
      </c>
      <c r="E61">
        <f t="shared" ref="E61" si="70">VALUE(LEFT(D61, FIND("-", D61)-1))</f>
        <v>1</v>
      </c>
      <c r="F61">
        <f t="shared" ref="F61" si="71">VALUE(MID(D61, FIND("-", D61)+1, 10))</f>
        <v>7</v>
      </c>
      <c r="G61" t="s">
        <v>21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6"/>
  <sheetViews>
    <sheetView topLeftCell="A681" workbookViewId="0">
      <selection activeCell="C718" sqref="C718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85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H537">
        <v>1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I538">
        <v>1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  <row r="541" spans="1:11" x14ac:dyDescent="0.35">
      <c r="A541">
        <v>47</v>
      </c>
      <c r="B541" s="6">
        <v>46233</v>
      </c>
      <c r="C541" t="s">
        <v>25</v>
      </c>
      <c r="D541" t="s">
        <v>17</v>
      </c>
      <c r="E541">
        <f>IF(D541="A", INDEX(Matches!$E:$E, MATCH(A541, Matches!$A:$A, 0)), INDEX(Matches!$F:$F, MATCH(A541, Matches!$A:$A, 0)))</f>
        <v>10</v>
      </c>
      <c r="F541">
        <f>IF(D541="A", INDEX(Matches!$F:$F, MATCH(A541, Matches!$A:$A, 0)), INDEX(Matches!$E:$E, MATCH(A541, Matches!$A:$A, 0)))</f>
        <v>5</v>
      </c>
      <c r="G541" t="str">
        <f t="shared" ref="G541:G554" si="43">IF(E541&gt;F541,"Win",IF(E541&lt;F541,"Loss","Draw"))</f>
        <v>Win</v>
      </c>
      <c r="K541" t="str">
        <f t="shared" si="41"/>
        <v>47_A</v>
      </c>
    </row>
    <row r="542" spans="1:11" x14ac:dyDescent="0.35">
      <c r="A542">
        <v>47</v>
      </c>
      <c r="B542" s="6">
        <v>46233</v>
      </c>
      <c r="C542" t="s">
        <v>20</v>
      </c>
      <c r="D542" t="s">
        <v>17</v>
      </c>
      <c r="E542">
        <f>IF(D542="A", INDEX(Matches!$E:$E, MATCH(A542, Matches!$A:$A, 0)), INDEX(Matches!$F:$F, MATCH(A542, Matches!$A:$A, 0)))</f>
        <v>10</v>
      </c>
      <c r="F542">
        <f>IF(D542="A", INDEX(Matches!$F:$F, MATCH(A542, Matches!$A:$A, 0)), INDEX(Matches!$E:$E, MATCH(A542, Matches!$A:$A, 0)))</f>
        <v>5</v>
      </c>
      <c r="G542" t="str">
        <f t="shared" si="43"/>
        <v>Win</v>
      </c>
      <c r="K542" t="str">
        <f t="shared" si="41"/>
        <v>47_A</v>
      </c>
    </row>
    <row r="543" spans="1:11" x14ac:dyDescent="0.35">
      <c r="A543">
        <v>47</v>
      </c>
      <c r="B543" s="6">
        <v>46233</v>
      </c>
      <c r="C543" t="s">
        <v>84</v>
      </c>
      <c r="D543" t="s">
        <v>17</v>
      </c>
      <c r="E543">
        <f>IF(D543="A", INDEX(Matches!$E:$E, MATCH(A543, Matches!$A:$A, 0)), INDEX(Matches!$F:$F, MATCH(A543, Matches!$A:$A, 0)))</f>
        <v>10</v>
      </c>
      <c r="F543">
        <f>IF(D543="A", INDEX(Matches!$F:$F, MATCH(A543, Matches!$A:$A, 0)), INDEX(Matches!$E:$E, MATCH(A543, Matches!$A:$A, 0)))</f>
        <v>5</v>
      </c>
      <c r="G543" t="str">
        <f t="shared" si="43"/>
        <v>Win</v>
      </c>
      <c r="I543">
        <v>2</v>
      </c>
      <c r="K543" t="str">
        <f t="shared" si="41"/>
        <v>47_A</v>
      </c>
    </row>
    <row r="544" spans="1:11" x14ac:dyDescent="0.35">
      <c r="A544">
        <v>47</v>
      </c>
      <c r="B544" s="6">
        <v>46233</v>
      </c>
      <c r="C544" t="s">
        <v>89</v>
      </c>
      <c r="D544" t="s">
        <v>17</v>
      </c>
      <c r="E544">
        <f>IF(D544="A", INDEX(Matches!$E:$E, MATCH(A544, Matches!$A:$A, 0)), INDEX(Matches!$F:$F, MATCH(A544, Matches!$A:$A, 0)))</f>
        <v>10</v>
      </c>
      <c r="F544">
        <f>IF(D544="A", INDEX(Matches!$F:$F, MATCH(A544, Matches!$A:$A, 0)), INDEX(Matches!$E:$E, MATCH(A544, Matches!$A:$A, 0)))</f>
        <v>5</v>
      </c>
      <c r="G544" t="str">
        <f t="shared" si="43"/>
        <v>Win</v>
      </c>
      <c r="H544">
        <v>4</v>
      </c>
      <c r="I544">
        <v>1</v>
      </c>
      <c r="K544" t="str">
        <f t="shared" si="41"/>
        <v>47_A</v>
      </c>
    </row>
    <row r="545" spans="1:11" x14ac:dyDescent="0.35">
      <c r="A545">
        <v>47</v>
      </c>
      <c r="B545" s="6">
        <v>46233</v>
      </c>
      <c r="C545" t="s">
        <v>121</v>
      </c>
      <c r="D545" t="s">
        <v>17</v>
      </c>
      <c r="E545">
        <f>IF(D545="A", INDEX(Matches!$E:$E, MATCH(A545, Matches!$A:$A, 0)), INDEX(Matches!$F:$F, MATCH(A545, Matches!$A:$A, 0)))</f>
        <v>10</v>
      </c>
      <c r="F545">
        <f>IF(D545="A", INDEX(Matches!$F:$F, MATCH(A545, Matches!$A:$A, 0)), INDEX(Matches!$E:$E, MATCH(A545, Matches!$A:$A, 0)))</f>
        <v>5</v>
      </c>
      <c r="G545" t="str">
        <f t="shared" si="43"/>
        <v>Win</v>
      </c>
      <c r="H545">
        <v>5</v>
      </c>
      <c r="K545" t="str">
        <f t="shared" si="41"/>
        <v>47_A</v>
      </c>
    </row>
    <row r="546" spans="1:11" x14ac:dyDescent="0.35">
      <c r="A546">
        <v>47</v>
      </c>
      <c r="B546" s="6">
        <v>46233</v>
      </c>
      <c r="C546" t="s">
        <v>45</v>
      </c>
      <c r="D546" t="s">
        <v>17</v>
      </c>
      <c r="E546">
        <f>IF(D546="A", INDEX(Matches!$E:$E, MATCH(A546, Matches!$A:$A, 0)), INDEX(Matches!$F:$F, MATCH(A546, Matches!$A:$A, 0)))</f>
        <v>10</v>
      </c>
      <c r="F546">
        <f>IF(D546="A", INDEX(Matches!$F:$F, MATCH(A546, Matches!$A:$A, 0)), INDEX(Matches!$E:$E, MATCH(A546, Matches!$A:$A, 0)))</f>
        <v>5</v>
      </c>
      <c r="G546" t="str">
        <f t="shared" si="43"/>
        <v>Win</v>
      </c>
      <c r="K546" t="str">
        <f t="shared" si="41"/>
        <v>47_A</v>
      </c>
    </row>
    <row r="547" spans="1:11" x14ac:dyDescent="0.35">
      <c r="A547">
        <v>47</v>
      </c>
      <c r="B547" s="6">
        <v>46233</v>
      </c>
      <c r="C547" t="s">
        <v>22</v>
      </c>
      <c r="D547" t="s">
        <v>17</v>
      </c>
      <c r="E547">
        <f>IF(D547="A", INDEX(Matches!$E:$E, MATCH(A547, Matches!$A:$A, 0)), INDEX(Matches!$F:$F, MATCH(A547, Matches!$A:$A, 0)))</f>
        <v>10</v>
      </c>
      <c r="F547">
        <f>IF(D547="A", INDEX(Matches!$F:$F, MATCH(A547, Matches!$A:$A, 0)), INDEX(Matches!$E:$E, MATCH(A547, Matches!$A:$A, 0)))</f>
        <v>5</v>
      </c>
      <c r="G547" t="str">
        <f t="shared" si="43"/>
        <v>Win</v>
      </c>
      <c r="H547">
        <v>1</v>
      </c>
      <c r="I547">
        <v>1</v>
      </c>
      <c r="K547" t="str">
        <f t="shared" si="41"/>
        <v>47_A</v>
      </c>
    </row>
    <row r="548" spans="1:11" x14ac:dyDescent="0.35">
      <c r="A548">
        <v>47</v>
      </c>
      <c r="B548" s="6">
        <v>46233</v>
      </c>
      <c r="C548" t="s">
        <v>53</v>
      </c>
      <c r="D548" t="s">
        <v>23</v>
      </c>
      <c r="E548">
        <f>IF(D548="A", INDEX(Matches!$E:$E, MATCH(A548, Matches!$A:$A, 0)), INDEX(Matches!$F:$F, MATCH(A548, Matches!$A:$A, 0)))</f>
        <v>5</v>
      </c>
      <c r="F548">
        <f>IF(D548="A", INDEX(Matches!$F:$F, MATCH(A548, Matches!$A:$A, 0)), INDEX(Matches!$E:$E, MATCH(A548, Matches!$A:$A, 0)))</f>
        <v>10</v>
      </c>
      <c r="G548" t="str">
        <f t="shared" si="43"/>
        <v>Loss</v>
      </c>
      <c r="K548" t="str">
        <f t="shared" si="41"/>
        <v>47_B</v>
      </c>
    </row>
    <row r="549" spans="1:11" x14ac:dyDescent="0.35">
      <c r="A549">
        <v>47</v>
      </c>
      <c r="B549" s="6">
        <v>46233</v>
      </c>
      <c r="C549" t="s">
        <v>88</v>
      </c>
      <c r="D549" t="s">
        <v>23</v>
      </c>
      <c r="E549">
        <f>IF(D549="A", INDEX(Matches!$E:$E, MATCH(A549, Matches!$A:$A, 0)), INDEX(Matches!$F:$F, MATCH(A549, Matches!$A:$A, 0)))</f>
        <v>5</v>
      </c>
      <c r="F549">
        <f>IF(D549="A", INDEX(Matches!$F:$F, MATCH(A549, Matches!$A:$A, 0)), INDEX(Matches!$E:$E, MATCH(A549, Matches!$A:$A, 0)))</f>
        <v>10</v>
      </c>
      <c r="G549" t="str">
        <f t="shared" si="43"/>
        <v>Loss</v>
      </c>
      <c r="K549" t="str">
        <f t="shared" si="41"/>
        <v>47_B</v>
      </c>
    </row>
    <row r="550" spans="1:11" x14ac:dyDescent="0.35">
      <c r="A550">
        <v>47</v>
      </c>
      <c r="B550" s="6">
        <v>46233</v>
      </c>
      <c r="C550" t="s">
        <v>40</v>
      </c>
      <c r="D550" t="s">
        <v>23</v>
      </c>
      <c r="E550">
        <f>IF(D550="A", INDEX(Matches!$E:$E, MATCH(A550, Matches!$A:$A, 0)), INDEX(Matches!$F:$F, MATCH(A550, Matches!$A:$A, 0)))</f>
        <v>5</v>
      </c>
      <c r="F550">
        <f>IF(D550="A", INDEX(Matches!$F:$F, MATCH(A550, Matches!$A:$A, 0)), INDEX(Matches!$E:$E, MATCH(A550, Matches!$A:$A, 0)))</f>
        <v>10</v>
      </c>
      <c r="G550" t="str">
        <f t="shared" si="43"/>
        <v>Loss</v>
      </c>
      <c r="I550">
        <v>1</v>
      </c>
      <c r="K550" t="str">
        <f t="shared" si="41"/>
        <v>47_B</v>
      </c>
    </row>
    <row r="551" spans="1:11" x14ac:dyDescent="0.35">
      <c r="A551">
        <v>47</v>
      </c>
      <c r="B551" s="6">
        <v>46233</v>
      </c>
      <c r="C551" t="s">
        <v>99</v>
      </c>
      <c r="D551" t="s">
        <v>23</v>
      </c>
      <c r="E551">
        <f>IF(D551="A", INDEX(Matches!$E:$E, MATCH(A551, Matches!$A:$A, 0)), INDEX(Matches!$F:$F, MATCH(A551, Matches!$A:$A, 0)))</f>
        <v>5</v>
      </c>
      <c r="F551">
        <f>IF(D551="A", INDEX(Matches!$F:$F, MATCH(A551, Matches!$A:$A, 0)), INDEX(Matches!$E:$E, MATCH(A551, Matches!$A:$A, 0)))</f>
        <v>10</v>
      </c>
      <c r="G551" t="str">
        <f t="shared" si="43"/>
        <v>Loss</v>
      </c>
      <c r="K551" t="str">
        <f t="shared" si="41"/>
        <v>47_B</v>
      </c>
    </row>
    <row r="552" spans="1:11" x14ac:dyDescent="0.35">
      <c r="A552">
        <v>47</v>
      </c>
      <c r="B552" s="6">
        <v>46233</v>
      </c>
      <c r="C552" t="s">
        <v>52</v>
      </c>
      <c r="D552" t="s">
        <v>23</v>
      </c>
      <c r="E552">
        <f>IF(D552="A", INDEX(Matches!$E:$E, MATCH(A552, Matches!$A:$A, 0)), INDEX(Matches!$F:$F, MATCH(A552, Matches!$A:$A, 0)))</f>
        <v>5</v>
      </c>
      <c r="F552">
        <f>IF(D552="A", INDEX(Matches!$F:$F, MATCH(A552, Matches!$A:$A, 0)), INDEX(Matches!$E:$E, MATCH(A552, Matches!$A:$A, 0)))</f>
        <v>10</v>
      </c>
      <c r="G552" t="str">
        <f t="shared" si="43"/>
        <v>Loss</v>
      </c>
      <c r="H552">
        <v>1</v>
      </c>
      <c r="K552" t="str">
        <f t="shared" si="41"/>
        <v>47_B</v>
      </c>
    </row>
    <row r="553" spans="1:11" x14ac:dyDescent="0.35">
      <c r="A553">
        <v>47</v>
      </c>
      <c r="B553" s="6">
        <v>46233</v>
      </c>
      <c r="C553" t="s">
        <v>66</v>
      </c>
      <c r="D553" t="s">
        <v>23</v>
      </c>
      <c r="E553">
        <f>IF(D553="A", INDEX(Matches!$E:$E, MATCH(A553, Matches!$A:$A, 0)), INDEX(Matches!$F:$F, MATCH(A553, Matches!$A:$A, 0)))</f>
        <v>5</v>
      </c>
      <c r="F553">
        <f>IF(D553="A", INDEX(Matches!$F:$F, MATCH(A553, Matches!$A:$A, 0)), INDEX(Matches!$E:$E, MATCH(A553, Matches!$A:$A, 0)))</f>
        <v>10</v>
      </c>
      <c r="G553" t="str">
        <f t="shared" si="43"/>
        <v>Loss</v>
      </c>
      <c r="H553">
        <v>1</v>
      </c>
      <c r="K553" t="str">
        <f t="shared" si="41"/>
        <v>47_B</v>
      </c>
    </row>
    <row r="554" spans="1:11" x14ac:dyDescent="0.35">
      <c r="A554">
        <v>47</v>
      </c>
      <c r="B554" s="6">
        <v>46233</v>
      </c>
      <c r="C554" t="s">
        <v>42</v>
      </c>
      <c r="D554" t="s">
        <v>23</v>
      </c>
      <c r="E554">
        <f>IF(D554="A", INDEX(Matches!$E:$E, MATCH(A554, Matches!$A:$A, 0)), INDEX(Matches!$F:$F, MATCH(A554, Matches!$A:$A, 0)))</f>
        <v>5</v>
      </c>
      <c r="F554">
        <f>IF(D554="A", INDEX(Matches!$F:$F, MATCH(A554, Matches!$A:$A, 0)), INDEX(Matches!$E:$E, MATCH(A554, Matches!$A:$A, 0)))</f>
        <v>10</v>
      </c>
      <c r="G554" t="str">
        <f t="shared" si="43"/>
        <v>Loss</v>
      </c>
      <c r="H554">
        <v>3</v>
      </c>
      <c r="K554" t="str">
        <f t="shared" si="41"/>
        <v>47_B</v>
      </c>
    </row>
    <row r="555" spans="1:11" x14ac:dyDescent="0.35">
      <c r="A555">
        <v>48</v>
      </c>
      <c r="B555" s="6">
        <v>46240</v>
      </c>
      <c r="C555" t="s">
        <v>16</v>
      </c>
      <c r="D555" t="s">
        <v>17</v>
      </c>
      <c r="E555">
        <f>IF(D555="A", INDEX(Matches!$E:$E, MATCH(A555, Matches!$A:$A, 0)), INDEX(Matches!$F:$F, MATCH(A555, Matches!$A:$A, 0)))</f>
        <v>12</v>
      </c>
      <c r="F555">
        <f>IF(D555="A", INDEX(Matches!$F:$F, MATCH(A555, Matches!$A:$A, 0)), INDEX(Matches!$E:$E, MATCH(A555, Matches!$A:$A, 0)))</f>
        <v>10</v>
      </c>
      <c r="G555" t="str">
        <f t="shared" ref="G555:G574" si="44">IF(E555&gt;F555,"Win",IF(E555&lt;F555,"Loss","Draw"))</f>
        <v>Win</v>
      </c>
      <c r="H555">
        <v>3</v>
      </c>
      <c r="I555">
        <v>2</v>
      </c>
      <c r="K555" t="str">
        <f t="shared" si="41"/>
        <v>48_A</v>
      </c>
    </row>
    <row r="556" spans="1:11" x14ac:dyDescent="0.35">
      <c r="A556">
        <v>48</v>
      </c>
      <c r="B556" s="6">
        <v>46240</v>
      </c>
      <c r="C556" t="s">
        <v>25</v>
      </c>
      <c r="D556" t="s">
        <v>17</v>
      </c>
      <c r="E556">
        <f>IF(D556="A", INDEX(Matches!$E:$E, MATCH(A556, Matches!$A:$A, 0)), INDEX(Matches!$F:$F, MATCH(A556, Matches!$A:$A, 0)))</f>
        <v>12</v>
      </c>
      <c r="F556">
        <f>IF(D556="A", INDEX(Matches!$F:$F, MATCH(A556, Matches!$A:$A, 0)), INDEX(Matches!$E:$E, MATCH(A556, Matches!$A:$A, 0)))</f>
        <v>10</v>
      </c>
      <c r="G556" t="str">
        <f t="shared" si="44"/>
        <v>Win</v>
      </c>
      <c r="K556" t="str">
        <f t="shared" si="41"/>
        <v>48_A</v>
      </c>
    </row>
    <row r="557" spans="1:11" x14ac:dyDescent="0.35">
      <c r="A557">
        <v>48</v>
      </c>
      <c r="B557" s="6">
        <v>46240</v>
      </c>
      <c r="C557" t="s">
        <v>42</v>
      </c>
      <c r="D557" t="s">
        <v>17</v>
      </c>
      <c r="E557">
        <f>IF(D557="A", INDEX(Matches!$E:$E, MATCH(A557, Matches!$A:$A, 0)), INDEX(Matches!$F:$F, MATCH(A557, Matches!$A:$A, 0)))</f>
        <v>12</v>
      </c>
      <c r="F557">
        <f>IF(D557="A", INDEX(Matches!$F:$F, MATCH(A557, Matches!$A:$A, 0)), INDEX(Matches!$E:$E, MATCH(A557, Matches!$A:$A, 0)))</f>
        <v>10</v>
      </c>
      <c r="G557" t="str">
        <f t="shared" si="44"/>
        <v>Win</v>
      </c>
      <c r="H557">
        <v>3</v>
      </c>
      <c r="I557">
        <v>2</v>
      </c>
      <c r="K557" t="str">
        <f t="shared" si="41"/>
        <v>48_A</v>
      </c>
    </row>
    <row r="558" spans="1:11" x14ac:dyDescent="0.35">
      <c r="A558">
        <v>48</v>
      </c>
      <c r="B558" s="6">
        <v>46240</v>
      </c>
      <c r="C558" t="s">
        <v>45</v>
      </c>
      <c r="D558" t="s">
        <v>17</v>
      </c>
      <c r="E558">
        <f>IF(D558="A", INDEX(Matches!$E:$E, MATCH(A558, Matches!$A:$A, 0)), INDEX(Matches!$F:$F, MATCH(A558, Matches!$A:$A, 0)))</f>
        <v>12</v>
      </c>
      <c r="F558">
        <f>IF(D558="A", INDEX(Matches!$F:$F, MATCH(A558, Matches!$A:$A, 0)), INDEX(Matches!$E:$E, MATCH(A558, Matches!$A:$A, 0)))</f>
        <v>10</v>
      </c>
      <c r="G558" t="str">
        <f t="shared" si="44"/>
        <v>Win</v>
      </c>
      <c r="K558" t="str">
        <f t="shared" si="41"/>
        <v>48_A</v>
      </c>
    </row>
    <row r="559" spans="1:11" x14ac:dyDescent="0.35">
      <c r="A559">
        <v>48</v>
      </c>
      <c r="B559" s="6">
        <v>46240</v>
      </c>
      <c r="C559" t="s">
        <v>66</v>
      </c>
      <c r="D559" t="s">
        <v>17</v>
      </c>
      <c r="E559">
        <f>IF(D559="A", INDEX(Matches!$E:$E, MATCH(A559, Matches!$A:$A, 0)), INDEX(Matches!$F:$F, MATCH(A559, Matches!$A:$A, 0)))</f>
        <v>12</v>
      </c>
      <c r="F559">
        <f>IF(D559="A", INDEX(Matches!$F:$F, MATCH(A559, Matches!$A:$A, 0)), INDEX(Matches!$E:$E, MATCH(A559, Matches!$A:$A, 0)))</f>
        <v>10</v>
      </c>
      <c r="G559" t="str">
        <f t="shared" si="44"/>
        <v>Win</v>
      </c>
      <c r="H559">
        <v>6</v>
      </c>
      <c r="I559">
        <v>3</v>
      </c>
      <c r="K559" t="str">
        <f t="shared" si="41"/>
        <v>48_A</v>
      </c>
    </row>
    <row r="560" spans="1:11" x14ac:dyDescent="0.35">
      <c r="A560">
        <v>48</v>
      </c>
      <c r="B560" s="6">
        <v>46240</v>
      </c>
      <c r="C560" t="s">
        <v>51</v>
      </c>
      <c r="D560" t="s">
        <v>23</v>
      </c>
      <c r="E560">
        <f>IF(D560="A", INDEX(Matches!$E:$E, MATCH(A560, Matches!$A:$A, 0)), INDEX(Matches!$F:$F, MATCH(A560, Matches!$A:$A, 0)))</f>
        <v>10</v>
      </c>
      <c r="F560">
        <f>IF(D560="A", INDEX(Matches!$F:$F, MATCH(A560, Matches!$A:$A, 0)), INDEX(Matches!$E:$E, MATCH(A560, Matches!$A:$A, 0)))</f>
        <v>12</v>
      </c>
      <c r="G560" t="str">
        <f t="shared" si="44"/>
        <v>Loss</v>
      </c>
      <c r="I560">
        <v>1</v>
      </c>
      <c r="K560" t="str">
        <f t="shared" si="41"/>
        <v>48_B</v>
      </c>
    </row>
    <row r="561" spans="1:11" x14ac:dyDescent="0.35">
      <c r="A561">
        <v>48</v>
      </c>
      <c r="B561" s="6">
        <v>46240</v>
      </c>
      <c r="C561" t="s">
        <v>53</v>
      </c>
      <c r="D561" t="s">
        <v>23</v>
      </c>
      <c r="E561">
        <f>IF(D561="A", INDEX(Matches!$E:$E, MATCH(A561, Matches!$A:$A, 0)), INDEX(Matches!$F:$F, MATCH(A561, Matches!$A:$A, 0)))</f>
        <v>10</v>
      </c>
      <c r="F561">
        <f>IF(D561="A", INDEX(Matches!$F:$F, MATCH(A561, Matches!$A:$A, 0)), INDEX(Matches!$E:$E, MATCH(A561, Matches!$A:$A, 0)))</f>
        <v>12</v>
      </c>
      <c r="G561" t="str">
        <f t="shared" si="44"/>
        <v>Loss</v>
      </c>
      <c r="H561">
        <v>2</v>
      </c>
      <c r="I561">
        <v>3</v>
      </c>
      <c r="K561" t="str">
        <f t="shared" si="41"/>
        <v>48_B</v>
      </c>
    </row>
    <row r="562" spans="1:11" x14ac:dyDescent="0.35">
      <c r="A562">
        <v>48</v>
      </c>
      <c r="B562" s="6">
        <v>46240</v>
      </c>
      <c r="C562" t="s">
        <v>46</v>
      </c>
      <c r="D562" t="s">
        <v>23</v>
      </c>
      <c r="E562">
        <f>IF(D562="A", INDEX(Matches!$E:$E, MATCH(A562, Matches!$A:$A, 0)), INDEX(Matches!$F:$F, MATCH(A562, Matches!$A:$A, 0)))</f>
        <v>10</v>
      </c>
      <c r="F562">
        <f>IF(D562="A", INDEX(Matches!$F:$F, MATCH(A562, Matches!$A:$A, 0)), INDEX(Matches!$E:$E, MATCH(A562, Matches!$A:$A, 0)))</f>
        <v>12</v>
      </c>
      <c r="G562" t="str">
        <f t="shared" si="44"/>
        <v>Loss</v>
      </c>
      <c r="H562">
        <v>5</v>
      </c>
      <c r="K562" t="str">
        <f t="shared" si="41"/>
        <v>48_B</v>
      </c>
    </row>
    <row r="563" spans="1:11" x14ac:dyDescent="0.35">
      <c r="A563">
        <v>48</v>
      </c>
      <c r="B563" s="6">
        <v>46240</v>
      </c>
      <c r="C563" t="s">
        <v>19</v>
      </c>
      <c r="D563" t="s">
        <v>23</v>
      </c>
      <c r="E563">
        <f>IF(D563="A", INDEX(Matches!$E:$E, MATCH(A563, Matches!$A:$A, 0)), INDEX(Matches!$F:$F, MATCH(A563, Matches!$A:$A, 0)))</f>
        <v>10</v>
      </c>
      <c r="F563">
        <f>IF(D563="A", INDEX(Matches!$F:$F, MATCH(A563, Matches!$A:$A, 0)), INDEX(Matches!$E:$E, MATCH(A563, Matches!$A:$A, 0)))</f>
        <v>12</v>
      </c>
      <c r="G563" t="str">
        <f t="shared" si="44"/>
        <v>Loss</v>
      </c>
      <c r="I563">
        <v>2</v>
      </c>
      <c r="K563" t="str">
        <f t="shared" si="41"/>
        <v>48_B</v>
      </c>
    </row>
    <row r="564" spans="1:11" x14ac:dyDescent="0.35">
      <c r="A564">
        <v>48</v>
      </c>
      <c r="B564" s="6">
        <v>46240</v>
      </c>
      <c r="C564" t="s">
        <v>52</v>
      </c>
      <c r="D564" t="s">
        <v>23</v>
      </c>
      <c r="E564">
        <f>IF(D564="A", INDEX(Matches!$E:$E, MATCH(A564, Matches!$A:$A, 0)), INDEX(Matches!$F:$F, MATCH(A564, Matches!$A:$A, 0)))</f>
        <v>10</v>
      </c>
      <c r="F564">
        <f>IF(D564="A", INDEX(Matches!$F:$F, MATCH(A564, Matches!$A:$A, 0)), INDEX(Matches!$E:$E, MATCH(A564, Matches!$A:$A, 0)))</f>
        <v>12</v>
      </c>
      <c r="G564" t="str">
        <f t="shared" si="44"/>
        <v>Loss</v>
      </c>
      <c r="H564">
        <v>3</v>
      </c>
      <c r="I564">
        <v>2</v>
      </c>
      <c r="K564" t="str">
        <f t="shared" si="41"/>
        <v>48_B</v>
      </c>
    </row>
    <row r="565" spans="1:11" x14ac:dyDescent="0.35">
      <c r="A565">
        <v>49</v>
      </c>
      <c r="B565" s="6">
        <v>46240</v>
      </c>
      <c r="C565" t="s">
        <v>22</v>
      </c>
      <c r="D565" t="s">
        <v>17</v>
      </c>
      <c r="E565">
        <f>IF(D565="A", INDEX(Matches!$E:$E, MATCH(A565, Matches!$A:$A, 0)), INDEX(Matches!$F:$F, MATCH(A565, Matches!$A:$A, 0)))</f>
        <v>11</v>
      </c>
      <c r="F565">
        <f>IF(D565="A", INDEX(Matches!$F:$F, MATCH(A565, Matches!$A:$A, 0)), INDEX(Matches!$E:$E, MATCH(A565, Matches!$A:$A, 0)))</f>
        <v>8</v>
      </c>
      <c r="G565" t="str">
        <f t="shared" si="44"/>
        <v>Win</v>
      </c>
      <c r="H565">
        <v>1</v>
      </c>
      <c r="I565">
        <v>2</v>
      </c>
      <c r="K565" t="str">
        <f t="shared" si="41"/>
        <v>49_A</v>
      </c>
    </row>
    <row r="566" spans="1:11" x14ac:dyDescent="0.35">
      <c r="A566">
        <v>49</v>
      </c>
      <c r="B566" s="6">
        <v>46240</v>
      </c>
      <c r="C566" t="s">
        <v>121</v>
      </c>
      <c r="D566" t="s">
        <v>17</v>
      </c>
      <c r="E566">
        <f>IF(D566="A", INDEX(Matches!$E:$E, MATCH(A566, Matches!$A:$A, 0)), INDEX(Matches!$F:$F, MATCH(A566, Matches!$A:$A, 0)))</f>
        <v>11</v>
      </c>
      <c r="F566">
        <f>IF(D566="A", INDEX(Matches!$F:$F, MATCH(A566, Matches!$A:$A, 0)), INDEX(Matches!$E:$E, MATCH(A566, Matches!$A:$A, 0)))</f>
        <v>8</v>
      </c>
      <c r="G566" t="str">
        <f t="shared" si="44"/>
        <v>Win</v>
      </c>
      <c r="H566">
        <v>2</v>
      </c>
      <c r="K566" t="str">
        <f t="shared" si="41"/>
        <v>49_A</v>
      </c>
    </row>
    <row r="567" spans="1:11" x14ac:dyDescent="0.35">
      <c r="A567">
        <v>49</v>
      </c>
      <c r="B567" s="6">
        <v>46240</v>
      </c>
      <c r="C567" t="s">
        <v>75</v>
      </c>
      <c r="D567" t="s">
        <v>17</v>
      </c>
      <c r="E567">
        <f>IF(D567="A", INDEX(Matches!$E:$E, MATCH(A567, Matches!$A:$A, 0)), INDEX(Matches!$F:$F, MATCH(A567, Matches!$A:$A, 0)))</f>
        <v>11</v>
      </c>
      <c r="F567">
        <f>IF(D567="A", INDEX(Matches!$F:$F, MATCH(A567, Matches!$A:$A, 0)), INDEX(Matches!$E:$E, MATCH(A567, Matches!$A:$A, 0)))</f>
        <v>8</v>
      </c>
      <c r="G567" t="str">
        <f t="shared" si="44"/>
        <v>Win</v>
      </c>
      <c r="H567">
        <v>5</v>
      </c>
      <c r="K567" t="str">
        <f t="shared" si="41"/>
        <v>49_A</v>
      </c>
    </row>
    <row r="568" spans="1:11" x14ac:dyDescent="0.35">
      <c r="A568">
        <v>49</v>
      </c>
      <c r="B568" s="6">
        <v>46240</v>
      </c>
      <c r="C568" t="s">
        <v>88</v>
      </c>
      <c r="D568" t="s">
        <v>17</v>
      </c>
      <c r="E568">
        <f>IF(D568="A", INDEX(Matches!$E:$E, MATCH(A568, Matches!$A:$A, 0)), INDEX(Matches!$F:$F, MATCH(A568, Matches!$A:$A, 0)))</f>
        <v>11</v>
      </c>
      <c r="F568">
        <f>IF(D568="A", INDEX(Matches!$F:$F, MATCH(A568, Matches!$A:$A, 0)), INDEX(Matches!$E:$E, MATCH(A568, Matches!$A:$A, 0)))</f>
        <v>8</v>
      </c>
      <c r="G568" t="str">
        <f t="shared" si="44"/>
        <v>Win</v>
      </c>
      <c r="H568">
        <v>2</v>
      </c>
      <c r="I568">
        <v>1</v>
      </c>
      <c r="K568" t="str">
        <f t="shared" si="41"/>
        <v>49_A</v>
      </c>
    </row>
    <row r="569" spans="1:11" x14ac:dyDescent="0.35">
      <c r="A569">
        <v>49</v>
      </c>
      <c r="B569" s="6">
        <v>46240</v>
      </c>
      <c r="C569" t="s">
        <v>40</v>
      </c>
      <c r="D569" t="s">
        <v>17</v>
      </c>
      <c r="E569">
        <f>IF(D569="A", INDEX(Matches!$E:$E, MATCH(A569, Matches!$A:$A, 0)), INDEX(Matches!$F:$F, MATCH(A569, Matches!$A:$A, 0)))</f>
        <v>11</v>
      </c>
      <c r="F569">
        <f>IF(D569="A", INDEX(Matches!$F:$F, MATCH(A569, Matches!$A:$A, 0)), INDEX(Matches!$E:$E, MATCH(A569, Matches!$A:$A, 0)))</f>
        <v>8</v>
      </c>
      <c r="G569" t="str">
        <f t="shared" si="44"/>
        <v>Win</v>
      </c>
      <c r="H569">
        <v>1</v>
      </c>
      <c r="K569" t="str">
        <f t="shared" si="41"/>
        <v>49_A</v>
      </c>
    </row>
    <row r="570" spans="1:11" x14ac:dyDescent="0.35">
      <c r="A570">
        <v>49</v>
      </c>
      <c r="B570" s="6">
        <v>46240</v>
      </c>
      <c r="C570" t="s">
        <v>89</v>
      </c>
      <c r="D570" t="s">
        <v>23</v>
      </c>
      <c r="E570">
        <f>IF(D570="A", INDEX(Matches!$E:$E, MATCH(A570, Matches!$A:$A, 0)), INDEX(Matches!$F:$F, MATCH(A570, Matches!$A:$A, 0)))</f>
        <v>8</v>
      </c>
      <c r="F570">
        <f>IF(D570="A", INDEX(Matches!$F:$F, MATCH(A570, Matches!$A:$A, 0)), INDEX(Matches!$E:$E, MATCH(A570, Matches!$A:$A, 0)))</f>
        <v>11</v>
      </c>
      <c r="G570" t="str">
        <f t="shared" si="44"/>
        <v>Loss</v>
      </c>
      <c r="H570">
        <v>6</v>
      </c>
      <c r="K570" t="str">
        <f t="shared" si="41"/>
        <v>49_B</v>
      </c>
    </row>
    <row r="571" spans="1:11" x14ac:dyDescent="0.35">
      <c r="A571">
        <v>49</v>
      </c>
      <c r="B571" s="6">
        <v>46240</v>
      </c>
      <c r="C571" t="s">
        <v>84</v>
      </c>
      <c r="D571" t="s">
        <v>23</v>
      </c>
      <c r="E571">
        <f>IF(D571="A", INDEX(Matches!$E:$E, MATCH(A571, Matches!$A:$A, 0)), INDEX(Matches!$F:$F, MATCH(A571, Matches!$A:$A, 0)))</f>
        <v>8</v>
      </c>
      <c r="F571">
        <f>IF(D571="A", INDEX(Matches!$F:$F, MATCH(A571, Matches!$A:$A, 0)), INDEX(Matches!$E:$E, MATCH(A571, Matches!$A:$A, 0)))</f>
        <v>11</v>
      </c>
      <c r="G571" t="str">
        <f t="shared" si="44"/>
        <v>Loss</v>
      </c>
      <c r="H571">
        <v>1</v>
      </c>
      <c r="K571" t="str">
        <f t="shared" si="41"/>
        <v>49_B</v>
      </c>
    </row>
    <row r="572" spans="1:11" x14ac:dyDescent="0.35">
      <c r="A572">
        <v>49</v>
      </c>
      <c r="B572" s="6">
        <v>46240</v>
      </c>
      <c r="C572" t="s">
        <v>99</v>
      </c>
      <c r="D572" t="s">
        <v>23</v>
      </c>
      <c r="E572">
        <f>IF(D572="A", INDEX(Matches!$E:$E, MATCH(A572, Matches!$A:$A, 0)), INDEX(Matches!$F:$F, MATCH(A572, Matches!$A:$A, 0)))</f>
        <v>8</v>
      </c>
      <c r="F572">
        <f>IF(D572="A", INDEX(Matches!$F:$F, MATCH(A572, Matches!$A:$A, 0)), INDEX(Matches!$E:$E, MATCH(A572, Matches!$A:$A, 0)))</f>
        <v>11</v>
      </c>
      <c r="G572" t="str">
        <f t="shared" si="44"/>
        <v>Loss</v>
      </c>
      <c r="H572">
        <v>1</v>
      </c>
      <c r="I572">
        <v>1</v>
      </c>
      <c r="K572" t="str">
        <f t="shared" si="41"/>
        <v>49_B</v>
      </c>
    </row>
    <row r="573" spans="1:11" x14ac:dyDescent="0.35">
      <c r="A573">
        <v>49</v>
      </c>
      <c r="B573" s="6">
        <v>46240</v>
      </c>
      <c r="C573" t="s">
        <v>20</v>
      </c>
      <c r="D573" t="s">
        <v>23</v>
      </c>
      <c r="E573">
        <f>IF(D573="A", INDEX(Matches!$E:$E, MATCH(A573, Matches!$A:$A, 0)), INDEX(Matches!$F:$F, MATCH(A573, Matches!$A:$A, 0)))</f>
        <v>8</v>
      </c>
      <c r="F573">
        <f>IF(D573="A", INDEX(Matches!$F:$F, MATCH(A573, Matches!$A:$A, 0)), INDEX(Matches!$E:$E, MATCH(A573, Matches!$A:$A, 0)))</f>
        <v>11</v>
      </c>
      <c r="G573" t="str">
        <f t="shared" si="44"/>
        <v>Loss</v>
      </c>
      <c r="K573" t="str">
        <f t="shared" si="41"/>
        <v>49_B</v>
      </c>
    </row>
    <row r="574" spans="1:11" x14ac:dyDescent="0.35">
      <c r="A574">
        <v>49</v>
      </c>
      <c r="B574" s="6">
        <v>46240</v>
      </c>
      <c r="C574" t="s">
        <v>54</v>
      </c>
      <c r="D574" t="s">
        <v>23</v>
      </c>
      <c r="E574">
        <f>IF(D574="A", INDEX(Matches!$E:$E, MATCH(A574, Matches!$A:$A, 0)), INDEX(Matches!$F:$F, MATCH(A574, Matches!$A:$A, 0)))</f>
        <v>8</v>
      </c>
      <c r="F574">
        <f>IF(D574="A", INDEX(Matches!$F:$F, MATCH(A574, Matches!$A:$A, 0)), INDEX(Matches!$E:$E, MATCH(A574, Matches!$A:$A, 0)))</f>
        <v>11</v>
      </c>
      <c r="G574" t="str">
        <f t="shared" si="44"/>
        <v>Loss</v>
      </c>
      <c r="I574">
        <v>2</v>
      </c>
      <c r="K574" t="str">
        <f t="shared" si="41"/>
        <v>49_B</v>
      </c>
    </row>
    <row r="575" spans="1:11" x14ac:dyDescent="0.35">
      <c r="A575">
        <v>50</v>
      </c>
      <c r="B575" s="6">
        <v>46247</v>
      </c>
      <c r="C575" t="s">
        <v>16</v>
      </c>
      <c r="D575" t="s">
        <v>17</v>
      </c>
      <c r="E575">
        <f>IF(D575="A", INDEX(Matches!$E:$E, MATCH(A575, Matches!$A:$A, 0)), INDEX(Matches!$F:$F, MATCH(A575, Matches!$A:$A, 0)))</f>
        <v>9</v>
      </c>
      <c r="F575">
        <f>IF(D575="A", INDEX(Matches!$F:$F, MATCH(A575, Matches!$A:$A, 0)), INDEX(Matches!$E:$E, MATCH(A575, Matches!$A:$A, 0)))</f>
        <v>7</v>
      </c>
      <c r="G575" t="str">
        <f t="shared" ref="G575:G588" si="45">IF(E575&gt;F575,"Win",IF(E575&lt;F575,"Loss","Draw"))</f>
        <v>Win</v>
      </c>
      <c r="H575">
        <v>1</v>
      </c>
      <c r="K575" t="str">
        <f t="shared" si="41"/>
        <v>50_A</v>
      </c>
    </row>
    <row r="576" spans="1:11" x14ac:dyDescent="0.35">
      <c r="A576">
        <v>50</v>
      </c>
      <c r="B576" s="6">
        <v>46247</v>
      </c>
      <c r="C576" t="s">
        <v>99</v>
      </c>
      <c r="D576" t="s">
        <v>17</v>
      </c>
      <c r="E576">
        <f>IF(D576="A", INDEX(Matches!$E:$E, MATCH(A576, Matches!$A:$A, 0)), INDEX(Matches!$F:$F, MATCH(A576, Matches!$A:$A, 0)))</f>
        <v>9</v>
      </c>
      <c r="F576">
        <f>IF(D576="A", INDEX(Matches!$F:$F, MATCH(A576, Matches!$A:$A, 0)), INDEX(Matches!$E:$E, MATCH(A576, Matches!$A:$A, 0)))</f>
        <v>7</v>
      </c>
      <c r="G576" t="str">
        <f t="shared" si="45"/>
        <v>Win</v>
      </c>
      <c r="K576" t="str">
        <f t="shared" si="41"/>
        <v>50_A</v>
      </c>
    </row>
    <row r="577" spans="1:11" x14ac:dyDescent="0.35">
      <c r="A577">
        <v>50</v>
      </c>
      <c r="B577" s="6">
        <v>46247</v>
      </c>
      <c r="C577" t="s">
        <v>89</v>
      </c>
      <c r="D577" t="s">
        <v>17</v>
      </c>
      <c r="E577">
        <f>IF(D577="A", INDEX(Matches!$E:$E, MATCH(A577, Matches!$A:$A, 0)), INDEX(Matches!$F:$F, MATCH(A577, Matches!$A:$A, 0)))</f>
        <v>9</v>
      </c>
      <c r="F577">
        <f>IF(D577="A", INDEX(Matches!$F:$F, MATCH(A577, Matches!$A:$A, 0)), INDEX(Matches!$E:$E, MATCH(A577, Matches!$A:$A, 0)))</f>
        <v>7</v>
      </c>
      <c r="G577" t="str">
        <f t="shared" si="45"/>
        <v>Win</v>
      </c>
      <c r="H577">
        <v>3</v>
      </c>
      <c r="I577">
        <v>2</v>
      </c>
      <c r="K577" t="str">
        <f t="shared" si="41"/>
        <v>50_A</v>
      </c>
    </row>
    <row r="578" spans="1:11" x14ac:dyDescent="0.35">
      <c r="A578">
        <v>50</v>
      </c>
      <c r="B578" s="6">
        <v>46247</v>
      </c>
      <c r="C578" t="s">
        <v>19</v>
      </c>
      <c r="D578" t="s">
        <v>17</v>
      </c>
      <c r="E578">
        <f>IF(D578="A", INDEX(Matches!$E:$E, MATCH(A578, Matches!$A:$A, 0)), INDEX(Matches!$F:$F, MATCH(A578, Matches!$A:$A, 0)))</f>
        <v>9</v>
      </c>
      <c r="F578">
        <f>IF(D578="A", INDEX(Matches!$F:$F, MATCH(A578, Matches!$A:$A, 0)), INDEX(Matches!$E:$E, MATCH(A578, Matches!$A:$A, 0)))</f>
        <v>7</v>
      </c>
      <c r="G578" t="str">
        <f t="shared" si="45"/>
        <v>Win</v>
      </c>
      <c r="H578">
        <v>3</v>
      </c>
      <c r="I578">
        <v>1</v>
      </c>
      <c r="K578" t="str">
        <f t="shared" si="41"/>
        <v>50_A</v>
      </c>
    </row>
    <row r="579" spans="1:11" x14ac:dyDescent="0.35">
      <c r="A579">
        <v>50</v>
      </c>
      <c r="B579" s="6">
        <v>46247</v>
      </c>
      <c r="C579" t="s">
        <v>51</v>
      </c>
      <c r="D579" t="s">
        <v>17</v>
      </c>
      <c r="E579">
        <f>IF(D579="A", INDEX(Matches!$E:$E, MATCH(A579, Matches!$A:$A, 0)), INDEX(Matches!$F:$F, MATCH(A579, Matches!$A:$A, 0)))</f>
        <v>9</v>
      </c>
      <c r="F579">
        <f>IF(D579="A", INDEX(Matches!$F:$F, MATCH(A579, Matches!$A:$A, 0)), INDEX(Matches!$E:$E, MATCH(A579, Matches!$A:$A, 0)))</f>
        <v>7</v>
      </c>
      <c r="G579" t="str">
        <f t="shared" si="45"/>
        <v>Win</v>
      </c>
      <c r="K579" t="str">
        <f t="shared" si="41"/>
        <v>50_A</v>
      </c>
    </row>
    <row r="580" spans="1:11" x14ac:dyDescent="0.35">
      <c r="A580">
        <v>50</v>
      </c>
      <c r="B580" s="6">
        <v>46247</v>
      </c>
      <c r="C580" t="s">
        <v>121</v>
      </c>
      <c r="D580" t="s">
        <v>17</v>
      </c>
      <c r="E580">
        <f>IF(D580="A", INDEX(Matches!$E:$E, MATCH(A580, Matches!$A:$A, 0)), INDEX(Matches!$F:$F, MATCH(A580, Matches!$A:$A, 0)))</f>
        <v>9</v>
      </c>
      <c r="F580">
        <f>IF(D580="A", INDEX(Matches!$F:$F, MATCH(A580, Matches!$A:$A, 0)), INDEX(Matches!$E:$E, MATCH(A580, Matches!$A:$A, 0)))</f>
        <v>7</v>
      </c>
      <c r="G580" t="str">
        <f t="shared" si="45"/>
        <v>Win</v>
      </c>
      <c r="H580">
        <v>2</v>
      </c>
      <c r="K580" t="str">
        <f t="shared" si="41"/>
        <v>50_A</v>
      </c>
    </row>
    <row r="581" spans="1:11" x14ac:dyDescent="0.35">
      <c r="A581">
        <v>50</v>
      </c>
      <c r="B581" s="6">
        <v>46247</v>
      </c>
      <c r="C581" t="s">
        <v>88</v>
      </c>
      <c r="D581" t="s">
        <v>17</v>
      </c>
      <c r="E581">
        <f>IF(D581="A", INDEX(Matches!$E:$E, MATCH(A581, Matches!$A:$A, 0)), INDEX(Matches!$F:$F, MATCH(A581, Matches!$A:$A, 0)))</f>
        <v>9</v>
      </c>
      <c r="F581">
        <f>IF(D581="A", INDEX(Matches!$F:$F, MATCH(A581, Matches!$A:$A, 0)), INDEX(Matches!$E:$E, MATCH(A581, Matches!$A:$A, 0)))</f>
        <v>7</v>
      </c>
      <c r="G581" t="str">
        <f t="shared" si="45"/>
        <v>Win</v>
      </c>
      <c r="J581">
        <v>1</v>
      </c>
      <c r="K581" t="str">
        <f t="shared" si="41"/>
        <v>50_A</v>
      </c>
    </row>
    <row r="582" spans="1:11" x14ac:dyDescent="0.35">
      <c r="A582">
        <v>50</v>
      </c>
      <c r="B582" s="6">
        <v>46247</v>
      </c>
      <c r="C582" t="s">
        <v>46</v>
      </c>
      <c r="D582" t="s">
        <v>23</v>
      </c>
      <c r="E582">
        <f>IF(D582="A", INDEX(Matches!$E:$E, MATCH(A582, Matches!$A:$A, 0)), INDEX(Matches!$F:$F, MATCH(A582, Matches!$A:$A, 0)))</f>
        <v>7</v>
      </c>
      <c r="F582">
        <f>IF(D582="A", INDEX(Matches!$F:$F, MATCH(A582, Matches!$A:$A, 0)), INDEX(Matches!$E:$E, MATCH(A582, Matches!$A:$A, 0)))</f>
        <v>9</v>
      </c>
      <c r="G582" t="str">
        <f t="shared" si="45"/>
        <v>Loss</v>
      </c>
      <c r="H582">
        <v>2</v>
      </c>
      <c r="K582" t="str">
        <f t="shared" si="41"/>
        <v>50_B</v>
      </c>
    </row>
    <row r="583" spans="1:11" x14ac:dyDescent="0.35">
      <c r="A583">
        <v>50</v>
      </c>
      <c r="B583" s="6">
        <v>46247</v>
      </c>
      <c r="C583" t="s">
        <v>75</v>
      </c>
      <c r="D583" t="s">
        <v>23</v>
      </c>
      <c r="E583">
        <f>IF(D583="A", INDEX(Matches!$E:$E, MATCH(A583, Matches!$A:$A, 0)), INDEX(Matches!$F:$F, MATCH(A583, Matches!$A:$A, 0)))</f>
        <v>7</v>
      </c>
      <c r="F583">
        <f>IF(D583="A", INDEX(Matches!$F:$F, MATCH(A583, Matches!$A:$A, 0)), INDEX(Matches!$E:$E, MATCH(A583, Matches!$A:$A, 0)))</f>
        <v>9</v>
      </c>
      <c r="G583" t="str">
        <f t="shared" si="45"/>
        <v>Loss</v>
      </c>
      <c r="I583">
        <v>2</v>
      </c>
      <c r="K583" t="str">
        <f t="shared" si="41"/>
        <v>50_B</v>
      </c>
    </row>
    <row r="584" spans="1:11" x14ac:dyDescent="0.35">
      <c r="A584">
        <v>50</v>
      </c>
      <c r="B584" s="6">
        <v>46247</v>
      </c>
      <c r="C584" t="s">
        <v>42</v>
      </c>
      <c r="D584" t="s">
        <v>23</v>
      </c>
      <c r="E584">
        <f>IF(D584="A", INDEX(Matches!$E:$E, MATCH(A584, Matches!$A:$A, 0)), INDEX(Matches!$F:$F, MATCH(A584, Matches!$A:$A, 0)))</f>
        <v>7</v>
      </c>
      <c r="F584">
        <f>IF(D584="A", INDEX(Matches!$F:$F, MATCH(A584, Matches!$A:$A, 0)), INDEX(Matches!$E:$E, MATCH(A584, Matches!$A:$A, 0)))</f>
        <v>9</v>
      </c>
      <c r="G584" t="str">
        <f t="shared" si="45"/>
        <v>Loss</v>
      </c>
      <c r="H584">
        <v>1</v>
      </c>
      <c r="K584" t="str">
        <f t="shared" si="41"/>
        <v>50_B</v>
      </c>
    </row>
    <row r="585" spans="1:11" x14ac:dyDescent="0.35">
      <c r="A585">
        <v>50</v>
      </c>
      <c r="B585" s="6">
        <v>46247</v>
      </c>
      <c r="C585" t="s">
        <v>22</v>
      </c>
      <c r="D585" t="s">
        <v>23</v>
      </c>
      <c r="E585">
        <f>IF(D585="A", INDEX(Matches!$E:$E, MATCH(A585, Matches!$A:$A, 0)), INDEX(Matches!$F:$F, MATCH(A585, Matches!$A:$A, 0)))</f>
        <v>7</v>
      </c>
      <c r="F585">
        <f>IF(D585="A", INDEX(Matches!$F:$F, MATCH(A585, Matches!$A:$A, 0)), INDEX(Matches!$E:$E, MATCH(A585, Matches!$A:$A, 0)))</f>
        <v>9</v>
      </c>
      <c r="G585" t="str">
        <f t="shared" si="45"/>
        <v>Loss</v>
      </c>
      <c r="H585">
        <v>1</v>
      </c>
      <c r="K585" t="str">
        <f t="shared" si="41"/>
        <v>50_B</v>
      </c>
    </row>
    <row r="586" spans="1:11" x14ac:dyDescent="0.35">
      <c r="A586">
        <v>50</v>
      </c>
      <c r="B586" s="6">
        <v>46247</v>
      </c>
      <c r="C586" t="s">
        <v>53</v>
      </c>
      <c r="D586" t="s">
        <v>23</v>
      </c>
      <c r="E586">
        <f>IF(D586="A", INDEX(Matches!$E:$E, MATCH(A586, Matches!$A:$A, 0)), INDEX(Matches!$F:$F, MATCH(A586, Matches!$A:$A, 0)))</f>
        <v>7</v>
      </c>
      <c r="F586">
        <f>IF(D586="A", INDEX(Matches!$F:$F, MATCH(A586, Matches!$A:$A, 0)), INDEX(Matches!$E:$E, MATCH(A586, Matches!$A:$A, 0)))</f>
        <v>9</v>
      </c>
      <c r="G586" t="str">
        <f t="shared" si="45"/>
        <v>Loss</v>
      </c>
      <c r="H586">
        <v>1</v>
      </c>
      <c r="K586" t="str">
        <f t="shared" ref="K586:K649" si="46">A586&amp;"_"&amp;D586</f>
        <v>50_B</v>
      </c>
    </row>
    <row r="587" spans="1:11" x14ac:dyDescent="0.35">
      <c r="A587">
        <v>50</v>
      </c>
      <c r="B587" s="6">
        <v>46247</v>
      </c>
      <c r="C587" t="s">
        <v>84</v>
      </c>
      <c r="D587" t="s">
        <v>23</v>
      </c>
      <c r="E587">
        <f>IF(D587="A", INDEX(Matches!$E:$E, MATCH(A587, Matches!$A:$A, 0)), INDEX(Matches!$F:$F, MATCH(A587, Matches!$A:$A, 0)))</f>
        <v>7</v>
      </c>
      <c r="F587">
        <f>IF(D587="A", INDEX(Matches!$F:$F, MATCH(A587, Matches!$A:$A, 0)), INDEX(Matches!$E:$E, MATCH(A587, Matches!$A:$A, 0)))</f>
        <v>9</v>
      </c>
      <c r="G587" t="str">
        <f t="shared" si="45"/>
        <v>Loss</v>
      </c>
      <c r="I587">
        <v>1</v>
      </c>
      <c r="K587" t="str">
        <f t="shared" si="46"/>
        <v>50_B</v>
      </c>
    </row>
    <row r="588" spans="1:11" x14ac:dyDescent="0.35">
      <c r="A588">
        <v>50</v>
      </c>
      <c r="B588" s="6">
        <v>46247</v>
      </c>
      <c r="C588" t="s">
        <v>25</v>
      </c>
      <c r="D588" t="s">
        <v>23</v>
      </c>
      <c r="E588">
        <f>IF(D588="A", INDEX(Matches!$E:$E, MATCH(A588, Matches!$A:$A, 0)), INDEX(Matches!$F:$F, MATCH(A588, Matches!$A:$A, 0)))</f>
        <v>7</v>
      </c>
      <c r="F588">
        <f>IF(D588="A", INDEX(Matches!$F:$F, MATCH(A588, Matches!$A:$A, 0)), INDEX(Matches!$E:$E, MATCH(A588, Matches!$A:$A, 0)))</f>
        <v>9</v>
      </c>
      <c r="G588" t="str">
        <f t="shared" si="45"/>
        <v>Loss</v>
      </c>
      <c r="H588">
        <v>1</v>
      </c>
      <c r="I588">
        <v>1</v>
      </c>
      <c r="K588" t="str">
        <f t="shared" si="46"/>
        <v>50_B</v>
      </c>
    </row>
    <row r="589" spans="1:11" x14ac:dyDescent="0.35">
      <c r="A589">
        <v>51</v>
      </c>
      <c r="B589" s="6">
        <v>46254</v>
      </c>
      <c r="C589" t="s">
        <v>66</v>
      </c>
      <c r="D589" t="s">
        <v>17</v>
      </c>
      <c r="E589">
        <f>IF(D589="A", INDEX(Matches!$E:$E, MATCH(A589, Matches!$A:$A, 0)), INDEX(Matches!$F:$F, MATCH(A589, Matches!$A:$A, 0)))</f>
        <v>3</v>
      </c>
      <c r="F589">
        <f>IF(D589="A", INDEX(Matches!$F:$F, MATCH(A589, Matches!$A:$A, 0)), INDEX(Matches!$E:$E, MATCH(A589, Matches!$A:$A, 0)))</f>
        <v>4</v>
      </c>
      <c r="G589" t="str">
        <f t="shared" ref="G589:G602" si="47">IF(E589&gt;F589,"Win",IF(E589&lt;F589,"Loss","Draw"))</f>
        <v>Loss</v>
      </c>
      <c r="H589">
        <v>1</v>
      </c>
      <c r="K589" t="str">
        <f t="shared" si="46"/>
        <v>51_A</v>
      </c>
    </row>
    <row r="590" spans="1:11" x14ac:dyDescent="0.35">
      <c r="A590">
        <v>51</v>
      </c>
      <c r="B590" s="6">
        <v>46254</v>
      </c>
      <c r="C590" t="s">
        <v>16</v>
      </c>
      <c r="D590" t="s">
        <v>17</v>
      </c>
      <c r="E590">
        <f>IF(D590="A", INDEX(Matches!$E:$E, MATCH(A590, Matches!$A:$A, 0)), INDEX(Matches!$F:$F, MATCH(A590, Matches!$A:$A, 0)))</f>
        <v>3</v>
      </c>
      <c r="F590">
        <f>IF(D590="A", INDEX(Matches!$F:$F, MATCH(A590, Matches!$A:$A, 0)), INDEX(Matches!$E:$E, MATCH(A590, Matches!$A:$A, 0)))</f>
        <v>4</v>
      </c>
      <c r="G590" t="str">
        <f t="shared" si="47"/>
        <v>Loss</v>
      </c>
      <c r="K590" t="str">
        <f t="shared" si="46"/>
        <v>51_A</v>
      </c>
    </row>
    <row r="591" spans="1:11" x14ac:dyDescent="0.35">
      <c r="A591">
        <v>51</v>
      </c>
      <c r="B591" s="6">
        <v>46254</v>
      </c>
      <c r="C591" t="s">
        <v>22</v>
      </c>
      <c r="D591" t="s">
        <v>17</v>
      </c>
      <c r="E591">
        <f>IF(D591="A", INDEX(Matches!$E:$E, MATCH(A591, Matches!$A:$A, 0)), INDEX(Matches!$F:$F, MATCH(A591, Matches!$A:$A, 0)))</f>
        <v>3</v>
      </c>
      <c r="F591">
        <f>IF(D591="A", INDEX(Matches!$F:$F, MATCH(A591, Matches!$A:$A, 0)), INDEX(Matches!$E:$E, MATCH(A591, Matches!$A:$A, 0)))</f>
        <v>4</v>
      </c>
      <c r="G591" t="str">
        <f t="shared" si="47"/>
        <v>Loss</v>
      </c>
      <c r="H591">
        <v>1</v>
      </c>
      <c r="K591" t="str">
        <f t="shared" si="46"/>
        <v>51_A</v>
      </c>
    </row>
    <row r="592" spans="1:11" x14ac:dyDescent="0.35">
      <c r="A592">
        <v>51</v>
      </c>
      <c r="B592" s="6">
        <v>46254</v>
      </c>
      <c r="C592" t="s">
        <v>42</v>
      </c>
      <c r="D592" t="s">
        <v>17</v>
      </c>
      <c r="E592">
        <f>IF(D592="A", INDEX(Matches!$E:$E, MATCH(A592, Matches!$A:$A, 0)), INDEX(Matches!$F:$F, MATCH(A592, Matches!$A:$A, 0)))</f>
        <v>3</v>
      </c>
      <c r="F592">
        <f>IF(D592="A", INDEX(Matches!$F:$F, MATCH(A592, Matches!$A:$A, 0)), INDEX(Matches!$E:$E, MATCH(A592, Matches!$A:$A, 0)))</f>
        <v>4</v>
      </c>
      <c r="G592" t="str">
        <f t="shared" si="47"/>
        <v>Loss</v>
      </c>
      <c r="H592">
        <v>1</v>
      </c>
      <c r="I592">
        <v>1</v>
      </c>
      <c r="K592" t="str">
        <f t="shared" si="46"/>
        <v>51_A</v>
      </c>
    </row>
    <row r="593" spans="1:11" x14ac:dyDescent="0.35">
      <c r="A593">
        <v>51</v>
      </c>
      <c r="B593" s="6">
        <v>46254</v>
      </c>
      <c r="C593" t="s">
        <v>53</v>
      </c>
      <c r="D593" t="s">
        <v>17</v>
      </c>
      <c r="E593">
        <f>IF(D593="A", INDEX(Matches!$E:$E, MATCH(A593, Matches!$A:$A, 0)), INDEX(Matches!$F:$F, MATCH(A593, Matches!$A:$A, 0)))</f>
        <v>3</v>
      </c>
      <c r="F593">
        <f>IF(D593="A", INDEX(Matches!$F:$F, MATCH(A593, Matches!$A:$A, 0)), INDEX(Matches!$E:$E, MATCH(A593, Matches!$A:$A, 0)))</f>
        <v>4</v>
      </c>
      <c r="G593" t="str">
        <f t="shared" si="47"/>
        <v>Loss</v>
      </c>
      <c r="I593">
        <v>1</v>
      </c>
      <c r="K593" t="str">
        <f t="shared" si="46"/>
        <v>51_A</v>
      </c>
    </row>
    <row r="594" spans="1:11" x14ac:dyDescent="0.35">
      <c r="A594">
        <v>51</v>
      </c>
      <c r="B594" s="6">
        <v>46254</v>
      </c>
      <c r="C594" t="s">
        <v>25</v>
      </c>
      <c r="D594" t="s">
        <v>17</v>
      </c>
      <c r="E594">
        <f>IF(D594="A", INDEX(Matches!$E:$E, MATCH(A594, Matches!$A:$A, 0)), INDEX(Matches!$F:$F, MATCH(A594, Matches!$A:$A, 0)))</f>
        <v>3</v>
      </c>
      <c r="F594">
        <f>IF(D594="A", INDEX(Matches!$F:$F, MATCH(A594, Matches!$A:$A, 0)), INDEX(Matches!$E:$E, MATCH(A594, Matches!$A:$A, 0)))</f>
        <v>4</v>
      </c>
      <c r="G594" t="str">
        <f t="shared" si="47"/>
        <v>Loss</v>
      </c>
      <c r="K594" t="str">
        <f t="shared" si="46"/>
        <v>51_A</v>
      </c>
    </row>
    <row r="595" spans="1:11" x14ac:dyDescent="0.35">
      <c r="A595">
        <v>51</v>
      </c>
      <c r="B595" s="6">
        <v>46254</v>
      </c>
      <c r="C595" t="s">
        <v>125</v>
      </c>
      <c r="D595" t="s">
        <v>17</v>
      </c>
      <c r="E595">
        <f>IF(D595="A", INDEX(Matches!$E:$E, MATCH(A595, Matches!$A:$A, 0)), INDEX(Matches!$F:$F, MATCH(A595, Matches!$A:$A, 0)))</f>
        <v>3</v>
      </c>
      <c r="F595">
        <f>IF(D595="A", INDEX(Matches!$F:$F, MATCH(A595, Matches!$A:$A, 0)), INDEX(Matches!$E:$E, MATCH(A595, Matches!$A:$A, 0)))</f>
        <v>4</v>
      </c>
      <c r="G595" t="str">
        <f t="shared" si="47"/>
        <v>Loss</v>
      </c>
      <c r="K595" t="str">
        <f t="shared" si="46"/>
        <v>51_A</v>
      </c>
    </row>
    <row r="596" spans="1:11" x14ac:dyDescent="0.35">
      <c r="A596">
        <v>51</v>
      </c>
      <c r="B596" s="6">
        <v>46254</v>
      </c>
      <c r="C596" t="s">
        <v>54</v>
      </c>
      <c r="D596" t="s">
        <v>23</v>
      </c>
      <c r="E596">
        <f>IF(D596="A", INDEX(Matches!$E:$E, MATCH(A596, Matches!$A:$A, 0)), INDEX(Matches!$F:$F, MATCH(A596, Matches!$A:$A, 0)))</f>
        <v>4</v>
      </c>
      <c r="F596">
        <f>IF(D596="A", INDEX(Matches!$F:$F, MATCH(A596, Matches!$A:$A, 0)), INDEX(Matches!$E:$E, MATCH(A596, Matches!$A:$A, 0)))</f>
        <v>3</v>
      </c>
      <c r="G596" t="str">
        <f t="shared" si="47"/>
        <v>Win</v>
      </c>
      <c r="K596" t="str">
        <f t="shared" si="46"/>
        <v>51_B</v>
      </c>
    </row>
    <row r="597" spans="1:11" x14ac:dyDescent="0.35">
      <c r="A597">
        <v>51</v>
      </c>
      <c r="B597" s="6">
        <v>46254</v>
      </c>
      <c r="C597" t="s">
        <v>88</v>
      </c>
      <c r="D597" t="s">
        <v>23</v>
      </c>
      <c r="E597">
        <f>IF(D597="A", INDEX(Matches!$E:$E, MATCH(A597, Matches!$A:$A, 0)), INDEX(Matches!$F:$F, MATCH(A597, Matches!$A:$A, 0)))</f>
        <v>4</v>
      </c>
      <c r="F597">
        <f>IF(D597="A", INDEX(Matches!$F:$F, MATCH(A597, Matches!$A:$A, 0)), INDEX(Matches!$E:$E, MATCH(A597, Matches!$A:$A, 0)))</f>
        <v>3</v>
      </c>
      <c r="G597" t="str">
        <f t="shared" si="47"/>
        <v>Win</v>
      </c>
      <c r="K597" t="str">
        <f t="shared" si="46"/>
        <v>51_B</v>
      </c>
    </row>
    <row r="598" spans="1:11" x14ac:dyDescent="0.35">
      <c r="A598">
        <v>51</v>
      </c>
      <c r="B598" s="6">
        <v>46254</v>
      </c>
      <c r="C598" t="s">
        <v>75</v>
      </c>
      <c r="D598" t="s">
        <v>23</v>
      </c>
      <c r="E598">
        <f>IF(D598="A", INDEX(Matches!$E:$E, MATCH(A598, Matches!$A:$A, 0)), INDEX(Matches!$F:$F, MATCH(A598, Matches!$A:$A, 0)))</f>
        <v>4</v>
      </c>
      <c r="F598">
        <f>IF(D598="A", INDEX(Matches!$F:$F, MATCH(A598, Matches!$A:$A, 0)), INDEX(Matches!$E:$E, MATCH(A598, Matches!$A:$A, 0)))</f>
        <v>3</v>
      </c>
      <c r="G598" t="str">
        <f t="shared" si="47"/>
        <v>Win</v>
      </c>
      <c r="H598">
        <v>2</v>
      </c>
      <c r="K598" t="str">
        <f t="shared" si="46"/>
        <v>51_B</v>
      </c>
    </row>
    <row r="599" spans="1:11" x14ac:dyDescent="0.35">
      <c r="A599">
        <v>51</v>
      </c>
      <c r="B599" s="6">
        <v>46254</v>
      </c>
      <c r="C599" t="s">
        <v>99</v>
      </c>
      <c r="D599" t="s">
        <v>23</v>
      </c>
      <c r="E599">
        <f>IF(D599="A", INDEX(Matches!$E:$E, MATCH(A599, Matches!$A:$A, 0)), INDEX(Matches!$F:$F, MATCH(A599, Matches!$A:$A, 0)))</f>
        <v>4</v>
      </c>
      <c r="F599">
        <f>IF(D599="A", INDEX(Matches!$F:$F, MATCH(A599, Matches!$A:$A, 0)), INDEX(Matches!$E:$E, MATCH(A599, Matches!$A:$A, 0)))</f>
        <v>3</v>
      </c>
      <c r="G599" t="str">
        <f t="shared" si="47"/>
        <v>Win</v>
      </c>
      <c r="K599" t="str">
        <f t="shared" si="46"/>
        <v>51_B</v>
      </c>
    </row>
    <row r="600" spans="1:11" x14ac:dyDescent="0.35">
      <c r="A600">
        <v>51</v>
      </c>
      <c r="B600" s="6">
        <v>46254</v>
      </c>
      <c r="C600" t="s">
        <v>121</v>
      </c>
      <c r="D600" t="s">
        <v>23</v>
      </c>
      <c r="E600">
        <f>IF(D600="A", INDEX(Matches!$E:$E, MATCH(A600, Matches!$A:$A, 0)), INDEX(Matches!$F:$F, MATCH(A600, Matches!$A:$A, 0)))</f>
        <v>4</v>
      </c>
      <c r="F600">
        <f>IF(D600="A", INDEX(Matches!$F:$F, MATCH(A600, Matches!$A:$A, 0)), INDEX(Matches!$E:$E, MATCH(A600, Matches!$A:$A, 0)))</f>
        <v>3</v>
      </c>
      <c r="G600" t="str">
        <f t="shared" si="47"/>
        <v>Win</v>
      </c>
      <c r="H600">
        <v>2</v>
      </c>
      <c r="K600" t="str">
        <f t="shared" si="46"/>
        <v>51_B</v>
      </c>
    </row>
    <row r="601" spans="1:11" x14ac:dyDescent="0.35">
      <c r="A601">
        <v>51</v>
      </c>
      <c r="B601" s="6">
        <v>46254</v>
      </c>
      <c r="C601" t="s">
        <v>52</v>
      </c>
      <c r="D601" t="s">
        <v>23</v>
      </c>
      <c r="E601">
        <f>IF(D601="A", INDEX(Matches!$E:$E, MATCH(A601, Matches!$A:$A, 0)), INDEX(Matches!$F:$F, MATCH(A601, Matches!$A:$A, 0)))</f>
        <v>4</v>
      </c>
      <c r="F601">
        <f>IF(D601="A", INDEX(Matches!$F:$F, MATCH(A601, Matches!$A:$A, 0)), INDEX(Matches!$E:$E, MATCH(A601, Matches!$A:$A, 0)))</f>
        <v>3</v>
      </c>
      <c r="G601" t="str">
        <f t="shared" si="47"/>
        <v>Win</v>
      </c>
      <c r="I601">
        <v>1</v>
      </c>
      <c r="K601" t="str">
        <f t="shared" si="46"/>
        <v>51_B</v>
      </c>
    </row>
    <row r="602" spans="1:11" x14ac:dyDescent="0.35">
      <c r="A602">
        <v>51</v>
      </c>
      <c r="B602" s="6">
        <v>46254</v>
      </c>
      <c r="C602" t="s">
        <v>46</v>
      </c>
      <c r="D602" t="s">
        <v>23</v>
      </c>
      <c r="E602">
        <f>IF(D602="A", INDEX(Matches!$E:$E, MATCH(A602, Matches!$A:$A, 0)), INDEX(Matches!$F:$F, MATCH(A602, Matches!$A:$A, 0)))</f>
        <v>4</v>
      </c>
      <c r="F602">
        <f>IF(D602="A", INDEX(Matches!$F:$F, MATCH(A602, Matches!$A:$A, 0)), INDEX(Matches!$E:$E, MATCH(A602, Matches!$A:$A, 0)))</f>
        <v>3</v>
      </c>
      <c r="G602" t="str">
        <f t="shared" si="47"/>
        <v>Win</v>
      </c>
      <c r="K602" t="str">
        <f t="shared" si="46"/>
        <v>51_B</v>
      </c>
    </row>
    <row r="603" spans="1:11" x14ac:dyDescent="0.35">
      <c r="A603">
        <v>52</v>
      </c>
      <c r="B603" s="6">
        <v>46261</v>
      </c>
      <c r="C603" t="s">
        <v>19</v>
      </c>
      <c r="D603" t="s">
        <v>17</v>
      </c>
      <c r="E603">
        <f>IF(D603="A", INDEX(Matches!$E:$E, MATCH(A603, Matches!$A:$A, 0)), INDEX(Matches!$F:$F, MATCH(A603, Matches!$A:$A, 0)))</f>
        <v>10</v>
      </c>
      <c r="F603">
        <f>IF(D603="A", INDEX(Matches!$F:$F, MATCH(A603, Matches!$A:$A, 0)), INDEX(Matches!$E:$E, MATCH(A603, Matches!$A:$A, 0)))</f>
        <v>4</v>
      </c>
      <c r="G603" t="str">
        <f t="shared" ref="G603:G618" si="48">IF(E603&gt;F603,"Win",IF(E603&lt;F603,"Loss","Draw"))</f>
        <v>Win</v>
      </c>
      <c r="H603">
        <v>2</v>
      </c>
      <c r="I603">
        <v>1</v>
      </c>
      <c r="K603" t="str">
        <f t="shared" si="46"/>
        <v>52_A</v>
      </c>
    </row>
    <row r="604" spans="1:11" x14ac:dyDescent="0.35">
      <c r="A604">
        <v>52</v>
      </c>
      <c r="B604" s="6">
        <v>46261</v>
      </c>
      <c r="C604" t="s">
        <v>88</v>
      </c>
      <c r="D604" t="s">
        <v>17</v>
      </c>
      <c r="E604">
        <f>IF(D604="A", INDEX(Matches!$E:$E, MATCH(A604, Matches!$A:$A, 0)), INDEX(Matches!$F:$F, MATCH(A604, Matches!$A:$A, 0)))</f>
        <v>10</v>
      </c>
      <c r="F604">
        <f>IF(D604="A", INDEX(Matches!$F:$F, MATCH(A604, Matches!$A:$A, 0)), INDEX(Matches!$E:$E, MATCH(A604, Matches!$A:$A, 0)))</f>
        <v>4</v>
      </c>
      <c r="G604" t="str">
        <f t="shared" si="48"/>
        <v>Win</v>
      </c>
      <c r="K604" t="str">
        <f t="shared" si="46"/>
        <v>52_A</v>
      </c>
    </row>
    <row r="605" spans="1:11" x14ac:dyDescent="0.35">
      <c r="A605">
        <v>52</v>
      </c>
      <c r="B605" s="6">
        <v>46261</v>
      </c>
      <c r="C605" t="s">
        <v>22</v>
      </c>
      <c r="D605" t="s">
        <v>17</v>
      </c>
      <c r="E605">
        <f>IF(D605="A", INDEX(Matches!$E:$E, MATCH(A605, Matches!$A:$A, 0)), INDEX(Matches!$F:$F, MATCH(A605, Matches!$A:$A, 0)))</f>
        <v>10</v>
      </c>
      <c r="F605">
        <f>IF(D605="A", INDEX(Matches!$F:$F, MATCH(A605, Matches!$A:$A, 0)), INDEX(Matches!$E:$E, MATCH(A605, Matches!$A:$A, 0)))</f>
        <v>4</v>
      </c>
      <c r="G605" t="str">
        <f t="shared" si="48"/>
        <v>Win</v>
      </c>
      <c r="H605">
        <v>1</v>
      </c>
      <c r="I605">
        <v>1</v>
      </c>
      <c r="K605" t="str">
        <f t="shared" si="46"/>
        <v>52_A</v>
      </c>
    </row>
    <row r="606" spans="1:11" x14ac:dyDescent="0.35">
      <c r="A606">
        <v>52</v>
      </c>
      <c r="B606" s="6">
        <v>46261</v>
      </c>
      <c r="C606" t="s">
        <v>66</v>
      </c>
      <c r="D606" t="s">
        <v>17</v>
      </c>
      <c r="E606">
        <f>IF(D606="A", INDEX(Matches!$E:$E, MATCH(A606, Matches!$A:$A, 0)), INDEX(Matches!$F:$F, MATCH(A606, Matches!$A:$A, 0)))</f>
        <v>10</v>
      </c>
      <c r="F606">
        <f>IF(D606="A", INDEX(Matches!$F:$F, MATCH(A606, Matches!$A:$A, 0)), INDEX(Matches!$E:$E, MATCH(A606, Matches!$A:$A, 0)))</f>
        <v>4</v>
      </c>
      <c r="G606" t="str">
        <f t="shared" si="48"/>
        <v>Win</v>
      </c>
      <c r="H606">
        <v>3</v>
      </c>
      <c r="I606">
        <v>3</v>
      </c>
      <c r="K606" t="str">
        <f t="shared" si="46"/>
        <v>52_A</v>
      </c>
    </row>
    <row r="607" spans="1:11" x14ac:dyDescent="0.35">
      <c r="A607">
        <v>52</v>
      </c>
      <c r="B607" s="6">
        <v>46261</v>
      </c>
      <c r="C607" t="s">
        <v>54</v>
      </c>
      <c r="D607" t="s">
        <v>17</v>
      </c>
      <c r="E607">
        <f>IF(D607="A", INDEX(Matches!$E:$E, MATCH(A607, Matches!$A:$A, 0)), INDEX(Matches!$F:$F, MATCH(A607, Matches!$A:$A, 0)))</f>
        <v>10</v>
      </c>
      <c r="F607">
        <f>IF(D607="A", INDEX(Matches!$F:$F, MATCH(A607, Matches!$A:$A, 0)), INDEX(Matches!$E:$E, MATCH(A607, Matches!$A:$A, 0)))</f>
        <v>4</v>
      </c>
      <c r="G607" t="str">
        <f t="shared" si="48"/>
        <v>Win</v>
      </c>
      <c r="H607">
        <v>1</v>
      </c>
      <c r="I607">
        <v>1</v>
      </c>
      <c r="K607" t="str">
        <f t="shared" si="46"/>
        <v>52_A</v>
      </c>
    </row>
    <row r="608" spans="1:11" x14ac:dyDescent="0.35">
      <c r="A608">
        <v>52</v>
      </c>
      <c r="B608" s="6">
        <v>46261</v>
      </c>
      <c r="C608" t="s">
        <v>121</v>
      </c>
      <c r="D608" t="s">
        <v>17</v>
      </c>
      <c r="E608">
        <f>IF(D608="A", INDEX(Matches!$E:$E, MATCH(A608, Matches!$A:$A, 0)), INDEX(Matches!$F:$F, MATCH(A608, Matches!$A:$A, 0)))</f>
        <v>10</v>
      </c>
      <c r="F608">
        <f>IF(D608="A", INDEX(Matches!$F:$F, MATCH(A608, Matches!$A:$A, 0)), INDEX(Matches!$E:$E, MATCH(A608, Matches!$A:$A, 0)))</f>
        <v>4</v>
      </c>
      <c r="G608" t="str">
        <f t="shared" si="48"/>
        <v>Win</v>
      </c>
      <c r="H608">
        <v>2</v>
      </c>
      <c r="I608">
        <v>1</v>
      </c>
      <c r="K608" t="str">
        <f t="shared" si="46"/>
        <v>52_A</v>
      </c>
    </row>
    <row r="609" spans="1:11" x14ac:dyDescent="0.35">
      <c r="A609">
        <v>52</v>
      </c>
      <c r="B609" s="6">
        <v>46261</v>
      </c>
      <c r="C609" t="s">
        <v>50</v>
      </c>
      <c r="D609" t="s">
        <v>17</v>
      </c>
      <c r="E609">
        <f>IF(D609="A", INDEX(Matches!$E:$E, MATCH(A609, Matches!$A:$A, 0)), INDEX(Matches!$F:$F, MATCH(A609, Matches!$A:$A, 0)))</f>
        <v>10</v>
      </c>
      <c r="F609">
        <f>IF(D609="A", INDEX(Matches!$F:$F, MATCH(A609, Matches!$A:$A, 0)), INDEX(Matches!$E:$E, MATCH(A609, Matches!$A:$A, 0)))</f>
        <v>4</v>
      </c>
      <c r="G609" t="str">
        <f t="shared" si="48"/>
        <v>Win</v>
      </c>
      <c r="K609" t="str">
        <f t="shared" si="46"/>
        <v>52_A</v>
      </c>
    </row>
    <row r="610" spans="1:11" x14ac:dyDescent="0.35">
      <c r="A610">
        <v>52</v>
      </c>
      <c r="B610" s="6">
        <v>46261</v>
      </c>
      <c r="C610" t="s">
        <v>45</v>
      </c>
      <c r="D610" t="s">
        <v>17</v>
      </c>
      <c r="E610">
        <f>IF(D610="A", INDEX(Matches!$E:$E, MATCH(A610, Matches!$A:$A, 0)), INDEX(Matches!$F:$F, MATCH(A610, Matches!$A:$A, 0)))</f>
        <v>10</v>
      </c>
      <c r="F610">
        <f>IF(D610="A", INDEX(Matches!$F:$F, MATCH(A610, Matches!$A:$A, 0)), INDEX(Matches!$E:$E, MATCH(A610, Matches!$A:$A, 0)))</f>
        <v>4</v>
      </c>
      <c r="G610" t="str">
        <f t="shared" si="48"/>
        <v>Win</v>
      </c>
      <c r="K610" t="str">
        <f t="shared" si="46"/>
        <v>52_A</v>
      </c>
    </row>
    <row r="611" spans="1:11" x14ac:dyDescent="0.35">
      <c r="A611">
        <v>52</v>
      </c>
      <c r="B611" s="6">
        <v>46261</v>
      </c>
      <c r="C611" t="s">
        <v>89</v>
      </c>
      <c r="D611" t="s">
        <v>23</v>
      </c>
      <c r="E611">
        <f>IF(D611="A", INDEX(Matches!$E:$E, MATCH(A611, Matches!$A:$A, 0)), INDEX(Matches!$F:$F, MATCH(A611, Matches!$A:$A, 0)))</f>
        <v>4</v>
      </c>
      <c r="F611">
        <f>IF(D611="A", INDEX(Matches!$F:$F, MATCH(A611, Matches!$A:$A, 0)), INDEX(Matches!$E:$E, MATCH(A611, Matches!$A:$A, 0)))</f>
        <v>10</v>
      </c>
      <c r="G611" t="str">
        <f t="shared" si="48"/>
        <v>Loss</v>
      </c>
      <c r="K611" t="str">
        <f t="shared" si="46"/>
        <v>52_B</v>
      </c>
    </row>
    <row r="612" spans="1:11" x14ac:dyDescent="0.35">
      <c r="A612">
        <v>52</v>
      </c>
      <c r="B612" s="6">
        <v>46261</v>
      </c>
      <c r="C612" t="s">
        <v>42</v>
      </c>
      <c r="D612" t="s">
        <v>23</v>
      </c>
      <c r="E612">
        <f>IF(D612="A", INDEX(Matches!$E:$E, MATCH(A612, Matches!$A:$A, 0)), INDEX(Matches!$F:$F, MATCH(A612, Matches!$A:$A, 0)))</f>
        <v>4</v>
      </c>
      <c r="F612">
        <f>IF(D612="A", INDEX(Matches!$F:$F, MATCH(A612, Matches!$A:$A, 0)), INDEX(Matches!$E:$E, MATCH(A612, Matches!$A:$A, 0)))</f>
        <v>10</v>
      </c>
      <c r="G612" t="str">
        <f t="shared" si="48"/>
        <v>Loss</v>
      </c>
      <c r="K612" t="str">
        <f t="shared" si="46"/>
        <v>52_B</v>
      </c>
    </row>
    <row r="613" spans="1:11" x14ac:dyDescent="0.35">
      <c r="A613">
        <v>52</v>
      </c>
      <c r="B613" s="6">
        <v>46261</v>
      </c>
      <c r="C613" t="s">
        <v>25</v>
      </c>
      <c r="D613" t="s">
        <v>23</v>
      </c>
      <c r="E613">
        <f>IF(D613="A", INDEX(Matches!$E:$E, MATCH(A613, Matches!$A:$A, 0)), INDEX(Matches!$F:$F, MATCH(A613, Matches!$A:$A, 0)))</f>
        <v>4</v>
      </c>
      <c r="F613">
        <f>IF(D613="A", INDEX(Matches!$F:$F, MATCH(A613, Matches!$A:$A, 0)), INDEX(Matches!$E:$E, MATCH(A613, Matches!$A:$A, 0)))</f>
        <v>10</v>
      </c>
      <c r="G613" t="str">
        <f t="shared" si="48"/>
        <v>Loss</v>
      </c>
      <c r="H613">
        <v>1</v>
      </c>
      <c r="K613" t="str">
        <f t="shared" si="46"/>
        <v>52_B</v>
      </c>
    </row>
    <row r="614" spans="1:11" x14ac:dyDescent="0.35">
      <c r="A614">
        <v>52</v>
      </c>
      <c r="B614" s="6">
        <v>46261</v>
      </c>
      <c r="C614" t="s">
        <v>53</v>
      </c>
      <c r="D614" t="s">
        <v>23</v>
      </c>
      <c r="E614">
        <f>IF(D614="A", INDEX(Matches!$E:$E, MATCH(A614, Matches!$A:$A, 0)), INDEX(Matches!$F:$F, MATCH(A614, Matches!$A:$A, 0)))</f>
        <v>4</v>
      </c>
      <c r="F614">
        <f>IF(D614="A", INDEX(Matches!$F:$F, MATCH(A614, Matches!$A:$A, 0)), INDEX(Matches!$E:$E, MATCH(A614, Matches!$A:$A, 0)))</f>
        <v>10</v>
      </c>
      <c r="G614" t="str">
        <f t="shared" si="48"/>
        <v>Loss</v>
      </c>
      <c r="I614">
        <v>2</v>
      </c>
      <c r="K614" t="str">
        <f t="shared" si="46"/>
        <v>52_B</v>
      </c>
    </row>
    <row r="615" spans="1:11" x14ac:dyDescent="0.35">
      <c r="A615">
        <v>52</v>
      </c>
      <c r="B615" s="6">
        <v>46261</v>
      </c>
      <c r="C615" t="s">
        <v>46</v>
      </c>
      <c r="D615" t="s">
        <v>23</v>
      </c>
      <c r="E615">
        <f>IF(D615="A", INDEX(Matches!$E:$E, MATCH(A615, Matches!$A:$A, 0)), INDEX(Matches!$F:$F, MATCH(A615, Matches!$A:$A, 0)))</f>
        <v>4</v>
      </c>
      <c r="F615">
        <f>IF(D615="A", INDEX(Matches!$F:$F, MATCH(A615, Matches!$A:$A, 0)), INDEX(Matches!$E:$E, MATCH(A615, Matches!$A:$A, 0)))</f>
        <v>10</v>
      </c>
      <c r="G615" t="str">
        <f t="shared" si="48"/>
        <v>Loss</v>
      </c>
      <c r="H615">
        <v>3</v>
      </c>
      <c r="K615" t="str">
        <f t="shared" si="46"/>
        <v>52_B</v>
      </c>
    </row>
    <row r="616" spans="1:11" x14ac:dyDescent="0.35">
      <c r="A616">
        <v>52</v>
      </c>
      <c r="B616" s="6">
        <v>46261</v>
      </c>
      <c r="C616" t="s">
        <v>51</v>
      </c>
      <c r="D616" t="s">
        <v>23</v>
      </c>
      <c r="E616">
        <f>IF(D616="A", INDEX(Matches!$E:$E, MATCH(A616, Matches!$A:$A, 0)), INDEX(Matches!$F:$F, MATCH(A616, Matches!$A:$A, 0)))</f>
        <v>4</v>
      </c>
      <c r="F616">
        <f>IF(D616="A", INDEX(Matches!$F:$F, MATCH(A616, Matches!$A:$A, 0)), INDEX(Matches!$E:$E, MATCH(A616, Matches!$A:$A, 0)))</f>
        <v>10</v>
      </c>
      <c r="G616" t="str">
        <f t="shared" si="48"/>
        <v>Loss</v>
      </c>
      <c r="I616">
        <v>1</v>
      </c>
      <c r="K616" t="str">
        <f t="shared" si="46"/>
        <v>52_B</v>
      </c>
    </row>
    <row r="617" spans="1:11" x14ac:dyDescent="0.35">
      <c r="A617">
        <v>52</v>
      </c>
      <c r="B617" s="6">
        <v>46261</v>
      </c>
      <c r="C617" t="s">
        <v>43</v>
      </c>
      <c r="D617" t="s">
        <v>23</v>
      </c>
      <c r="E617">
        <f>IF(D617="A", INDEX(Matches!$E:$E, MATCH(A617, Matches!$A:$A, 0)), INDEX(Matches!$F:$F, MATCH(A617, Matches!$A:$A, 0)))</f>
        <v>4</v>
      </c>
      <c r="F617">
        <f>IF(D617="A", INDEX(Matches!$F:$F, MATCH(A617, Matches!$A:$A, 0)), INDEX(Matches!$E:$E, MATCH(A617, Matches!$A:$A, 0)))</f>
        <v>10</v>
      </c>
      <c r="G617" t="str">
        <f t="shared" si="48"/>
        <v>Loss</v>
      </c>
      <c r="J617">
        <v>1</v>
      </c>
      <c r="K617" t="str">
        <f t="shared" si="46"/>
        <v>52_B</v>
      </c>
    </row>
    <row r="618" spans="1:11" x14ac:dyDescent="0.35">
      <c r="A618">
        <v>52</v>
      </c>
      <c r="B618" s="6">
        <v>46261</v>
      </c>
      <c r="C618" t="s">
        <v>52</v>
      </c>
      <c r="D618" t="s">
        <v>23</v>
      </c>
      <c r="E618">
        <f>IF(D618="A", INDEX(Matches!$E:$E, MATCH(A618, Matches!$A:$A, 0)), INDEX(Matches!$F:$F, MATCH(A618, Matches!$A:$A, 0)))</f>
        <v>4</v>
      </c>
      <c r="F618">
        <f>IF(D618="A", INDEX(Matches!$F:$F, MATCH(A618, Matches!$A:$A, 0)), INDEX(Matches!$E:$E, MATCH(A618, Matches!$A:$A, 0)))</f>
        <v>10</v>
      </c>
      <c r="G618" t="str">
        <f t="shared" si="48"/>
        <v>Loss</v>
      </c>
      <c r="I618">
        <v>1</v>
      </c>
      <c r="K618" t="str">
        <f t="shared" si="46"/>
        <v>52_B</v>
      </c>
    </row>
    <row r="619" spans="1:11" x14ac:dyDescent="0.35">
      <c r="A619">
        <v>53</v>
      </c>
      <c r="B619" s="6">
        <v>46268</v>
      </c>
      <c r="C619" t="s">
        <v>25</v>
      </c>
      <c r="D619" t="s">
        <v>17</v>
      </c>
      <c r="E619">
        <f>IF(D619="A", INDEX(Matches!$E:$E, MATCH(A619, Matches!$A:$A, 0)), INDEX(Matches!$F:$F, MATCH(A619, Matches!$A:$A, 0)))</f>
        <v>6</v>
      </c>
      <c r="F619">
        <f>IF(D619="A", INDEX(Matches!$F:$F, MATCH(A619, Matches!$A:$A, 0)), INDEX(Matches!$E:$E, MATCH(A619, Matches!$A:$A, 0)))</f>
        <v>5</v>
      </c>
      <c r="G619" t="str">
        <f t="shared" ref="G619:G638" si="49">IF(E619&gt;F619,"Win",IF(E619&lt;F619,"Loss","Draw"))</f>
        <v>Win</v>
      </c>
      <c r="H619">
        <v>1</v>
      </c>
      <c r="K619" t="str">
        <f t="shared" si="46"/>
        <v>53_A</v>
      </c>
    </row>
    <row r="620" spans="1:11" x14ac:dyDescent="0.35">
      <c r="A620">
        <v>53</v>
      </c>
      <c r="B620" s="6">
        <v>46268</v>
      </c>
      <c r="C620" t="s">
        <v>19</v>
      </c>
      <c r="D620" t="s">
        <v>17</v>
      </c>
      <c r="E620">
        <f>IF(D620="A", INDEX(Matches!$E:$E, MATCH(A620, Matches!$A:$A, 0)), INDEX(Matches!$F:$F, MATCH(A620, Matches!$A:$A, 0)))</f>
        <v>6</v>
      </c>
      <c r="F620">
        <f>IF(D620="A", INDEX(Matches!$F:$F, MATCH(A620, Matches!$A:$A, 0)), INDEX(Matches!$E:$E, MATCH(A620, Matches!$A:$A, 0)))</f>
        <v>5</v>
      </c>
      <c r="G620" t="str">
        <f t="shared" si="49"/>
        <v>Win</v>
      </c>
      <c r="K620" t="str">
        <f t="shared" si="46"/>
        <v>53_A</v>
      </c>
    </row>
    <row r="621" spans="1:11" x14ac:dyDescent="0.35">
      <c r="A621">
        <v>53</v>
      </c>
      <c r="B621" s="6">
        <v>46268</v>
      </c>
      <c r="C621" t="s">
        <v>121</v>
      </c>
      <c r="D621" t="s">
        <v>17</v>
      </c>
      <c r="E621">
        <f>IF(D621="A", INDEX(Matches!$E:$E, MATCH(A621, Matches!$A:$A, 0)), INDEX(Matches!$F:$F, MATCH(A621, Matches!$A:$A, 0)))</f>
        <v>6</v>
      </c>
      <c r="F621">
        <f>IF(D621="A", INDEX(Matches!$F:$F, MATCH(A621, Matches!$A:$A, 0)), INDEX(Matches!$E:$E, MATCH(A621, Matches!$A:$A, 0)))</f>
        <v>5</v>
      </c>
      <c r="G621" t="str">
        <f t="shared" si="49"/>
        <v>Win</v>
      </c>
      <c r="H621">
        <v>3</v>
      </c>
      <c r="I621">
        <v>2</v>
      </c>
      <c r="K621" t="str">
        <f t="shared" si="46"/>
        <v>53_A</v>
      </c>
    </row>
    <row r="622" spans="1:11" x14ac:dyDescent="0.35">
      <c r="A622">
        <v>53</v>
      </c>
      <c r="B622" s="6">
        <v>46268</v>
      </c>
      <c r="C622" t="s">
        <v>52</v>
      </c>
      <c r="D622" t="s">
        <v>17</v>
      </c>
      <c r="E622">
        <f>IF(D622="A", INDEX(Matches!$E:$E, MATCH(A622, Matches!$A:$A, 0)), INDEX(Matches!$F:$F, MATCH(A622, Matches!$A:$A, 0)))</f>
        <v>6</v>
      </c>
      <c r="F622">
        <f>IF(D622="A", INDEX(Matches!$F:$F, MATCH(A622, Matches!$A:$A, 0)), INDEX(Matches!$E:$E, MATCH(A622, Matches!$A:$A, 0)))</f>
        <v>5</v>
      </c>
      <c r="G622" t="str">
        <f t="shared" si="49"/>
        <v>Win</v>
      </c>
      <c r="H622">
        <v>2</v>
      </c>
      <c r="I622">
        <v>1</v>
      </c>
      <c r="K622" t="str">
        <f t="shared" si="46"/>
        <v>53_A</v>
      </c>
    </row>
    <row r="623" spans="1:11" x14ac:dyDescent="0.35">
      <c r="A623">
        <v>53</v>
      </c>
      <c r="B623" s="6">
        <v>46268</v>
      </c>
      <c r="C623" t="s">
        <v>45</v>
      </c>
      <c r="D623" t="s">
        <v>17</v>
      </c>
      <c r="E623">
        <f>IF(D623="A", INDEX(Matches!$E:$E, MATCH(A623, Matches!$A:$A, 0)), INDEX(Matches!$F:$F, MATCH(A623, Matches!$A:$A, 0)))</f>
        <v>6</v>
      </c>
      <c r="F623">
        <f>IF(D623="A", INDEX(Matches!$F:$F, MATCH(A623, Matches!$A:$A, 0)), INDEX(Matches!$E:$E, MATCH(A623, Matches!$A:$A, 0)))</f>
        <v>5</v>
      </c>
      <c r="G623" t="str">
        <f t="shared" si="49"/>
        <v>Win</v>
      </c>
      <c r="K623" t="str">
        <f t="shared" si="46"/>
        <v>53_A</v>
      </c>
    </row>
    <row r="624" spans="1:11" x14ac:dyDescent="0.35">
      <c r="A624">
        <v>53</v>
      </c>
      <c r="B624" s="6">
        <v>46268</v>
      </c>
      <c r="C624" t="s">
        <v>41</v>
      </c>
      <c r="D624" t="s">
        <v>23</v>
      </c>
      <c r="E624">
        <f>IF(D624="A", INDEX(Matches!$E:$E, MATCH(A624, Matches!$A:$A, 0)), INDEX(Matches!$F:$F, MATCH(A624, Matches!$A:$A, 0)))</f>
        <v>5</v>
      </c>
      <c r="F624">
        <f>IF(D624="A", INDEX(Matches!$F:$F, MATCH(A624, Matches!$A:$A, 0)), INDEX(Matches!$E:$E, MATCH(A624, Matches!$A:$A, 0)))</f>
        <v>6</v>
      </c>
      <c r="G624" t="str">
        <f t="shared" si="49"/>
        <v>Loss</v>
      </c>
      <c r="K624" t="str">
        <f t="shared" si="46"/>
        <v>53_B</v>
      </c>
    </row>
    <row r="625" spans="1:11" x14ac:dyDescent="0.35">
      <c r="A625">
        <v>53</v>
      </c>
      <c r="B625" s="6">
        <v>46268</v>
      </c>
      <c r="C625" t="s">
        <v>21</v>
      </c>
      <c r="D625" t="s">
        <v>23</v>
      </c>
      <c r="E625">
        <f>IF(D625="A", INDEX(Matches!$E:$E, MATCH(A625, Matches!$A:$A, 0)), INDEX(Matches!$F:$F, MATCH(A625, Matches!$A:$A, 0)))</f>
        <v>5</v>
      </c>
      <c r="F625">
        <f>IF(D625="A", INDEX(Matches!$F:$F, MATCH(A625, Matches!$A:$A, 0)), INDEX(Matches!$E:$E, MATCH(A625, Matches!$A:$A, 0)))</f>
        <v>6</v>
      </c>
      <c r="G625" t="str">
        <f t="shared" si="49"/>
        <v>Loss</v>
      </c>
      <c r="H625">
        <v>1</v>
      </c>
      <c r="I625">
        <v>1</v>
      </c>
      <c r="K625" t="str">
        <f t="shared" si="46"/>
        <v>53_B</v>
      </c>
    </row>
    <row r="626" spans="1:11" x14ac:dyDescent="0.35">
      <c r="A626">
        <v>53</v>
      </c>
      <c r="B626" s="6">
        <v>46268</v>
      </c>
      <c r="C626" t="s">
        <v>16</v>
      </c>
      <c r="D626" t="s">
        <v>23</v>
      </c>
      <c r="E626">
        <f>IF(D626="A", INDEX(Matches!$E:$E, MATCH(A626, Matches!$A:$A, 0)), INDEX(Matches!$F:$F, MATCH(A626, Matches!$A:$A, 0)))</f>
        <v>5</v>
      </c>
      <c r="F626">
        <f>IF(D626="A", INDEX(Matches!$F:$F, MATCH(A626, Matches!$A:$A, 0)), INDEX(Matches!$E:$E, MATCH(A626, Matches!$A:$A, 0)))</f>
        <v>6</v>
      </c>
      <c r="G626" t="str">
        <f t="shared" si="49"/>
        <v>Loss</v>
      </c>
      <c r="H626">
        <v>1</v>
      </c>
      <c r="I626">
        <v>1</v>
      </c>
      <c r="K626" t="str">
        <f t="shared" si="46"/>
        <v>53_B</v>
      </c>
    </row>
    <row r="627" spans="1:11" x14ac:dyDescent="0.35">
      <c r="A627">
        <v>53</v>
      </c>
      <c r="B627" s="6">
        <v>46268</v>
      </c>
      <c r="C627" t="s">
        <v>66</v>
      </c>
      <c r="D627" t="s">
        <v>23</v>
      </c>
      <c r="E627">
        <f>IF(D627="A", INDEX(Matches!$E:$E, MATCH(A627, Matches!$A:$A, 0)), INDEX(Matches!$F:$F, MATCH(A627, Matches!$A:$A, 0)))</f>
        <v>5</v>
      </c>
      <c r="F627">
        <f>IF(D627="A", INDEX(Matches!$F:$F, MATCH(A627, Matches!$A:$A, 0)), INDEX(Matches!$E:$E, MATCH(A627, Matches!$A:$A, 0)))</f>
        <v>6</v>
      </c>
      <c r="G627" t="str">
        <f t="shared" si="49"/>
        <v>Loss</v>
      </c>
      <c r="H627">
        <v>3</v>
      </c>
      <c r="I627">
        <v>1</v>
      </c>
      <c r="K627" t="str">
        <f t="shared" si="46"/>
        <v>53_B</v>
      </c>
    </row>
    <row r="628" spans="1:11" x14ac:dyDescent="0.35">
      <c r="A628">
        <v>53</v>
      </c>
      <c r="B628" s="6">
        <v>46268</v>
      </c>
      <c r="C628" t="s">
        <v>50</v>
      </c>
      <c r="D628" t="s">
        <v>23</v>
      </c>
      <c r="E628">
        <f>IF(D628="A", INDEX(Matches!$E:$E, MATCH(A628, Matches!$A:$A, 0)), INDEX(Matches!$F:$F, MATCH(A628, Matches!$A:$A, 0)))</f>
        <v>5</v>
      </c>
      <c r="F628">
        <f>IF(D628="A", INDEX(Matches!$F:$F, MATCH(A628, Matches!$A:$A, 0)), INDEX(Matches!$E:$E, MATCH(A628, Matches!$A:$A, 0)))</f>
        <v>6</v>
      </c>
      <c r="G628" t="str">
        <f t="shared" si="49"/>
        <v>Loss</v>
      </c>
      <c r="K628" t="str">
        <f t="shared" si="46"/>
        <v>53_B</v>
      </c>
    </row>
    <row r="629" spans="1:11" x14ac:dyDescent="0.35">
      <c r="A629">
        <v>54</v>
      </c>
      <c r="B629" s="6">
        <v>46268</v>
      </c>
      <c r="C629" t="s">
        <v>46</v>
      </c>
      <c r="D629" t="s">
        <v>17</v>
      </c>
      <c r="E629">
        <f>IF(D629="A", INDEX(Matches!$E:$E, MATCH(A629, Matches!$A:$A, 0)), INDEX(Matches!$F:$F, MATCH(A629, Matches!$A:$A, 0)))</f>
        <v>5</v>
      </c>
      <c r="F629">
        <f>IF(D629="A", INDEX(Matches!$F:$F, MATCH(A629, Matches!$A:$A, 0)), INDEX(Matches!$E:$E, MATCH(A629, Matches!$A:$A, 0)))</f>
        <v>8</v>
      </c>
      <c r="G629" t="str">
        <f t="shared" si="49"/>
        <v>Loss</v>
      </c>
      <c r="H629">
        <v>3</v>
      </c>
      <c r="J629">
        <v>1</v>
      </c>
      <c r="K629" t="str">
        <f t="shared" si="46"/>
        <v>54_A</v>
      </c>
    </row>
    <row r="630" spans="1:11" x14ac:dyDescent="0.35">
      <c r="A630">
        <v>54</v>
      </c>
      <c r="B630" s="6">
        <v>46268</v>
      </c>
      <c r="C630" t="s">
        <v>51</v>
      </c>
      <c r="D630" t="s">
        <v>17</v>
      </c>
      <c r="E630">
        <f>IF(D630="A", INDEX(Matches!$E:$E, MATCH(A630, Matches!$A:$A, 0)), INDEX(Matches!$F:$F, MATCH(A630, Matches!$A:$A, 0)))</f>
        <v>5</v>
      </c>
      <c r="F630">
        <f>IF(D630="A", INDEX(Matches!$F:$F, MATCH(A630, Matches!$A:$A, 0)), INDEX(Matches!$E:$E, MATCH(A630, Matches!$A:$A, 0)))</f>
        <v>8</v>
      </c>
      <c r="G630" t="str">
        <f t="shared" si="49"/>
        <v>Loss</v>
      </c>
      <c r="H630">
        <v>1</v>
      </c>
      <c r="I630">
        <v>1</v>
      </c>
      <c r="K630" t="str">
        <f t="shared" si="46"/>
        <v>54_A</v>
      </c>
    </row>
    <row r="631" spans="1:11" x14ac:dyDescent="0.35">
      <c r="A631">
        <v>54</v>
      </c>
      <c r="B631" s="6">
        <v>46268</v>
      </c>
      <c r="C631" t="s">
        <v>20</v>
      </c>
      <c r="D631" t="s">
        <v>17</v>
      </c>
      <c r="E631">
        <f>IF(D631="A", INDEX(Matches!$E:$E, MATCH(A631, Matches!$A:$A, 0)), INDEX(Matches!$F:$F, MATCH(A631, Matches!$A:$A, 0)))</f>
        <v>5</v>
      </c>
      <c r="F631">
        <f>IF(D631="A", INDEX(Matches!$F:$F, MATCH(A631, Matches!$A:$A, 0)), INDEX(Matches!$E:$E, MATCH(A631, Matches!$A:$A, 0)))</f>
        <v>8</v>
      </c>
      <c r="G631" t="str">
        <f t="shared" si="49"/>
        <v>Loss</v>
      </c>
      <c r="H631">
        <v>1</v>
      </c>
      <c r="I631">
        <v>1</v>
      </c>
      <c r="K631" t="str">
        <f t="shared" si="46"/>
        <v>54_A</v>
      </c>
    </row>
    <row r="632" spans="1:11" x14ac:dyDescent="0.35">
      <c r="A632">
        <v>54</v>
      </c>
      <c r="B632" s="6">
        <v>46268</v>
      </c>
      <c r="C632" t="s">
        <v>24</v>
      </c>
      <c r="D632" t="s">
        <v>17</v>
      </c>
      <c r="E632">
        <f>IF(D632="A", INDEX(Matches!$E:$E, MATCH(A632, Matches!$A:$A, 0)), INDEX(Matches!$F:$F, MATCH(A632, Matches!$A:$A, 0)))</f>
        <v>5</v>
      </c>
      <c r="F632">
        <f>IF(D632="A", INDEX(Matches!$F:$F, MATCH(A632, Matches!$A:$A, 0)), INDEX(Matches!$E:$E, MATCH(A632, Matches!$A:$A, 0)))</f>
        <v>8</v>
      </c>
      <c r="G632" t="str">
        <f t="shared" si="49"/>
        <v>Loss</v>
      </c>
      <c r="K632" t="str">
        <f t="shared" si="46"/>
        <v>54_A</v>
      </c>
    </row>
    <row r="633" spans="1:11" x14ac:dyDescent="0.35">
      <c r="A633">
        <v>54</v>
      </c>
      <c r="B633" s="6">
        <v>46268</v>
      </c>
      <c r="C633" t="s">
        <v>54</v>
      </c>
      <c r="D633" t="s">
        <v>17</v>
      </c>
      <c r="E633">
        <f>IF(D633="A", INDEX(Matches!$E:$E, MATCH(A633, Matches!$A:$A, 0)), INDEX(Matches!$F:$F, MATCH(A633, Matches!$A:$A, 0)))</f>
        <v>5</v>
      </c>
      <c r="F633">
        <f>IF(D633="A", INDEX(Matches!$F:$F, MATCH(A633, Matches!$A:$A, 0)), INDEX(Matches!$E:$E, MATCH(A633, Matches!$A:$A, 0)))</f>
        <v>8</v>
      </c>
      <c r="G633" t="str">
        <f t="shared" si="49"/>
        <v>Loss</v>
      </c>
      <c r="I633">
        <v>3</v>
      </c>
      <c r="K633" t="str">
        <f t="shared" si="46"/>
        <v>54_A</v>
      </c>
    </row>
    <row r="634" spans="1:11" x14ac:dyDescent="0.35">
      <c r="A634">
        <v>54</v>
      </c>
      <c r="B634" s="6">
        <v>46268</v>
      </c>
      <c r="C634" t="s">
        <v>89</v>
      </c>
      <c r="D634" t="s">
        <v>23</v>
      </c>
      <c r="E634">
        <f>IF(D634="A", INDEX(Matches!$E:$E, MATCH(A634, Matches!$A:$A, 0)), INDEX(Matches!$F:$F, MATCH(A634, Matches!$A:$A, 0)))</f>
        <v>8</v>
      </c>
      <c r="F634">
        <f>IF(D634="A", INDEX(Matches!$F:$F, MATCH(A634, Matches!$A:$A, 0)), INDEX(Matches!$E:$E, MATCH(A634, Matches!$A:$A, 0)))</f>
        <v>5</v>
      </c>
      <c r="G634" t="str">
        <f t="shared" si="49"/>
        <v>Win</v>
      </c>
      <c r="H634">
        <v>3</v>
      </c>
      <c r="K634" t="str">
        <f t="shared" si="46"/>
        <v>54_B</v>
      </c>
    </row>
    <row r="635" spans="1:11" x14ac:dyDescent="0.35">
      <c r="A635">
        <v>54</v>
      </c>
      <c r="B635" s="6">
        <v>46268</v>
      </c>
      <c r="C635" t="s">
        <v>40</v>
      </c>
      <c r="D635" t="s">
        <v>23</v>
      </c>
      <c r="E635">
        <f>IF(D635="A", INDEX(Matches!$E:$E, MATCH(A635, Matches!$A:$A, 0)), INDEX(Matches!$F:$F, MATCH(A635, Matches!$A:$A, 0)))</f>
        <v>8</v>
      </c>
      <c r="F635">
        <f>IF(D635="A", INDEX(Matches!$F:$F, MATCH(A635, Matches!$A:$A, 0)), INDEX(Matches!$E:$E, MATCH(A635, Matches!$A:$A, 0)))</f>
        <v>5</v>
      </c>
      <c r="G635" t="str">
        <f t="shared" si="49"/>
        <v>Win</v>
      </c>
      <c r="H635">
        <v>1</v>
      </c>
      <c r="K635" t="str">
        <f t="shared" si="46"/>
        <v>54_B</v>
      </c>
    </row>
    <row r="636" spans="1:11" x14ac:dyDescent="0.35">
      <c r="A636">
        <v>54</v>
      </c>
      <c r="B636" s="6">
        <v>46268</v>
      </c>
      <c r="C636" t="s">
        <v>22</v>
      </c>
      <c r="D636" t="s">
        <v>23</v>
      </c>
      <c r="E636">
        <f>IF(D636="A", INDEX(Matches!$E:$E, MATCH(A636, Matches!$A:$A, 0)), INDEX(Matches!$F:$F, MATCH(A636, Matches!$A:$A, 0)))</f>
        <v>8</v>
      </c>
      <c r="F636">
        <f>IF(D636="A", INDEX(Matches!$F:$F, MATCH(A636, Matches!$A:$A, 0)), INDEX(Matches!$E:$E, MATCH(A636, Matches!$A:$A, 0)))</f>
        <v>5</v>
      </c>
      <c r="G636" t="str">
        <f t="shared" si="49"/>
        <v>Win</v>
      </c>
      <c r="I636">
        <v>1</v>
      </c>
      <c r="K636" t="str">
        <f t="shared" si="46"/>
        <v>54_B</v>
      </c>
    </row>
    <row r="637" spans="1:11" x14ac:dyDescent="0.35">
      <c r="A637">
        <v>54</v>
      </c>
      <c r="B637" s="6">
        <v>46268</v>
      </c>
      <c r="C637" t="s">
        <v>42</v>
      </c>
      <c r="D637" t="s">
        <v>23</v>
      </c>
      <c r="E637">
        <f>IF(D637="A", INDEX(Matches!$E:$E, MATCH(A637, Matches!$A:$A, 0)), INDEX(Matches!$F:$F, MATCH(A637, Matches!$A:$A, 0)))</f>
        <v>8</v>
      </c>
      <c r="F637">
        <f>IF(D637="A", INDEX(Matches!$F:$F, MATCH(A637, Matches!$A:$A, 0)), INDEX(Matches!$E:$E, MATCH(A637, Matches!$A:$A, 0)))</f>
        <v>5</v>
      </c>
      <c r="G637" t="str">
        <f t="shared" si="49"/>
        <v>Win</v>
      </c>
      <c r="H637">
        <v>1</v>
      </c>
      <c r="K637" t="str">
        <f t="shared" si="46"/>
        <v>54_B</v>
      </c>
    </row>
    <row r="638" spans="1:11" x14ac:dyDescent="0.35">
      <c r="A638">
        <v>54</v>
      </c>
      <c r="B638" s="6">
        <v>46268</v>
      </c>
      <c r="C638" t="s">
        <v>128</v>
      </c>
      <c r="D638" t="s">
        <v>23</v>
      </c>
      <c r="E638">
        <f>IF(D638="A", INDEX(Matches!$E:$E, MATCH(A638, Matches!$A:$A, 0)), INDEX(Matches!$F:$F, MATCH(A638, Matches!$A:$A, 0)))</f>
        <v>8</v>
      </c>
      <c r="F638">
        <f>IF(D638="A", INDEX(Matches!$F:$F, MATCH(A638, Matches!$A:$A, 0)), INDEX(Matches!$E:$E, MATCH(A638, Matches!$A:$A, 0)))</f>
        <v>5</v>
      </c>
      <c r="G638" t="str">
        <f t="shared" si="49"/>
        <v>Win</v>
      </c>
      <c r="H638">
        <v>2</v>
      </c>
      <c r="K638" t="str">
        <f t="shared" si="46"/>
        <v>54_B</v>
      </c>
    </row>
    <row r="639" spans="1:11" x14ac:dyDescent="0.35">
      <c r="A639">
        <v>55</v>
      </c>
      <c r="B639" s="6">
        <v>46275</v>
      </c>
      <c r="C639" t="s">
        <v>43</v>
      </c>
      <c r="D639" t="s">
        <v>17</v>
      </c>
      <c r="E639">
        <f>IF(D639="A", INDEX(Matches!$E:$E, MATCH(A639, Matches!$A:$A, 0)), INDEX(Matches!$F:$F, MATCH(A639, Matches!$A:$A, 0)))</f>
        <v>9</v>
      </c>
      <c r="F639">
        <f>IF(D639="A", INDEX(Matches!$F:$F, MATCH(A639, Matches!$A:$A, 0)), INDEX(Matches!$E:$E, MATCH(A639, Matches!$A:$A, 0)))</f>
        <v>6</v>
      </c>
      <c r="G639" t="str">
        <f t="shared" ref="G639:G674" si="50">IF(E639&gt;F639,"Win",IF(E639&lt;F639,"Loss","Draw"))</f>
        <v>Win</v>
      </c>
      <c r="K639" t="str">
        <f t="shared" si="46"/>
        <v>55_A</v>
      </c>
    </row>
    <row r="640" spans="1:11" x14ac:dyDescent="0.35">
      <c r="A640">
        <v>55</v>
      </c>
      <c r="B640" s="6">
        <v>46275</v>
      </c>
      <c r="C640" t="s">
        <v>46</v>
      </c>
      <c r="D640" t="s">
        <v>17</v>
      </c>
      <c r="E640">
        <f>IF(D640="A", INDEX(Matches!$E:$E, MATCH(A640, Matches!$A:$A, 0)), INDEX(Matches!$F:$F, MATCH(A640, Matches!$A:$A, 0)))</f>
        <v>9</v>
      </c>
      <c r="F640">
        <f>IF(D640="A", INDEX(Matches!$F:$F, MATCH(A640, Matches!$A:$A, 0)), INDEX(Matches!$E:$E, MATCH(A640, Matches!$A:$A, 0)))</f>
        <v>6</v>
      </c>
      <c r="G640" t="str">
        <f t="shared" si="50"/>
        <v>Win</v>
      </c>
      <c r="H640">
        <v>1</v>
      </c>
      <c r="I640">
        <v>3</v>
      </c>
      <c r="J640">
        <v>1</v>
      </c>
      <c r="K640" t="str">
        <f t="shared" si="46"/>
        <v>55_A</v>
      </c>
    </row>
    <row r="641" spans="1:11" x14ac:dyDescent="0.35">
      <c r="A641">
        <v>55</v>
      </c>
      <c r="B641" s="6">
        <v>46275</v>
      </c>
      <c r="C641" t="s">
        <v>53</v>
      </c>
      <c r="D641" t="s">
        <v>17</v>
      </c>
      <c r="E641">
        <f>IF(D641="A", INDEX(Matches!$E:$E, MATCH(A641, Matches!$A:$A, 0)), INDEX(Matches!$F:$F, MATCH(A641, Matches!$A:$A, 0)))</f>
        <v>9</v>
      </c>
      <c r="F641">
        <f>IF(D641="A", INDEX(Matches!$F:$F, MATCH(A641, Matches!$A:$A, 0)), INDEX(Matches!$E:$E, MATCH(A641, Matches!$A:$A, 0)))</f>
        <v>6</v>
      </c>
      <c r="G641" t="str">
        <f t="shared" si="50"/>
        <v>Win</v>
      </c>
      <c r="I641">
        <v>1</v>
      </c>
      <c r="K641" t="str">
        <f t="shared" si="46"/>
        <v>55_A</v>
      </c>
    </row>
    <row r="642" spans="1:11" x14ac:dyDescent="0.35">
      <c r="A642">
        <v>55</v>
      </c>
      <c r="B642" s="6">
        <v>46275</v>
      </c>
      <c r="C642" t="s">
        <v>75</v>
      </c>
      <c r="D642" t="s">
        <v>17</v>
      </c>
      <c r="E642">
        <f>IF(D642="A", INDEX(Matches!$E:$E, MATCH(A642, Matches!$A:$A, 0)), INDEX(Matches!$F:$F, MATCH(A642, Matches!$A:$A, 0)))</f>
        <v>9</v>
      </c>
      <c r="F642">
        <f>IF(D642="A", INDEX(Matches!$F:$F, MATCH(A642, Matches!$A:$A, 0)), INDEX(Matches!$E:$E, MATCH(A642, Matches!$A:$A, 0)))</f>
        <v>6</v>
      </c>
      <c r="G642" t="str">
        <f t="shared" si="50"/>
        <v>Win</v>
      </c>
      <c r="H642">
        <v>5</v>
      </c>
      <c r="I642">
        <v>2</v>
      </c>
      <c r="K642" t="str">
        <f t="shared" si="46"/>
        <v>55_A</v>
      </c>
    </row>
    <row r="643" spans="1:11" x14ac:dyDescent="0.35">
      <c r="A643">
        <v>55</v>
      </c>
      <c r="B643" s="6">
        <v>46275</v>
      </c>
      <c r="C643" t="s">
        <v>42</v>
      </c>
      <c r="D643" t="s">
        <v>17</v>
      </c>
      <c r="E643">
        <f>IF(D643="A", INDEX(Matches!$E:$E, MATCH(A643, Matches!$A:$A, 0)), INDEX(Matches!$F:$F, MATCH(A643, Matches!$A:$A, 0)))</f>
        <v>9</v>
      </c>
      <c r="F643">
        <f>IF(D643="A", INDEX(Matches!$F:$F, MATCH(A643, Matches!$A:$A, 0)), INDEX(Matches!$E:$E, MATCH(A643, Matches!$A:$A, 0)))</f>
        <v>6</v>
      </c>
      <c r="G643" t="str">
        <f t="shared" si="50"/>
        <v>Win</v>
      </c>
      <c r="K643" t="str">
        <f t="shared" si="46"/>
        <v>55_A</v>
      </c>
    </row>
    <row r="644" spans="1:11" x14ac:dyDescent="0.35">
      <c r="A644">
        <v>55</v>
      </c>
      <c r="B644" s="6">
        <v>46275</v>
      </c>
      <c r="C644" t="s">
        <v>45</v>
      </c>
      <c r="D644" t="s">
        <v>17</v>
      </c>
      <c r="E644">
        <f>IF(D644="A", INDEX(Matches!$E:$E, MATCH(A644, Matches!$A:$A, 0)), INDEX(Matches!$F:$F, MATCH(A644, Matches!$A:$A, 0)))</f>
        <v>9</v>
      </c>
      <c r="F644">
        <f>IF(D644="A", INDEX(Matches!$F:$F, MATCH(A644, Matches!$A:$A, 0)), INDEX(Matches!$E:$E, MATCH(A644, Matches!$A:$A, 0)))</f>
        <v>6</v>
      </c>
      <c r="G644" t="str">
        <f t="shared" si="50"/>
        <v>Win</v>
      </c>
      <c r="H644">
        <v>1</v>
      </c>
      <c r="K644" t="str">
        <f t="shared" si="46"/>
        <v>55_A</v>
      </c>
    </row>
    <row r="645" spans="1:11" x14ac:dyDescent="0.35">
      <c r="A645">
        <v>55</v>
      </c>
      <c r="B645" s="6">
        <v>46275</v>
      </c>
      <c r="C645" t="s">
        <v>66</v>
      </c>
      <c r="D645" t="s">
        <v>17</v>
      </c>
      <c r="E645">
        <f>IF(D645="A", INDEX(Matches!$E:$E, MATCH(A645, Matches!$A:$A, 0)), INDEX(Matches!$F:$F, MATCH(A645, Matches!$A:$A, 0)))</f>
        <v>9</v>
      </c>
      <c r="F645">
        <f>IF(D645="A", INDEX(Matches!$F:$F, MATCH(A645, Matches!$A:$A, 0)), INDEX(Matches!$E:$E, MATCH(A645, Matches!$A:$A, 0)))</f>
        <v>6</v>
      </c>
      <c r="G645" t="str">
        <f t="shared" si="50"/>
        <v>Win</v>
      </c>
      <c r="H645">
        <v>2</v>
      </c>
      <c r="K645" t="str">
        <f t="shared" si="46"/>
        <v>55_A</v>
      </c>
    </row>
    <row r="646" spans="1:11" x14ac:dyDescent="0.35">
      <c r="A646">
        <v>55</v>
      </c>
      <c r="B646" s="6">
        <v>46275</v>
      </c>
      <c r="C646" t="s">
        <v>52</v>
      </c>
      <c r="D646" t="s">
        <v>23</v>
      </c>
      <c r="E646">
        <f>IF(D646="A", INDEX(Matches!$E:$E, MATCH(A646, Matches!$A:$A, 0)), INDEX(Matches!$F:$F, MATCH(A646, Matches!$A:$A, 0)))</f>
        <v>6</v>
      </c>
      <c r="F646">
        <f>IF(D646="A", INDEX(Matches!$F:$F, MATCH(A646, Matches!$A:$A, 0)), INDEX(Matches!$E:$E, MATCH(A646, Matches!$A:$A, 0)))</f>
        <v>9</v>
      </c>
      <c r="G646" t="str">
        <f t="shared" si="50"/>
        <v>Loss</v>
      </c>
      <c r="H646">
        <v>1</v>
      </c>
      <c r="K646" t="str">
        <f t="shared" si="46"/>
        <v>55_B</v>
      </c>
    </row>
    <row r="647" spans="1:11" x14ac:dyDescent="0.35">
      <c r="A647">
        <v>55</v>
      </c>
      <c r="B647" s="6">
        <v>46275</v>
      </c>
      <c r="C647" t="s">
        <v>89</v>
      </c>
      <c r="D647" t="s">
        <v>23</v>
      </c>
      <c r="E647">
        <f>IF(D647="A", INDEX(Matches!$E:$E, MATCH(A647, Matches!$A:$A, 0)), INDEX(Matches!$F:$F, MATCH(A647, Matches!$A:$A, 0)))</f>
        <v>6</v>
      </c>
      <c r="F647">
        <f>IF(D647="A", INDEX(Matches!$F:$F, MATCH(A647, Matches!$A:$A, 0)), INDEX(Matches!$E:$E, MATCH(A647, Matches!$A:$A, 0)))</f>
        <v>9</v>
      </c>
      <c r="G647" t="str">
        <f t="shared" si="50"/>
        <v>Loss</v>
      </c>
      <c r="H647">
        <v>2</v>
      </c>
      <c r="K647" t="str">
        <f t="shared" si="46"/>
        <v>55_B</v>
      </c>
    </row>
    <row r="648" spans="1:11" x14ac:dyDescent="0.35">
      <c r="A648">
        <v>55</v>
      </c>
      <c r="B648" s="6">
        <v>46275</v>
      </c>
      <c r="C648" t="s">
        <v>121</v>
      </c>
      <c r="D648" t="s">
        <v>23</v>
      </c>
      <c r="E648">
        <f>IF(D648="A", INDEX(Matches!$E:$E, MATCH(A648, Matches!$A:$A, 0)), INDEX(Matches!$F:$F, MATCH(A648, Matches!$A:$A, 0)))</f>
        <v>6</v>
      </c>
      <c r="F648">
        <f>IF(D648="A", INDEX(Matches!$F:$F, MATCH(A648, Matches!$A:$A, 0)), INDEX(Matches!$E:$E, MATCH(A648, Matches!$A:$A, 0)))</f>
        <v>9</v>
      </c>
      <c r="G648" t="str">
        <f t="shared" si="50"/>
        <v>Loss</v>
      </c>
      <c r="H648">
        <v>1</v>
      </c>
      <c r="K648" t="str">
        <f t="shared" si="46"/>
        <v>55_B</v>
      </c>
    </row>
    <row r="649" spans="1:11" x14ac:dyDescent="0.35">
      <c r="A649">
        <v>55</v>
      </c>
      <c r="B649" s="6">
        <v>46275</v>
      </c>
      <c r="C649" t="s">
        <v>21</v>
      </c>
      <c r="D649" t="s">
        <v>23</v>
      </c>
      <c r="E649">
        <f>IF(D649="A", INDEX(Matches!$E:$E, MATCH(A649, Matches!$A:$A, 0)), INDEX(Matches!$F:$F, MATCH(A649, Matches!$A:$A, 0)))</f>
        <v>6</v>
      </c>
      <c r="F649">
        <f>IF(D649="A", INDEX(Matches!$F:$F, MATCH(A649, Matches!$A:$A, 0)), INDEX(Matches!$E:$E, MATCH(A649, Matches!$A:$A, 0)))</f>
        <v>9</v>
      </c>
      <c r="G649" t="str">
        <f t="shared" si="50"/>
        <v>Loss</v>
      </c>
      <c r="K649" t="str">
        <f t="shared" si="46"/>
        <v>55_B</v>
      </c>
    </row>
    <row r="650" spans="1:11" x14ac:dyDescent="0.35">
      <c r="A650">
        <v>55</v>
      </c>
      <c r="B650" s="6">
        <v>46275</v>
      </c>
      <c r="C650" t="s">
        <v>22</v>
      </c>
      <c r="D650" t="s">
        <v>23</v>
      </c>
      <c r="E650">
        <f>IF(D650="A", INDEX(Matches!$E:$E, MATCH(A650, Matches!$A:$A, 0)), INDEX(Matches!$F:$F, MATCH(A650, Matches!$A:$A, 0)))</f>
        <v>6</v>
      </c>
      <c r="F650">
        <f>IF(D650="A", INDEX(Matches!$F:$F, MATCH(A650, Matches!$A:$A, 0)), INDEX(Matches!$E:$E, MATCH(A650, Matches!$A:$A, 0)))</f>
        <v>9</v>
      </c>
      <c r="G650" t="str">
        <f t="shared" si="50"/>
        <v>Loss</v>
      </c>
      <c r="K650" t="str">
        <f t="shared" ref="K650:K713" si="51">A650&amp;"_"&amp;D650</f>
        <v>55_B</v>
      </c>
    </row>
    <row r="651" spans="1:11" x14ac:dyDescent="0.35">
      <c r="A651">
        <v>55</v>
      </c>
      <c r="B651" s="6">
        <v>46275</v>
      </c>
      <c r="C651" t="s">
        <v>24</v>
      </c>
      <c r="D651" t="s">
        <v>23</v>
      </c>
      <c r="E651">
        <f>IF(D651="A", INDEX(Matches!$E:$E, MATCH(A651, Matches!$A:$A, 0)), INDEX(Matches!$F:$F, MATCH(A651, Matches!$A:$A, 0)))</f>
        <v>6</v>
      </c>
      <c r="F651">
        <f>IF(D651="A", INDEX(Matches!$F:$F, MATCH(A651, Matches!$A:$A, 0)), INDEX(Matches!$E:$E, MATCH(A651, Matches!$A:$A, 0)))</f>
        <v>9</v>
      </c>
      <c r="G651" t="str">
        <f t="shared" si="50"/>
        <v>Loss</v>
      </c>
      <c r="K651" t="str">
        <f t="shared" si="51"/>
        <v>55_B</v>
      </c>
    </row>
    <row r="652" spans="1:11" x14ac:dyDescent="0.35">
      <c r="A652">
        <v>55</v>
      </c>
      <c r="B652" s="6">
        <v>46275</v>
      </c>
      <c r="C652" t="s">
        <v>40</v>
      </c>
      <c r="D652" t="s">
        <v>23</v>
      </c>
      <c r="E652">
        <f>IF(D652="A", INDEX(Matches!$E:$E, MATCH(A652, Matches!$A:$A, 0)), INDEX(Matches!$F:$F, MATCH(A652, Matches!$A:$A, 0)))</f>
        <v>6</v>
      </c>
      <c r="F652">
        <f>IF(D652="A", INDEX(Matches!$F:$F, MATCH(A652, Matches!$A:$A, 0)), INDEX(Matches!$E:$E, MATCH(A652, Matches!$A:$A, 0)))</f>
        <v>9</v>
      </c>
      <c r="G652" t="str">
        <f t="shared" si="50"/>
        <v>Loss</v>
      </c>
      <c r="I652">
        <v>1</v>
      </c>
      <c r="K652" t="str">
        <f t="shared" si="51"/>
        <v>55_B</v>
      </c>
    </row>
    <row r="653" spans="1:11" x14ac:dyDescent="0.35">
      <c r="A653">
        <v>56</v>
      </c>
      <c r="B653" s="6">
        <v>46282</v>
      </c>
      <c r="C653" t="s">
        <v>46</v>
      </c>
      <c r="D653" t="s">
        <v>17</v>
      </c>
      <c r="E653">
        <f>IF(D653="A", INDEX(Matches!$E:$E, MATCH(A653, Matches!$A:$A, 0)), INDEX(Matches!$F:$F, MATCH(A653, Matches!$A:$A, 0)))</f>
        <v>4</v>
      </c>
      <c r="F653">
        <f>IF(D653="A", INDEX(Matches!$F:$F, MATCH(A653, Matches!$A:$A, 0)), INDEX(Matches!$E:$E, MATCH(A653, Matches!$A:$A, 0)))</f>
        <v>5</v>
      </c>
      <c r="G653" t="str">
        <f t="shared" si="50"/>
        <v>Loss</v>
      </c>
      <c r="H653">
        <v>2</v>
      </c>
      <c r="K653" t="str">
        <f t="shared" si="51"/>
        <v>56_A</v>
      </c>
    </row>
    <row r="654" spans="1:11" x14ac:dyDescent="0.35">
      <c r="A654">
        <v>56</v>
      </c>
      <c r="B654" s="6">
        <v>46282</v>
      </c>
      <c r="C654" t="s">
        <v>40</v>
      </c>
      <c r="D654" t="s">
        <v>17</v>
      </c>
      <c r="E654">
        <f>IF(D654="A", INDEX(Matches!$E:$E, MATCH(A654, Matches!$A:$A, 0)), INDEX(Matches!$F:$F, MATCH(A654, Matches!$A:$A, 0)))</f>
        <v>4</v>
      </c>
      <c r="F654">
        <f>IF(D654="A", INDEX(Matches!$F:$F, MATCH(A654, Matches!$A:$A, 0)), INDEX(Matches!$E:$E, MATCH(A654, Matches!$A:$A, 0)))</f>
        <v>5</v>
      </c>
      <c r="G654" t="str">
        <f t="shared" si="50"/>
        <v>Loss</v>
      </c>
      <c r="H654">
        <v>1</v>
      </c>
      <c r="K654" t="str">
        <f t="shared" si="51"/>
        <v>56_A</v>
      </c>
    </row>
    <row r="655" spans="1:11" x14ac:dyDescent="0.35">
      <c r="A655">
        <v>56</v>
      </c>
      <c r="B655" s="6">
        <v>46282</v>
      </c>
      <c r="C655" t="s">
        <v>19</v>
      </c>
      <c r="D655" t="s">
        <v>17</v>
      </c>
      <c r="E655">
        <f>IF(D655="A", INDEX(Matches!$E:$E, MATCH(A655, Matches!$A:$A, 0)), INDEX(Matches!$F:$F, MATCH(A655, Matches!$A:$A, 0)))</f>
        <v>4</v>
      </c>
      <c r="F655">
        <f>IF(D655="A", INDEX(Matches!$F:$F, MATCH(A655, Matches!$A:$A, 0)), INDEX(Matches!$E:$E, MATCH(A655, Matches!$A:$A, 0)))</f>
        <v>5</v>
      </c>
      <c r="G655" t="str">
        <f t="shared" si="50"/>
        <v>Loss</v>
      </c>
      <c r="H655">
        <v>1</v>
      </c>
      <c r="K655" t="str">
        <f t="shared" si="51"/>
        <v>56_A</v>
      </c>
    </row>
    <row r="656" spans="1:11" x14ac:dyDescent="0.35">
      <c r="A656">
        <v>56</v>
      </c>
      <c r="B656" s="6">
        <v>46282</v>
      </c>
      <c r="C656" t="s">
        <v>42</v>
      </c>
      <c r="D656" t="s">
        <v>17</v>
      </c>
      <c r="E656">
        <f>IF(D656="A", INDEX(Matches!$E:$E, MATCH(A656, Matches!$A:$A, 0)), INDEX(Matches!$F:$F, MATCH(A656, Matches!$A:$A, 0)))</f>
        <v>4</v>
      </c>
      <c r="F656">
        <f>IF(D656="A", INDEX(Matches!$F:$F, MATCH(A656, Matches!$A:$A, 0)), INDEX(Matches!$E:$E, MATCH(A656, Matches!$A:$A, 0)))</f>
        <v>5</v>
      </c>
      <c r="G656" t="str">
        <f t="shared" si="50"/>
        <v>Loss</v>
      </c>
      <c r="I656">
        <v>2</v>
      </c>
      <c r="K656" t="str">
        <f t="shared" si="51"/>
        <v>56_A</v>
      </c>
    </row>
    <row r="657" spans="1:11" x14ac:dyDescent="0.35">
      <c r="A657">
        <v>56</v>
      </c>
      <c r="B657" s="6">
        <v>46282</v>
      </c>
      <c r="C657" t="s">
        <v>89</v>
      </c>
      <c r="D657" t="s">
        <v>17</v>
      </c>
      <c r="E657">
        <f>IF(D657="A", INDEX(Matches!$E:$E, MATCH(A657, Matches!$A:$A, 0)), INDEX(Matches!$F:$F, MATCH(A657, Matches!$A:$A, 0)))</f>
        <v>4</v>
      </c>
      <c r="F657">
        <f>IF(D657="A", INDEX(Matches!$F:$F, MATCH(A657, Matches!$A:$A, 0)), INDEX(Matches!$E:$E, MATCH(A657, Matches!$A:$A, 0)))</f>
        <v>5</v>
      </c>
      <c r="G657" t="str">
        <f t="shared" si="50"/>
        <v>Loss</v>
      </c>
      <c r="K657" t="str">
        <f t="shared" si="51"/>
        <v>56_A</v>
      </c>
    </row>
    <row r="658" spans="1:11" x14ac:dyDescent="0.35">
      <c r="A658">
        <v>56</v>
      </c>
      <c r="B658" s="6">
        <v>46282</v>
      </c>
      <c r="C658" t="s">
        <v>52</v>
      </c>
      <c r="D658" t="s">
        <v>23</v>
      </c>
      <c r="E658">
        <f>IF(D658="A", INDEX(Matches!$E:$E, MATCH(A658, Matches!$A:$A, 0)), INDEX(Matches!$F:$F, MATCH(A658, Matches!$A:$A, 0)))</f>
        <v>5</v>
      </c>
      <c r="F658">
        <f>IF(D658="A", INDEX(Matches!$F:$F, MATCH(A658, Matches!$A:$A, 0)), INDEX(Matches!$E:$E, MATCH(A658, Matches!$A:$A, 0)))</f>
        <v>4</v>
      </c>
      <c r="G658" t="str">
        <f t="shared" si="50"/>
        <v>Win</v>
      </c>
      <c r="H658">
        <v>2</v>
      </c>
      <c r="K658" t="str">
        <f t="shared" si="51"/>
        <v>56_B</v>
      </c>
    </row>
    <row r="659" spans="1:11" x14ac:dyDescent="0.35">
      <c r="A659">
        <v>56</v>
      </c>
      <c r="B659" s="6">
        <v>46282</v>
      </c>
      <c r="C659" t="s">
        <v>20</v>
      </c>
      <c r="D659" t="s">
        <v>23</v>
      </c>
      <c r="E659">
        <f>IF(D659="A", INDEX(Matches!$E:$E, MATCH(A659, Matches!$A:$A, 0)), INDEX(Matches!$F:$F, MATCH(A659, Matches!$A:$A, 0)))</f>
        <v>5</v>
      </c>
      <c r="F659">
        <f>IF(D659="A", INDEX(Matches!$F:$F, MATCH(A659, Matches!$A:$A, 0)), INDEX(Matches!$E:$E, MATCH(A659, Matches!$A:$A, 0)))</f>
        <v>4</v>
      </c>
      <c r="G659" t="str">
        <f t="shared" si="50"/>
        <v>Win</v>
      </c>
      <c r="H659">
        <v>2</v>
      </c>
      <c r="K659" t="str">
        <f t="shared" si="51"/>
        <v>56_B</v>
      </c>
    </row>
    <row r="660" spans="1:11" x14ac:dyDescent="0.35">
      <c r="A660">
        <v>56</v>
      </c>
      <c r="B660" s="6">
        <v>46282</v>
      </c>
      <c r="C660" t="s">
        <v>43</v>
      </c>
      <c r="D660" t="s">
        <v>23</v>
      </c>
      <c r="E660">
        <f>IF(D660="A", INDEX(Matches!$E:$E, MATCH(A660, Matches!$A:$A, 0)), INDEX(Matches!$F:$F, MATCH(A660, Matches!$A:$A, 0)))</f>
        <v>5</v>
      </c>
      <c r="F660">
        <f>IF(D660="A", INDEX(Matches!$F:$F, MATCH(A660, Matches!$A:$A, 0)), INDEX(Matches!$E:$E, MATCH(A660, Matches!$A:$A, 0)))</f>
        <v>4</v>
      </c>
      <c r="G660" t="str">
        <f t="shared" si="50"/>
        <v>Win</v>
      </c>
      <c r="H660">
        <v>1</v>
      </c>
      <c r="I660">
        <v>1</v>
      </c>
      <c r="K660" t="str">
        <f t="shared" si="51"/>
        <v>56_B</v>
      </c>
    </row>
    <row r="661" spans="1:11" x14ac:dyDescent="0.35">
      <c r="A661">
        <v>56</v>
      </c>
      <c r="B661" s="6">
        <v>46282</v>
      </c>
      <c r="C661" t="s">
        <v>99</v>
      </c>
      <c r="D661" t="s">
        <v>23</v>
      </c>
      <c r="E661">
        <f>IF(D661="A", INDEX(Matches!$E:$E, MATCH(A661, Matches!$A:$A, 0)), INDEX(Matches!$F:$F, MATCH(A661, Matches!$A:$A, 0)))</f>
        <v>5</v>
      </c>
      <c r="F661">
        <f>IF(D661="A", INDEX(Matches!$F:$F, MATCH(A661, Matches!$A:$A, 0)), INDEX(Matches!$E:$E, MATCH(A661, Matches!$A:$A, 0)))</f>
        <v>4</v>
      </c>
      <c r="G661" t="str">
        <f t="shared" si="50"/>
        <v>Win</v>
      </c>
      <c r="K661" t="str">
        <f t="shared" si="51"/>
        <v>56_B</v>
      </c>
    </row>
    <row r="662" spans="1:11" x14ac:dyDescent="0.35">
      <c r="A662">
        <v>56</v>
      </c>
      <c r="B662" s="6">
        <v>46282</v>
      </c>
      <c r="C662" t="s">
        <v>75</v>
      </c>
      <c r="D662" t="s">
        <v>23</v>
      </c>
      <c r="E662">
        <f>IF(D662="A", INDEX(Matches!$E:$E, MATCH(A662, Matches!$A:$A, 0)), INDEX(Matches!$F:$F, MATCH(A662, Matches!$A:$A, 0)))</f>
        <v>5</v>
      </c>
      <c r="F662">
        <f>IF(D662="A", INDEX(Matches!$F:$F, MATCH(A662, Matches!$A:$A, 0)), INDEX(Matches!$E:$E, MATCH(A662, Matches!$A:$A, 0)))</f>
        <v>4</v>
      </c>
      <c r="G662" t="str">
        <f t="shared" si="50"/>
        <v>Win</v>
      </c>
      <c r="K662" t="str">
        <f t="shared" si="51"/>
        <v>56_B</v>
      </c>
    </row>
    <row r="663" spans="1:11" x14ac:dyDescent="0.35">
      <c r="A663">
        <v>57</v>
      </c>
      <c r="B663" s="6">
        <v>46289</v>
      </c>
      <c r="C663" t="s">
        <v>41</v>
      </c>
      <c r="D663" t="s">
        <v>17</v>
      </c>
      <c r="E663">
        <f>IF(D663="A", INDEX(Matches!$E:$E, MATCH(A663, Matches!$A:$A, 0)), INDEX(Matches!$F:$F, MATCH(A663, Matches!$A:$A, 0)))</f>
        <v>3</v>
      </c>
      <c r="F663">
        <f>IF(D663="A", INDEX(Matches!$F:$F, MATCH(A663, Matches!$A:$A, 0)), INDEX(Matches!$E:$E, MATCH(A663, Matches!$A:$A, 0)))</f>
        <v>2</v>
      </c>
      <c r="G663" t="str">
        <f t="shared" si="50"/>
        <v>Win</v>
      </c>
      <c r="K663" t="str">
        <f t="shared" si="51"/>
        <v>57_A</v>
      </c>
    </row>
    <row r="664" spans="1:11" x14ac:dyDescent="0.35">
      <c r="A664">
        <v>57</v>
      </c>
      <c r="B664" s="6">
        <v>46289</v>
      </c>
      <c r="C664" t="s">
        <v>40</v>
      </c>
      <c r="D664" t="s">
        <v>17</v>
      </c>
      <c r="E664">
        <f>IF(D664="A", INDEX(Matches!$E:$E, MATCH(A664, Matches!$A:$A, 0)), INDEX(Matches!$F:$F, MATCH(A664, Matches!$A:$A, 0)))</f>
        <v>3</v>
      </c>
      <c r="F664">
        <f>IF(D664="A", INDEX(Matches!$F:$F, MATCH(A664, Matches!$A:$A, 0)), INDEX(Matches!$E:$E, MATCH(A664, Matches!$A:$A, 0)))</f>
        <v>2</v>
      </c>
      <c r="G664" t="str">
        <f t="shared" si="50"/>
        <v>Win</v>
      </c>
      <c r="K664" t="str">
        <f t="shared" si="51"/>
        <v>57_A</v>
      </c>
    </row>
    <row r="665" spans="1:11" x14ac:dyDescent="0.35">
      <c r="A665">
        <v>57</v>
      </c>
      <c r="B665" s="6">
        <v>46289</v>
      </c>
      <c r="C665" t="s">
        <v>42</v>
      </c>
      <c r="D665" t="s">
        <v>17</v>
      </c>
      <c r="E665">
        <f>IF(D665="A", INDEX(Matches!$E:$E, MATCH(A665, Matches!$A:$A, 0)), INDEX(Matches!$F:$F, MATCH(A665, Matches!$A:$A, 0)))</f>
        <v>3</v>
      </c>
      <c r="F665">
        <f>IF(D665="A", INDEX(Matches!$F:$F, MATCH(A665, Matches!$A:$A, 0)), INDEX(Matches!$E:$E, MATCH(A665, Matches!$A:$A, 0)))</f>
        <v>2</v>
      </c>
      <c r="G665" t="str">
        <f t="shared" si="50"/>
        <v>Win</v>
      </c>
      <c r="H665">
        <v>2</v>
      </c>
      <c r="K665" t="str">
        <f t="shared" si="51"/>
        <v>57_A</v>
      </c>
    </row>
    <row r="666" spans="1:11" x14ac:dyDescent="0.35">
      <c r="A666">
        <v>57</v>
      </c>
      <c r="B666" s="6">
        <v>46289</v>
      </c>
      <c r="C666" t="s">
        <v>24</v>
      </c>
      <c r="D666" t="s">
        <v>17</v>
      </c>
      <c r="E666">
        <f>IF(D666="A", INDEX(Matches!$E:$E, MATCH(A666, Matches!$A:$A, 0)), INDEX(Matches!$F:$F, MATCH(A666, Matches!$A:$A, 0)))</f>
        <v>3</v>
      </c>
      <c r="F666">
        <f>IF(D666="A", INDEX(Matches!$F:$F, MATCH(A666, Matches!$A:$A, 0)), INDEX(Matches!$E:$E, MATCH(A666, Matches!$A:$A, 0)))</f>
        <v>2</v>
      </c>
      <c r="G666" t="str">
        <f t="shared" si="50"/>
        <v>Win</v>
      </c>
      <c r="K666" t="str">
        <f t="shared" si="51"/>
        <v>57_A</v>
      </c>
    </row>
    <row r="667" spans="1:11" x14ac:dyDescent="0.35">
      <c r="A667">
        <v>57</v>
      </c>
      <c r="B667" s="6">
        <v>46289</v>
      </c>
      <c r="C667" t="s">
        <v>53</v>
      </c>
      <c r="D667" t="s">
        <v>17</v>
      </c>
      <c r="E667">
        <f>IF(D667="A", INDEX(Matches!$E:$E, MATCH(A667, Matches!$A:$A, 0)), INDEX(Matches!$F:$F, MATCH(A667, Matches!$A:$A, 0)))</f>
        <v>3</v>
      </c>
      <c r="F667">
        <f>IF(D667="A", INDEX(Matches!$F:$F, MATCH(A667, Matches!$A:$A, 0)), INDEX(Matches!$E:$E, MATCH(A667, Matches!$A:$A, 0)))</f>
        <v>2</v>
      </c>
      <c r="G667" t="str">
        <f t="shared" si="50"/>
        <v>Win</v>
      </c>
      <c r="K667" t="str">
        <f t="shared" si="51"/>
        <v>57_A</v>
      </c>
    </row>
    <row r="668" spans="1:11" x14ac:dyDescent="0.35">
      <c r="A668">
        <v>57</v>
      </c>
      <c r="B668" s="6">
        <v>46289</v>
      </c>
      <c r="C668" t="s">
        <v>66</v>
      </c>
      <c r="D668" t="s">
        <v>17</v>
      </c>
      <c r="E668">
        <f>IF(D668="A", INDEX(Matches!$E:$E, MATCH(A668, Matches!$A:$A, 0)), INDEX(Matches!$F:$F, MATCH(A668, Matches!$A:$A, 0)))</f>
        <v>3</v>
      </c>
      <c r="F668">
        <f>IF(D668="A", INDEX(Matches!$F:$F, MATCH(A668, Matches!$A:$A, 0)), INDEX(Matches!$E:$E, MATCH(A668, Matches!$A:$A, 0)))</f>
        <v>2</v>
      </c>
      <c r="G668" t="str">
        <f t="shared" si="50"/>
        <v>Win</v>
      </c>
      <c r="I668">
        <v>1</v>
      </c>
      <c r="K668" t="str">
        <f t="shared" si="51"/>
        <v>57_A</v>
      </c>
    </row>
    <row r="669" spans="1:11" x14ac:dyDescent="0.35">
      <c r="A669">
        <v>57</v>
      </c>
      <c r="B669" s="6">
        <v>46289</v>
      </c>
      <c r="C669" t="s">
        <v>22</v>
      </c>
      <c r="D669" t="s">
        <v>23</v>
      </c>
      <c r="E669">
        <f>IF(D669="A", INDEX(Matches!$E:$E, MATCH(A669, Matches!$A:$A, 0)), INDEX(Matches!$F:$F, MATCH(A669, Matches!$A:$A, 0)))</f>
        <v>2</v>
      </c>
      <c r="F669">
        <f>IF(D669="A", INDEX(Matches!$F:$F, MATCH(A669, Matches!$A:$A, 0)), INDEX(Matches!$E:$E, MATCH(A669, Matches!$A:$A, 0)))</f>
        <v>3</v>
      </c>
      <c r="G669" t="str">
        <f t="shared" si="50"/>
        <v>Loss</v>
      </c>
      <c r="K669" t="str">
        <f t="shared" si="51"/>
        <v>57_B</v>
      </c>
    </row>
    <row r="670" spans="1:11" x14ac:dyDescent="0.35">
      <c r="A670">
        <v>57</v>
      </c>
      <c r="B670" s="6">
        <v>46289</v>
      </c>
      <c r="C670" t="s">
        <v>121</v>
      </c>
      <c r="D670" t="s">
        <v>23</v>
      </c>
      <c r="E670">
        <f>IF(D670="A", INDEX(Matches!$E:$E, MATCH(A670, Matches!$A:$A, 0)), INDEX(Matches!$F:$F, MATCH(A670, Matches!$A:$A, 0)))</f>
        <v>2</v>
      </c>
      <c r="F670">
        <f>IF(D670="A", INDEX(Matches!$F:$F, MATCH(A670, Matches!$A:$A, 0)), INDEX(Matches!$E:$E, MATCH(A670, Matches!$A:$A, 0)))</f>
        <v>3</v>
      </c>
      <c r="G670" t="str">
        <f t="shared" si="50"/>
        <v>Loss</v>
      </c>
      <c r="H670">
        <v>1</v>
      </c>
      <c r="K670" t="str">
        <f t="shared" si="51"/>
        <v>57_B</v>
      </c>
    </row>
    <row r="671" spans="1:11" x14ac:dyDescent="0.35">
      <c r="A671">
        <v>57</v>
      </c>
      <c r="B671" s="6">
        <v>46289</v>
      </c>
      <c r="C671" t="s">
        <v>89</v>
      </c>
      <c r="D671" t="s">
        <v>23</v>
      </c>
      <c r="E671">
        <f>IF(D671="A", INDEX(Matches!$E:$E, MATCH(A671, Matches!$A:$A, 0)), INDEX(Matches!$F:$F, MATCH(A671, Matches!$A:$A, 0)))</f>
        <v>2</v>
      </c>
      <c r="F671">
        <f>IF(D671="A", INDEX(Matches!$F:$F, MATCH(A671, Matches!$A:$A, 0)), INDEX(Matches!$E:$E, MATCH(A671, Matches!$A:$A, 0)))</f>
        <v>3</v>
      </c>
      <c r="G671" t="str">
        <f t="shared" si="50"/>
        <v>Loss</v>
      </c>
      <c r="H671">
        <v>1</v>
      </c>
      <c r="K671" t="str">
        <f t="shared" si="51"/>
        <v>57_B</v>
      </c>
    </row>
    <row r="672" spans="1:11" x14ac:dyDescent="0.35">
      <c r="A672">
        <v>57</v>
      </c>
      <c r="B672" s="6">
        <v>46289</v>
      </c>
      <c r="C672" t="s">
        <v>21</v>
      </c>
      <c r="D672" t="s">
        <v>23</v>
      </c>
      <c r="E672">
        <f>IF(D672="A", INDEX(Matches!$E:$E, MATCH(A672, Matches!$A:$A, 0)), INDEX(Matches!$F:$F, MATCH(A672, Matches!$A:$A, 0)))</f>
        <v>2</v>
      </c>
      <c r="F672">
        <f>IF(D672="A", INDEX(Matches!$F:$F, MATCH(A672, Matches!$A:$A, 0)), INDEX(Matches!$E:$E, MATCH(A672, Matches!$A:$A, 0)))</f>
        <v>3</v>
      </c>
      <c r="G672" t="str">
        <f t="shared" si="50"/>
        <v>Loss</v>
      </c>
      <c r="K672" t="str">
        <f t="shared" si="51"/>
        <v>57_B</v>
      </c>
    </row>
    <row r="673" spans="1:11" x14ac:dyDescent="0.35">
      <c r="A673">
        <v>57</v>
      </c>
      <c r="B673" s="6">
        <v>46289</v>
      </c>
      <c r="C673" t="s">
        <v>99</v>
      </c>
      <c r="D673" t="s">
        <v>23</v>
      </c>
      <c r="E673">
        <f>IF(D673="A", INDEX(Matches!$E:$E, MATCH(A673, Matches!$A:$A, 0)), INDEX(Matches!$F:$F, MATCH(A673, Matches!$A:$A, 0)))</f>
        <v>2</v>
      </c>
      <c r="F673">
        <f>IF(D673="A", INDEX(Matches!$F:$F, MATCH(A673, Matches!$A:$A, 0)), INDEX(Matches!$E:$E, MATCH(A673, Matches!$A:$A, 0)))</f>
        <v>3</v>
      </c>
      <c r="G673" t="str">
        <f t="shared" si="50"/>
        <v>Loss</v>
      </c>
      <c r="J673">
        <v>1</v>
      </c>
      <c r="K673" t="str">
        <f t="shared" si="51"/>
        <v>57_B</v>
      </c>
    </row>
    <row r="674" spans="1:11" x14ac:dyDescent="0.35">
      <c r="A674">
        <v>57</v>
      </c>
      <c r="B674" s="6">
        <v>46289</v>
      </c>
      <c r="C674" t="s">
        <v>20</v>
      </c>
      <c r="D674" t="s">
        <v>23</v>
      </c>
      <c r="E674">
        <f>IF(D674="A", INDEX(Matches!$E:$E, MATCH(A674, Matches!$A:$A, 0)), INDEX(Matches!$F:$F, MATCH(A674, Matches!$A:$A, 0)))</f>
        <v>2</v>
      </c>
      <c r="F674">
        <f>IF(D674="A", INDEX(Matches!$F:$F, MATCH(A674, Matches!$A:$A, 0)), INDEX(Matches!$E:$E, MATCH(A674, Matches!$A:$A, 0)))</f>
        <v>3</v>
      </c>
      <c r="G674" t="str">
        <f t="shared" si="50"/>
        <v>Loss</v>
      </c>
      <c r="K674" t="str">
        <f t="shared" si="51"/>
        <v>57_B</v>
      </c>
    </row>
    <row r="675" spans="1:11" x14ac:dyDescent="0.35">
      <c r="A675">
        <v>58</v>
      </c>
      <c r="B675" s="6">
        <v>46296</v>
      </c>
      <c r="C675" t="s">
        <v>43</v>
      </c>
      <c r="D675" t="s">
        <v>17</v>
      </c>
      <c r="E675">
        <f>IF(D675="A", INDEX(Matches!$E:$E, MATCH(A675, Matches!$A:$A, 0)), INDEX(Matches!$F:$F, MATCH(A675, Matches!$A:$A, 0)))</f>
        <v>6</v>
      </c>
      <c r="F675">
        <f>IF(D675="A", INDEX(Matches!$F:$F, MATCH(A675, Matches!$A:$A, 0)), INDEX(Matches!$E:$E, MATCH(A675, Matches!$A:$A, 0)))</f>
        <v>6</v>
      </c>
      <c r="G675" t="str">
        <f t="shared" ref="G675:G686" si="52">IF(E675&gt;F675,"Win",IF(E675&lt;F675,"Loss","Draw"))</f>
        <v>Draw</v>
      </c>
      <c r="I675">
        <v>1</v>
      </c>
      <c r="K675" t="str">
        <f t="shared" si="51"/>
        <v>58_A</v>
      </c>
    </row>
    <row r="676" spans="1:11" x14ac:dyDescent="0.35">
      <c r="A676">
        <v>58</v>
      </c>
      <c r="B676" s="6">
        <v>46296</v>
      </c>
      <c r="C676" t="s">
        <v>88</v>
      </c>
      <c r="D676" t="s">
        <v>17</v>
      </c>
      <c r="E676">
        <f>IF(D676="A", INDEX(Matches!$E:$E, MATCH(A676, Matches!$A:$A, 0)), INDEX(Matches!$F:$F, MATCH(A676, Matches!$A:$A, 0)))</f>
        <v>6</v>
      </c>
      <c r="F676">
        <f>IF(D676="A", INDEX(Matches!$F:$F, MATCH(A676, Matches!$A:$A, 0)), INDEX(Matches!$E:$E, MATCH(A676, Matches!$A:$A, 0)))</f>
        <v>6</v>
      </c>
      <c r="G676" t="str">
        <f t="shared" si="52"/>
        <v>Draw</v>
      </c>
      <c r="I676">
        <v>1</v>
      </c>
      <c r="K676" t="str">
        <f t="shared" si="51"/>
        <v>58_A</v>
      </c>
    </row>
    <row r="677" spans="1:11" x14ac:dyDescent="0.35">
      <c r="A677">
        <v>58</v>
      </c>
      <c r="B677" s="6">
        <v>46296</v>
      </c>
      <c r="C677" t="s">
        <v>22</v>
      </c>
      <c r="D677" t="s">
        <v>17</v>
      </c>
      <c r="E677">
        <f>IF(D677="A", INDEX(Matches!$E:$E, MATCH(A677, Matches!$A:$A, 0)), INDEX(Matches!$F:$F, MATCH(A677, Matches!$A:$A, 0)))</f>
        <v>6</v>
      </c>
      <c r="F677">
        <f>IF(D677="A", INDEX(Matches!$F:$F, MATCH(A677, Matches!$A:$A, 0)), INDEX(Matches!$E:$E, MATCH(A677, Matches!$A:$A, 0)))</f>
        <v>6</v>
      </c>
      <c r="G677" t="str">
        <f t="shared" si="52"/>
        <v>Draw</v>
      </c>
      <c r="K677" t="str">
        <f t="shared" si="51"/>
        <v>58_A</v>
      </c>
    </row>
    <row r="678" spans="1:11" x14ac:dyDescent="0.35">
      <c r="A678">
        <v>58</v>
      </c>
      <c r="B678" s="6">
        <v>46296</v>
      </c>
      <c r="C678" t="s">
        <v>46</v>
      </c>
      <c r="D678" t="s">
        <v>17</v>
      </c>
      <c r="E678">
        <f>IF(D678="A", INDEX(Matches!$E:$E, MATCH(A678, Matches!$A:$A, 0)), INDEX(Matches!$F:$F, MATCH(A678, Matches!$A:$A, 0)))</f>
        <v>6</v>
      </c>
      <c r="F678">
        <f>IF(D678="A", INDEX(Matches!$F:$F, MATCH(A678, Matches!$A:$A, 0)), INDEX(Matches!$E:$E, MATCH(A678, Matches!$A:$A, 0)))</f>
        <v>6</v>
      </c>
      <c r="G678" t="str">
        <f t="shared" si="52"/>
        <v>Draw</v>
      </c>
      <c r="H678">
        <v>3</v>
      </c>
      <c r="I678">
        <v>1</v>
      </c>
      <c r="K678" t="str">
        <f t="shared" si="51"/>
        <v>58_A</v>
      </c>
    </row>
    <row r="679" spans="1:11" x14ac:dyDescent="0.35">
      <c r="A679">
        <v>58</v>
      </c>
      <c r="B679" s="6">
        <v>46296</v>
      </c>
      <c r="C679" t="s">
        <v>53</v>
      </c>
      <c r="D679" t="s">
        <v>17</v>
      </c>
      <c r="E679">
        <f>IF(D679="A", INDEX(Matches!$E:$E, MATCH(A679, Matches!$A:$A, 0)), INDEX(Matches!$F:$F, MATCH(A679, Matches!$A:$A, 0)))</f>
        <v>6</v>
      </c>
      <c r="F679">
        <f>IF(D679="A", INDEX(Matches!$F:$F, MATCH(A679, Matches!$A:$A, 0)), INDEX(Matches!$E:$E, MATCH(A679, Matches!$A:$A, 0)))</f>
        <v>6</v>
      </c>
      <c r="G679" t="str">
        <f t="shared" si="52"/>
        <v>Draw</v>
      </c>
      <c r="I679">
        <v>1</v>
      </c>
      <c r="K679" t="str">
        <f t="shared" si="51"/>
        <v>58_A</v>
      </c>
    </row>
    <row r="680" spans="1:11" x14ac:dyDescent="0.35">
      <c r="A680">
        <v>58</v>
      </c>
      <c r="B680" s="6">
        <v>46296</v>
      </c>
      <c r="C680" t="s">
        <v>19</v>
      </c>
      <c r="D680" t="s">
        <v>17</v>
      </c>
      <c r="E680">
        <f>IF(D680="A", INDEX(Matches!$E:$E, MATCH(A680, Matches!$A:$A, 0)), INDEX(Matches!$F:$F, MATCH(A680, Matches!$A:$A, 0)))</f>
        <v>6</v>
      </c>
      <c r="F680">
        <f>IF(D680="A", INDEX(Matches!$F:$F, MATCH(A680, Matches!$A:$A, 0)), INDEX(Matches!$E:$E, MATCH(A680, Matches!$A:$A, 0)))</f>
        <v>6</v>
      </c>
      <c r="G680" t="str">
        <f t="shared" si="52"/>
        <v>Draw</v>
      </c>
      <c r="H680">
        <v>3</v>
      </c>
      <c r="I680">
        <v>2</v>
      </c>
      <c r="K680" t="str">
        <f t="shared" si="51"/>
        <v>58_A</v>
      </c>
    </row>
    <row r="681" spans="1:11" x14ac:dyDescent="0.35">
      <c r="A681">
        <v>58</v>
      </c>
      <c r="B681" s="6">
        <v>46296</v>
      </c>
      <c r="C681" t="s">
        <v>21</v>
      </c>
      <c r="D681" t="s">
        <v>23</v>
      </c>
      <c r="E681">
        <f>IF(D681="A", INDEX(Matches!$E:$E, MATCH(A681, Matches!$A:$A, 0)), INDEX(Matches!$F:$F, MATCH(A681, Matches!$A:$A, 0)))</f>
        <v>6</v>
      </c>
      <c r="F681">
        <f>IF(D681="A", INDEX(Matches!$F:$F, MATCH(A681, Matches!$A:$A, 0)), INDEX(Matches!$E:$E, MATCH(A681, Matches!$A:$A, 0)))</f>
        <v>6</v>
      </c>
      <c r="G681" t="str">
        <f t="shared" si="52"/>
        <v>Draw</v>
      </c>
      <c r="K681" t="str">
        <f t="shared" si="51"/>
        <v>58_B</v>
      </c>
    </row>
    <row r="682" spans="1:11" x14ac:dyDescent="0.35">
      <c r="A682">
        <v>58</v>
      </c>
      <c r="B682" s="6">
        <v>46296</v>
      </c>
      <c r="C682" t="s">
        <v>75</v>
      </c>
      <c r="D682" t="s">
        <v>23</v>
      </c>
      <c r="E682">
        <f>IF(D682="A", INDEX(Matches!$E:$E, MATCH(A682, Matches!$A:$A, 0)), INDEX(Matches!$F:$F, MATCH(A682, Matches!$A:$A, 0)))</f>
        <v>6</v>
      </c>
      <c r="F682">
        <f>IF(D682="A", INDEX(Matches!$F:$F, MATCH(A682, Matches!$A:$A, 0)), INDEX(Matches!$E:$E, MATCH(A682, Matches!$A:$A, 0)))</f>
        <v>6</v>
      </c>
      <c r="G682" t="str">
        <f t="shared" si="52"/>
        <v>Draw</v>
      </c>
      <c r="H682">
        <v>3</v>
      </c>
      <c r="K682" t="str">
        <f t="shared" si="51"/>
        <v>58_B</v>
      </c>
    </row>
    <row r="683" spans="1:11" x14ac:dyDescent="0.35">
      <c r="A683">
        <v>58</v>
      </c>
      <c r="B683" s="6">
        <v>46296</v>
      </c>
      <c r="C683" t="s">
        <v>99</v>
      </c>
      <c r="D683" t="s">
        <v>23</v>
      </c>
      <c r="E683">
        <f>IF(D683="A", INDEX(Matches!$E:$E, MATCH(A683, Matches!$A:$A, 0)), INDEX(Matches!$F:$F, MATCH(A683, Matches!$A:$A, 0)))</f>
        <v>6</v>
      </c>
      <c r="F683">
        <f>IF(D683="A", INDEX(Matches!$F:$F, MATCH(A683, Matches!$A:$A, 0)), INDEX(Matches!$E:$E, MATCH(A683, Matches!$A:$A, 0)))</f>
        <v>6</v>
      </c>
      <c r="G683" t="str">
        <f t="shared" si="52"/>
        <v>Draw</v>
      </c>
      <c r="I683">
        <v>1</v>
      </c>
      <c r="K683" t="str">
        <f t="shared" si="51"/>
        <v>58_B</v>
      </c>
    </row>
    <row r="684" spans="1:11" x14ac:dyDescent="0.35">
      <c r="A684">
        <v>58</v>
      </c>
      <c r="B684" s="6">
        <v>46296</v>
      </c>
      <c r="C684" t="s">
        <v>51</v>
      </c>
      <c r="D684" t="s">
        <v>23</v>
      </c>
      <c r="E684">
        <f>IF(D684="A", INDEX(Matches!$E:$E, MATCH(A684, Matches!$A:$A, 0)), INDEX(Matches!$F:$F, MATCH(A684, Matches!$A:$A, 0)))</f>
        <v>6</v>
      </c>
      <c r="F684">
        <f>IF(D684="A", INDEX(Matches!$F:$F, MATCH(A684, Matches!$A:$A, 0)), INDEX(Matches!$E:$E, MATCH(A684, Matches!$A:$A, 0)))</f>
        <v>6</v>
      </c>
      <c r="G684" t="str">
        <f t="shared" si="52"/>
        <v>Draw</v>
      </c>
      <c r="H684">
        <v>2</v>
      </c>
      <c r="I684">
        <v>1</v>
      </c>
      <c r="K684" t="str">
        <f t="shared" si="51"/>
        <v>58_B</v>
      </c>
    </row>
    <row r="685" spans="1:11" x14ac:dyDescent="0.35">
      <c r="A685">
        <v>58</v>
      </c>
      <c r="B685" s="6">
        <v>46296</v>
      </c>
      <c r="C685" t="s">
        <v>24</v>
      </c>
      <c r="D685" t="s">
        <v>23</v>
      </c>
      <c r="E685">
        <f>IF(D685="A", INDEX(Matches!$E:$E, MATCH(A685, Matches!$A:$A, 0)), INDEX(Matches!$F:$F, MATCH(A685, Matches!$A:$A, 0)))</f>
        <v>6</v>
      </c>
      <c r="F685">
        <f>IF(D685="A", INDEX(Matches!$F:$F, MATCH(A685, Matches!$A:$A, 0)), INDEX(Matches!$E:$E, MATCH(A685, Matches!$A:$A, 0)))</f>
        <v>6</v>
      </c>
      <c r="G685" t="str">
        <f t="shared" si="52"/>
        <v>Draw</v>
      </c>
      <c r="I685">
        <v>1</v>
      </c>
      <c r="K685" t="str">
        <f t="shared" si="51"/>
        <v>58_B</v>
      </c>
    </row>
    <row r="686" spans="1:11" x14ac:dyDescent="0.35">
      <c r="A686">
        <v>58</v>
      </c>
      <c r="B686" s="6">
        <v>46296</v>
      </c>
      <c r="C686" t="s">
        <v>89</v>
      </c>
      <c r="D686" t="s">
        <v>23</v>
      </c>
      <c r="E686">
        <f>IF(D686="A", INDEX(Matches!$E:$E, MATCH(A686, Matches!$A:$A, 0)), INDEX(Matches!$F:$F, MATCH(A686, Matches!$A:$A, 0)))</f>
        <v>6</v>
      </c>
      <c r="F686">
        <f>IF(D686="A", INDEX(Matches!$F:$F, MATCH(A686, Matches!$A:$A, 0)), INDEX(Matches!$E:$E, MATCH(A686, Matches!$A:$A, 0)))</f>
        <v>6</v>
      </c>
      <c r="G686" t="str">
        <f t="shared" si="52"/>
        <v>Draw</v>
      </c>
      <c r="H686">
        <v>1</v>
      </c>
      <c r="I686">
        <v>1</v>
      </c>
      <c r="K686" t="str">
        <f t="shared" si="51"/>
        <v>58_B</v>
      </c>
    </row>
    <row r="687" spans="1:11" x14ac:dyDescent="0.35">
      <c r="A687">
        <v>59</v>
      </c>
      <c r="B687" s="6">
        <v>46303</v>
      </c>
      <c r="C687" t="s">
        <v>99</v>
      </c>
      <c r="D687" t="s">
        <v>17</v>
      </c>
      <c r="E687">
        <f>IF(D687="A", INDEX(Matches!$E:$E, MATCH(A687, Matches!$A:$A, 0)), INDEX(Matches!$F:$F, MATCH(A687, Matches!$A:$A, 0)))</f>
        <v>4</v>
      </c>
      <c r="F687">
        <f>IF(D687="A", INDEX(Matches!$F:$F, MATCH(A687, Matches!$A:$A, 0)), INDEX(Matches!$E:$E, MATCH(A687, Matches!$A:$A, 0)))</f>
        <v>7</v>
      </c>
      <c r="G687" t="str">
        <f t="shared" ref="G687:G702" si="53">IF(E687&gt;F687,"Win",IF(E687&lt;F687,"Loss","Draw"))</f>
        <v>Loss</v>
      </c>
      <c r="K687" t="str">
        <f t="shared" si="51"/>
        <v>59_A</v>
      </c>
    </row>
    <row r="688" spans="1:11" x14ac:dyDescent="0.35">
      <c r="A688">
        <v>59</v>
      </c>
      <c r="B688" s="6">
        <v>46303</v>
      </c>
      <c r="C688" t="s">
        <v>16</v>
      </c>
      <c r="D688" t="s">
        <v>17</v>
      </c>
      <c r="E688">
        <f>IF(D688="A", INDEX(Matches!$E:$E, MATCH(A688, Matches!$A:$A, 0)), INDEX(Matches!$F:$F, MATCH(A688, Matches!$A:$A, 0)))</f>
        <v>4</v>
      </c>
      <c r="F688">
        <f>IF(D688="A", INDEX(Matches!$F:$F, MATCH(A688, Matches!$A:$A, 0)), INDEX(Matches!$E:$E, MATCH(A688, Matches!$A:$A, 0)))</f>
        <v>7</v>
      </c>
      <c r="G688" t="str">
        <f t="shared" si="53"/>
        <v>Loss</v>
      </c>
      <c r="K688" t="str">
        <f t="shared" si="51"/>
        <v>59_A</v>
      </c>
    </row>
    <row r="689" spans="1:11" x14ac:dyDescent="0.35">
      <c r="A689">
        <v>59</v>
      </c>
      <c r="B689" s="6">
        <v>46303</v>
      </c>
      <c r="C689" t="s">
        <v>20</v>
      </c>
      <c r="D689" t="s">
        <v>17</v>
      </c>
      <c r="E689">
        <f>IF(D689="A", INDEX(Matches!$E:$E, MATCH(A689, Matches!$A:$A, 0)), INDEX(Matches!$F:$F, MATCH(A689, Matches!$A:$A, 0)))</f>
        <v>4</v>
      </c>
      <c r="F689">
        <f>IF(D689="A", INDEX(Matches!$F:$F, MATCH(A689, Matches!$A:$A, 0)), INDEX(Matches!$E:$E, MATCH(A689, Matches!$A:$A, 0)))</f>
        <v>7</v>
      </c>
      <c r="G689" t="str">
        <f t="shared" si="53"/>
        <v>Loss</v>
      </c>
      <c r="I689">
        <v>1</v>
      </c>
      <c r="K689" t="str">
        <f t="shared" si="51"/>
        <v>59_A</v>
      </c>
    </row>
    <row r="690" spans="1:11" x14ac:dyDescent="0.35">
      <c r="A690">
        <v>59</v>
      </c>
      <c r="B690" s="6">
        <v>46303</v>
      </c>
      <c r="C690" t="s">
        <v>19</v>
      </c>
      <c r="D690" t="s">
        <v>17</v>
      </c>
      <c r="E690">
        <f>IF(D690="A", INDEX(Matches!$E:$E, MATCH(A690, Matches!$A:$A, 0)), INDEX(Matches!$F:$F, MATCH(A690, Matches!$A:$A, 0)))</f>
        <v>4</v>
      </c>
      <c r="F690">
        <f>IF(D690="A", INDEX(Matches!$F:$F, MATCH(A690, Matches!$A:$A, 0)), INDEX(Matches!$E:$E, MATCH(A690, Matches!$A:$A, 0)))</f>
        <v>7</v>
      </c>
      <c r="G690" t="str">
        <f t="shared" si="53"/>
        <v>Loss</v>
      </c>
      <c r="K690" t="str">
        <f t="shared" si="51"/>
        <v>59_A</v>
      </c>
    </row>
    <row r="691" spans="1:11" x14ac:dyDescent="0.35">
      <c r="A691">
        <v>59</v>
      </c>
      <c r="B691" s="6">
        <v>46303</v>
      </c>
      <c r="C691" t="s">
        <v>40</v>
      </c>
      <c r="D691" t="s">
        <v>17</v>
      </c>
      <c r="E691">
        <f>IF(D691="A", INDEX(Matches!$E:$E, MATCH(A691, Matches!$A:$A, 0)), INDEX(Matches!$F:$F, MATCH(A691, Matches!$A:$A, 0)))</f>
        <v>4</v>
      </c>
      <c r="F691">
        <f>IF(D691="A", INDEX(Matches!$F:$F, MATCH(A691, Matches!$A:$A, 0)), INDEX(Matches!$E:$E, MATCH(A691, Matches!$A:$A, 0)))</f>
        <v>7</v>
      </c>
      <c r="G691" t="str">
        <f t="shared" si="53"/>
        <v>Loss</v>
      </c>
      <c r="K691" t="str">
        <f t="shared" si="51"/>
        <v>59_A</v>
      </c>
    </row>
    <row r="692" spans="1:11" x14ac:dyDescent="0.35">
      <c r="A692">
        <v>59</v>
      </c>
      <c r="B692" s="6">
        <v>46303</v>
      </c>
      <c r="C692" t="s">
        <v>21</v>
      </c>
      <c r="D692" t="s">
        <v>17</v>
      </c>
      <c r="E692">
        <f>IF(D692="A", INDEX(Matches!$E:$E, MATCH(A692, Matches!$A:$A, 0)), INDEX(Matches!$F:$F, MATCH(A692, Matches!$A:$A, 0)))</f>
        <v>4</v>
      </c>
      <c r="F692">
        <f>IF(D692="A", INDEX(Matches!$F:$F, MATCH(A692, Matches!$A:$A, 0)), INDEX(Matches!$E:$E, MATCH(A692, Matches!$A:$A, 0)))</f>
        <v>7</v>
      </c>
      <c r="G692" t="str">
        <f t="shared" si="53"/>
        <v>Loss</v>
      </c>
      <c r="K692" t="str">
        <f t="shared" si="51"/>
        <v>59_A</v>
      </c>
    </row>
    <row r="693" spans="1:11" x14ac:dyDescent="0.35">
      <c r="A693">
        <v>59</v>
      </c>
      <c r="B693" s="6">
        <v>46303</v>
      </c>
      <c r="C693" t="s">
        <v>89</v>
      </c>
      <c r="D693" t="s">
        <v>17</v>
      </c>
      <c r="E693">
        <f>IF(D693="A", INDEX(Matches!$E:$E, MATCH(A693, Matches!$A:$A, 0)), INDEX(Matches!$F:$F, MATCH(A693, Matches!$A:$A, 0)))</f>
        <v>4</v>
      </c>
      <c r="F693">
        <f>IF(D693="A", INDEX(Matches!$F:$F, MATCH(A693, Matches!$A:$A, 0)), INDEX(Matches!$E:$E, MATCH(A693, Matches!$A:$A, 0)))</f>
        <v>7</v>
      </c>
      <c r="G693" t="str">
        <f t="shared" si="53"/>
        <v>Loss</v>
      </c>
      <c r="H693">
        <v>3</v>
      </c>
      <c r="K693" t="str">
        <f t="shared" si="51"/>
        <v>59_A</v>
      </c>
    </row>
    <row r="694" spans="1:11" x14ac:dyDescent="0.35">
      <c r="A694">
        <v>59</v>
      </c>
      <c r="B694" s="6">
        <v>46303</v>
      </c>
      <c r="C694" t="s">
        <v>46</v>
      </c>
      <c r="D694" t="s">
        <v>17</v>
      </c>
      <c r="E694">
        <f>IF(D694="A", INDEX(Matches!$E:$E, MATCH(A694, Matches!$A:$A, 0)), INDEX(Matches!$F:$F, MATCH(A694, Matches!$A:$A, 0)))</f>
        <v>4</v>
      </c>
      <c r="F694">
        <f>IF(D694="A", INDEX(Matches!$F:$F, MATCH(A694, Matches!$A:$A, 0)), INDEX(Matches!$E:$E, MATCH(A694, Matches!$A:$A, 0)))</f>
        <v>7</v>
      </c>
      <c r="G694" t="str">
        <f t="shared" si="53"/>
        <v>Loss</v>
      </c>
      <c r="H694">
        <v>1</v>
      </c>
      <c r="I694">
        <v>1</v>
      </c>
      <c r="K694" t="str">
        <f t="shared" si="51"/>
        <v>59_A</v>
      </c>
    </row>
    <row r="695" spans="1:11" x14ac:dyDescent="0.35">
      <c r="A695">
        <v>59</v>
      </c>
      <c r="B695" s="6">
        <v>46303</v>
      </c>
      <c r="C695" t="s">
        <v>53</v>
      </c>
      <c r="D695" t="s">
        <v>23</v>
      </c>
      <c r="E695">
        <f>IF(D695="A", INDEX(Matches!$E:$E, MATCH(A695, Matches!$A:$A, 0)), INDEX(Matches!$F:$F, MATCH(A695, Matches!$A:$A, 0)))</f>
        <v>7</v>
      </c>
      <c r="F695">
        <f>IF(D695="A", INDEX(Matches!$F:$F, MATCH(A695, Matches!$A:$A, 0)), INDEX(Matches!$E:$E, MATCH(A695, Matches!$A:$A, 0)))</f>
        <v>4</v>
      </c>
      <c r="G695" t="str">
        <f t="shared" si="53"/>
        <v>Win</v>
      </c>
      <c r="I695">
        <v>1</v>
      </c>
      <c r="K695" t="str">
        <f t="shared" si="51"/>
        <v>59_B</v>
      </c>
    </row>
    <row r="696" spans="1:11" x14ac:dyDescent="0.35">
      <c r="A696">
        <v>59</v>
      </c>
      <c r="B696" s="6">
        <v>46303</v>
      </c>
      <c r="C696" t="s">
        <v>24</v>
      </c>
      <c r="D696" t="s">
        <v>23</v>
      </c>
      <c r="E696">
        <f>IF(D696="A", INDEX(Matches!$E:$E, MATCH(A696, Matches!$A:$A, 0)), INDEX(Matches!$F:$F, MATCH(A696, Matches!$A:$A, 0)))</f>
        <v>7</v>
      </c>
      <c r="F696">
        <f>IF(D696="A", INDEX(Matches!$F:$F, MATCH(A696, Matches!$A:$A, 0)), INDEX(Matches!$E:$E, MATCH(A696, Matches!$A:$A, 0)))</f>
        <v>4</v>
      </c>
      <c r="G696" t="str">
        <f t="shared" si="53"/>
        <v>Win</v>
      </c>
      <c r="I696">
        <v>1</v>
      </c>
      <c r="K696" t="str">
        <f t="shared" si="51"/>
        <v>59_B</v>
      </c>
    </row>
    <row r="697" spans="1:11" x14ac:dyDescent="0.35">
      <c r="A697">
        <v>59</v>
      </c>
      <c r="B697" s="6">
        <v>46303</v>
      </c>
      <c r="C697" t="s">
        <v>43</v>
      </c>
      <c r="D697" t="s">
        <v>23</v>
      </c>
      <c r="E697">
        <f>IF(D697="A", INDEX(Matches!$E:$E, MATCH(A697, Matches!$A:$A, 0)), INDEX(Matches!$F:$F, MATCH(A697, Matches!$A:$A, 0)))</f>
        <v>7</v>
      </c>
      <c r="F697">
        <f>IF(D697="A", INDEX(Matches!$F:$F, MATCH(A697, Matches!$A:$A, 0)), INDEX(Matches!$E:$E, MATCH(A697, Matches!$A:$A, 0)))</f>
        <v>4</v>
      </c>
      <c r="G697" t="str">
        <f t="shared" si="53"/>
        <v>Win</v>
      </c>
      <c r="K697" t="str">
        <f t="shared" si="51"/>
        <v>59_B</v>
      </c>
    </row>
    <row r="698" spans="1:11" x14ac:dyDescent="0.35">
      <c r="A698">
        <v>59</v>
      </c>
      <c r="B698" s="6">
        <v>46303</v>
      </c>
      <c r="C698" t="s">
        <v>25</v>
      </c>
      <c r="D698" t="s">
        <v>23</v>
      </c>
      <c r="E698">
        <f>IF(D698="A", INDEX(Matches!$E:$E, MATCH(A698, Matches!$A:$A, 0)), INDEX(Matches!$F:$F, MATCH(A698, Matches!$A:$A, 0)))</f>
        <v>7</v>
      </c>
      <c r="F698">
        <f>IF(D698="A", INDEX(Matches!$F:$F, MATCH(A698, Matches!$A:$A, 0)), INDEX(Matches!$E:$E, MATCH(A698, Matches!$A:$A, 0)))</f>
        <v>4</v>
      </c>
      <c r="G698" t="str">
        <f t="shared" si="53"/>
        <v>Win</v>
      </c>
      <c r="H698">
        <v>1</v>
      </c>
      <c r="I698">
        <v>1</v>
      </c>
      <c r="K698" t="str">
        <f t="shared" si="51"/>
        <v>59_B</v>
      </c>
    </row>
    <row r="699" spans="1:11" x14ac:dyDescent="0.35">
      <c r="A699">
        <v>59</v>
      </c>
      <c r="B699" s="6">
        <v>46303</v>
      </c>
      <c r="C699" t="s">
        <v>41</v>
      </c>
      <c r="D699" t="s">
        <v>23</v>
      </c>
      <c r="E699">
        <f>IF(D699="A", INDEX(Matches!$E:$E, MATCH(A699, Matches!$A:$A, 0)), INDEX(Matches!$F:$F, MATCH(A699, Matches!$A:$A, 0)))</f>
        <v>7</v>
      </c>
      <c r="F699">
        <f>IF(D699="A", INDEX(Matches!$F:$F, MATCH(A699, Matches!$A:$A, 0)), INDEX(Matches!$E:$E, MATCH(A699, Matches!$A:$A, 0)))</f>
        <v>4</v>
      </c>
      <c r="G699" t="str">
        <f t="shared" si="53"/>
        <v>Win</v>
      </c>
      <c r="K699" t="str">
        <f t="shared" si="51"/>
        <v>59_B</v>
      </c>
    </row>
    <row r="700" spans="1:11" x14ac:dyDescent="0.35">
      <c r="A700">
        <v>59</v>
      </c>
      <c r="B700" s="6">
        <v>46303</v>
      </c>
      <c r="C700" t="s">
        <v>131</v>
      </c>
      <c r="D700" t="s">
        <v>23</v>
      </c>
      <c r="E700">
        <f>IF(D700="A", INDEX(Matches!$E:$E, MATCH(A700, Matches!$A:$A, 0)), INDEX(Matches!$F:$F, MATCH(A700, Matches!$A:$A, 0)))</f>
        <v>7</v>
      </c>
      <c r="F700">
        <f>IF(D700="A", INDEX(Matches!$F:$F, MATCH(A700, Matches!$A:$A, 0)), INDEX(Matches!$E:$E, MATCH(A700, Matches!$A:$A, 0)))</f>
        <v>4</v>
      </c>
      <c r="G700" t="str">
        <f t="shared" si="53"/>
        <v>Win</v>
      </c>
      <c r="H700">
        <v>1</v>
      </c>
      <c r="K700" t="str">
        <f t="shared" si="51"/>
        <v>59_B</v>
      </c>
    </row>
    <row r="701" spans="1:11" x14ac:dyDescent="0.35">
      <c r="A701">
        <v>59</v>
      </c>
      <c r="B701" s="6">
        <v>46303</v>
      </c>
      <c r="C701" t="s">
        <v>75</v>
      </c>
      <c r="D701" t="s">
        <v>23</v>
      </c>
      <c r="E701">
        <f>IF(D701="A", INDEX(Matches!$E:$E, MATCH(A701, Matches!$A:$A, 0)), INDEX(Matches!$F:$F, MATCH(A701, Matches!$A:$A, 0)))</f>
        <v>7</v>
      </c>
      <c r="F701">
        <f>IF(D701="A", INDEX(Matches!$F:$F, MATCH(A701, Matches!$A:$A, 0)), INDEX(Matches!$E:$E, MATCH(A701, Matches!$A:$A, 0)))</f>
        <v>4</v>
      </c>
      <c r="G701" t="str">
        <f t="shared" si="53"/>
        <v>Win</v>
      </c>
      <c r="H701">
        <v>2</v>
      </c>
      <c r="I701">
        <v>1</v>
      </c>
      <c r="K701" t="str">
        <f t="shared" si="51"/>
        <v>59_B</v>
      </c>
    </row>
    <row r="702" spans="1:11" x14ac:dyDescent="0.35">
      <c r="A702">
        <v>59</v>
      </c>
      <c r="B702" s="6">
        <v>46303</v>
      </c>
      <c r="C702" t="s">
        <v>66</v>
      </c>
      <c r="D702" t="s">
        <v>23</v>
      </c>
      <c r="E702">
        <f>IF(D702="A", INDEX(Matches!$E:$E, MATCH(A702, Matches!$A:$A, 0)), INDEX(Matches!$F:$F, MATCH(A702, Matches!$A:$A, 0)))</f>
        <v>7</v>
      </c>
      <c r="F702">
        <f>IF(D702="A", INDEX(Matches!$F:$F, MATCH(A702, Matches!$A:$A, 0)), INDEX(Matches!$E:$E, MATCH(A702, Matches!$A:$A, 0)))</f>
        <v>4</v>
      </c>
      <c r="G702" t="str">
        <f t="shared" si="53"/>
        <v>Win</v>
      </c>
      <c r="H702">
        <v>3</v>
      </c>
      <c r="K702" t="str">
        <f t="shared" si="51"/>
        <v>59_B</v>
      </c>
    </row>
    <row r="703" spans="1:11" x14ac:dyDescent="0.35">
      <c r="A703">
        <v>60</v>
      </c>
      <c r="B703" s="6">
        <v>46310</v>
      </c>
      <c r="C703" t="s">
        <v>24</v>
      </c>
      <c r="D703" t="s">
        <v>17</v>
      </c>
      <c r="E703">
        <f>IF(D703="A", INDEX(Matches!$E:$E, MATCH(A703, Matches!$A:$A, 0)), INDEX(Matches!$F:$F, MATCH(A703, Matches!$A:$A, 0)))</f>
        <v>1</v>
      </c>
      <c r="F703">
        <f>IF(D703="A", INDEX(Matches!$F:$F, MATCH(A703, Matches!$A:$A, 0)), INDEX(Matches!$E:$E, MATCH(A703, Matches!$A:$A, 0)))</f>
        <v>7</v>
      </c>
      <c r="G703" t="str">
        <f t="shared" ref="G703:G716" si="54">IF(E703&gt;F703,"Win",IF(E703&lt;F703,"Loss","Draw"))</f>
        <v>Loss</v>
      </c>
      <c r="K703" t="str">
        <f t="shared" si="51"/>
        <v>60_A</v>
      </c>
    </row>
    <row r="704" spans="1:11" x14ac:dyDescent="0.35">
      <c r="A704">
        <v>60</v>
      </c>
      <c r="B704" s="6">
        <v>46310</v>
      </c>
      <c r="C704" t="s">
        <v>75</v>
      </c>
      <c r="D704" t="s">
        <v>17</v>
      </c>
      <c r="E704">
        <f>IF(D704="A", INDEX(Matches!$E:$E, MATCH(A704, Matches!$A:$A, 0)), INDEX(Matches!$F:$F, MATCH(A704, Matches!$A:$A, 0)))</f>
        <v>1</v>
      </c>
      <c r="F704">
        <f>IF(D704="A", INDEX(Matches!$F:$F, MATCH(A704, Matches!$A:$A, 0)), INDEX(Matches!$E:$E, MATCH(A704, Matches!$A:$A, 0)))</f>
        <v>7</v>
      </c>
      <c r="G704" t="str">
        <f t="shared" si="54"/>
        <v>Loss</v>
      </c>
      <c r="K704" t="str">
        <f t="shared" si="51"/>
        <v>60_A</v>
      </c>
    </row>
    <row r="705" spans="1:11" x14ac:dyDescent="0.35">
      <c r="A705">
        <v>60</v>
      </c>
      <c r="B705" s="6">
        <v>46310</v>
      </c>
      <c r="C705" t="s">
        <v>99</v>
      </c>
      <c r="D705" t="s">
        <v>17</v>
      </c>
      <c r="E705">
        <f>IF(D705="A", INDEX(Matches!$E:$E, MATCH(A705, Matches!$A:$A, 0)), INDEX(Matches!$F:$F, MATCH(A705, Matches!$A:$A, 0)))</f>
        <v>1</v>
      </c>
      <c r="F705">
        <f>IF(D705="A", INDEX(Matches!$F:$F, MATCH(A705, Matches!$A:$A, 0)), INDEX(Matches!$E:$E, MATCH(A705, Matches!$A:$A, 0)))</f>
        <v>7</v>
      </c>
      <c r="G705" t="str">
        <f t="shared" si="54"/>
        <v>Loss</v>
      </c>
      <c r="K705" t="str">
        <f t="shared" si="51"/>
        <v>60_A</v>
      </c>
    </row>
    <row r="706" spans="1:11" x14ac:dyDescent="0.35">
      <c r="A706">
        <v>60</v>
      </c>
      <c r="B706" s="6">
        <v>46310</v>
      </c>
      <c r="C706" t="s">
        <v>51</v>
      </c>
      <c r="D706" t="s">
        <v>17</v>
      </c>
      <c r="E706">
        <f>IF(D706="A", INDEX(Matches!$E:$E, MATCH(A706, Matches!$A:$A, 0)), INDEX(Matches!$F:$F, MATCH(A706, Matches!$A:$A, 0)))</f>
        <v>1</v>
      </c>
      <c r="F706">
        <f>IF(D706="A", INDEX(Matches!$F:$F, MATCH(A706, Matches!$A:$A, 0)), INDEX(Matches!$E:$E, MATCH(A706, Matches!$A:$A, 0)))</f>
        <v>7</v>
      </c>
      <c r="G706" t="str">
        <f t="shared" si="54"/>
        <v>Loss</v>
      </c>
      <c r="K706" t="str">
        <f t="shared" si="51"/>
        <v>60_A</v>
      </c>
    </row>
    <row r="707" spans="1:11" x14ac:dyDescent="0.35">
      <c r="A707">
        <v>60</v>
      </c>
      <c r="B707" s="6">
        <v>46310</v>
      </c>
      <c r="C707" t="s">
        <v>46</v>
      </c>
      <c r="D707" t="s">
        <v>17</v>
      </c>
      <c r="E707">
        <f>IF(D707="A", INDEX(Matches!$E:$E, MATCH(A707, Matches!$A:$A, 0)), INDEX(Matches!$F:$F, MATCH(A707, Matches!$A:$A, 0)))</f>
        <v>1</v>
      </c>
      <c r="F707">
        <f>IF(D707="A", INDEX(Matches!$F:$F, MATCH(A707, Matches!$A:$A, 0)), INDEX(Matches!$E:$E, MATCH(A707, Matches!$A:$A, 0)))</f>
        <v>7</v>
      </c>
      <c r="G707" t="str">
        <f t="shared" si="54"/>
        <v>Loss</v>
      </c>
      <c r="K707" t="str">
        <f t="shared" si="51"/>
        <v>60_A</v>
      </c>
    </row>
    <row r="708" spans="1:11" x14ac:dyDescent="0.35">
      <c r="A708">
        <v>60</v>
      </c>
      <c r="B708" s="6">
        <v>46310</v>
      </c>
      <c r="C708" t="s">
        <v>22</v>
      </c>
      <c r="D708" t="s">
        <v>17</v>
      </c>
      <c r="E708">
        <f>IF(D708="A", INDEX(Matches!$E:$E, MATCH(A708, Matches!$A:$A, 0)), INDEX(Matches!$F:$F, MATCH(A708, Matches!$A:$A, 0)))</f>
        <v>1</v>
      </c>
      <c r="F708">
        <f>IF(D708="A", INDEX(Matches!$F:$F, MATCH(A708, Matches!$A:$A, 0)), INDEX(Matches!$E:$E, MATCH(A708, Matches!$A:$A, 0)))</f>
        <v>7</v>
      </c>
      <c r="G708" t="str">
        <f t="shared" si="54"/>
        <v>Loss</v>
      </c>
      <c r="K708" t="str">
        <f t="shared" si="51"/>
        <v>60_A</v>
      </c>
    </row>
    <row r="709" spans="1:11" x14ac:dyDescent="0.35">
      <c r="A709">
        <v>60</v>
      </c>
      <c r="B709" s="6">
        <v>46310</v>
      </c>
      <c r="C709" t="s">
        <v>43</v>
      </c>
      <c r="D709" t="s">
        <v>17</v>
      </c>
      <c r="E709">
        <f>IF(D709="A", INDEX(Matches!$E:$E, MATCH(A709, Matches!$A:$A, 0)), INDEX(Matches!$F:$F, MATCH(A709, Matches!$A:$A, 0)))</f>
        <v>1</v>
      </c>
      <c r="F709">
        <f>IF(D709="A", INDEX(Matches!$F:$F, MATCH(A709, Matches!$A:$A, 0)), INDEX(Matches!$E:$E, MATCH(A709, Matches!$A:$A, 0)))</f>
        <v>7</v>
      </c>
      <c r="G709" t="str">
        <f t="shared" si="54"/>
        <v>Loss</v>
      </c>
      <c r="K709" t="str">
        <f t="shared" si="51"/>
        <v>60_A</v>
      </c>
    </row>
    <row r="710" spans="1:11" x14ac:dyDescent="0.35">
      <c r="A710">
        <v>60</v>
      </c>
      <c r="B710" s="6">
        <v>46310</v>
      </c>
      <c r="C710" t="s">
        <v>20</v>
      </c>
      <c r="D710" t="s">
        <v>23</v>
      </c>
      <c r="E710">
        <f>IF(D710="A", INDEX(Matches!$E:$E, MATCH(A710, Matches!$A:$A, 0)), INDEX(Matches!$F:$F, MATCH(A710, Matches!$A:$A, 0)))</f>
        <v>7</v>
      </c>
      <c r="F710">
        <f>IF(D710="A", INDEX(Matches!$F:$F, MATCH(A710, Matches!$A:$A, 0)), INDEX(Matches!$E:$E, MATCH(A710, Matches!$A:$A, 0)))</f>
        <v>1</v>
      </c>
      <c r="G710" t="str">
        <f t="shared" si="54"/>
        <v>Win</v>
      </c>
      <c r="K710" t="str">
        <f t="shared" si="51"/>
        <v>60_B</v>
      </c>
    </row>
    <row r="711" spans="1:11" x14ac:dyDescent="0.35">
      <c r="A711">
        <v>60</v>
      </c>
      <c r="B711" s="6">
        <v>46310</v>
      </c>
      <c r="C711" t="s">
        <v>89</v>
      </c>
      <c r="D711" t="s">
        <v>23</v>
      </c>
      <c r="E711">
        <f>IF(D711="A", INDEX(Matches!$E:$E, MATCH(A711, Matches!$A:$A, 0)), INDEX(Matches!$F:$F, MATCH(A711, Matches!$A:$A, 0)))</f>
        <v>7</v>
      </c>
      <c r="F711">
        <f>IF(D711="A", INDEX(Matches!$F:$F, MATCH(A711, Matches!$A:$A, 0)), INDEX(Matches!$E:$E, MATCH(A711, Matches!$A:$A, 0)))</f>
        <v>1</v>
      </c>
      <c r="G711" t="str">
        <f t="shared" si="54"/>
        <v>Win</v>
      </c>
      <c r="K711" t="str">
        <f t="shared" si="51"/>
        <v>60_B</v>
      </c>
    </row>
    <row r="712" spans="1:11" x14ac:dyDescent="0.35">
      <c r="A712">
        <v>60</v>
      </c>
      <c r="B712" s="6">
        <v>46310</v>
      </c>
      <c r="C712" t="s">
        <v>16</v>
      </c>
      <c r="D712" t="s">
        <v>23</v>
      </c>
      <c r="E712">
        <f>IF(D712="A", INDEX(Matches!$E:$E, MATCH(A712, Matches!$A:$A, 0)), INDEX(Matches!$F:$F, MATCH(A712, Matches!$A:$A, 0)))</f>
        <v>7</v>
      </c>
      <c r="F712">
        <f>IF(D712="A", INDEX(Matches!$F:$F, MATCH(A712, Matches!$A:$A, 0)), INDEX(Matches!$E:$E, MATCH(A712, Matches!$A:$A, 0)))</f>
        <v>1</v>
      </c>
      <c r="G712" t="str">
        <f t="shared" si="54"/>
        <v>Win</v>
      </c>
      <c r="K712" t="str">
        <f t="shared" si="51"/>
        <v>60_B</v>
      </c>
    </row>
    <row r="713" spans="1:11" x14ac:dyDescent="0.35">
      <c r="A713">
        <v>60</v>
      </c>
      <c r="B713" s="6">
        <v>46310</v>
      </c>
      <c r="C713" t="s">
        <v>25</v>
      </c>
      <c r="D713" t="s">
        <v>23</v>
      </c>
      <c r="E713">
        <f>IF(D713="A", INDEX(Matches!$E:$E, MATCH(A713, Matches!$A:$A, 0)), INDEX(Matches!$F:$F, MATCH(A713, Matches!$A:$A, 0)))</f>
        <v>7</v>
      </c>
      <c r="F713">
        <f>IF(D713="A", INDEX(Matches!$F:$F, MATCH(A713, Matches!$A:$A, 0)), INDEX(Matches!$E:$E, MATCH(A713, Matches!$A:$A, 0)))</f>
        <v>1</v>
      </c>
      <c r="G713" t="str">
        <f t="shared" si="54"/>
        <v>Win</v>
      </c>
      <c r="K713" t="str">
        <f t="shared" si="51"/>
        <v>60_B</v>
      </c>
    </row>
    <row r="714" spans="1:11" x14ac:dyDescent="0.35">
      <c r="A714">
        <v>60</v>
      </c>
      <c r="B714" s="6">
        <v>46310</v>
      </c>
      <c r="C714" t="s">
        <v>53</v>
      </c>
      <c r="D714" t="s">
        <v>23</v>
      </c>
      <c r="E714">
        <f>IF(D714="A", INDEX(Matches!$E:$E, MATCH(A714, Matches!$A:$A, 0)), INDEX(Matches!$F:$F, MATCH(A714, Matches!$A:$A, 0)))</f>
        <v>7</v>
      </c>
      <c r="F714">
        <f>IF(D714="A", INDEX(Matches!$F:$F, MATCH(A714, Matches!$A:$A, 0)), INDEX(Matches!$E:$E, MATCH(A714, Matches!$A:$A, 0)))</f>
        <v>1</v>
      </c>
      <c r="G714" t="str">
        <f t="shared" si="54"/>
        <v>Win</v>
      </c>
      <c r="K714" t="str">
        <f t="shared" ref="K714:K716" si="55">A714&amp;"_"&amp;D714</f>
        <v>60_B</v>
      </c>
    </row>
    <row r="715" spans="1:11" x14ac:dyDescent="0.35">
      <c r="A715">
        <v>60</v>
      </c>
      <c r="B715" s="6">
        <v>46310</v>
      </c>
      <c r="C715" t="s">
        <v>19</v>
      </c>
      <c r="D715" t="s">
        <v>23</v>
      </c>
      <c r="E715">
        <f>IF(D715="A", INDEX(Matches!$E:$E, MATCH(A715, Matches!$A:$A, 0)), INDEX(Matches!$F:$F, MATCH(A715, Matches!$A:$A, 0)))</f>
        <v>7</v>
      </c>
      <c r="F715">
        <f>IF(D715="A", INDEX(Matches!$F:$F, MATCH(A715, Matches!$A:$A, 0)), INDEX(Matches!$E:$E, MATCH(A715, Matches!$A:$A, 0)))</f>
        <v>1</v>
      </c>
      <c r="G715" t="str">
        <f t="shared" si="54"/>
        <v>Win</v>
      </c>
      <c r="K715" t="str">
        <f t="shared" si="55"/>
        <v>60_B</v>
      </c>
    </row>
    <row r="716" spans="1:11" x14ac:dyDescent="0.35">
      <c r="A716">
        <v>60</v>
      </c>
      <c r="B716" s="6">
        <v>46310</v>
      </c>
      <c r="C716" t="s">
        <v>21</v>
      </c>
      <c r="D716" t="s">
        <v>23</v>
      </c>
      <c r="E716">
        <f>IF(D716="A", INDEX(Matches!$E:$E, MATCH(A716, Matches!$A:$A, 0)), INDEX(Matches!$F:$F, MATCH(A716, Matches!$A:$A, 0)))</f>
        <v>7</v>
      </c>
      <c r="F716">
        <f>IF(D716="A", INDEX(Matches!$F:$F, MATCH(A716, Matches!$A:$A, 0)), INDEX(Matches!$E:$E, MATCH(A716, Matches!$A:$A, 0)))</f>
        <v>1</v>
      </c>
      <c r="G716" t="str">
        <f t="shared" si="54"/>
        <v>Win</v>
      </c>
      <c r="K716" t="str">
        <f t="shared" si="55"/>
        <v>60_B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C1:C632 C634:C1048576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52"/>
  <sheetViews>
    <sheetView topLeftCell="AK47" workbookViewId="0">
      <selection activeCell="AU57" sqref="AU57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 t="str">
        <v>Renan</v>
      </c>
      <c r="AX1" t="str">
        <v>Felipe</v>
      </c>
      <c r="AY1" t="str">
        <v>Georgian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52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28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11</v>
      </c>
      <c r="E2" cm="1">
        <f t="array" ref="E2">SUMPRODUCT(('Team Lineups'!$K$2:$K$2000&lt;&gt;"")*('Team Lineups'!$C$2:$C$2000=$A2)*COUNTIFS('Team Lineups'!$K$2:$K$2000,'Team Lineups'!$K$2:$K$2000,'Team Lineups'!$C$2:$C$2000,E$1))</f>
        <v>8</v>
      </c>
      <c r="F2" cm="1">
        <f t="array" ref="F2">SUMPRODUCT(('Team Lineups'!$K$2:$K$2000&lt;&gt;"")*('Team Lineups'!$C$2:$C$2000=$A2)*COUNTIFS('Team Lineups'!$K$2:$K$2000,'Team Lineups'!$K$2:$K$2000,'Team Lineups'!$C$2:$C$2000,F$1))</f>
        <v>6</v>
      </c>
      <c r="G2" cm="1">
        <f t="array" ref="G2">SUMPRODUCT(('Team Lineups'!$K$2:$K$2000&lt;&gt;"")*('Team Lineups'!$C$2:$C$2000=$A2)*COUNTIFS('Team Lineups'!$K$2:$K$2000,'Team Lineups'!$K$2:$K$2000,'Team Lineups'!$C$2:$C$2000,G$1))</f>
        <v>8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13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6</v>
      </c>
      <c r="M2" cm="1">
        <f t="array" ref="M2">SUMPRODUCT(('Team Lineups'!$K$2:$K$2000&lt;&gt;"")*('Team Lineups'!$C$2:$C$2000=$A2)*COUNTIFS('Team Lineups'!$K$2:$K$2000,'Team Lineups'!$K$2:$K$2000,'Team Lineups'!$C$2:$C$2000,M$1))</f>
        <v>8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2</v>
      </c>
      <c r="P2" cm="1">
        <f t="array" ref="P2">SUMPRODUCT(('Team Lineups'!$K$2:$K$2000&lt;&gt;"")*('Team Lineups'!$C$2:$C$2000=$A2)*COUNTIFS('Team Lineups'!$K$2:$K$2000,'Team Lineups'!$K$2:$K$2000,'Team Lineups'!$C$2:$C$2000,P$1))</f>
        <v>1</v>
      </c>
      <c r="Q2" cm="1">
        <f t="array" ref="Q2">SUMPRODUCT(('Team Lineups'!$K$2:$K$2000&lt;&gt;"")*('Team Lineups'!$C$2:$C$2000=$A2)*COUNTIFS('Team Lineups'!$K$2:$K$2000,'Team Lineups'!$K$2:$K$2000,'Team Lineups'!$C$2:$C$2000,Q$1))</f>
        <v>6</v>
      </c>
      <c r="R2" cm="1">
        <f t="array" ref="R2">SUMPRODUCT(('Team Lineups'!$K$2:$K$2000&lt;&gt;"")*('Team Lineups'!$C$2:$C$2000=$A2)*COUNTIFS('Team Lineups'!$K$2:$K$2000,'Team Lineups'!$K$2:$K$2000,'Team Lineups'!$C$2:$C$2000,R$1))</f>
        <v>6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3</v>
      </c>
      <c r="AA2" cm="1">
        <f t="array" ref="AA2">SUMPRODUCT(('Team Lineups'!$K$2:$K$2000&lt;&gt;"")*('Team Lineups'!$C$2:$C$2000=$A2)*COUNTIFS('Team Lineups'!$K$2:$K$2000,'Team Lineups'!$K$2:$K$2000,'Team Lineups'!$C$2:$C$2000,AA$1))</f>
        <v>9</v>
      </c>
      <c r="AB2" cm="1">
        <f t="array" ref="AB2">SUMPRODUCT(('Team Lineups'!$K$2:$K$2000&lt;&gt;"")*('Team Lineups'!$C$2:$C$2000=$A2)*COUNTIFS('Team Lineups'!$K$2:$K$2000,'Team Lineups'!$K$2:$K$2000,'Team Lineups'!$C$2:$C$2000,AB$1))</f>
        <v>3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8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5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3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2</v>
      </c>
      <c r="AV2" cm="1">
        <f t="array" ref="AV2">SUMPRODUCT(('Team Lineups'!$K$2:$K$2000&lt;&gt;"")*('Team Lineups'!$C$2:$C$2000=$A2)*COUNTIFS('Team Lineups'!$K$2:$K$2000,'Team Lineups'!$K$2:$K$2000,'Team Lineups'!$C$2:$C$2000,AV$1))</f>
        <v>1</v>
      </c>
      <c r="AW2" cm="1">
        <f t="array" ref="AW2">SUMPRODUCT(('Team Lineups'!$K$2:$K$2000&lt;&gt;"")*('Team Lineups'!$C$2:$C$2000=$A2)*COUNTIFS('Team Lineups'!$K$2:$K$2000,'Team Lineups'!$K$2:$K$2000,'Team Lineups'!$C$2:$C$2000,AW$1))</f>
        <v>1</v>
      </c>
      <c r="AX2" cm="1">
        <f t="array" ref="AX2">SUMPRODUCT(('Team Lineups'!$K$2:$K$2000&lt;&gt;"")*('Team Lineups'!$C$2:$C$2000=$A2)*COUNTIFS('Team Lineups'!$K$2:$K$2000,'Team Lineups'!$K$2:$K$2000,'Team Lineups'!$C$2:$C$2000,AX$1))</f>
        <v>0</v>
      </c>
      <c r="AY2" cm="1">
        <f t="array" ref="AY2">SUMPRODUCT(('Team Lineups'!$K$2:$K$2000&lt;&gt;"")*('Team Lineups'!$C$2:$C$2000=$A2)*COUNTIFS('Team Lineups'!$K$2:$K$2000,'Team Lineups'!$K$2:$K$2000,'Team Lineups'!$C$2:$C$2000,AY$1))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  <c r="AW3" cm="1">
        <f t="array" ref="AW3">SUMPRODUCT(('Team Lineups'!$K$2:$K$2000&lt;&gt;"")*('Team Lineups'!$C$2:$C$2000=$A3)*COUNTIFS('Team Lineups'!$K$2:$K$2000,'Team Lineups'!$K$2:$K$2000,'Team Lineups'!$C$2:$C$2000,AW$1))</f>
        <v>0</v>
      </c>
      <c r="AX3" cm="1">
        <f t="array" ref="AX3">SUMPRODUCT(('Team Lineups'!$K$2:$K$2000&lt;&gt;"")*('Team Lineups'!$C$2:$C$2000=$A3)*COUNTIFS('Team Lineups'!$K$2:$K$2000,'Team Lineups'!$K$2:$K$2000,'Team Lineups'!$C$2:$C$2000,AX$1))</f>
        <v>0</v>
      </c>
      <c r="AY3" cm="1">
        <f t="array" ref="AY3">SUMPRODUCT(('Team Lineups'!$K$2:$K$2000&lt;&gt;"")*('Team Lineups'!$C$2:$C$2000=$A3)*COUNTIFS('Team Lineups'!$K$2:$K$2000,'Team Lineups'!$K$2:$K$2000,'Team Lineups'!$C$2:$C$2000,AY$1))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11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32</v>
      </c>
      <c r="E4" cm="1">
        <f t="array" ref="E4">SUMPRODUCT(('Team Lineups'!$K$2:$K$2000&lt;&gt;"")*('Team Lineups'!$C$2:$C$2000=$A4)*COUNTIFS('Team Lineups'!$K$2:$K$2000,'Team Lineups'!$K$2:$K$2000,'Team Lineups'!$C$2:$C$2000,E$1))</f>
        <v>9</v>
      </c>
      <c r="F4" cm="1">
        <f t="array" ref="F4">SUMPRODUCT(('Team Lineups'!$K$2:$K$2000&lt;&gt;"")*('Team Lineups'!$C$2:$C$2000=$A4)*COUNTIFS('Team Lineups'!$K$2:$K$2000,'Team Lineups'!$K$2:$K$2000,'Team Lineups'!$C$2:$C$2000,F$1))</f>
        <v>12</v>
      </c>
      <c r="G4" cm="1">
        <f t="array" ref="G4">SUMPRODUCT(('Team Lineups'!$K$2:$K$2000&lt;&gt;"")*('Team Lineups'!$C$2:$C$2000=$A4)*COUNTIFS('Team Lineups'!$K$2:$K$2000,'Team Lineups'!$K$2:$K$2000,'Team Lineups'!$C$2:$C$2000,G$1))</f>
        <v>5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9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10</v>
      </c>
      <c r="M4" cm="1">
        <f t="array" ref="M4">SUMPRODUCT(('Team Lineups'!$K$2:$K$2000&lt;&gt;"")*('Team Lineups'!$C$2:$C$2000=$A4)*COUNTIFS('Team Lineups'!$K$2:$K$2000,'Team Lineups'!$K$2:$K$2000,'Team Lineups'!$C$2:$C$2000,M$1))</f>
        <v>6</v>
      </c>
      <c r="N4" cm="1">
        <f t="array" ref="N4">SUMPRODUCT(('Team Lineups'!$K$2:$K$2000&lt;&gt;"")*('Team Lineups'!$C$2:$C$2000=$A4)*COUNTIFS('Team Lineups'!$K$2:$K$2000,'Team Lineups'!$K$2:$K$2000,'Team Lineups'!$C$2:$C$2000,N$1))</f>
        <v>9</v>
      </c>
      <c r="O4" cm="1">
        <f t="array" ref="O4">SUMPRODUCT(('Team Lineups'!$K$2:$K$2000&lt;&gt;"")*('Team Lineups'!$C$2:$C$2000=$A4)*COUNTIFS('Team Lineups'!$K$2:$K$2000,'Team Lineups'!$K$2:$K$2000,'Team Lineups'!$C$2:$C$2000,O$1))</f>
        <v>6</v>
      </c>
      <c r="P4" cm="1">
        <f t="array" ref="P4">SUMPRODUCT(('Team Lineups'!$K$2:$K$2000&lt;&gt;"")*('Team Lineups'!$C$2:$C$2000=$A4)*COUNTIFS('Team Lineups'!$K$2:$K$2000,'Team Lineups'!$K$2:$K$2000,'Team Lineups'!$C$2:$C$2000,P$1))</f>
        <v>3</v>
      </c>
      <c r="Q4" cm="1">
        <f t="array" ref="Q4">SUMPRODUCT(('Team Lineups'!$K$2:$K$2000&lt;&gt;"")*('Team Lineups'!$C$2:$C$2000=$A4)*COUNTIFS('Team Lineups'!$K$2:$K$2000,'Team Lineups'!$K$2:$K$2000,'Team Lineups'!$C$2:$C$2000,Q$1))</f>
        <v>9</v>
      </c>
      <c r="R4" cm="1">
        <f t="array" ref="R4">SUMPRODUCT(('Team Lineups'!$K$2:$K$2000&lt;&gt;"")*('Team Lineups'!$C$2:$C$2000=$A4)*COUNTIFS('Team Lineups'!$K$2:$K$2000,'Team Lineups'!$K$2:$K$2000,'Team Lineups'!$C$2:$C$2000,R$1))</f>
        <v>10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3</v>
      </c>
      <c r="AA4" cm="1">
        <f t="array" ref="AA4">SUMPRODUCT(('Team Lineups'!$K$2:$K$2000&lt;&gt;"")*('Team Lineups'!$C$2:$C$2000=$A4)*COUNTIFS('Team Lineups'!$K$2:$K$2000,'Team Lineups'!$K$2:$K$2000,'Team Lineups'!$C$2:$C$2000,AA$1))</f>
        <v>5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7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8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4</v>
      </c>
      <c r="AQ4" cm="1">
        <f t="array" ref="AQ4">SUMPRODUCT(('Team Lineups'!$K$2:$K$2000&lt;&gt;"")*('Team Lineups'!$C$2:$C$2000=$A4)*COUNTIFS('Team Lineups'!$K$2:$K$2000,'Team Lineups'!$K$2:$K$2000,'Team Lineups'!$C$2:$C$2000,AQ$1))</f>
        <v>3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3</v>
      </c>
      <c r="AV4" cm="1">
        <f t="array" ref="AV4">SUMPRODUCT(('Team Lineups'!$K$2:$K$2000&lt;&gt;"")*('Team Lineups'!$C$2:$C$2000=$A4)*COUNTIFS('Team Lineups'!$K$2:$K$2000,'Team Lineups'!$K$2:$K$2000,'Team Lineups'!$C$2:$C$2000,AV$1))</f>
        <v>3</v>
      </c>
      <c r="AW4" cm="1">
        <f t="array" ref="AW4">SUMPRODUCT(('Team Lineups'!$K$2:$K$2000&lt;&gt;"")*('Team Lineups'!$C$2:$C$2000=$A4)*COUNTIFS('Team Lineups'!$K$2:$K$2000,'Team Lineups'!$K$2:$K$2000,'Team Lineups'!$C$2:$C$2000,AW$1))</f>
        <v>0</v>
      </c>
      <c r="AX4" cm="1">
        <f t="array" ref="AX4">SUMPRODUCT(('Team Lineups'!$K$2:$K$2000&lt;&gt;"")*('Team Lineups'!$C$2:$C$2000=$A4)*COUNTIFS('Team Lineups'!$K$2:$K$2000,'Team Lineups'!$K$2:$K$2000,'Team Lineups'!$C$2:$C$2000,AX$1))</f>
        <v>0</v>
      </c>
      <c r="AY4" cm="1">
        <f t="array" ref="AY4">SUMPRODUCT(('Team Lineups'!$K$2:$K$2000&lt;&gt;"")*('Team Lineups'!$C$2:$C$2000=$A4)*COUNTIFS('Team Lineups'!$K$2:$K$2000,'Team Lineups'!$K$2:$K$2000,'Team Lineups'!$C$2:$C$2000,AY$1))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8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9</v>
      </c>
      <c r="E5" cm="1">
        <f t="array" ref="E5">SUMPRODUCT(('Team Lineups'!$K$2:$K$2000&lt;&gt;"")*('Team Lineups'!$C$2:$C$2000=$A5)*COUNTIFS('Team Lineups'!$K$2:$K$2000,'Team Lineups'!$K$2:$K$2000,'Team Lineups'!$C$2:$C$2000,E$1))</f>
        <v>31</v>
      </c>
      <c r="F5" cm="1">
        <f t="array" ref="F5">SUMPRODUCT(('Team Lineups'!$K$2:$K$2000&lt;&gt;"")*('Team Lineups'!$C$2:$C$2000=$A5)*COUNTIFS('Team Lineups'!$K$2:$K$2000,'Team Lineups'!$K$2:$K$2000,'Team Lineups'!$C$2:$C$2000,F$1))</f>
        <v>12</v>
      </c>
      <c r="G5" cm="1">
        <f t="array" ref="G5">SUMPRODUCT(('Team Lineups'!$K$2:$K$2000&lt;&gt;"")*('Team Lineups'!$C$2:$C$2000=$A5)*COUNTIFS('Team Lineups'!$K$2:$K$2000,'Team Lineups'!$K$2:$K$2000,'Team Lineups'!$C$2:$C$2000,G$1))</f>
        <v>10</v>
      </c>
      <c r="H5" cm="1">
        <f t="array" ref="H5">SUMPRODUCT(('Team Lineups'!$K$2:$K$2000&lt;&gt;"")*('Team Lineups'!$C$2:$C$2000=$A5)*COUNTIFS('Team Lineups'!$K$2:$K$2000,'Team Lineups'!$K$2:$K$2000,'Team Lineups'!$C$2:$C$2000,H$1))</f>
        <v>1</v>
      </c>
      <c r="I5" cm="1">
        <f t="array" ref="I5">SUMPRODUCT(('Team Lineups'!$K$2:$K$2000&lt;&gt;"")*('Team Lineups'!$C$2:$C$2000=$A5)*COUNTIFS('Team Lineups'!$K$2:$K$2000,'Team Lineups'!$K$2:$K$2000,'Team Lineups'!$C$2:$C$2000,I$1))</f>
        <v>6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7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6</v>
      </c>
      <c r="O5" cm="1">
        <f t="array" ref="O5">SUMPRODUCT(('Team Lineups'!$K$2:$K$2000&lt;&gt;"")*('Team Lineups'!$C$2:$C$2000=$A5)*COUNTIFS('Team Lineups'!$K$2:$K$2000,'Team Lineups'!$K$2:$K$2000,'Team Lineups'!$C$2:$C$2000,O$1))</f>
        <v>5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9</v>
      </c>
      <c r="R5" cm="1">
        <f t="array" ref="R5">SUMPRODUCT(('Team Lineups'!$K$2:$K$2000&lt;&gt;"")*('Team Lineups'!$C$2:$C$2000=$A5)*COUNTIFS('Team Lineups'!$K$2:$K$2000,'Team Lineups'!$K$2:$K$2000,'Team Lineups'!$C$2:$C$2000,R$1))</f>
        <v>5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4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3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5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12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7</v>
      </c>
      <c r="AQ5" cm="1">
        <f t="array" ref="AQ5">SUMPRODUCT(('Team Lineups'!$K$2:$K$2000&lt;&gt;"")*('Team Lineups'!$C$2:$C$2000=$A5)*COUNTIFS('Team Lineups'!$K$2:$K$2000,'Team Lineups'!$K$2:$K$2000,'Team Lineups'!$C$2:$C$2000,AQ$1))</f>
        <v>3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1</v>
      </c>
      <c r="AV5" cm="1">
        <f t="array" ref="AV5">SUMPRODUCT(('Team Lineups'!$K$2:$K$2000&lt;&gt;"")*('Team Lineups'!$C$2:$C$2000=$A5)*COUNTIFS('Team Lineups'!$K$2:$K$2000,'Team Lineups'!$K$2:$K$2000,'Team Lineups'!$C$2:$C$2000,AV$1))</f>
        <v>2</v>
      </c>
      <c r="AW5" cm="1">
        <f t="array" ref="AW5">SUMPRODUCT(('Team Lineups'!$K$2:$K$2000&lt;&gt;"")*('Team Lineups'!$C$2:$C$2000=$A5)*COUNTIFS('Team Lineups'!$K$2:$K$2000,'Team Lineups'!$K$2:$K$2000,'Team Lineups'!$C$2:$C$2000,AW$1))</f>
        <v>0</v>
      </c>
      <c r="AX5" cm="1">
        <f t="array" ref="AX5">SUMPRODUCT(('Team Lineups'!$K$2:$K$2000&lt;&gt;"")*('Team Lineups'!$C$2:$C$2000=$A5)*COUNTIFS('Team Lineups'!$K$2:$K$2000,'Team Lineups'!$K$2:$K$2000,'Team Lineups'!$C$2:$C$2000,AX$1))</f>
        <v>0</v>
      </c>
      <c r="AY5" cm="1">
        <f t="array" ref="AY5">SUMPRODUCT(('Team Lineups'!$K$2:$K$2000&lt;&gt;"")*('Team Lineups'!$C$2:$C$2000=$A5)*COUNTIFS('Team Lineups'!$K$2:$K$2000,'Team Lineups'!$K$2:$K$2000,'Team Lineups'!$C$2:$C$2000,AY$1))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6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12</v>
      </c>
      <c r="E6" cm="1">
        <f t="array" ref="E6">SUMPRODUCT(('Team Lineups'!$K$2:$K$2000&lt;&gt;"")*('Team Lineups'!$C$2:$C$2000=$A6)*COUNTIFS('Team Lineups'!$K$2:$K$2000,'Team Lineups'!$K$2:$K$2000,'Team Lineups'!$C$2:$C$2000,E$1))</f>
        <v>12</v>
      </c>
      <c r="F6" cm="1">
        <f t="array" ref="F6">SUMPRODUCT(('Team Lineups'!$K$2:$K$2000&lt;&gt;"")*('Team Lineups'!$C$2:$C$2000=$A6)*COUNTIFS('Team Lineups'!$K$2:$K$2000,'Team Lineups'!$K$2:$K$2000,'Team Lineups'!$C$2:$C$2000,F$1))</f>
        <v>31</v>
      </c>
      <c r="G6" cm="1">
        <f t="array" ref="G6">SUMPRODUCT(('Team Lineups'!$K$2:$K$2000&lt;&gt;"")*('Team Lineups'!$C$2:$C$2000=$A6)*COUNTIFS('Team Lineups'!$K$2:$K$2000,'Team Lineups'!$K$2:$K$2000,'Team Lineups'!$C$2:$C$2000,G$1))</f>
        <v>7</v>
      </c>
      <c r="H6" cm="1">
        <f t="array" ref="H6">SUMPRODUCT(('Team Lineups'!$K$2:$K$2000&lt;&gt;"")*('Team Lineups'!$C$2:$C$2000=$A6)*COUNTIFS('Team Lineups'!$K$2:$K$2000,'Team Lineups'!$K$2:$K$2000,'Team Lineups'!$C$2:$C$2000,H$1))</f>
        <v>7</v>
      </c>
      <c r="I6" cm="1">
        <f t="array" ref="I6">SUMPRODUCT(('Team Lineups'!$K$2:$K$2000&lt;&gt;"")*('Team Lineups'!$C$2:$C$2000=$A6)*COUNTIFS('Team Lineups'!$K$2:$K$2000,'Team Lineups'!$K$2:$K$2000,'Team Lineups'!$C$2:$C$2000,I$1))</f>
        <v>8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11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3</v>
      </c>
      <c r="Q6" cm="1">
        <f t="array" ref="Q6">SUMPRODUCT(('Team Lineups'!$K$2:$K$2000&lt;&gt;"")*('Team Lineups'!$C$2:$C$2000=$A6)*COUNTIFS('Team Lineups'!$K$2:$K$2000,'Team Lineups'!$K$2:$K$2000,'Team Lineups'!$C$2:$C$2000,Q$1))</f>
        <v>7</v>
      </c>
      <c r="R6" cm="1">
        <f t="array" ref="R6">SUMPRODUCT(('Team Lineups'!$K$2:$K$2000&lt;&gt;"")*('Team Lineups'!$C$2:$C$2000=$A6)*COUNTIFS('Team Lineups'!$K$2:$K$2000,'Team Lineups'!$K$2:$K$2000,'Team Lineups'!$C$2:$C$2000,R$1))</f>
        <v>10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3</v>
      </c>
      <c r="AA6" cm="1">
        <f t="array" ref="AA6">SUMPRODUCT(('Team Lineups'!$K$2:$K$2000&lt;&gt;"")*('Team Lineups'!$C$2:$C$2000=$A6)*COUNTIFS('Team Lineups'!$K$2:$K$2000,'Team Lineups'!$K$2:$K$2000,'Team Lineups'!$C$2:$C$2000,AA$1))</f>
        <v>9</v>
      </c>
      <c r="AB6" cm="1">
        <f t="array" ref="AB6">SUMPRODUCT(('Team Lineups'!$K$2:$K$2000&lt;&gt;"")*('Team Lineups'!$C$2:$C$2000=$A6)*COUNTIFS('Team Lineups'!$K$2:$K$2000,'Team Lineups'!$K$2:$K$2000,'Team Lineups'!$C$2:$C$2000,AB$1))</f>
        <v>5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2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8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6</v>
      </c>
      <c r="AQ6" cm="1">
        <f t="array" ref="AQ6">SUMPRODUCT(('Team Lineups'!$K$2:$K$2000&lt;&gt;"")*('Team Lineups'!$C$2:$C$2000=$A6)*COUNTIFS('Team Lineups'!$K$2:$K$2000,'Team Lineups'!$K$2:$K$2000,'Team Lineups'!$C$2:$C$2000,AQ$1))</f>
        <v>3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2</v>
      </c>
      <c r="AW6" cm="1">
        <f t="array" ref="AW6">SUMPRODUCT(('Team Lineups'!$K$2:$K$2000&lt;&gt;"")*('Team Lineups'!$C$2:$C$2000=$A6)*COUNTIFS('Team Lineups'!$K$2:$K$2000,'Team Lineups'!$K$2:$K$2000,'Team Lineups'!$C$2:$C$2000,AW$1))</f>
        <v>0</v>
      </c>
      <c r="AX6" cm="1">
        <f t="array" ref="AX6">SUMPRODUCT(('Team Lineups'!$K$2:$K$2000&lt;&gt;"")*('Team Lineups'!$C$2:$C$2000=$A6)*COUNTIFS('Team Lineups'!$K$2:$K$2000,'Team Lineups'!$K$2:$K$2000,'Team Lineups'!$C$2:$C$2000,AX$1))</f>
        <v>0</v>
      </c>
      <c r="AY6" cm="1">
        <f t="array" ref="AY6">SUMPRODUCT(('Team Lineups'!$K$2:$K$2000&lt;&gt;"")*('Team Lineups'!$C$2:$C$2000=$A6)*COUNTIFS('Team Lineups'!$K$2:$K$2000,'Team Lineups'!$K$2:$K$2000,'Team Lineups'!$C$2:$C$2000,AY$1))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8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5</v>
      </c>
      <c r="E7" cm="1">
        <f t="array" ref="E7">SUMPRODUCT(('Team Lineups'!$K$2:$K$2000&lt;&gt;"")*('Team Lineups'!$C$2:$C$2000=$A7)*COUNTIFS('Team Lineups'!$K$2:$K$2000,'Team Lineups'!$K$2:$K$2000,'Team Lineups'!$C$2:$C$2000,E$1))</f>
        <v>10</v>
      </c>
      <c r="F7" cm="1">
        <f t="array" ref="F7">SUMPRODUCT(('Team Lineups'!$K$2:$K$2000&lt;&gt;"")*('Team Lineups'!$C$2:$C$2000=$A7)*COUNTIFS('Team Lineups'!$K$2:$K$2000,'Team Lineups'!$K$2:$K$2000,'Team Lineups'!$C$2:$C$2000,F$1))</f>
        <v>7</v>
      </c>
      <c r="G7" cm="1">
        <f t="array" ref="G7">SUMPRODUCT(('Team Lineups'!$K$2:$K$2000&lt;&gt;"")*('Team Lineups'!$C$2:$C$2000=$A7)*COUNTIFS('Team Lineups'!$K$2:$K$2000,'Team Lineups'!$K$2:$K$2000,'Team Lineups'!$C$2:$C$2000,G$1))</f>
        <v>40</v>
      </c>
      <c r="H7" cm="1">
        <f t="array" ref="H7">SUMPRODUCT(('Team Lineups'!$K$2:$K$2000&lt;&gt;"")*('Team Lineups'!$C$2:$C$2000=$A7)*COUNTIFS('Team Lineups'!$K$2:$K$2000,'Team Lineups'!$K$2:$K$2000,'Team Lineups'!$C$2:$C$2000,H$1))</f>
        <v>8</v>
      </c>
      <c r="I7" cm="1">
        <f t="array" ref="I7">SUMPRODUCT(('Team Lineups'!$K$2:$K$2000&lt;&gt;"")*('Team Lineups'!$C$2:$C$2000=$A7)*COUNTIFS('Team Lineups'!$K$2:$K$2000,'Team Lineups'!$K$2:$K$2000,'Team Lineups'!$C$2:$C$2000,I$1))</f>
        <v>11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10</v>
      </c>
      <c r="M7" cm="1">
        <f t="array" ref="M7">SUMPRODUCT(('Team Lineups'!$K$2:$K$2000&lt;&gt;"")*('Team Lineups'!$C$2:$C$2000=$A7)*COUNTIFS('Team Lineups'!$K$2:$K$2000,'Team Lineups'!$K$2:$K$2000,'Team Lineups'!$C$2:$C$2000,M$1))</f>
        <v>15</v>
      </c>
      <c r="N7" cm="1">
        <f t="array" ref="N7">SUMPRODUCT(('Team Lineups'!$K$2:$K$2000&lt;&gt;"")*('Team Lineups'!$C$2:$C$2000=$A7)*COUNTIFS('Team Lineups'!$K$2:$K$2000,'Team Lineups'!$K$2:$K$2000,'Team Lineups'!$C$2:$C$2000,N$1))</f>
        <v>8</v>
      </c>
      <c r="O7" cm="1">
        <f t="array" ref="O7">SUMPRODUCT(('Team Lineups'!$K$2:$K$2000&lt;&gt;"")*('Team Lineups'!$C$2:$C$2000=$A7)*COUNTIFS('Team Lineups'!$K$2:$K$2000,'Team Lineups'!$K$2:$K$2000,'Team Lineups'!$C$2:$C$2000,O$1))</f>
        <v>4</v>
      </c>
      <c r="P7" cm="1">
        <f t="array" ref="P7">SUMPRODUCT(('Team Lineups'!$K$2:$K$2000&lt;&gt;"")*('Team Lineups'!$C$2:$C$2000=$A7)*COUNTIFS('Team Lineups'!$K$2:$K$2000,'Team Lineups'!$K$2:$K$2000,'Team Lineups'!$C$2:$C$2000,P$1))</f>
        <v>3</v>
      </c>
      <c r="Q7" cm="1">
        <f t="array" ref="Q7">SUMPRODUCT(('Team Lineups'!$K$2:$K$2000&lt;&gt;"")*('Team Lineups'!$C$2:$C$2000=$A7)*COUNTIFS('Team Lineups'!$K$2:$K$2000,'Team Lineups'!$K$2:$K$2000,'Team Lineups'!$C$2:$C$2000,Q$1))</f>
        <v>11</v>
      </c>
      <c r="R7" cm="1">
        <f t="array" ref="R7">SUMPRODUCT(('Team Lineups'!$K$2:$K$2000&lt;&gt;"")*('Team Lineups'!$C$2:$C$2000=$A7)*COUNTIFS('Team Lineups'!$K$2:$K$2000,'Team Lineups'!$K$2:$K$2000,'Team Lineups'!$C$2:$C$2000,R$1))</f>
        <v>10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5</v>
      </c>
      <c r="AA7" cm="1">
        <f t="array" ref="AA7">SUMPRODUCT(('Team Lineups'!$K$2:$K$2000&lt;&gt;"")*('Team Lineups'!$C$2:$C$2000=$A7)*COUNTIFS('Team Lineups'!$K$2:$K$2000,'Team Lineups'!$K$2:$K$2000,'Team Lineups'!$C$2:$C$2000,AA$1))</f>
        <v>12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9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4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6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10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5</v>
      </c>
      <c r="AQ7" cm="1">
        <f t="array" ref="AQ7">SUMPRODUCT(('Team Lineups'!$K$2:$K$2000&lt;&gt;"")*('Team Lineups'!$C$2:$C$2000=$A7)*COUNTIFS('Team Lineups'!$K$2:$K$2000,'Team Lineups'!$K$2:$K$2000,'Team Lineups'!$C$2:$C$2000,AQ$1))</f>
        <v>2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3</v>
      </c>
      <c r="AV7" cm="1">
        <f t="array" ref="AV7">SUMPRODUCT(('Team Lineups'!$K$2:$K$2000&lt;&gt;"")*('Team Lineups'!$C$2:$C$2000=$A7)*COUNTIFS('Team Lineups'!$K$2:$K$2000,'Team Lineups'!$K$2:$K$2000,'Team Lineups'!$C$2:$C$2000,AV$1))</f>
        <v>5</v>
      </c>
      <c r="AW7" cm="1">
        <f t="array" ref="AW7">SUMPRODUCT(('Team Lineups'!$K$2:$K$2000&lt;&gt;"")*('Team Lineups'!$C$2:$C$2000=$A7)*COUNTIFS('Team Lineups'!$K$2:$K$2000,'Team Lineups'!$K$2:$K$2000,'Team Lineups'!$C$2:$C$2000,AW$1))</f>
        <v>1</v>
      </c>
      <c r="AX7" cm="1">
        <f t="array" ref="AX7">SUMPRODUCT(('Team Lineups'!$K$2:$K$2000&lt;&gt;"")*('Team Lineups'!$C$2:$C$2000=$A7)*COUNTIFS('Team Lineups'!$K$2:$K$2000,'Team Lineups'!$K$2:$K$2000,'Team Lineups'!$C$2:$C$2000,AX$1))</f>
        <v>1</v>
      </c>
      <c r="AY7" cm="1">
        <f t="array" ref="AY7">SUMPRODUCT(('Team Lineups'!$K$2:$K$2000&lt;&gt;"")*('Team Lineups'!$C$2:$C$2000=$A7)*COUNTIFS('Team Lineups'!$K$2:$K$2000,'Team Lineups'!$K$2:$K$2000,'Team Lineups'!$C$2:$C$2000,AY$1))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1</v>
      </c>
      <c r="F8" cm="1">
        <f t="array" ref="F8">SUMPRODUCT(('Team Lineups'!$K$2:$K$2000&lt;&gt;"")*('Team Lineups'!$C$2:$C$2000=$A8)*COUNTIFS('Team Lineups'!$K$2:$K$2000,'Team Lineups'!$K$2:$K$2000,'Team Lineups'!$C$2:$C$2000,F$1))</f>
        <v>7</v>
      </c>
      <c r="G8" cm="1">
        <f t="array" ref="G8">SUMPRODUCT(('Team Lineups'!$K$2:$K$2000&lt;&gt;"")*('Team Lineups'!$C$2:$C$2000=$A8)*COUNTIFS('Team Lineups'!$K$2:$K$2000,'Team Lineups'!$K$2:$K$2000,'Team Lineups'!$C$2:$C$2000,G$1))</f>
        <v>8</v>
      </c>
      <c r="H8" cm="1">
        <f t="array" ref="H8">SUMPRODUCT(('Team Lineups'!$K$2:$K$2000&lt;&gt;"")*('Team Lineups'!$C$2:$C$2000=$A8)*COUNTIFS('Team Lineups'!$K$2:$K$2000,'Team Lineups'!$K$2:$K$2000,'Team Lineups'!$C$2:$C$2000,H$1))</f>
        <v>29</v>
      </c>
      <c r="I8" cm="1">
        <f t="array" ref="I8">SUMPRODUCT(('Team Lineups'!$K$2:$K$2000&lt;&gt;"")*('Team Lineups'!$C$2:$C$2000=$A8)*COUNTIFS('Team Lineups'!$K$2:$K$2000,'Team Lineups'!$K$2:$K$2000,'Team Lineups'!$C$2:$C$2000,I$1))</f>
        <v>9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5</v>
      </c>
      <c r="M8" cm="1">
        <f t="array" ref="M8">SUMPRODUCT(('Team Lineups'!$K$2:$K$2000&lt;&gt;"")*('Team Lineups'!$C$2:$C$2000=$A8)*COUNTIFS('Team Lineups'!$K$2:$K$2000,'Team Lineups'!$K$2:$K$2000,'Team Lineups'!$C$2:$C$2000,M$1))</f>
        <v>10</v>
      </c>
      <c r="N8" cm="1">
        <f t="array" ref="N8">SUMPRODUCT(('Team Lineups'!$K$2:$K$2000&lt;&gt;"")*('Team Lineups'!$C$2:$C$2000=$A8)*COUNTIFS('Team Lineups'!$K$2:$K$2000,'Team Lineups'!$K$2:$K$2000,'Team Lineups'!$C$2:$C$2000,N$1))</f>
        <v>7</v>
      </c>
      <c r="O8" cm="1">
        <f t="array" ref="O8">SUMPRODUCT(('Team Lineups'!$K$2:$K$2000&lt;&gt;"")*('Team Lineups'!$C$2:$C$2000=$A8)*COUNTIFS('Team Lineups'!$K$2:$K$2000,'Team Lineups'!$K$2:$K$2000,'Team Lineups'!$C$2:$C$2000,O$1))</f>
        <v>6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13</v>
      </c>
      <c r="R8" cm="1">
        <f t="array" ref="R8">SUMPRODUCT(('Team Lineups'!$K$2:$K$2000&lt;&gt;"")*('Team Lineups'!$C$2:$C$2000=$A8)*COUNTIFS('Team Lineups'!$K$2:$K$2000,'Team Lineups'!$K$2:$K$2000,'Team Lineups'!$C$2:$C$2000,R$1))</f>
        <v>8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6</v>
      </c>
      <c r="AA8" cm="1">
        <f t="array" ref="AA8">SUMPRODUCT(('Team Lineups'!$K$2:$K$2000&lt;&gt;"")*('Team Lineups'!$C$2:$C$2000=$A8)*COUNTIFS('Team Lineups'!$K$2:$K$2000,'Team Lineups'!$K$2:$K$2000,'Team Lineups'!$C$2:$C$2000,AA$1))</f>
        <v>6</v>
      </c>
      <c r="AB8" cm="1">
        <f t="array" ref="AB8">SUMPRODUCT(('Team Lineups'!$K$2:$K$2000&lt;&gt;"")*('Team Lineups'!$C$2:$C$2000=$A8)*COUNTIFS('Team Lineups'!$K$2:$K$2000,'Team Lineups'!$K$2:$K$2000,'Team Lineups'!$C$2:$C$2000,AB$1))</f>
        <v>9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7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4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4</v>
      </c>
      <c r="AQ8" cm="1">
        <f t="array" ref="AQ8">SUMPRODUCT(('Team Lineups'!$K$2:$K$2000&lt;&gt;"")*('Team Lineups'!$C$2:$C$2000=$A8)*COUNTIFS('Team Lineups'!$K$2:$K$2000,'Team Lineups'!$K$2:$K$2000,'Team Lineups'!$C$2:$C$2000,AQ$1))</f>
        <v>2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2</v>
      </c>
      <c r="AW8" cm="1">
        <f t="array" ref="AW8">SUMPRODUCT(('Team Lineups'!$K$2:$K$2000&lt;&gt;"")*('Team Lineups'!$C$2:$C$2000=$A8)*COUNTIFS('Team Lineups'!$K$2:$K$2000,'Team Lineups'!$K$2:$K$2000,'Team Lineups'!$C$2:$C$2000,AW$1))</f>
        <v>0</v>
      </c>
      <c r="AX8" cm="1">
        <f t="array" ref="AX8">SUMPRODUCT(('Team Lineups'!$K$2:$K$2000&lt;&gt;"")*('Team Lineups'!$C$2:$C$2000=$A8)*COUNTIFS('Team Lineups'!$K$2:$K$2000,'Team Lineups'!$K$2:$K$2000,'Team Lineups'!$C$2:$C$2000,AX$1))</f>
        <v>0</v>
      </c>
      <c r="AY8" cm="1">
        <f t="array" ref="AY8">SUMPRODUCT(('Team Lineups'!$K$2:$K$2000&lt;&gt;"")*('Team Lineups'!$C$2:$C$2000=$A8)*COUNTIFS('Team Lineups'!$K$2:$K$2000,'Team Lineups'!$K$2:$K$2000,'Team Lineups'!$C$2:$C$2000,AY$1))</f>
        <v>1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13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9</v>
      </c>
      <c r="E9" cm="1">
        <f t="array" ref="E9">SUMPRODUCT(('Team Lineups'!$K$2:$K$2000&lt;&gt;"")*('Team Lineups'!$C$2:$C$2000=$A9)*COUNTIFS('Team Lineups'!$K$2:$K$2000,'Team Lineups'!$K$2:$K$2000,'Team Lineups'!$C$2:$C$2000,E$1))</f>
        <v>6</v>
      </c>
      <c r="F9" cm="1">
        <f t="array" ref="F9">SUMPRODUCT(('Team Lineups'!$K$2:$K$2000&lt;&gt;"")*('Team Lineups'!$C$2:$C$2000=$A9)*COUNTIFS('Team Lineups'!$K$2:$K$2000,'Team Lineups'!$K$2:$K$2000,'Team Lineups'!$C$2:$C$2000,F$1))</f>
        <v>8</v>
      </c>
      <c r="G9" cm="1">
        <f t="array" ref="G9">SUMPRODUCT(('Team Lineups'!$K$2:$K$2000&lt;&gt;"")*('Team Lineups'!$C$2:$C$2000=$A9)*COUNTIFS('Team Lineups'!$K$2:$K$2000,'Team Lineups'!$K$2:$K$2000,'Team Lineups'!$C$2:$C$2000,G$1))</f>
        <v>11</v>
      </c>
      <c r="H9" cm="1">
        <f t="array" ref="H9">SUMPRODUCT(('Team Lineups'!$K$2:$K$2000&lt;&gt;"")*('Team Lineups'!$C$2:$C$2000=$A9)*COUNTIFS('Team Lineups'!$K$2:$K$2000,'Team Lineups'!$K$2:$K$2000,'Team Lineups'!$C$2:$C$2000,H$1))</f>
        <v>9</v>
      </c>
      <c r="I9" cm="1">
        <f t="array" ref="I9">SUMPRODUCT(('Team Lineups'!$K$2:$K$2000&lt;&gt;"")*('Team Lineups'!$C$2:$C$2000=$A9)*COUNTIFS('Team Lineups'!$K$2:$K$2000,'Team Lineups'!$K$2:$K$2000,'Team Lineups'!$C$2:$C$2000,I$1))</f>
        <v>36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13</v>
      </c>
      <c r="M9" cm="1">
        <f t="array" ref="M9">SUMPRODUCT(('Team Lineups'!$K$2:$K$2000&lt;&gt;"")*('Team Lineups'!$C$2:$C$2000=$A9)*COUNTIFS('Team Lineups'!$K$2:$K$2000,'Team Lineups'!$K$2:$K$2000,'Team Lineups'!$C$2:$C$2000,M$1))</f>
        <v>12</v>
      </c>
      <c r="N9" cm="1">
        <f t="array" ref="N9">SUMPRODUCT(('Team Lineups'!$K$2:$K$2000&lt;&gt;"")*('Team Lineups'!$C$2:$C$2000=$A9)*COUNTIFS('Team Lineups'!$K$2:$K$2000,'Team Lineups'!$K$2:$K$2000,'Team Lineups'!$C$2:$C$2000,N$1))</f>
        <v>8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8</v>
      </c>
      <c r="R9" cm="1">
        <f t="array" ref="R9">SUMPRODUCT(('Team Lineups'!$K$2:$K$2000&lt;&gt;"")*('Team Lineups'!$C$2:$C$2000=$A9)*COUNTIFS('Team Lineups'!$K$2:$K$2000,'Team Lineups'!$K$2:$K$2000,'Team Lineups'!$C$2:$C$2000,R$1))</f>
        <v>6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5</v>
      </c>
      <c r="AA9" cm="1">
        <f t="array" ref="AA9">SUMPRODUCT(('Team Lineups'!$K$2:$K$2000&lt;&gt;"")*('Team Lineups'!$C$2:$C$2000=$A9)*COUNTIFS('Team Lineups'!$K$2:$K$2000,'Team Lineups'!$K$2:$K$2000,'Team Lineups'!$C$2:$C$2000,AA$1))</f>
        <v>13</v>
      </c>
      <c r="AB9" cm="1">
        <f t="array" ref="AB9">SUMPRODUCT(('Team Lineups'!$K$2:$K$2000&lt;&gt;"")*('Team Lineups'!$C$2:$C$2000=$A9)*COUNTIFS('Team Lineups'!$K$2:$K$2000,'Team Lineups'!$K$2:$K$2000,'Team Lineups'!$C$2:$C$2000,AB$1))</f>
        <v>5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8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2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6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4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3</v>
      </c>
      <c r="AV9" cm="1">
        <f t="array" ref="AV9">SUMPRODUCT(('Team Lineups'!$K$2:$K$2000&lt;&gt;"")*('Team Lineups'!$C$2:$C$2000=$A9)*COUNTIFS('Team Lineups'!$K$2:$K$2000,'Team Lineups'!$K$2:$K$2000,'Team Lineups'!$C$2:$C$2000,AV$1))</f>
        <v>2</v>
      </c>
      <c r="AW9" cm="1">
        <f t="array" ref="AW9">SUMPRODUCT(('Team Lineups'!$K$2:$K$2000&lt;&gt;"")*('Team Lineups'!$C$2:$C$2000=$A9)*COUNTIFS('Team Lineups'!$K$2:$K$2000,'Team Lineups'!$K$2:$K$2000,'Team Lineups'!$C$2:$C$2000,AW$1))</f>
        <v>1</v>
      </c>
      <c r="AX9" cm="1">
        <f t="array" ref="AX9">SUMPRODUCT(('Team Lineups'!$K$2:$K$2000&lt;&gt;"")*('Team Lineups'!$C$2:$C$2000=$A9)*COUNTIFS('Team Lineups'!$K$2:$K$2000,'Team Lineups'!$K$2:$K$2000,'Team Lineups'!$C$2:$C$2000,AX$1))</f>
        <v>0</v>
      </c>
      <c r="AY9" cm="1">
        <f t="array" ref="AY9">SUMPRODUCT(('Team Lineups'!$K$2:$K$2000&lt;&gt;"")*('Team Lineups'!$C$2:$C$2000=$A9)*COUNTIFS('Team Lineups'!$K$2:$K$2000,'Team Lineups'!$K$2:$K$2000,'Team Lineups'!$C$2:$C$2000,AY$1))</f>
        <v>1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  <c r="AW10" cm="1">
        <f t="array" ref="AW10">SUMPRODUCT(('Team Lineups'!$K$2:$K$2000&lt;&gt;"")*('Team Lineups'!$C$2:$C$2000=$A10)*COUNTIFS('Team Lineups'!$K$2:$K$2000,'Team Lineups'!$K$2:$K$2000,'Team Lineups'!$C$2:$C$2000,AW$1))</f>
        <v>0</v>
      </c>
      <c r="AX10" cm="1">
        <f t="array" ref="AX10">SUMPRODUCT(('Team Lineups'!$K$2:$K$2000&lt;&gt;"")*('Team Lineups'!$C$2:$C$2000=$A10)*COUNTIFS('Team Lineups'!$K$2:$K$2000,'Team Lineups'!$K$2:$K$2000,'Team Lineups'!$C$2:$C$2000,AX$1))</f>
        <v>0</v>
      </c>
      <c r="AY10" cm="1">
        <f t="array" ref="AY10">SUMPRODUCT(('Team Lineups'!$K$2:$K$2000&lt;&gt;"")*('Team Lineups'!$C$2:$C$2000=$A10)*COUNTIFS('Team Lineups'!$K$2:$K$2000,'Team Lineups'!$K$2:$K$2000,'Team Lineups'!$C$2:$C$2000,AY$1))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  <c r="AW11" cm="1">
        <f t="array" ref="AW11">SUMPRODUCT(('Team Lineups'!$K$2:$K$2000&lt;&gt;"")*('Team Lineups'!$C$2:$C$2000=$A11)*COUNTIFS('Team Lineups'!$K$2:$K$2000,'Team Lineups'!$K$2:$K$2000,'Team Lineups'!$C$2:$C$2000,AW$1))</f>
        <v>0</v>
      </c>
      <c r="AX11" cm="1">
        <f t="array" ref="AX11">SUMPRODUCT(('Team Lineups'!$K$2:$K$2000&lt;&gt;"")*('Team Lineups'!$C$2:$C$2000=$A11)*COUNTIFS('Team Lineups'!$K$2:$K$2000,'Team Lineups'!$K$2:$K$2000,'Team Lineups'!$C$2:$C$2000,AX$1))</f>
        <v>0</v>
      </c>
      <c r="AY11" cm="1">
        <f t="array" ref="AY11">SUMPRODUCT(('Team Lineups'!$K$2:$K$2000&lt;&gt;"")*('Team Lineups'!$C$2:$C$2000=$A11)*COUNTIFS('Team Lineups'!$K$2:$K$2000,'Team Lineups'!$K$2:$K$2000,'Team Lineups'!$C$2:$C$2000,AY$1))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6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10</v>
      </c>
      <c r="E12" cm="1">
        <f t="array" ref="E12">SUMPRODUCT(('Team Lineups'!$K$2:$K$2000&lt;&gt;"")*('Team Lineups'!$C$2:$C$2000=$A12)*COUNTIFS('Team Lineups'!$K$2:$K$2000,'Team Lineups'!$K$2:$K$2000,'Team Lineups'!$C$2:$C$2000,E$1))</f>
        <v>7</v>
      </c>
      <c r="F12" cm="1">
        <f t="array" ref="F12">SUMPRODUCT(('Team Lineups'!$K$2:$K$2000&lt;&gt;"")*('Team Lineups'!$C$2:$C$2000=$A12)*COUNTIFS('Team Lineups'!$K$2:$K$2000,'Team Lineups'!$K$2:$K$2000,'Team Lineups'!$C$2:$C$2000,F$1))</f>
        <v>11</v>
      </c>
      <c r="G12" cm="1">
        <f t="array" ref="G12">SUMPRODUCT(('Team Lineups'!$K$2:$K$2000&lt;&gt;"")*('Team Lineups'!$C$2:$C$2000=$A12)*COUNTIFS('Team Lineups'!$K$2:$K$2000,'Team Lineups'!$K$2:$K$2000,'Team Lineups'!$C$2:$C$2000,G$1))</f>
        <v>10</v>
      </c>
      <c r="H12" cm="1">
        <f t="array" ref="H12">SUMPRODUCT(('Team Lineups'!$K$2:$K$2000&lt;&gt;"")*('Team Lineups'!$C$2:$C$2000=$A12)*COUNTIFS('Team Lineups'!$K$2:$K$2000,'Team Lineups'!$K$2:$K$2000,'Team Lineups'!$C$2:$C$2000,H$1))</f>
        <v>5</v>
      </c>
      <c r="I12" cm="1">
        <f t="array" ref="I12">SUMPRODUCT(('Team Lineups'!$K$2:$K$2000&lt;&gt;"")*('Team Lineups'!$C$2:$C$2000=$A12)*COUNTIFS('Team Lineups'!$K$2:$K$2000,'Team Lineups'!$K$2:$K$2000,'Team Lineups'!$C$2:$C$2000,I$1))</f>
        <v>13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37</v>
      </c>
      <c r="M12" cm="1">
        <f t="array" ref="M12">SUMPRODUCT(('Team Lineups'!$K$2:$K$2000&lt;&gt;"")*('Team Lineups'!$C$2:$C$2000=$A12)*COUNTIFS('Team Lineups'!$K$2:$K$2000,'Team Lineups'!$K$2:$K$2000,'Team Lineups'!$C$2:$C$2000,M$1))</f>
        <v>14</v>
      </c>
      <c r="N12" cm="1">
        <f t="array" ref="N12">SUMPRODUCT(('Team Lineups'!$K$2:$K$2000&lt;&gt;"")*('Team Lineups'!$C$2:$C$2000=$A12)*COUNTIFS('Team Lineups'!$K$2:$K$2000,'Team Lineups'!$K$2:$K$2000,'Team Lineups'!$C$2:$C$2000,N$1))</f>
        <v>11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13</v>
      </c>
      <c r="R12" cm="1">
        <f t="array" ref="R12">SUMPRODUCT(('Team Lineups'!$K$2:$K$2000&lt;&gt;"")*('Team Lineups'!$C$2:$C$2000=$A12)*COUNTIFS('Team Lineups'!$K$2:$K$2000,'Team Lineups'!$K$2:$K$2000,'Team Lineups'!$C$2:$C$2000,R$1))</f>
        <v>6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2</v>
      </c>
      <c r="AA12" cm="1">
        <f t="array" ref="AA12">SUMPRODUCT(('Team Lineups'!$K$2:$K$2000&lt;&gt;"")*('Team Lineups'!$C$2:$C$2000=$A12)*COUNTIFS('Team Lineups'!$K$2:$K$2000,'Team Lineups'!$K$2:$K$2000,'Team Lineups'!$C$2:$C$2000,AA$1))</f>
        <v>12</v>
      </c>
      <c r="AB12" cm="1">
        <f t="array" ref="AB12">SUMPRODUCT(('Team Lineups'!$K$2:$K$2000&lt;&gt;"")*('Team Lineups'!$C$2:$C$2000=$A12)*COUNTIFS('Team Lineups'!$K$2:$K$2000,'Team Lineups'!$K$2:$K$2000,'Team Lineups'!$C$2:$C$2000,AB$1))</f>
        <v>7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8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3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7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2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2</v>
      </c>
      <c r="AQ12" cm="1">
        <f t="array" ref="AQ12">SUMPRODUCT(('Team Lineups'!$K$2:$K$2000&lt;&gt;"")*('Team Lineups'!$C$2:$C$2000=$A12)*COUNTIFS('Team Lineups'!$K$2:$K$2000,'Team Lineups'!$K$2:$K$2000,'Team Lineups'!$C$2:$C$2000,AQ$1))</f>
        <v>5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1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  <c r="AW12" cm="1">
        <f t="array" ref="AW12">SUMPRODUCT(('Team Lineups'!$K$2:$K$2000&lt;&gt;"")*('Team Lineups'!$C$2:$C$2000=$A12)*COUNTIFS('Team Lineups'!$K$2:$K$2000,'Team Lineups'!$K$2:$K$2000,'Team Lineups'!$C$2:$C$2000,AW$1))</f>
        <v>1</v>
      </c>
      <c r="AX12" cm="1">
        <f t="array" ref="AX12">SUMPRODUCT(('Team Lineups'!$K$2:$K$2000&lt;&gt;"")*('Team Lineups'!$C$2:$C$2000=$A12)*COUNTIFS('Team Lineups'!$K$2:$K$2000,'Team Lineups'!$K$2:$K$2000,'Team Lineups'!$C$2:$C$2000,AX$1))</f>
        <v>0</v>
      </c>
      <c r="AY12" cm="1">
        <f t="array" ref="AY12">SUMPRODUCT(('Team Lineups'!$K$2:$K$2000&lt;&gt;"")*('Team Lineups'!$C$2:$C$2000=$A12)*COUNTIFS('Team Lineups'!$K$2:$K$2000,'Team Lineups'!$K$2:$K$2000,'Team Lineups'!$C$2:$C$2000,AY$1))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8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6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15</v>
      </c>
      <c r="H13" cm="1">
        <f t="array" ref="H13">SUMPRODUCT(('Team Lineups'!$K$2:$K$2000&lt;&gt;"")*('Team Lineups'!$C$2:$C$2000=$A13)*COUNTIFS('Team Lineups'!$K$2:$K$2000,'Team Lineups'!$K$2:$K$2000,'Team Lineups'!$C$2:$C$2000,H$1))</f>
        <v>10</v>
      </c>
      <c r="I13" cm="1">
        <f t="array" ref="I13">SUMPRODUCT(('Team Lineups'!$K$2:$K$2000&lt;&gt;"")*('Team Lineups'!$C$2:$C$2000=$A13)*COUNTIFS('Team Lineups'!$K$2:$K$2000,'Team Lineups'!$K$2:$K$2000,'Team Lineups'!$C$2:$C$2000,I$1))</f>
        <v>12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14</v>
      </c>
      <c r="M13" cm="1">
        <f t="array" ref="M13">SUMPRODUCT(('Team Lineups'!$K$2:$K$2000&lt;&gt;"")*('Team Lineups'!$C$2:$C$2000=$A13)*COUNTIFS('Team Lineups'!$K$2:$K$2000,'Team Lineups'!$K$2:$K$2000,'Team Lineups'!$C$2:$C$2000,M$1))</f>
        <v>37</v>
      </c>
      <c r="N13" cm="1">
        <f t="array" ref="N13">SUMPRODUCT(('Team Lineups'!$K$2:$K$2000&lt;&gt;"")*('Team Lineups'!$C$2:$C$2000=$A13)*COUNTIFS('Team Lineups'!$K$2:$K$2000,'Team Lineups'!$K$2:$K$2000,'Team Lineups'!$C$2:$C$2000,N$1))</f>
        <v>7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14</v>
      </c>
      <c r="R13" cm="1">
        <f t="array" ref="R13">SUMPRODUCT(('Team Lineups'!$K$2:$K$2000&lt;&gt;"")*('Team Lineups'!$C$2:$C$2000=$A13)*COUNTIFS('Team Lineups'!$K$2:$K$2000,'Team Lineups'!$K$2:$K$2000,'Team Lineups'!$C$2:$C$2000,R$1))</f>
        <v>11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7</v>
      </c>
      <c r="AA13" cm="1">
        <f t="array" ref="AA13">SUMPRODUCT(('Team Lineups'!$K$2:$K$2000&lt;&gt;"")*('Team Lineups'!$C$2:$C$2000=$A13)*COUNTIFS('Team Lineups'!$K$2:$K$2000,'Team Lineups'!$K$2:$K$2000,'Team Lineups'!$C$2:$C$2000,AA$1))</f>
        <v>11</v>
      </c>
      <c r="AB13" cm="1">
        <f t="array" ref="AB13">SUMPRODUCT(('Team Lineups'!$K$2:$K$2000&lt;&gt;"")*('Team Lineups'!$C$2:$C$2000=$A13)*COUNTIFS('Team Lineups'!$K$2:$K$2000,'Team Lineups'!$K$2:$K$2000,'Team Lineups'!$C$2:$C$2000,AB$1))</f>
        <v>3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7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3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3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8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4</v>
      </c>
      <c r="AQ13" cm="1">
        <f t="array" ref="AQ13">SUMPRODUCT(('Team Lineups'!$K$2:$K$2000&lt;&gt;"")*('Team Lineups'!$C$2:$C$2000=$A13)*COUNTIFS('Team Lineups'!$K$2:$K$2000,'Team Lineups'!$K$2:$K$2000,'Team Lineups'!$C$2:$C$2000,AQ$1))</f>
        <v>3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2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  <c r="AW13" cm="1">
        <f t="array" ref="AW13">SUMPRODUCT(('Team Lineups'!$K$2:$K$2000&lt;&gt;"")*('Team Lineups'!$C$2:$C$2000=$A13)*COUNTIFS('Team Lineups'!$K$2:$K$2000,'Team Lineups'!$K$2:$K$2000,'Team Lineups'!$C$2:$C$2000,AW$1))</f>
        <v>1</v>
      </c>
      <c r="AX13" cm="1">
        <f t="array" ref="AX13">SUMPRODUCT(('Team Lineups'!$K$2:$K$2000&lt;&gt;"")*('Team Lineups'!$C$2:$C$2000=$A13)*COUNTIFS('Team Lineups'!$K$2:$K$2000,'Team Lineups'!$K$2:$K$2000,'Team Lineups'!$C$2:$C$2000,AX$1))</f>
        <v>1</v>
      </c>
      <c r="AY13" cm="1">
        <f t="array" ref="AY13">SUMPRODUCT(('Team Lineups'!$K$2:$K$2000&lt;&gt;"")*('Team Lineups'!$C$2:$C$2000=$A13)*COUNTIFS('Team Lineups'!$K$2:$K$2000,'Team Lineups'!$K$2:$K$2000,'Team Lineups'!$C$2:$C$2000,AY$1))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9</v>
      </c>
      <c r="E14" cm="1">
        <f t="array" ref="E14">SUMPRODUCT(('Team Lineups'!$K$2:$K$2000&lt;&gt;"")*('Team Lineups'!$C$2:$C$2000=$A14)*COUNTIFS('Team Lineups'!$K$2:$K$2000,'Team Lineups'!$K$2:$K$2000,'Team Lineups'!$C$2:$C$2000,E$1))</f>
        <v>6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8</v>
      </c>
      <c r="H14" cm="1">
        <f t="array" ref="H14">SUMPRODUCT(('Team Lineups'!$K$2:$K$2000&lt;&gt;"")*('Team Lineups'!$C$2:$C$2000=$A14)*COUNTIFS('Team Lineups'!$K$2:$K$2000,'Team Lineups'!$K$2:$K$2000,'Team Lineups'!$C$2:$C$2000,H$1))</f>
        <v>7</v>
      </c>
      <c r="I14" cm="1">
        <f t="array" ref="I14">SUMPRODUCT(('Team Lineups'!$K$2:$K$2000&lt;&gt;"")*('Team Lineups'!$C$2:$C$2000=$A14)*COUNTIFS('Team Lineups'!$K$2:$K$2000,'Team Lineups'!$K$2:$K$2000,'Team Lineups'!$C$2:$C$2000,I$1))</f>
        <v>8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11</v>
      </c>
      <c r="M14" cm="1">
        <f t="array" ref="M14">SUMPRODUCT(('Team Lineups'!$K$2:$K$2000&lt;&gt;"")*('Team Lineups'!$C$2:$C$2000=$A14)*COUNTIFS('Team Lineups'!$K$2:$K$2000,'Team Lineups'!$K$2:$K$2000,'Team Lineups'!$C$2:$C$2000,M$1))</f>
        <v>7</v>
      </c>
      <c r="N14" cm="1">
        <f t="array" ref="N14">SUMPRODUCT(('Team Lineups'!$K$2:$K$2000&lt;&gt;"")*('Team Lineups'!$C$2:$C$2000=$A14)*COUNTIFS('Team Lineups'!$K$2:$K$2000,'Team Lineups'!$K$2:$K$2000,'Team Lineups'!$C$2:$C$2000,N$1))</f>
        <v>26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9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3</v>
      </c>
      <c r="AA14" cm="1">
        <f t="array" ref="AA14">SUMPRODUCT(('Team Lineups'!$K$2:$K$2000&lt;&gt;"")*('Team Lineups'!$C$2:$C$2000=$A14)*COUNTIFS('Team Lineups'!$K$2:$K$2000,'Team Lineups'!$K$2:$K$2000,'Team Lineups'!$C$2:$C$2000,AA$1))</f>
        <v>7</v>
      </c>
      <c r="AB14" cm="1">
        <f t="array" ref="AB14">SUMPRODUCT(('Team Lineups'!$K$2:$K$2000&lt;&gt;"")*('Team Lineups'!$C$2:$C$2000=$A14)*COUNTIFS('Team Lineups'!$K$2:$K$2000,'Team Lineups'!$K$2:$K$2000,'Team Lineups'!$C$2:$C$2000,AB$1))</f>
        <v>4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7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7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3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6</v>
      </c>
      <c r="AQ14" cm="1">
        <f t="array" ref="AQ14">SUMPRODUCT(('Team Lineups'!$K$2:$K$2000&lt;&gt;"")*('Team Lineups'!$C$2:$C$2000=$A14)*COUNTIFS('Team Lineups'!$K$2:$K$2000,'Team Lineups'!$K$2:$K$2000,'Team Lineups'!$C$2:$C$2000,AQ$1))</f>
        <v>3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1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  <c r="AW14" cm="1">
        <f t="array" ref="AW14">SUMPRODUCT(('Team Lineups'!$K$2:$K$2000&lt;&gt;"")*('Team Lineups'!$C$2:$C$2000=$A14)*COUNTIFS('Team Lineups'!$K$2:$K$2000,'Team Lineups'!$K$2:$K$2000,'Team Lineups'!$C$2:$C$2000,AW$1))</f>
        <v>0</v>
      </c>
      <c r="AX14" cm="1">
        <f t="array" ref="AX14">SUMPRODUCT(('Team Lineups'!$K$2:$K$2000&lt;&gt;"")*('Team Lineups'!$C$2:$C$2000=$A14)*COUNTIFS('Team Lineups'!$K$2:$K$2000,'Team Lineups'!$K$2:$K$2000,'Team Lineups'!$C$2:$C$2000,AX$1))</f>
        <v>0</v>
      </c>
      <c r="AY14" cm="1">
        <f t="array" ref="AY14">SUMPRODUCT(('Team Lineups'!$K$2:$K$2000&lt;&gt;"")*('Team Lineups'!$C$2:$C$2000=$A14)*COUNTIFS('Team Lineups'!$K$2:$K$2000,'Team Lineups'!$K$2:$K$2000,'Team Lineups'!$C$2:$C$2000,AY$1))</f>
        <v>1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2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6</v>
      </c>
      <c r="E15" cm="1">
        <f t="array" ref="E15">SUMPRODUCT(('Team Lineups'!$K$2:$K$2000&lt;&gt;"")*('Team Lineups'!$C$2:$C$2000=$A15)*COUNTIFS('Team Lineups'!$K$2:$K$2000,'Team Lineups'!$K$2:$K$2000,'Team Lineups'!$C$2:$C$2000,E$1))</f>
        <v>5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4</v>
      </c>
      <c r="H15" cm="1">
        <f t="array" ref="H15">SUMPRODUCT(('Team Lineups'!$K$2:$K$2000&lt;&gt;"")*('Team Lineups'!$C$2:$C$2000=$A15)*COUNTIFS('Team Lineups'!$K$2:$K$2000,'Team Lineups'!$K$2:$K$2000,'Team Lineups'!$C$2:$C$2000,H$1))</f>
        <v>6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18</v>
      </c>
      <c r="P15" cm="1">
        <f t="array" ref="P15">SUMPRODUCT(('Team Lineups'!$K$2:$K$2000&lt;&gt;"")*('Team Lineups'!$C$2:$C$2000=$A15)*COUNTIFS('Team Lineups'!$K$2:$K$2000,'Team Lineups'!$K$2:$K$2000,'Team Lineups'!$C$2:$C$2000,P$1))</f>
        <v>2</v>
      </c>
      <c r="Q15" cm="1">
        <f t="array" ref="Q15">SUMPRODUCT(('Team Lineups'!$K$2:$K$2000&lt;&gt;"")*('Team Lineups'!$C$2:$C$2000=$A15)*COUNTIFS('Team Lineups'!$K$2:$K$2000,'Team Lineups'!$K$2:$K$2000,'Team Lineups'!$C$2:$C$2000,Q$1))</f>
        <v>11</v>
      </c>
      <c r="R15" cm="1">
        <f t="array" ref="R15">SUMPRODUCT(('Team Lineups'!$K$2:$K$2000&lt;&gt;"")*('Team Lineups'!$C$2:$C$2000=$A15)*COUNTIFS('Team Lineups'!$K$2:$K$2000,'Team Lineups'!$K$2:$K$2000,'Team Lineups'!$C$2:$C$2000,R$1))</f>
        <v>2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3</v>
      </c>
      <c r="AA15" cm="1">
        <f t="array" ref="AA15">SUMPRODUCT(('Team Lineups'!$K$2:$K$2000&lt;&gt;"")*('Team Lineups'!$C$2:$C$2000=$A15)*COUNTIFS('Team Lineups'!$K$2:$K$2000,'Team Lineups'!$K$2:$K$2000,'Team Lineups'!$C$2:$C$2000,AA$1))</f>
        <v>5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4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2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4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2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2</v>
      </c>
      <c r="AQ15" cm="1">
        <f t="array" ref="AQ15">SUMPRODUCT(('Team Lineups'!$K$2:$K$2000&lt;&gt;"")*('Team Lineups'!$C$2:$C$2000=$A15)*COUNTIFS('Team Lineups'!$K$2:$K$2000,'Team Lineups'!$K$2:$K$2000,'Team Lineups'!$C$2:$C$2000,AQ$1))</f>
        <v>1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2</v>
      </c>
      <c r="AV15" cm="1">
        <f t="array" ref="AV15">SUMPRODUCT(('Team Lineups'!$K$2:$K$2000&lt;&gt;"")*('Team Lineups'!$C$2:$C$2000=$A15)*COUNTIFS('Team Lineups'!$K$2:$K$2000,'Team Lineups'!$K$2:$K$2000,'Team Lineups'!$C$2:$C$2000,AV$1))</f>
        <v>2</v>
      </c>
      <c r="AW15" cm="1">
        <f t="array" ref="AW15">SUMPRODUCT(('Team Lineups'!$K$2:$K$2000&lt;&gt;"")*('Team Lineups'!$C$2:$C$2000=$A15)*COUNTIFS('Team Lineups'!$K$2:$K$2000,'Team Lineups'!$K$2:$K$2000,'Team Lineups'!$C$2:$C$2000,AW$1))</f>
        <v>0</v>
      </c>
      <c r="AX15" cm="1">
        <f t="array" ref="AX15">SUMPRODUCT(('Team Lineups'!$K$2:$K$2000&lt;&gt;"")*('Team Lineups'!$C$2:$C$2000=$A15)*COUNTIFS('Team Lineups'!$K$2:$K$2000,'Team Lineups'!$K$2:$K$2000,'Team Lineups'!$C$2:$C$2000,AX$1))</f>
        <v>0</v>
      </c>
      <c r="AY15" cm="1">
        <f t="array" ref="AY15">SUMPRODUCT(('Team Lineups'!$K$2:$K$2000&lt;&gt;"")*('Team Lineups'!$C$2:$C$2000=$A15)*COUNTIFS('Team Lineups'!$K$2:$K$2000,'Team Lineups'!$K$2:$K$2000,'Team Lineups'!$C$2:$C$2000,AY$1))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1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3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3</v>
      </c>
      <c r="G16" cm="1">
        <f t="array" ref="G16">SUMPRODUCT(('Team Lineups'!$K$2:$K$2000&lt;&gt;"")*('Team Lineups'!$C$2:$C$2000=$A16)*COUNTIFS('Team Lineups'!$K$2:$K$2000,'Team Lineups'!$K$2:$K$2000,'Team Lineups'!$C$2:$C$2000,G$1))</f>
        <v>3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2</v>
      </c>
      <c r="P16" cm="1">
        <f t="array" ref="P16">SUMPRODUCT(('Team Lineups'!$K$2:$K$2000&lt;&gt;"")*('Team Lineups'!$C$2:$C$2000=$A16)*COUNTIFS('Team Lineups'!$K$2:$K$2000,'Team Lineups'!$K$2:$K$2000,'Team Lineups'!$C$2:$C$2000,P$1))</f>
        <v>6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4</v>
      </c>
      <c r="AB16" cm="1">
        <f t="array" ref="AB16">SUMPRODUCT(('Team Lineups'!$K$2:$K$2000&lt;&gt;"")*('Team Lineups'!$C$2:$C$2000=$A16)*COUNTIFS('Team Lineups'!$K$2:$K$2000,'Team Lineups'!$K$2:$K$2000,'Team Lineups'!$C$2:$C$2000,AB$1))</f>
        <v>1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1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1</v>
      </c>
      <c r="AV16" cm="1">
        <f t="array" ref="AV16">SUMPRODUCT(('Team Lineups'!$K$2:$K$2000&lt;&gt;"")*('Team Lineups'!$C$2:$C$2000=$A16)*COUNTIFS('Team Lineups'!$K$2:$K$2000,'Team Lineups'!$K$2:$K$2000,'Team Lineups'!$C$2:$C$2000,AV$1))</f>
        <v>1</v>
      </c>
      <c r="AW16" cm="1">
        <f t="array" ref="AW16">SUMPRODUCT(('Team Lineups'!$K$2:$K$2000&lt;&gt;"")*('Team Lineups'!$C$2:$C$2000=$A16)*COUNTIFS('Team Lineups'!$K$2:$K$2000,'Team Lineups'!$K$2:$K$2000,'Team Lineups'!$C$2:$C$2000,AW$1))</f>
        <v>0</v>
      </c>
      <c r="AX16" cm="1">
        <f t="array" ref="AX16">SUMPRODUCT(('Team Lineups'!$K$2:$K$2000&lt;&gt;"")*('Team Lineups'!$C$2:$C$2000=$A16)*COUNTIFS('Team Lineups'!$K$2:$K$2000,'Team Lineups'!$K$2:$K$2000,'Team Lineups'!$C$2:$C$2000,AX$1))</f>
        <v>0</v>
      </c>
      <c r="AY16" cm="1">
        <f t="array" ref="AY16">SUMPRODUCT(('Team Lineups'!$K$2:$K$2000&lt;&gt;"")*('Team Lineups'!$C$2:$C$2000=$A16)*COUNTIFS('Team Lineups'!$K$2:$K$2000,'Team Lineups'!$K$2:$K$2000,'Team Lineups'!$C$2:$C$2000,AY$1))</f>
        <v>0</v>
      </c>
    </row>
    <row r="17" spans="1:51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6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9</v>
      </c>
      <c r="E17" cm="1">
        <f t="array" ref="E17">SUMPRODUCT(('Team Lineups'!$K$2:$K$2000&lt;&gt;"")*('Team Lineups'!$C$2:$C$2000=$A17)*COUNTIFS('Team Lineups'!$K$2:$K$2000,'Team Lineups'!$K$2:$K$2000,'Team Lineups'!$C$2:$C$2000,E$1))</f>
        <v>9</v>
      </c>
      <c r="F17" cm="1">
        <f t="array" ref="F17">SUMPRODUCT(('Team Lineups'!$K$2:$K$2000&lt;&gt;"")*('Team Lineups'!$C$2:$C$2000=$A17)*COUNTIFS('Team Lineups'!$K$2:$K$2000,'Team Lineups'!$K$2:$K$2000,'Team Lineups'!$C$2:$C$2000,F$1))</f>
        <v>7</v>
      </c>
      <c r="G17" cm="1">
        <f t="array" ref="G17">SUMPRODUCT(('Team Lineups'!$K$2:$K$2000&lt;&gt;"")*('Team Lineups'!$C$2:$C$2000=$A17)*COUNTIFS('Team Lineups'!$K$2:$K$2000,'Team Lineups'!$K$2:$K$2000,'Team Lineups'!$C$2:$C$2000,G$1))</f>
        <v>11</v>
      </c>
      <c r="H17" cm="1">
        <f t="array" ref="H17">SUMPRODUCT(('Team Lineups'!$K$2:$K$2000&lt;&gt;"")*('Team Lineups'!$C$2:$C$2000=$A17)*COUNTIFS('Team Lineups'!$K$2:$K$2000,'Team Lineups'!$K$2:$K$2000,'Team Lineups'!$C$2:$C$2000,H$1))</f>
        <v>13</v>
      </c>
      <c r="I17" cm="1">
        <f t="array" ref="I17">SUMPRODUCT(('Team Lineups'!$K$2:$K$2000&lt;&gt;"")*('Team Lineups'!$C$2:$C$2000=$A17)*COUNTIFS('Team Lineups'!$K$2:$K$2000,'Team Lineups'!$K$2:$K$2000,'Team Lineups'!$C$2:$C$2000,I$1))</f>
        <v>8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13</v>
      </c>
      <c r="M17" cm="1">
        <f t="array" ref="M17">SUMPRODUCT(('Team Lineups'!$K$2:$K$2000&lt;&gt;"")*('Team Lineups'!$C$2:$C$2000=$A17)*COUNTIFS('Team Lineups'!$K$2:$K$2000,'Team Lineups'!$K$2:$K$2000,'Team Lineups'!$C$2:$C$2000,M$1))</f>
        <v>14</v>
      </c>
      <c r="N17" cm="1">
        <f t="array" ref="N17">SUMPRODUCT(('Team Lineups'!$K$2:$K$2000&lt;&gt;"")*('Team Lineups'!$C$2:$C$2000=$A17)*COUNTIFS('Team Lineups'!$K$2:$K$2000,'Team Lineups'!$K$2:$K$2000,'Team Lineups'!$C$2:$C$2000,N$1))</f>
        <v>9</v>
      </c>
      <c r="O17" cm="1">
        <f t="array" ref="O17">SUMPRODUCT(('Team Lineups'!$K$2:$K$2000&lt;&gt;"")*('Team Lineups'!$C$2:$C$2000=$A17)*COUNTIFS('Team Lineups'!$K$2:$K$2000,'Team Lineups'!$K$2:$K$2000,'Team Lineups'!$C$2:$C$2000,O$1))</f>
        <v>11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39</v>
      </c>
      <c r="R17" cm="1">
        <f t="array" ref="R17">SUMPRODUCT(('Team Lineups'!$K$2:$K$2000&lt;&gt;"")*('Team Lineups'!$C$2:$C$2000=$A17)*COUNTIFS('Team Lineups'!$K$2:$K$2000,'Team Lineups'!$K$2:$K$2000,'Team Lineups'!$C$2:$C$2000,R$1))</f>
        <v>5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7</v>
      </c>
      <c r="AA17" cm="1">
        <f t="array" ref="AA17">SUMPRODUCT(('Team Lineups'!$K$2:$K$2000&lt;&gt;"")*('Team Lineups'!$C$2:$C$2000=$A17)*COUNTIFS('Team Lineups'!$K$2:$K$2000,'Team Lineups'!$K$2:$K$2000,'Team Lineups'!$C$2:$C$2000,AA$1))</f>
        <v>5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5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4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7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7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5</v>
      </c>
      <c r="AQ17" cm="1">
        <f t="array" ref="AQ17">SUMPRODUCT(('Team Lineups'!$K$2:$K$2000&lt;&gt;"")*('Team Lineups'!$C$2:$C$2000=$A17)*COUNTIFS('Team Lineups'!$K$2:$K$2000,'Team Lineups'!$K$2:$K$2000,'Team Lineups'!$C$2:$C$2000,AQ$1))</f>
        <v>5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1</v>
      </c>
      <c r="AV17" cm="1">
        <f t="array" ref="AV17">SUMPRODUCT(('Team Lineups'!$K$2:$K$2000&lt;&gt;"")*('Team Lineups'!$C$2:$C$2000=$A17)*COUNTIFS('Team Lineups'!$K$2:$K$2000,'Team Lineups'!$K$2:$K$2000,'Team Lineups'!$C$2:$C$2000,AV$1))</f>
        <v>1</v>
      </c>
      <c r="AW17" cm="1">
        <f t="array" ref="AW17">SUMPRODUCT(('Team Lineups'!$K$2:$K$2000&lt;&gt;"")*('Team Lineups'!$C$2:$C$2000=$A17)*COUNTIFS('Team Lineups'!$K$2:$K$2000,'Team Lineups'!$K$2:$K$2000,'Team Lineups'!$C$2:$C$2000,AW$1))</f>
        <v>0</v>
      </c>
      <c r="AX17" cm="1">
        <f t="array" ref="AX17">SUMPRODUCT(('Team Lineups'!$K$2:$K$2000&lt;&gt;"")*('Team Lineups'!$C$2:$C$2000=$A17)*COUNTIFS('Team Lineups'!$K$2:$K$2000,'Team Lineups'!$K$2:$K$2000,'Team Lineups'!$C$2:$C$2000,AX$1))</f>
        <v>0</v>
      </c>
      <c r="AY17" cm="1">
        <f t="array" ref="AY17">SUMPRODUCT(('Team Lineups'!$K$2:$K$2000&lt;&gt;"")*('Team Lineups'!$C$2:$C$2000=$A17)*COUNTIFS('Team Lineups'!$K$2:$K$2000,'Team Lineups'!$K$2:$K$2000,'Team Lineups'!$C$2:$C$2000,AY$1))</f>
        <v>0</v>
      </c>
    </row>
    <row r="18" spans="1:51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6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10</v>
      </c>
      <c r="E18" cm="1">
        <f t="array" ref="E18">SUMPRODUCT(('Team Lineups'!$K$2:$K$2000&lt;&gt;"")*('Team Lineups'!$C$2:$C$2000=$A18)*COUNTIFS('Team Lineups'!$K$2:$K$2000,'Team Lineups'!$K$2:$K$2000,'Team Lineups'!$C$2:$C$2000,E$1))</f>
        <v>5</v>
      </c>
      <c r="F18" cm="1">
        <f t="array" ref="F18">SUMPRODUCT(('Team Lineups'!$K$2:$K$2000&lt;&gt;"")*('Team Lineups'!$C$2:$C$2000=$A18)*COUNTIFS('Team Lineups'!$K$2:$K$2000,'Team Lineups'!$K$2:$K$2000,'Team Lineups'!$C$2:$C$2000,F$1))</f>
        <v>10</v>
      </c>
      <c r="G18" cm="1">
        <f t="array" ref="G18">SUMPRODUCT(('Team Lineups'!$K$2:$K$2000&lt;&gt;"")*('Team Lineups'!$C$2:$C$2000=$A18)*COUNTIFS('Team Lineups'!$K$2:$K$2000,'Team Lineups'!$K$2:$K$2000,'Team Lineups'!$C$2:$C$2000,G$1))</f>
        <v>10</v>
      </c>
      <c r="H18" cm="1">
        <f t="array" ref="H18">SUMPRODUCT(('Team Lineups'!$K$2:$K$2000&lt;&gt;"")*('Team Lineups'!$C$2:$C$2000=$A18)*COUNTIFS('Team Lineups'!$K$2:$K$2000,'Team Lineups'!$K$2:$K$2000,'Team Lineups'!$C$2:$C$2000,H$1))</f>
        <v>8</v>
      </c>
      <c r="I18" cm="1">
        <f t="array" ref="I18">SUMPRODUCT(('Team Lineups'!$K$2:$K$2000&lt;&gt;"")*('Team Lineups'!$C$2:$C$2000=$A18)*COUNTIFS('Team Lineups'!$K$2:$K$2000,'Team Lineups'!$K$2:$K$2000,'Team Lineups'!$C$2:$C$2000,I$1))</f>
        <v>6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6</v>
      </c>
      <c r="M18" cm="1">
        <f t="array" ref="M18">SUMPRODUCT(('Team Lineups'!$K$2:$K$2000&lt;&gt;"")*('Team Lineups'!$C$2:$C$2000=$A18)*COUNTIFS('Team Lineups'!$K$2:$K$2000,'Team Lineups'!$K$2:$K$2000,'Team Lineups'!$C$2:$C$2000,M$1))</f>
        <v>11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2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5</v>
      </c>
      <c r="R18" cm="1">
        <f t="array" ref="R18">SUMPRODUCT(('Team Lineups'!$K$2:$K$2000&lt;&gt;"")*('Team Lineups'!$C$2:$C$2000=$A18)*COUNTIFS('Team Lineups'!$K$2:$K$2000,'Team Lineups'!$K$2:$K$2000,'Team Lineups'!$C$2:$C$2000,R$1))</f>
        <v>27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8</v>
      </c>
      <c r="AB18" cm="1">
        <f t="array" ref="AB18">SUMPRODUCT(('Team Lineups'!$K$2:$K$2000&lt;&gt;"")*('Team Lineups'!$C$2:$C$2000=$A18)*COUNTIFS('Team Lineups'!$K$2:$K$2000,'Team Lineups'!$K$2:$K$2000,'Team Lineups'!$C$2:$C$2000,AB$1))</f>
        <v>6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1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5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12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3</v>
      </c>
      <c r="AQ18" cm="1">
        <f t="array" ref="AQ18">SUMPRODUCT(('Team Lineups'!$K$2:$K$2000&lt;&gt;"")*('Team Lineups'!$C$2:$C$2000=$A18)*COUNTIFS('Team Lineups'!$K$2:$K$2000,'Team Lineups'!$K$2:$K$2000,'Team Lineups'!$C$2:$C$2000,AQ$1))</f>
        <v>2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2</v>
      </c>
      <c r="AW18" cm="1">
        <f t="array" ref="AW18">SUMPRODUCT(('Team Lineups'!$K$2:$K$2000&lt;&gt;"")*('Team Lineups'!$C$2:$C$2000=$A18)*COUNTIFS('Team Lineups'!$K$2:$K$2000,'Team Lineups'!$K$2:$K$2000,'Team Lineups'!$C$2:$C$2000,AW$1))</f>
        <v>0</v>
      </c>
      <c r="AX18" cm="1">
        <f t="array" ref="AX18">SUMPRODUCT(('Team Lineups'!$K$2:$K$2000&lt;&gt;"")*('Team Lineups'!$C$2:$C$2000=$A18)*COUNTIFS('Team Lineups'!$K$2:$K$2000,'Team Lineups'!$K$2:$K$2000,'Team Lineups'!$C$2:$C$2000,AX$1))</f>
        <v>1</v>
      </c>
      <c r="AY18" cm="1">
        <f t="array" ref="AY18">SUMPRODUCT(('Team Lineups'!$K$2:$K$2000&lt;&gt;"")*('Team Lineups'!$C$2:$C$2000=$A18)*COUNTIFS('Team Lineups'!$K$2:$K$2000,'Team Lineups'!$K$2:$K$2000,'Team Lineups'!$C$2:$C$2000,AY$1))</f>
        <v>0</v>
      </c>
    </row>
    <row r="19" spans="1:51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  <c r="AW19" cm="1">
        <f t="array" ref="AW19">SUMPRODUCT(('Team Lineups'!$K$2:$K$2000&lt;&gt;"")*('Team Lineups'!$C$2:$C$2000=$A19)*COUNTIFS('Team Lineups'!$K$2:$K$2000,'Team Lineups'!$K$2:$K$2000,'Team Lineups'!$C$2:$C$2000,AW$1))</f>
        <v>0</v>
      </c>
      <c r="AX19" cm="1">
        <f t="array" ref="AX19">SUMPRODUCT(('Team Lineups'!$K$2:$K$2000&lt;&gt;"")*('Team Lineups'!$C$2:$C$2000=$A19)*COUNTIFS('Team Lineups'!$K$2:$K$2000,'Team Lineups'!$K$2:$K$2000,'Team Lineups'!$C$2:$C$2000,AX$1))</f>
        <v>0</v>
      </c>
      <c r="AY19" cm="1">
        <f t="array" ref="AY19">SUMPRODUCT(('Team Lineups'!$K$2:$K$2000&lt;&gt;"")*('Team Lineups'!$C$2:$C$2000=$A19)*COUNTIFS('Team Lineups'!$K$2:$K$2000,'Team Lineups'!$K$2:$K$2000,'Team Lineups'!$C$2:$C$2000,AY$1))</f>
        <v>0</v>
      </c>
    </row>
    <row r="20" spans="1:51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  <c r="AW20" cm="1">
        <f t="array" ref="AW20">SUMPRODUCT(('Team Lineups'!$K$2:$K$2000&lt;&gt;"")*('Team Lineups'!$C$2:$C$2000=$A20)*COUNTIFS('Team Lineups'!$K$2:$K$2000,'Team Lineups'!$K$2:$K$2000,'Team Lineups'!$C$2:$C$2000,AW$1))</f>
        <v>0</v>
      </c>
      <c r="AX20" cm="1">
        <f t="array" ref="AX20">SUMPRODUCT(('Team Lineups'!$K$2:$K$2000&lt;&gt;"")*('Team Lineups'!$C$2:$C$2000=$A20)*COUNTIFS('Team Lineups'!$K$2:$K$2000,'Team Lineups'!$K$2:$K$2000,'Team Lineups'!$C$2:$C$2000,AX$1))</f>
        <v>0</v>
      </c>
      <c r="AY20" cm="1">
        <f t="array" ref="AY20">SUMPRODUCT(('Team Lineups'!$K$2:$K$2000&lt;&gt;"")*('Team Lineups'!$C$2:$C$2000=$A20)*COUNTIFS('Team Lineups'!$K$2:$K$2000,'Team Lineups'!$K$2:$K$2000,'Team Lineups'!$C$2:$C$2000,AY$1))</f>
        <v>0</v>
      </c>
    </row>
    <row r="21" spans="1:51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  <c r="AW21" cm="1">
        <f t="array" ref="AW21">SUMPRODUCT(('Team Lineups'!$K$2:$K$2000&lt;&gt;"")*('Team Lineups'!$C$2:$C$2000=$A21)*COUNTIFS('Team Lineups'!$K$2:$K$2000,'Team Lineups'!$K$2:$K$2000,'Team Lineups'!$C$2:$C$2000,AW$1))</f>
        <v>0</v>
      </c>
      <c r="AX21" cm="1">
        <f t="array" ref="AX21">SUMPRODUCT(('Team Lineups'!$K$2:$K$2000&lt;&gt;"")*('Team Lineups'!$C$2:$C$2000=$A21)*COUNTIFS('Team Lineups'!$K$2:$K$2000,'Team Lineups'!$K$2:$K$2000,'Team Lineups'!$C$2:$C$2000,AX$1))</f>
        <v>0</v>
      </c>
      <c r="AY21" cm="1">
        <f t="array" ref="AY21">SUMPRODUCT(('Team Lineups'!$K$2:$K$2000&lt;&gt;"")*('Team Lineups'!$C$2:$C$2000=$A21)*COUNTIFS('Team Lineups'!$K$2:$K$2000,'Team Lineups'!$K$2:$K$2000,'Team Lineups'!$C$2:$C$2000,AY$1))</f>
        <v>0</v>
      </c>
    </row>
    <row r="22" spans="1:51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  <c r="AW22" cm="1">
        <f t="array" ref="AW22">SUMPRODUCT(('Team Lineups'!$K$2:$K$2000&lt;&gt;"")*('Team Lineups'!$C$2:$C$2000=$A22)*COUNTIFS('Team Lineups'!$K$2:$K$2000,'Team Lineups'!$K$2:$K$2000,'Team Lineups'!$C$2:$C$2000,AW$1))</f>
        <v>0</v>
      </c>
      <c r="AX22" cm="1">
        <f t="array" ref="AX22">SUMPRODUCT(('Team Lineups'!$K$2:$K$2000&lt;&gt;"")*('Team Lineups'!$C$2:$C$2000=$A22)*COUNTIFS('Team Lineups'!$K$2:$K$2000,'Team Lineups'!$K$2:$K$2000,'Team Lineups'!$C$2:$C$2000,AX$1))</f>
        <v>0</v>
      </c>
      <c r="AY22" cm="1">
        <f t="array" ref="AY22">SUMPRODUCT(('Team Lineups'!$K$2:$K$2000&lt;&gt;"")*('Team Lineups'!$C$2:$C$2000=$A22)*COUNTIFS('Team Lineups'!$K$2:$K$2000,'Team Lineups'!$K$2:$K$2000,'Team Lineups'!$C$2:$C$2000,AY$1))</f>
        <v>0</v>
      </c>
    </row>
    <row r="23" spans="1:51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  <c r="AW23" cm="1">
        <f t="array" ref="AW23">SUMPRODUCT(('Team Lineups'!$K$2:$K$2000&lt;&gt;"")*('Team Lineups'!$C$2:$C$2000=$A23)*COUNTIFS('Team Lineups'!$K$2:$K$2000,'Team Lineups'!$K$2:$K$2000,'Team Lineups'!$C$2:$C$2000,AW$1))</f>
        <v>0</v>
      </c>
      <c r="AX23" cm="1">
        <f t="array" ref="AX23">SUMPRODUCT(('Team Lineups'!$K$2:$K$2000&lt;&gt;"")*('Team Lineups'!$C$2:$C$2000=$A23)*COUNTIFS('Team Lineups'!$K$2:$K$2000,'Team Lineups'!$K$2:$K$2000,'Team Lineups'!$C$2:$C$2000,AX$1))</f>
        <v>0</v>
      </c>
      <c r="AY23" cm="1">
        <f t="array" ref="AY23">SUMPRODUCT(('Team Lineups'!$K$2:$K$2000&lt;&gt;"")*('Team Lineups'!$C$2:$C$2000=$A23)*COUNTIFS('Team Lineups'!$K$2:$K$2000,'Team Lineups'!$K$2:$K$2000,'Team Lineups'!$C$2:$C$2000,AY$1))</f>
        <v>0</v>
      </c>
    </row>
    <row r="24" spans="1:51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  <c r="AW24" cm="1">
        <f t="array" ref="AW24">SUMPRODUCT(('Team Lineups'!$K$2:$K$2000&lt;&gt;"")*('Team Lineups'!$C$2:$C$2000=$A24)*COUNTIFS('Team Lineups'!$K$2:$K$2000,'Team Lineups'!$K$2:$K$2000,'Team Lineups'!$C$2:$C$2000,AW$1))</f>
        <v>0</v>
      </c>
      <c r="AX24" cm="1">
        <f t="array" ref="AX24">SUMPRODUCT(('Team Lineups'!$K$2:$K$2000&lt;&gt;"")*('Team Lineups'!$C$2:$C$2000=$A24)*COUNTIFS('Team Lineups'!$K$2:$K$2000,'Team Lineups'!$K$2:$K$2000,'Team Lineups'!$C$2:$C$2000,AX$1))</f>
        <v>0</v>
      </c>
      <c r="AY24" cm="1">
        <f t="array" ref="AY24">SUMPRODUCT(('Team Lineups'!$K$2:$K$2000&lt;&gt;"")*('Team Lineups'!$C$2:$C$2000=$A24)*COUNTIFS('Team Lineups'!$K$2:$K$2000,'Team Lineups'!$K$2:$K$2000,'Team Lineups'!$C$2:$C$2000,AY$1))</f>
        <v>0</v>
      </c>
    </row>
    <row r="25" spans="1:51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  <c r="AW25" cm="1">
        <f t="array" ref="AW25">SUMPRODUCT(('Team Lineups'!$K$2:$K$2000&lt;&gt;"")*('Team Lineups'!$C$2:$C$2000=$A25)*COUNTIFS('Team Lineups'!$K$2:$K$2000,'Team Lineups'!$K$2:$K$2000,'Team Lineups'!$C$2:$C$2000,AW$1))</f>
        <v>0</v>
      </c>
      <c r="AX25" cm="1">
        <f t="array" ref="AX25">SUMPRODUCT(('Team Lineups'!$K$2:$K$2000&lt;&gt;"")*('Team Lineups'!$C$2:$C$2000=$A25)*COUNTIFS('Team Lineups'!$K$2:$K$2000,'Team Lineups'!$K$2:$K$2000,'Team Lineups'!$C$2:$C$2000,AX$1))</f>
        <v>0</v>
      </c>
      <c r="AY25" cm="1">
        <f t="array" ref="AY25">SUMPRODUCT(('Team Lineups'!$K$2:$K$2000&lt;&gt;"")*('Team Lineups'!$C$2:$C$2000=$A25)*COUNTIFS('Team Lineups'!$K$2:$K$2000,'Team Lineups'!$K$2:$K$2000,'Team Lineups'!$C$2:$C$2000,AY$1))</f>
        <v>0</v>
      </c>
    </row>
    <row r="26" spans="1:51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3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3</v>
      </c>
      <c r="E26" cm="1">
        <f t="array" ref="E26">SUMPRODUCT(('Team Lineups'!$K$2:$K$2000&lt;&gt;"")*('Team Lineups'!$C$2:$C$2000=$A26)*COUNTIFS('Team Lineups'!$K$2:$K$2000,'Team Lineups'!$K$2:$K$2000,'Team Lineups'!$C$2:$C$2000,E$1))</f>
        <v>4</v>
      </c>
      <c r="F26" cm="1">
        <f t="array" ref="F26">SUMPRODUCT(('Team Lineups'!$K$2:$K$2000&lt;&gt;"")*('Team Lineups'!$C$2:$C$2000=$A26)*COUNTIFS('Team Lineups'!$K$2:$K$2000,'Team Lineups'!$K$2:$K$2000,'Team Lineups'!$C$2:$C$2000,F$1))</f>
        <v>3</v>
      </c>
      <c r="G26" cm="1">
        <f t="array" ref="G26">SUMPRODUCT(('Team Lineups'!$K$2:$K$2000&lt;&gt;"")*('Team Lineups'!$C$2:$C$2000=$A26)*COUNTIFS('Team Lineups'!$K$2:$K$2000,'Team Lineups'!$K$2:$K$2000,'Team Lineups'!$C$2:$C$2000,G$1))</f>
        <v>5</v>
      </c>
      <c r="H26" cm="1">
        <f t="array" ref="H26">SUMPRODUCT(('Team Lineups'!$K$2:$K$2000&lt;&gt;"")*('Team Lineups'!$C$2:$C$2000=$A26)*COUNTIFS('Team Lineups'!$K$2:$K$2000,'Team Lineups'!$K$2:$K$2000,'Team Lineups'!$C$2:$C$2000,H$1))</f>
        <v>6</v>
      </c>
      <c r="I26" cm="1">
        <f t="array" ref="I26">SUMPRODUCT(('Team Lineups'!$K$2:$K$2000&lt;&gt;"")*('Team Lineups'!$C$2:$C$2000=$A26)*COUNTIFS('Team Lineups'!$K$2:$K$2000,'Team Lineups'!$K$2:$K$2000,'Team Lineups'!$C$2:$C$2000,I$1))</f>
        <v>5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2</v>
      </c>
      <c r="M26" cm="1">
        <f t="array" ref="M26">SUMPRODUCT(('Team Lineups'!$K$2:$K$2000&lt;&gt;"")*('Team Lineups'!$C$2:$C$2000=$A26)*COUNTIFS('Team Lineups'!$K$2:$K$2000,'Team Lineups'!$K$2:$K$2000,'Team Lineups'!$C$2:$C$2000,M$1))</f>
        <v>7</v>
      </c>
      <c r="N26" cm="1">
        <f t="array" ref="N26">SUMPRODUCT(('Team Lineups'!$K$2:$K$2000&lt;&gt;"")*('Team Lineups'!$C$2:$C$2000=$A26)*COUNTIFS('Team Lineups'!$K$2:$K$2000,'Team Lineups'!$K$2:$K$2000,'Team Lineups'!$C$2:$C$2000,N$1))</f>
        <v>3</v>
      </c>
      <c r="O26" cm="1">
        <f t="array" ref="O26">SUMPRODUCT(('Team Lineups'!$K$2:$K$2000&lt;&gt;"")*('Team Lineups'!$C$2:$C$2000=$A26)*COUNTIFS('Team Lineups'!$K$2:$K$2000,'Team Lineups'!$K$2:$K$2000,'Team Lineups'!$C$2:$C$2000,O$1))</f>
        <v>3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7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16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3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1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7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3</v>
      </c>
      <c r="AQ26" cm="1">
        <f t="array" ref="AQ26">SUMPRODUCT(('Team Lineups'!$K$2:$K$2000&lt;&gt;"")*('Team Lineups'!$C$2:$C$2000=$A26)*COUNTIFS('Team Lineups'!$K$2:$K$2000,'Team Lineups'!$K$2:$K$2000,'Team Lineups'!$C$2:$C$2000,AQ$1))</f>
        <v>2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1</v>
      </c>
      <c r="AW26" cm="1">
        <f t="array" ref="AW26">SUMPRODUCT(('Team Lineups'!$K$2:$K$2000&lt;&gt;"")*('Team Lineups'!$C$2:$C$2000=$A26)*COUNTIFS('Team Lineups'!$K$2:$K$2000,'Team Lineups'!$K$2:$K$2000,'Team Lineups'!$C$2:$C$2000,AW$1))</f>
        <v>0</v>
      </c>
      <c r="AX26" cm="1">
        <f t="array" ref="AX26">SUMPRODUCT(('Team Lineups'!$K$2:$K$2000&lt;&gt;"")*('Team Lineups'!$C$2:$C$2000=$A26)*COUNTIFS('Team Lineups'!$K$2:$K$2000,'Team Lineups'!$K$2:$K$2000,'Team Lineups'!$C$2:$C$2000,AX$1))</f>
        <v>0</v>
      </c>
      <c r="AY26" cm="1">
        <f t="array" ref="AY26">SUMPRODUCT(('Team Lineups'!$K$2:$K$2000&lt;&gt;"")*('Team Lineups'!$C$2:$C$2000=$A26)*COUNTIFS('Team Lineups'!$K$2:$K$2000,'Team Lineups'!$K$2:$K$2000,'Team Lineups'!$C$2:$C$2000,AY$1))</f>
        <v>0</v>
      </c>
    </row>
    <row r="27" spans="1:51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9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5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9</v>
      </c>
      <c r="G27" cm="1">
        <f t="array" ref="G27">SUMPRODUCT(('Team Lineups'!$K$2:$K$2000&lt;&gt;"")*('Team Lineups'!$C$2:$C$2000=$A27)*COUNTIFS('Team Lineups'!$K$2:$K$2000,'Team Lineups'!$K$2:$K$2000,'Team Lineups'!$C$2:$C$2000,G$1))</f>
        <v>12</v>
      </c>
      <c r="H27" cm="1">
        <f t="array" ref="H27">SUMPRODUCT(('Team Lineups'!$K$2:$K$2000&lt;&gt;"")*('Team Lineups'!$C$2:$C$2000=$A27)*COUNTIFS('Team Lineups'!$K$2:$K$2000,'Team Lineups'!$K$2:$K$2000,'Team Lineups'!$C$2:$C$2000,H$1))</f>
        <v>6</v>
      </c>
      <c r="I27" cm="1">
        <f t="array" ref="I27">SUMPRODUCT(('Team Lineups'!$K$2:$K$2000&lt;&gt;"")*('Team Lineups'!$C$2:$C$2000=$A27)*COUNTIFS('Team Lineups'!$K$2:$K$2000,'Team Lineups'!$K$2:$K$2000,'Team Lineups'!$C$2:$C$2000,I$1))</f>
        <v>13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12</v>
      </c>
      <c r="M27" cm="1">
        <f t="array" ref="M27">SUMPRODUCT(('Team Lineups'!$K$2:$K$2000&lt;&gt;"")*('Team Lineups'!$C$2:$C$2000=$A27)*COUNTIFS('Team Lineups'!$K$2:$K$2000,'Team Lineups'!$K$2:$K$2000,'Team Lineups'!$C$2:$C$2000,M$1))</f>
        <v>11</v>
      </c>
      <c r="N27" cm="1">
        <f t="array" ref="N27">SUMPRODUCT(('Team Lineups'!$K$2:$K$2000&lt;&gt;"")*('Team Lineups'!$C$2:$C$2000=$A27)*COUNTIFS('Team Lineups'!$K$2:$K$2000,'Team Lineups'!$K$2:$K$2000,'Team Lineups'!$C$2:$C$2000,N$1))</f>
        <v>7</v>
      </c>
      <c r="O27" cm="1">
        <f t="array" ref="O27">SUMPRODUCT(('Team Lineups'!$K$2:$K$2000&lt;&gt;"")*('Team Lineups'!$C$2:$C$2000=$A27)*COUNTIFS('Team Lineups'!$K$2:$K$2000,'Team Lineups'!$K$2:$K$2000,'Team Lineups'!$C$2:$C$2000,O$1))</f>
        <v>5</v>
      </c>
      <c r="P27" cm="1">
        <f t="array" ref="P27">SUMPRODUCT(('Team Lineups'!$K$2:$K$2000&lt;&gt;"")*('Team Lineups'!$C$2:$C$2000=$A27)*COUNTIFS('Team Lineups'!$K$2:$K$2000,'Team Lineups'!$K$2:$K$2000,'Team Lineups'!$C$2:$C$2000,P$1))</f>
        <v>4</v>
      </c>
      <c r="Q27" cm="1">
        <f t="array" ref="Q27">SUMPRODUCT(('Team Lineups'!$K$2:$K$2000&lt;&gt;"")*('Team Lineups'!$C$2:$C$2000=$A27)*COUNTIFS('Team Lineups'!$K$2:$K$2000,'Team Lineups'!$K$2:$K$2000,'Team Lineups'!$C$2:$C$2000,Q$1))</f>
        <v>5</v>
      </c>
      <c r="R27" cm="1">
        <f t="array" ref="R27">SUMPRODUCT(('Team Lineups'!$K$2:$K$2000&lt;&gt;"")*('Team Lineups'!$C$2:$C$2000=$A27)*COUNTIFS('Team Lineups'!$K$2:$K$2000,'Team Lineups'!$K$2:$K$2000,'Team Lineups'!$C$2:$C$2000,R$1))</f>
        <v>8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33</v>
      </c>
      <c r="AB27" cm="1">
        <f t="array" ref="AB27">SUMPRODUCT(('Team Lineups'!$K$2:$K$2000&lt;&gt;"")*('Team Lineups'!$C$2:$C$2000=$A27)*COUNTIFS('Team Lineups'!$K$2:$K$2000,'Team Lineups'!$K$2:$K$2000,'Team Lineups'!$C$2:$C$2000,AB$1))</f>
        <v>10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5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10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3</v>
      </c>
      <c r="AQ27" cm="1">
        <f t="array" ref="AQ27">SUMPRODUCT(('Team Lineups'!$K$2:$K$2000&lt;&gt;"")*('Team Lineups'!$C$2:$C$2000=$A27)*COUNTIFS('Team Lineups'!$K$2:$K$2000,'Team Lineups'!$K$2:$K$2000,'Team Lineups'!$C$2:$C$2000,AQ$1))</f>
        <v>2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4</v>
      </c>
      <c r="AV27" cm="1">
        <f t="array" ref="AV27">SUMPRODUCT(('Team Lineups'!$K$2:$K$2000&lt;&gt;"")*('Team Lineups'!$C$2:$C$2000=$A27)*COUNTIFS('Team Lineups'!$K$2:$K$2000,'Team Lineups'!$K$2:$K$2000,'Team Lineups'!$C$2:$C$2000,AV$1))</f>
        <v>1</v>
      </c>
      <c r="AW27" cm="1">
        <f t="array" ref="AW27">SUMPRODUCT(('Team Lineups'!$K$2:$K$2000&lt;&gt;"")*('Team Lineups'!$C$2:$C$2000=$A27)*COUNTIFS('Team Lineups'!$K$2:$K$2000,'Team Lineups'!$K$2:$K$2000,'Team Lineups'!$C$2:$C$2000,AW$1))</f>
        <v>1</v>
      </c>
      <c r="AX27" cm="1">
        <f t="array" ref="AX27">SUMPRODUCT(('Team Lineups'!$K$2:$K$2000&lt;&gt;"")*('Team Lineups'!$C$2:$C$2000=$A27)*COUNTIFS('Team Lineups'!$K$2:$K$2000,'Team Lineups'!$K$2:$K$2000,'Team Lineups'!$C$2:$C$2000,AX$1))</f>
        <v>0</v>
      </c>
      <c r="AY27" cm="1">
        <f t="array" ref="AY27">SUMPRODUCT(('Team Lineups'!$K$2:$K$2000&lt;&gt;"")*('Team Lineups'!$C$2:$C$2000=$A27)*COUNTIFS('Team Lineups'!$K$2:$K$2000,'Team Lineups'!$K$2:$K$2000,'Team Lineups'!$C$2:$C$2000,AY$1))</f>
        <v>1</v>
      </c>
    </row>
    <row r="28" spans="1:51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3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5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9</v>
      </c>
      <c r="I28" cm="1">
        <f t="array" ref="I28">SUMPRODUCT(('Team Lineups'!$K$2:$K$2000&lt;&gt;"")*('Team Lineups'!$C$2:$C$2000=$A28)*COUNTIFS('Team Lineups'!$K$2:$K$2000,'Team Lineups'!$K$2:$K$2000,'Team Lineups'!$C$2:$C$2000,I$1))</f>
        <v>5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7</v>
      </c>
      <c r="M28" cm="1">
        <f t="array" ref="M28">SUMPRODUCT(('Team Lineups'!$K$2:$K$2000&lt;&gt;"")*('Team Lineups'!$C$2:$C$2000=$A28)*COUNTIFS('Team Lineups'!$K$2:$K$2000,'Team Lineups'!$K$2:$K$2000,'Team Lineups'!$C$2:$C$2000,M$1))</f>
        <v>3</v>
      </c>
      <c r="N28" cm="1">
        <f t="array" ref="N28">SUMPRODUCT(('Team Lineups'!$K$2:$K$2000&lt;&gt;"")*('Team Lineups'!$C$2:$C$2000=$A28)*COUNTIFS('Team Lineups'!$K$2:$K$2000,'Team Lineups'!$K$2:$K$2000,'Team Lineups'!$C$2:$C$2000,N$1))</f>
        <v>4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1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6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10</v>
      </c>
      <c r="AB28" cm="1">
        <f t="array" ref="AB28">SUMPRODUCT(('Team Lineups'!$K$2:$K$2000&lt;&gt;"")*('Team Lineups'!$C$2:$C$2000=$A28)*COUNTIFS('Team Lineups'!$K$2:$K$2000,'Team Lineups'!$K$2:$K$2000,'Team Lineups'!$C$2:$C$2000,AB$1))</f>
        <v>22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6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  <c r="AW28" cm="1">
        <f t="array" ref="AW28">SUMPRODUCT(('Team Lineups'!$K$2:$K$2000&lt;&gt;"")*('Team Lineups'!$C$2:$C$2000=$A28)*COUNTIFS('Team Lineups'!$K$2:$K$2000,'Team Lineups'!$K$2:$K$2000,'Team Lineups'!$C$2:$C$2000,AW$1))</f>
        <v>0</v>
      </c>
      <c r="AX28" cm="1">
        <f t="array" ref="AX28">SUMPRODUCT(('Team Lineups'!$K$2:$K$2000&lt;&gt;"")*('Team Lineups'!$C$2:$C$2000=$A28)*COUNTIFS('Team Lineups'!$K$2:$K$2000,'Team Lineups'!$K$2:$K$2000,'Team Lineups'!$C$2:$C$2000,AX$1))</f>
        <v>0</v>
      </c>
      <c r="AY28" cm="1">
        <f t="array" ref="AY28">SUMPRODUCT(('Team Lineups'!$K$2:$K$2000&lt;&gt;"")*('Team Lineups'!$C$2:$C$2000=$A28)*COUNTIFS('Team Lineups'!$K$2:$K$2000,'Team Lineups'!$K$2:$K$2000,'Team Lineups'!$C$2:$C$2000,AY$1))</f>
        <v>1</v>
      </c>
    </row>
    <row r="29" spans="1:51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  <c r="AW29" cm="1">
        <f t="array" ref="AW29">SUMPRODUCT(('Team Lineups'!$K$2:$K$2000&lt;&gt;"")*('Team Lineups'!$C$2:$C$2000=$A29)*COUNTIFS('Team Lineups'!$K$2:$K$2000,'Team Lineups'!$K$2:$K$2000,'Team Lineups'!$C$2:$C$2000,AW$1))</f>
        <v>0</v>
      </c>
      <c r="AX29" cm="1">
        <f t="array" ref="AX29">SUMPRODUCT(('Team Lineups'!$K$2:$K$2000&lt;&gt;"")*('Team Lineups'!$C$2:$C$2000=$A29)*COUNTIFS('Team Lineups'!$K$2:$K$2000,'Team Lineups'!$K$2:$K$2000,'Team Lineups'!$C$2:$C$2000,AX$1))</f>
        <v>0</v>
      </c>
      <c r="AY29" cm="1">
        <f t="array" ref="AY29">SUMPRODUCT(('Team Lineups'!$K$2:$K$2000&lt;&gt;"")*('Team Lineups'!$C$2:$C$2000=$A29)*COUNTIFS('Team Lineups'!$K$2:$K$2000,'Team Lineups'!$K$2:$K$2000,'Team Lineups'!$C$2:$C$2000,AY$1))</f>
        <v>0</v>
      </c>
    </row>
    <row r="30" spans="1:51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3</v>
      </c>
      <c r="F30" cm="1">
        <f t="array" ref="F30">SUMPRODUCT(('Team Lineups'!$K$2:$K$2000&lt;&gt;"")*('Team Lineups'!$C$2:$C$2000=$A30)*COUNTIFS('Team Lineups'!$K$2:$K$2000,'Team Lineups'!$K$2:$K$2000,'Team Lineups'!$C$2:$C$2000,F$1))</f>
        <v>2</v>
      </c>
      <c r="G30" cm="1">
        <f t="array" ref="G30">SUMPRODUCT(('Team Lineups'!$K$2:$K$2000&lt;&gt;"")*('Team Lineups'!$C$2:$C$2000=$A30)*COUNTIFS('Team Lineups'!$K$2:$K$2000,'Team Lineups'!$K$2:$K$2000,'Team Lineups'!$C$2:$C$2000,G$1))</f>
        <v>9</v>
      </c>
      <c r="H30" cm="1">
        <f t="array" ref="H30">SUMPRODUCT(('Team Lineups'!$K$2:$K$2000&lt;&gt;"")*('Team Lineups'!$C$2:$C$2000=$A30)*COUNTIFS('Team Lineups'!$K$2:$K$2000,'Team Lineups'!$K$2:$K$2000,'Team Lineups'!$C$2:$C$2000,H$1))</f>
        <v>7</v>
      </c>
      <c r="I30" cm="1">
        <f t="array" ref="I30">SUMPRODUCT(('Team Lineups'!$K$2:$K$2000&lt;&gt;"")*('Team Lineups'!$C$2:$C$2000=$A30)*COUNTIFS('Team Lineups'!$K$2:$K$2000,'Team Lineups'!$K$2:$K$2000,'Team Lineups'!$C$2:$C$2000,I$1))</f>
        <v>8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8</v>
      </c>
      <c r="M30" cm="1">
        <f t="array" ref="M30">SUMPRODUCT(('Team Lineups'!$K$2:$K$2000&lt;&gt;"")*('Team Lineups'!$C$2:$C$2000=$A30)*COUNTIFS('Team Lineups'!$K$2:$K$2000,'Team Lineups'!$K$2:$K$2000,'Team Lineups'!$C$2:$C$2000,M$1))</f>
        <v>7</v>
      </c>
      <c r="N30" cm="1">
        <f t="array" ref="N30">SUMPRODUCT(('Team Lineups'!$K$2:$K$2000&lt;&gt;"")*('Team Lineups'!$C$2:$C$2000=$A30)*COUNTIFS('Team Lineups'!$K$2:$K$2000,'Team Lineups'!$K$2:$K$2000,'Team Lineups'!$C$2:$C$2000,N$1))</f>
        <v>7</v>
      </c>
      <c r="O30" cm="1">
        <f t="array" ref="O30">SUMPRODUCT(('Team Lineups'!$K$2:$K$2000&lt;&gt;"")*('Team Lineups'!$C$2:$C$2000=$A30)*COUNTIFS('Team Lineups'!$K$2:$K$2000,'Team Lineups'!$K$2:$K$2000,'Team Lineups'!$C$2:$C$2000,O$1))</f>
        <v>4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5</v>
      </c>
      <c r="R30" cm="1">
        <f t="array" ref="R30">SUMPRODUCT(('Team Lineups'!$K$2:$K$2000&lt;&gt;"")*('Team Lineups'!$C$2:$C$2000=$A30)*COUNTIFS('Team Lineups'!$K$2:$K$2000,'Team Lineups'!$K$2:$K$2000,'Team Lineups'!$C$2:$C$2000,R$1))</f>
        <v>1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3</v>
      </c>
      <c r="AA30" cm="1">
        <f t="array" ref="AA30">SUMPRODUCT(('Team Lineups'!$K$2:$K$2000&lt;&gt;"")*('Team Lineups'!$C$2:$C$2000=$A30)*COUNTIFS('Team Lineups'!$K$2:$K$2000,'Team Lineups'!$K$2:$K$2000,'Team Lineups'!$C$2:$C$2000,AA$1))</f>
        <v>5</v>
      </c>
      <c r="AB30" cm="1">
        <f t="array" ref="AB30">SUMPRODUCT(('Team Lineups'!$K$2:$K$2000&lt;&gt;"")*('Team Lineups'!$C$2:$C$2000=$A30)*COUNTIFS('Team Lineups'!$K$2:$K$2000,'Team Lineups'!$K$2:$K$2000,'Team Lineups'!$C$2:$C$2000,AB$1))</f>
        <v>6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22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2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4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5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7</v>
      </c>
      <c r="AQ30" cm="1">
        <f t="array" ref="AQ30">SUMPRODUCT(('Team Lineups'!$K$2:$K$2000&lt;&gt;"")*('Team Lineups'!$C$2:$C$2000=$A30)*COUNTIFS('Team Lineups'!$K$2:$K$2000,'Team Lineups'!$K$2:$K$2000,'Team Lineups'!$C$2:$C$2000,AQ$1))</f>
        <v>3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1</v>
      </c>
      <c r="AV30" cm="1">
        <f t="array" ref="AV30">SUMPRODUCT(('Team Lineups'!$K$2:$K$2000&lt;&gt;"")*('Team Lineups'!$C$2:$C$2000=$A30)*COUNTIFS('Team Lineups'!$K$2:$K$2000,'Team Lineups'!$K$2:$K$2000,'Team Lineups'!$C$2:$C$2000,AV$1))</f>
        <v>3</v>
      </c>
      <c r="AW30" cm="1">
        <f t="array" ref="AW30">SUMPRODUCT(('Team Lineups'!$K$2:$K$2000&lt;&gt;"")*('Team Lineups'!$C$2:$C$2000=$A30)*COUNTIFS('Team Lineups'!$K$2:$K$2000,'Team Lineups'!$K$2:$K$2000,'Team Lineups'!$C$2:$C$2000,AW$1))</f>
        <v>0</v>
      </c>
      <c r="AX30" cm="1">
        <f t="array" ref="AX30">SUMPRODUCT(('Team Lineups'!$K$2:$K$2000&lt;&gt;"")*('Team Lineups'!$C$2:$C$2000=$A30)*COUNTIFS('Team Lineups'!$K$2:$K$2000,'Team Lineups'!$K$2:$K$2000,'Team Lineups'!$C$2:$C$2000,AX$1))</f>
        <v>0</v>
      </c>
      <c r="AY30" cm="1">
        <f t="array" ref="AY30">SUMPRODUCT(('Team Lineups'!$K$2:$K$2000&lt;&gt;"")*('Team Lineups'!$C$2:$C$2000=$A30)*COUNTIFS('Team Lineups'!$K$2:$K$2000,'Team Lineups'!$K$2:$K$2000,'Team Lineups'!$C$2:$C$2000,AY$1))</f>
        <v>1</v>
      </c>
    </row>
    <row r="31" spans="1:51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  <c r="AW31" cm="1">
        <f t="array" ref="AW31">SUMPRODUCT(('Team Lineups'!$K$2:$K$2000&lt;&gt;"")*('Team Lineups'!$C$2:$C$2000=$A31)*COUNTIFS('Team Lineups'!$K$2:$K$2000,'Team Lineups'!$K$2:$K$2000,'Team Lineups'!$C$2:$C$2000,AW$1))</f>
        <v>0</v>
      </c>
      <c r="AX31" cm="1">
        <f t="array" ref="AX31">SUMPRODUCT(('Team Lineups'!$K$2:$K$2000&lt;&gt;"")*('Team Lineups'!$C$2:$C$2000=$A31)*COUNTIFS('Team Lineups'!$K$2:$K$2000,'Team Lineups'!$K$2:$K$2000,'Team Lineups'!$C$2:$C$2000,AX$1))</f>
        <v>0</v>
      </c>
      <c r="AY31" cm="1">
        <f t="array" ref="AY31">SUMPRODUCT(('Team Lineups'!$K$2:$K$2000&lt;&gt;"")*('Team Lineups'!$C$2:$C$2000=$A31)*COUNTIFS('Team Lineups'!$K$2:$K$2000,'Team Lineups'!$K$2:$K$2000,'Team Lineups'!$C$2:$C$2000,AY$1))</f>
        <v>0</v>
      </c>
    </row>
    <row r="32" spans="1:51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  <c r="AW32" cm="1">
        <f t="array" ref="AW32">SUMPRODUCT(('Team Lineups'!$K$2:$K$2000&lt;&gt;"")*('Team Lineups'!$C$2:$C$2000=$A32)*COUNTIFS('Team Lineups'!$K$2:$K$2000,'Team Lineups'!$K$2:$K$2000,'Team Lineups'!$C$2:$C$2000,AW$1))</f>
        <v>0</v>
      </c>
      <c r="AX32" cm="1">
        <f t="array" ref="AX32">SUMPRODUCT(('Team Lineups'!$K$2:$K$2000&lt;&gt;"")*('Team Lineups'!$C$2:$C$2000=$A32)*COUNTIFS('Team Lineups'!$K$2:$K$2000,'Team Lineups'!$K$2:$K$2000,'Team Lineups'!$C$2:$C$2000,AX$1))</f>
        <v>0</v>
      </c>
      <c r="AY32" cm="1">
        <f t="array" ref="AY32">SUMPRODUCT(('Team Lineups'!$K$2:$K$2000&lt;&gt;"")*('Team Lineups'!$C$2:$C$2000=$A32)*COUNTIFS('Team Lineups'!$K$2:$K$2000,'Team Lineups'!$K$2:$K$2000,'Team Lineups'!$C$2:$C$2000,AY$1))</f>
        <v>0</v>
      </c>
    </row>
    <row r="33" spans="1:51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5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4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2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3</v>
      </c>
      <c r="M33" cm="1">
        <f t="array" ref="M33">SUMPRODUCT(('Team Lineups'!$K$2:$K$2000&lt;&gt;"")*('Team Lineups'!$C$2:$C$2000=$A33)*COUNTIFS('Team Lineups'!$K$2:$K$2000,'Team Lineups'!$K$2:$K$2000,'Team Lineups'!$C$2:$C$2000,M$1))</f>
        <v>3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2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4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2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13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2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5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1</v>
      </c>
      <c r="AV33" cm="1">
        <f t="array" ref="AV33">SUMPRODUCT(('Team Lineups'!$K$2:$K$2000&lt;&gt;"")*('Team Lineups'!$C$2:$C$2000=$A33)*COUNTIFS('Team Lineups'!$K$2:$K$2000,'Team Lineups'!$K$2:$K$2000,'Team Lineups'!$C$2:$C$2000,AV$1))</f>
        <v>1</v>
      </c>
      <c r="AW33" cm="1">
        <f t="array" ref="AW33">SUMPRODUCT(('Team Lineups'!$K$2:$K$2000&lt;&gt;"")*('Team Lineups'!$C$2:$C$2000=$A33)*COUNTIFS('Team Lineups'!$K$2:$K$2000,'Team Lineups'!$K$2:$K$2000,'Team Lineups'!$C$2:$C$2000,AW$1))</f>
        <v>0</v>
      </c>
      <c r="AX33" cm="1">
        <f t="array" ref="AX33">SUMPRODUCT(('Team Lineups'!$K$2:$K$2000&lt;&gt;"")*('Team Lineups'!$C$2:$C$2000=$A33)*COUNTIFS('Team Lineups'!$K$2:$K$2000,'Team Lineups'!$K$2:$K$2000,'Team Lineups'!$C$2:$C$2000,AX$1))</f>
        <v>0</v>
      </c>
      <c r="AY33" cm="1">
        <f t="array" ref="AY33">SUMPRODUCT(('Team Lineups'!$K$2:$K$2000&lt;&gt;"")*('Team Lineups'!$C$2:$C$2000=$A33)*COUNTIFS('Team Lineups'!$K$2:$K$2000,'Team Lineups'!$K$2:$K$2000,'Team Lineups'!$C$2:$C$2000,AY$1))</f>
        <v>0</v>
      </c>
    </row>
    <row r="34" spans="1:51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  <c r="AW34" cm="1">
        <f t="array" ref="AW34">SUMPRODUCT(('Team Lineups'!$K$2:$K$2000&lt;&gt;"")*('Team Lineups'!$C$2:$C$2000=$A34)*COUNTIFS('Team Lineups'!$K$2:$K$2000,'Team Lineups'!$K$2:$K$2000,'Team Lineups'!$C$2:$C$2000,AW$1))</f>
        <v>0</v>
      </c>
      <c r="AX34" cm="1">
        <f t="array" ref="AX34">SUMPRODUCT(('Team Lineups'!$K$2:$K$2000&lt;&gt;"")*('Team Lineups'!$C$2:$C$2000=$A34)*COUNTIFS('Team Lineups'!$K$2:$K$2000,'Team Lineups'!$K$2:$K$2000,'Team Lineups'!$C$2:$C$2000,AX$1))</f>
        <v>0</v>
      </c>
      <c r="AY34" cm="1">
        <f t="array" ref="AY34">SUMPRODUCT(('Team Lineups'!$K$2:$K$2000&lt;&gt;"")*('Team Lineups'!$C$2:$C$2000=$A34)*COUNTIFS('Team Lineups'!$K$2:$K$2000,'Team Lineups'!$K$2:$K$2000,'Team Lineups'!$C$2:$C$2000,AY$1))</f>
        <v>0</v>
      </c>
    </row>
    <row r="35" spans="1:51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  <c r="AW35" cm="1">
        <f t="array" ref="AW35">SUMPRODUCT(('Team Lineups'!$K$2:$K$2000&lt;&gt;"")*('Team Lineups'!$C$2:$C$2000=$A35)*COUNTIFS('Team Lineups'!$K$2:$K$2000,'Team Lineups'!$K$2:$K$2000,'Team Lineups'!$C$2:$C$2000,AW$1))</f>
        <v>0</v>
      </c>
      <c r="AX35" cm="1">
        <f t="array" ref="AX35">SUMPRODUCT(('Team Lineups'!$K$2:$K$2000&lt;&gt;"")*('Team Lineups'!$C$2:$C$2000=$A35)*COUNTIFS('Team Lineups'!$K$2:$K$2000,'Team Lineups'!$K$2:$K$2000,'Team Lineups'!$C$2:$C$2000,AX$1))</f>
        <v>0</v>
      </c>
      <c r="AY35" cm="1">
        <f t="array" ref="AY35">SUMPRODUCT(('Team Lineups'!$K$2:$K$2000&lt;&gt;"")*('Team Lineups'!$C$2:$C$2000=$A35)*COUNTIFS('Team Lineups'!$K$2:$K$2000,'Team Lineups'!$K$2:$K$2000,'Team Lineups'!$C$2:$C$2000,AY$1))</f>
        <v>0</v>
      </c>
    </row>
    <row r="36" spans="1:51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8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7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6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7</v>
      </c>
      <c r="M36" cm="1">
        <f t="array" ref="M36">SUMPRODUCT(('Team Lineups'!$K$2:$K$2000&lt;&gt;"")*('Team Lineups'!$C$2:$C$2000=$A36)*COUNTIFS('Team Lineups'!$K$2:$K$2000,'Team Lineups'!$K$2:$K$2000,'Team Lineups'!$C$2:$C$2000,M$1))</f>
        <v>3</v>
      </c>
      <c r="N36" cm="1">
        <f t="array" ref="N36">SUMPRODUCT(('Team Lineups'!$K$2:$K$2000&lt;&gt;"")*('Team Lineups'!$C$2:$C$2000=$A36)*COUNTIFS('Team Lineups'!$K$2:$K$2000,'Team Lineups'!$K$2:$K$2000,'Team Lineups'!$C$2:$C$2000,N$1))</f>
        <v>7</v>
      </c>
      <c r="O36" cm="1">
        <f t="array" ref="O36">SUMPRODUCT(('Team Lineups'!$K$2:$K$2000&lt;&gt;"")*('Team Lineups'!$C$2:$C$2000=$A36)*COUNTIFS('Team Lineups'!$K$2:$K$2000,'Team Lineups'!$K$2:$K$2000,'Team Lineups'!$C$2:$C$2000,O$1))</f>
        <v>4</v>
      </c>
      <c r="P36" cm="1">
        <f t="array" ref="P36">SUMPRODUCT(('Team Lineups'!$K$2:$K$2000&lt;&gt;"")*('Team Lineups'!$C$2:$C$2000=$A36)*COUNTIFS('Team Lineups'!$K$2:$K$2000,'Team Lineups'!$K$2:$K$2000,'Team Lineups'!$C$2:$C$2000,P$1))</f>
        <v>1</v>
      </c>
      <c r="Q36" cm="1">
        <f t="array" ref="Q36">SUMPRODUCT(('Team Lineups'!$K$2:$K$2000&lt;&gt;"")*('Team Lineups'!$C$2:$C$2000=$A36)*COUNTIFS('Team Lineups'!$K$2:$K$2000,'Team Lineups'!$K$2:$K$2000,'Team Lineups'!$C$2:$C$2000,Q$1))</f>
        <v>7</v>
      </c>
      <c r="R36" cm="1">
        <f t="array" ref="R36">SUMPRODUCT(('Team Lineups'!$K$2:$K$2000&lt;&gt;"")*('Team Lineups'!$C$2:$C$2000=$A36)*COUNTIFS('Team Lineups'!$K$2:$K$2000,'Team Lineups'!$K$2:$K$2000,'Team Lineups'!$C$2:$C$2000,R$1))</f>
        <v>5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1</v>
      </c>
      <c r="AA36" cm="1">
        <f t="array" ref="AA36">SUMPRODUCT(('Team Lineups'!$K$2:$K$2000&lt;&gt;"")*('Team Lineups'!$C$2:$C$2000=$A36)*COUNTIFS('Team Lineups'!$K$2:$K$2000,'Team Lineups'!$K$2:$K$2000,'Team Lineups'!$C$2:$C$2000,AA$1))</f>
        <v>10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4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23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2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6</v>
      </c>
      <c r="AQ36" cm="1">
        <f t="array" ref="AQ36">SUMPRODUCT(('Team Lineups'!$K$2:$K$2000&lt;&gt;"")*('Team Lineups'!$C$2:$C$2000=$A36)*COUNTIFS('Team Lineups'!$K$2:$K$2000,'Team Lineups'!$K$2:$K$2000,'Team Lineups'!$C$2:$C$2000,AQ$1))</f>
        <v>3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2</v>
      </c>
      <c r="AV36" cm="1">
        <f t="array" ref="AV36">SUMPRODUCT(('Team Lineups'!$K$2:$K$2000&lt;&gt;"")*('Team Lineups'!$C$2:$C$2000=$A36)*COUNTIFS('Team Lineups'!$K$2:$K$2000,'Team Lineups'!$K$2:$K$2000,'Team Lineups'!$C$2:$C$2000,AV$1))</f>
        <v>4</v>
      </c>
      <c r="AW36" cm="1">
        <f t="array" ref="AW36">SUMPRODUCT(('Team Lineups'!$K$2:$K$2000&lt;&gt;"")*('Team Lineups'!$C$2:$C$2000=$A36)*COUNTIFS('Team Lineups'!$K$2:$K$2000,'Team Lineups'!$K$2:$K$2000,'Team Lineups'!$C$2:$C$2000,AW$1))</f>
        <v>0</v>
      </c>
      <c r="AX36" cm="1">
        <f t="array" ref="AX36">SUMPRODUCT(('Team Lineups'!$K$2:$K$2000&lt;&gt;"")*('Team Lineups'!$C$2:$C$2000=$A36)*COUNTIFS('Team Lineups'!$K$2:$K$2000,'Team Lineups'!$K$2:$K$2000,'Team Lineups'!$C$2:$C$2000,AX$1))</f>
        <v>0</v>
      </c>
      <c r="AY36" cm="1">
        <f t="array" ref="AY36">SUMPRODUCT(('Team Lineups'!$K$2:$K$2000&lt;&gt;"")*('Team Lineups'!$C$2:$C$2000=$A36)*COUNTIFS('Team Lineups'!$K$2:$K$2000,'Team Lineups'!$K$2:$K$2000,'Team Lineups'!$C$2:$C$2000,AY$1))</f>
        <v>0</v>
      </c>
    </row>
    <row r="37" spans="1:51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  <c r="AW37" cm="1">
        <f t="array" ref="AW37">SUMPRODUCT(('Team Lineups'!$K$2:$K$2000&lt;&gt;"")*('Team Lineups'!$C$2:$C$2000=$A37)*COUNTIFS('Team Lineups'!$K$2:$K$2000,'Team Lineups'!$K$2:$K$2000,'Team Lineups'!$C$2:$C$2000,AW$1))</f>
        <v>0</v>
      </c>
      <c r="AX37" cm="1">
        <f t="array" ref="AX37">SUMPRODUCT(('Team Lineups'!$K$2:$K$2000&lt;&gt;"")*('Team Lineups'!$C$2:$C$2000=$A37)*COUNTIFS('Team Lineups'!$K$2:$K$2000,'Team Lineups'!$K$2:$K$2000,'Team Lineups'!$C$2:$C$2000,AX$1))</f>
        <v>0</v>
      </c>
      <c r="AY37" cm="1">
        <f t="array" ref="AY37">SUMPRODUCT(('Team Lineups'!$K$2:$K$2000&lt;&gt;"")*('Team Lineups'!$C$2:$C$2000=$A37)*COUNTIFS('Team Lineups'!$K$2:$K$2000,'Team Lineups'!$K$2:$K$2000,'Team Lineups'!$C$2:$C$2000,AY$1))</f>
        <v>0</v>
      </c>
    </row>
    <row r="38" spans="1:51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5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8</v>
      </c>
      <c r="E38" cm="1">
        <f t="array" ref="E38">SUMPRODUCT(('Team Lineups'!$K$2:$K$2000&lt;&gt;"")*('Team Lineups'!$C$2:$C$2000=$A38)*COUNTIFS('Team Lineups'!$K$2:$K$2000,'Team Lineups'!$K$2:$K$2000,'Team Lineups'!$C$2:$C$2000,E$1))</f>
        <v>12</v>
      </c>
      <c r="F38" cm="1">
        <f t="array" ref="F38">SUMPRODUCT(('Team Lineups'!$K$2:$K$2000&lt;&gt;"")*('Team Lineups'!$C$2:$C$2000=$A38)*COUNTIFS('Team Lineups'!$K$2:$K$2000,'Team Lineups'!$K$2:$K$2000,'Team Lineups'!$C$2:$C$2000,F$1))</f>
        <v>8</v>
      </c>
      <c r="G38" cm="1">
        <f t="array" ref="G38">SUMPRODUCT(('Team Lineups'!$K$2:$K$2000&lt;&gt;"")*('Team Lineups'!$C$2:$C$2000=$A38)*COUNTIFS('Team Lineups'!$K$2:$K$2000,'Team Lineups'!$K$2:$K$2000,'Team Lineups'!$C$2:$C$2000,G$1))</f>
        <v>10</v>
      </c>
      <c r="H38" cm="1">
        <f t="array" ref="H38">SUMPRODUCT(('Team Lineups'!$K$2:$K$2000&lt;&gt;"")*('Team Lineups'!$C$2:$C$2000=$A38)*COUNTIFS('Team Lineups'!$K$2:$K$2000,'Team Lineups'!$K$2:$K$2000,'Team Lineups'!$C$2:$C$2000,H$1))</f>
        <v>4</v>
      </c>
      <c r="I38" cm="1">
        <f t="array" ref="I38">SUMPRODUCT(('Team Lineups'!$K$2:$K$2000&lt;&gt;"")*('Team Lineups'!$C$2:$C$2000=$A38)*COUNTIFS('Team Lineups'!$K$2:$K$2000,'Team Lineups'!$K$2:$K$2000,'Team Lineups'!$C$2:$C$2000,I$1))</f>
        <v>6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2</v>
      </c>
      <c r="M38" cm="1">
        <f t="array" ref="M38">SUMPRODUCT(('Team Lineups'!$K$2:$K$2000&lt;&gt;"")*('Team Lineups'!$C$2:$C$2000=$A38)*COUNTIFS('Team Lineups'!$K$2:$K$2000,'Team Lineups'!$K$2:$K$2000,'Team Lineups'!$C$2:$C$2000,M$1))</f>
        <v>8</v>
      </c>
      <c r="N38" cm="1">
        <f t="array" ref="N38">SUMPRODUCT(('Team Lineups'!$K$2:$K$2000&lt;&gt;"")*('Team Lineups'!$C$2:$C$2000=$A38)*COUNTIFS('Team Lineups'!$K$2:$K$2000,'Team Lineups'!$K$2:$K$2000,'Team Lineups'!$C$2:$C$2000,N$1))</f>
        <v>3</v>
      </c>
      <c r="O38" cm="1">
        <f t="array" ref="O38">SUMPRODUCT(('Team Lineups'!$K$2:$K$2000&lt;&gt;"")*('Team Lineups'!$C$2:$C$2000=$A38)*COUNTIFS('Team Lineups'!$K$2:$K$2000,'Team Lineups'!$K$2:$K$2000,'Team Lineups'!$C$2:$C$2000,O$1))</f>
        <v>2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7</v>
      </c>
      <c r="R38" cm="1">
        <f t="array" ref="R38">SUMPRODUCT(('Team Lineups'!$K$2:$K$2000&lt;&gt;"")*('Team Lineups'!$C$2:$C$2000=$A38)*COUNTIFS('Team Lineups'!$K$2:$K$2000,'Team Lineups'!$K$2:$K$2000,'Team Lineups'!$C$2:$C$2000,R$1))</f>
        <v>12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7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5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2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2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29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10</v>
      </c>
      <c r="AQ38" cm="1">
        <f t="array" ref="AQ38">SUMPRODUCT(('Team Lineups'!$K$2:$K$2000&lt;&gt;"")*('Team Lineups'!$C$2:$C$2000=$A38)*COUNTIFS('Team Lineups'!$K$2:$K$2000,'Team Lineups'!$K$2:$K$2000,'Team Lineups'!$C$2:$C$2000,AQ$1))</f>
        <v>5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1</v>
      </c>
      <c r="AV38" cm="1">
        <f t="array" ref="AV38">SUMPRODUCT(('Team Lineups'!$K$2:$K$2000&lt;&gt;"")*('Team Lineups'!$C$2:$C$2000=$A38)*COUNTIFS('Team Lineups'!$K$2:$K$2000,'Team Lineups'!$K$2:$K$2000,'Team Lineups'!$C$2:$C$2000,AV$1))</f>
        <v>5</v>
      </c>
      <c r="AW38" cm="1">
        <f t="array" ref="AW38">SUMPRODUCT(('Team Lineups'!$K$2:$K$2000&lt;&gt;"")*('Team Lineups'!$C$2:$C$2000=$A38)*COUNTIFS('Team Lineups'!$K$2:$K$2000,'Team Lineups'!$K$2:$K$2000,'Team Lineups'!$C$2:$C$2000,AW$1))</f>
        <v>0</v>
      </c>
      <c r="AX38" cm="1">
        <f t="array" ref="AX38">SUMPRODUCT(('Team Lineups'!$K$2:$K$2000&lt;&gt;"")*('Team Lineups'!$C$2:$C$2000=$A38)*COUNTIFS('Team Lineups'!$K$2:$K$2000,'Team Lineups'!$K$2:$K$2000,'Team Lineups'!$C$2:$C$2000,AX$1))</f>
        <v>1</v>
      </c>
      <c r="AY38" cm="1">
        <f t="array" ref="AY38">SUMPRODUCT(('Team Lineups'!$K$2:$K$2000&lt;&gt;"")*('Team Lineups'!$C$2:$C$2000=$A38)*COUNTIFS('Team Lineups'!$K$2:$K$2000,'Team Lineups'!$K$2:$K$2000,'Team Lineups'!$C$2:$C$2000,AY$1))</f>
        <v>0</v>
      </c>
    </row>
    <row r="39" spans="1:51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  <c r="AW39" cm="1">
        <f t="array" ref="AW39">SUMPRODUCT(('Team Lineups'!$K$2:$K$2000&lt;&gt;"")*('Team Lineups'!$C$2:$C$2000=$A39)*COUNTIFS('Team Lineups'!$K$2:$K$2000,'Team Lineups'!$K$2:$K$2000,'Team Lineups'!$C$2:$C$2000,AW$1))</f>
        <v>0</v>
      </c>
      <c r="AX39" cm="1">
        <f t="array" ref="AX39">SUMPRODUCT(('Team Lineups'!$K$2:$K$2000&lt;&gt;"")*('Team Lineups'!$C$2:$C$2000=$A39)*COUNTIFS('Team Lineups'!$K$2:$K$2000,'Team Lineups'!$K$2:$K$2000,'Team Lineups'!$C$2:$C$2000,AX$1))</f>
        <v>0</v>
      </c>
      <c r="AY39" cm="1">
        <f t="array" ref="AY39">SUMPRODUCT(('Team Lineups'!$K$2:$K$2000&lt;&gt;"")*('Team Lineups'!$C$2:$C$2000=$A39)*COUNTIFS('Team Lineups'!$K$2:$K$2000,'Team Lineups'!$K$2:$K$2000,'Team Lineups'!$C$2:$C$2000,AY$1))</f>
        <v>0</v>
      </c>
    </row>
    <row r="40" spans="1:51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  <c r="AW40" cm="1">
        <f t="array" ref="AW40">SUMPRODUCT(('Team Lineups'!$K$2:$K$2000&lt;&gt;"")*('Team Lineups'!$C$2:$C$2000=$A40)*COUNTIFS('Team Lineups'!$K$2:$K$2000,'Team Lineups'!$K$2:$K$2000,'Team Lineups'!$C$2:$C$2000,AW$1))</f>
        <v>0</v>
      </c>
      <c r="AX40" cm="1">
        <f t="array" ref="AX40">SUMPRODUCT(('Team Lineups'!$K$2:$K$2000&lt;&gt;"")*('Team Lineups'!$C$2:$C$2000=$A40)*COUNTIFS('Team Lineups'!$K$2:$K$2000,'Team Lineups'!$K$2:$K$2000,'Team Lineups'!$C$2:$C$2000,AX$1))</f>
        <v>0</v>
      </c>
      <c r="AY40" cm="1">
        <f t="array" ref="AY40">SUMPRODUCT(('Team Lineups'!$K$2:$K$2000&lt;&gt;"")*('Team Lineups'!$C$2:$C$2000=$A40)*COUNTIFS('Team Lineups'!$K$2:$K$2000,'Team Lineups'!$K$2:$K$2000,'Team Lineups'!$C$2:$C$2000,AY$1))</f>
        <v>0</v>
      </c>
    </row>
    <row r="41" spans="1:51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  <c r="AW41" cm="1">
        <f t="array" ref="AW41">SUMPRODUCT(('Team Lineups'!$K$2:$K$2000&lt;&gt;"")*('Team Lineups'!$C$2:$C$2000=$A41)*COUNTIFS('Team Lineups'!$K$2:$K$2000,'Team Lineups'!$K$2:$K$2000,'Team Lineups'!$C$2:$C$2000,AW$1))</f>
        <v>0</v>
      </c>
      <c r="AX41" cm="1">
        <f t="array" ref="AX41">SUMPRODUCT(('Team Lineups'!$K$2:$K$2000&lt;&gt;"")*('Team Lineups'!$C$2:$C$2000=$A41)*COUNTIFS('Team Lineups'!$K$2:$K$2000,'Team Lineups'!$K$2:$K$2000,'Team Lineups'!$C$2:$C$2000,AX$1))</f>
        <v>0</v>
      </c>
      <c r="AY41" cm="1">
        <f t="array" ref="AY41">SUMPRODUCT(('Team Lineups'!$K$2:$K$2000&lt;&gt;"")*('Team Lineups'!$C$2:$C$2000=$A41)*COUNTIFS('Team Lineups'!$K$2:$K$2000,'Team Lineups'!$K$2:$K$2000,'Team Lineups'!$C$2:$C$2000,AY$1))</f>
        <v>0</v>
      </c>
    </row>
    <row r="42" spans="1:51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3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4</v>
      </c>
      <c r="E42" cm="1">
        <f t="array" ref="E42">SUMPRODUCT(('Team Lineups'!$K$2:$K$2000&lt;&gt;"")*('Team Lineups'!$C$2:$C$2000=$A42)*COUNTIFS('Team Lineups'!$K$2:$K$2000,'Team Lineups'!$K$2:$K$2000,'Team Lineups'!$C$2:$C$2000,E$1))</f>
        <v>7</v>
      </c>
      <c r="F42" cm="1">
        <f t="array" ref="F42">SUMPRODUCT(('Team Lineups'!$K$2:$K$2000&lt;&gt;"")*('Team Lineups'!$C$2:$C$2000=$A42)*COUNTIFS('Team Lineups'!$K$2:$K$2000,'Team Lineups'!$K$2:$K$2000,'Team Lineups'!$C$2:$C$2000,F$1))</f>
        <v>6</v>
      </c>
      <c r="G42" cm="1">
        <f t="array" ref="G42">SUMPRODUCT(('Team Lineups'!$K$2:$K$2000&lt;&gt;"")*('Team Lineups'!$C$2:$C$2000=$A42)*COUNTIFS('Team Lineups'!$K$2:$K$2000,'Team Lineups'!$K$2:$K$2000,'Team Lineups'!$C$2:$C$2000,G$1))</f>
        <v>5</v>
      </c>
      <c r="H42" cm="1">
        <f t="array" ref="H42">SUMPRODUCT(('Team Lineups'!$K$2:$K$2000&lt;&gt;"")*('Team Lineups'!$C$2:$C$2000=$A42)*COUNTIFS('Team Lineups'!$K$2:$K$2000,'Team Lineups'!$K$2:$K$2000,'Team Lineups'!$C$2:$C$2000,H$1))</f>
        <v>4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2</v>
      </c>
      <c r="M42" cm="1">
        <f t="array" ref="M42">SUMPRODUCT(('Team Lineups'!$K$2:$K$2000&lt;&gt;"")*('Team Lineups'!$C$2:$C$2000=$A42)*COUNTIFS('Team Lineups'!$K$2:$K$2000,'Team Lineups'!$K$2:$K$2000,'Team Lineups'!$C$2:$C$2000,M$1))</f>
        <v>4</v>
      </c>
      <c r="N42" cm="1">
        <f t="array" ref="N42">SUMPRODUCT(('Team Lineups'!$K$2:$K$2000&lt;&gt;"")*('Team Lineups'!$C$2:$C$2000=$A42)*COUNTIFS('Team Lineups'!$K$2:$K$2000,'Team Lineups'!$K$2:$K$2000,'Team Lineups'!$C$2:$C$2000,N$1))</f>
        <v>6</v>
      </c>
      <c r="O42" cm="1">
        <f t="array" ref="O42">SUMPRODUCT(('Team Lineups'!$K$2:$K$2000&lt;&gt;"")*('Team Lineups'!$C$2:$C$2000=$A42)*COUNTIFS('Team Lineups'!$K$2:$K$2000,'Team Lineups'!$K$2:$K$2000,'Team Lineups'!$C$2:$C$2000,O$1))</f>
        <v>2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5</v>
      </c>
      <c r="R42" cm="1">
        <f t="array" ref="R42">SUMPRODUCT(('Team Lineups'!$K$2:$K$2000&lt;&gt;"")*('Team Lineups'!$C$2:$C$2000=$A42)*COUNTIFS('Team Lineups'!$K$2:$K$2000,'Team Lineups'!$K$2:$K$2000,'Team Lineups'!$C$2:$C$2000,R$1))</f>
        <v>3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3</v>
      </c>
      <c r="AA42" cm="1">
        <f t="array" ref="AA42">SUMPRODUCT(('Team Lineups'!$K$2:$K$2000&lt;&gt;"")*('Team Lineups'!$C$2:$C$2000=$A42)*COUNTIFS('Team Lineups'!$K$2:$K$2000,'Team Lineups'!$K$2:$K$2000,'Team Lineups'!$C$2:$C$2000,AA$1))</f>
        <v>3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7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5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6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10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19</v>
      </c>
      <c r="AQ42" cm="1">
        <f t="array" ref="AQ42">SUMPRODUCT(('Team Lineups'!$K$2:$K$2000&lt;&gt;"")*('Team Lineups'!$C$2:$C$2000=$A42)*COUNTIFS('Team Lineups'!$K$2:$K$2000,'Team Lineups'!$K$2:$K$2000,'Team Lineups'!$C$2:$C$2000,AQ$1))</f>
        <v>4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4</v>
      </c>
      <c r="AW42" cm="1">
        <f t="array" ref="AW42">SUMPRODUCT(('Team Lineups'!$K$2:$K$2000&lt;&gt;"")*('Team Lineups'!$C$2:$C$2000=$A42)*COUNTIFS('Team Lineups'!$K$2:$K$2000,'Team Lineups'!$K$2:$K$2000,'Team Lineups'!$C$2:$C$2000,AW$1))</f>
        <v>0</v>
      </c>
      <c r="AX42" cm="1">
        <f t="array" ref="AX42">SUMPRODUCT(('Team Lineups'!$K$2:$K$2000&lt;&gt;"")*('Team Lineups'!$C$2:$C$2000=$A42)*COUNTIFS('Team Lineups'!$K$2:$K$2000,'Team Lineups'!$K$2:$K$2000,'Team Lineups'!$C$2:$C$2000,AX$1))</f>
        <v>0</v>
      </c>
      <c r="AY42" cm="1">
        <f t="array" ref="AY42">SUMPRODUCT(('Team Lineups'!$K$2:$K$2000&lt;&gt;"")*('Team Lineups'!$C$2:$C$2000=$A42)*COUNTIFS('Team Lineups'!$K$2:$K$2000,'Team Lineups'!$K$2:$K$2000,'Team Lineups'!$C$2:$C$2000,AY$1))</f>
        <v>0</v>
      </c>
    </row>
    <row r="43" spans="1:51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3</v>
      </c>
      <c r="E43" cm="1">
        <f t="array" ref="E43">SUMPRODUCT(('Team Lineups'!$K$2:$K$2000&lt;&gt;"")*('Team Lineups'!$C$2:$C$2000=$A43)*COUNTIFS('Team Lineups'!$K$2:$K$2000,'Team Lineups'!$K$2:$K$2000,'Team Lineups'!$C$2:$C$2000,E$1))</f>
        <v>3</v>
      </c>
      <c r="F43" cm="1">
        <f t="array" ref="F43">SUMPRODUCT(('Team Lineups'!$K$2:$K$2000&lt;&gt;"")*('Team Lineups'!$C$2:$C$2000=$A43)*COUNTIFS('Team Lineups'!$K$2:$K$2000,'Team Lineups'!$K$2:$K$2000,'Team Lineups'!$C$2:$C$2000,F$1))</f>
        <v>3</v>
      </c>
      <c r="G43" cm="1">
        <f t="array" ref="G43">SUMPRODUCT(('Team Lineups'!$K$2:$K$2000&lt;&gt;"")*('Team Lineups'!$C$2:$C$2000=$A43)*COUNTIFS('Team Lineups'!$K$2:$K$2000,'Team Lineups'!$K$2:$K$2000,'Team Lineups'!$C$2:$C$2000,G$1))</f>
        <v>2</v>
      </c>
      <c r="H43" cm="1">
        <f t="array" ref="H43">SUMPRODUCT(('Team Lineups'!$K$2:$K$2000&lt;&gt;"")*('Team Lineups'!$C$2:$C$2000=$A43)*COUNTIFS('Team Lineups'!$K$2:$K$2000,'Team Lineups'!$K$2:$K$2000,'Team Lineups'!$C$2:$C$2000,H$1))</f>
        <v>2</v>
      </c>
      <c r="I43" cm="1">
        <f t="array" ref="I43">SUMPRODUCT(('Team Lineups'!$K$2:$K$2000&lt;&gt;"")*('Team Lineups'!$C$2:$C$2000=$A43)*COUNTIFS('Team Lineups'!$K$2:$K$2000,'Team Lineups'!$K$2:$K$2000,'Team Lineups'!$C$2:$C$2000,I$1))</f>
        <v>4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5</v>
      </c>
      <c r="M43" cm="1">
        <f t="array" ref="M43">SUMPRODUCT(('Team Lineups'!$K$2:$K$2000&lt;&gt;"")*('Team Lineups'!$C$2:$C$2000=$A43)*COUNTIFS('Team Lineups'!$K$2:$K$2000,'Team Lineups'!$K$2:$K$2000,'Team Lineups'!$C$2:$C$2000,M$1))</f>
        <v>3</v>
      </c>
      <c r="N43" cm="1">
        <f t="array" ref="N43">SUMPRODUCT(('Team Lineups'!$K$2:$K$2000&lt;&gt;"")*('Team Lineups'!$C$2:$C$2000=$A43)*COUNTIFS('Team Lineups'!$K$2:$K$2000,'Team Lineups'!$K$2:$K$2000,'Team Lineups'!$C$2:$C$2000,N$1))</f>
        <v>3</v>
      </c>
      <c r="O43" cm="1">
        <f t="array" ref="O43">SUMPRODUCT(('Team Lineups'!$K$2:$K$2000&lt;&gt;"")*('Team Lineups'!$C$2:$C$2000=$A43)*COUNTIFS('Team Lineups'!$K$2:$K$2000,'Team Lineups'!$K$2:$K$2000,'Team Lineups'!$C$2:$C$2000,O$1))</f>
        <v>1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5</v>
      </c>
      <c r="R43" cm="1">
        <f t="array" ref="R43">SUMPRODUCT(('Team Lineups'!$K$2:$K$2000&lt;&gt;"")*('Team Lineups'!$C$2:$C$2000=$A43)*COUNTIFS('Team Lineups'!$K$2:$K$2000,'Team Lineups'!$K$2:$K$2000,'Team Lineups'!$C$2:$C$2000,R$1))</f>
        <v>2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2</v>
      </c>
      <c r="AA43" cm="1">
        <f t="array" ref="AA43">SUMPRODUCT(('Team Lineups'!$K$2:$K$2000&lt;&gt;"")*('Team Lineups'!$C$2:$C$2000=$A43)*COUNTIFS('Team Lineups'!$K$2:$K$2000,'Team Lineups'!$K$2:$K$2000,'Team Lineups'!$C$2:$C$2000,AA$1))</f>
        <v>2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3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3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5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4</v>
      </c>
      <c r="AQ43" cm="1">
        <f t="array" ref="AQ43">SUMPRODUCT(('Team Lineups'!$K$2:$K$2000&lt;&gt;"")*('Team Lineups'!$C$2:$C$2000=$A43)*COUNTIFS('Team Lineups'!$K$2:$K$2000,'Team Lineups'!$K$2:$K$2000,'Team Lineups'!$C$2:$C$2000,AQ$1))</f>
        <v>12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1</v>
      </c>
      <c r="AV43" cm="1">
        <f t="array" ref="AV43">SUMPRODUCT(('Team Lineups'!$K$2:$K$2000&lt;&gt;"")*('Team Lineups'!$C$2:$C$2000=$A43)*COUNTIFS('Team Lineups'!$K$2:$K$2000,'Team Lineups'!$K$2:$K$2000,'Team Lineups'!$C$2:$C$2000,AV$1))</f>
        <v>4</v>
      </c>
      <c r="AW43" cm="1">
        <f t="array" ref="AW43">SUMPRODUCT(('Team Lineups'!$K$2:$K$2000&lt;&gt;"")*('Team Lineups'!$C$2:$C$2000=$A43)*COUNTIFS('Team Lineups'!$K$2:$K$2000,'Team Lineups'!$K$2:$K$2000,'Team Lineups'!$C$2:$C$2000,AW$1))</f>
        <v>0</v>
      </c>
      <c r="AX43" cm="1">
        <f t="array" ref="AX43">SUMPRODUCT(('Team Lineups'!$K$2:$K$2000&lt;&gt;"")*('Team Lineups'!$C$2:$C$2000=$A43)*COUNTIFS('Team Lineups'!$K$2:$K$2000,'Team Lineups'!$K$2:$K$2000,'Team Lineups'!$C$2:$C$2000,AX$1))</f>
        <v>0</v>
      </c>
      <c r="AY43" cm="1">
        <f t="array" ref="AY43">SUMPRODUCT(('Team Lineups'!$K$2:$K$2000&lt;&gt;"")*('Team Lineups'!$C$2:$C$2000=$A43)*COUNTIFS('Team Lineups'!$K$2:$K$2000,'Team Lineups'!$K$2:$K$2000,'Team Lineups'!$C$2:$C$2000,AY$1))</f>
        <v>0</v>
      </c>
    </row>
    <row r="44" spans="1:51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  <c r="AW44" cm="1">
        <f t="array" ref="AW44">SUMPRODUCT(('Team Lineups'!$K$2:$K$2000&lt;&gt;"")*('Team Lineups'!$C$2:$C$2000=$A44)*COUNTIFS('Team Lineups'!$K$2:$K$2000,'Team Lineups'!$K$2:$K$2000,'Team Lineups'!$C$2:$C$2000,AW$1))</f>
        <v>0</v>
      </c>
      <c r="AX44" cm="1">
        <f t="array" ref="AX44">SUMPRODUCT(('Team Lineups'!$K$2:$K$2000&lt;&gt;"")*('Team Lineups'!$C$2:$C$2000=$A44)*COUNTIFS('Team Lineups'!$K$2:$K$2000,'Team Lineups'!$K$2:$K$2000,'Team Lineups'!$C$2:$C$2000,AX$1))</f>
        <v>0</v>
      </c>
      <c r="AY44" cm="1">
        <f t="array" ref="AY44">SUMPRODUCT(('Team Lineups'!$K$2:$K$2000&lt;&gt;"")*('Team Lineups'!$C$2:$C$2000=$A44)*COUNTIFS('Team Lineups'!$K$2:$K$2000,'Team Lineups'!$K$2:$K$2000,'Team Lineups'!$C$2:$C$2000,AY$1))</f>
        <v>0</v>
      </c>
    </row>
    <row r="45" spans="1:51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  <c r="AW45" cm="1">
        <f t="array" ref="AW45">SUMPRODUCT(('Team Lineups'!$K$2:$K$2000&lt;&gt;"")*('Team Lineups'!$C$2:$C$2000=$A45)*COUNTIFS('Team Lineups'!$K$2:$K$2000,'Team Lineups'!$K$2:$K$2000,'Team Lineups'!$C$2:$C$2000,AW$1))</f>
        <v>0</v>
      </c>
      <c r="AX45" cm="1">
        <f t="array" ref="AX45">SUMPRODUCT(('Team Lineups'!$K$2:$K$2000&lt;&gt;"")*('Team Lineups'!$C$2:$C$2000=$A45)*COUNTIFS('Team Lineups'!$K$2:$K$2000,'Team Lineups'!$K$2:$K$2000,'Team Lineups'!$C$2:$C$2000,AX$1))</f>
        <v>0</v>
      </c>
      <c r="AY45" cm="1">
        <f t="array" ref="AY45">SUMPRODUCT(('Team Lineups'!$K$2:$K$2000&lt;&gt;"")*('Team Lineups'!$C$2:$C$2000=$A45)*COUNTIFS('Team Lineups'!$K$2:$K$2000,'Team Lineups'!$K$2:$K$2000,'Team Lineups'!$C$2:$C$2000,AY$1))</f>
        <v>0</v>
      </c>
    </row>
    <row r="46" spans="1:51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  <c r="AW46" cm="1">
        <f t="array" ref="AW46">SUMPRODUCT(('Team Lineups'!$K$2:$K$2000&lt;&gt;"")*('Team Lineups'!$C$2:$C$2000=$A46)*COUNTIFS('Team Lineups'!$K$2:$K$2000,'Team Lineups'!$K$2:$K$2000,'Team Lineups'!$C$2:$C$2000,AW$1))</f>
        <v>0</v>
      </c>
      <c r="AX46" cm="1">
        <f t="array" ref="AX46">SUMPRODUCT(('Team Lineups'!$K$2:$K$2000&lt;&gt;"")*('Team Lineups'!$C$2:$C$2000=$A46)*COUNTIFS('Team Lineups'!$K$2:$K$2000,'Team Lineups'!$K$2:$K$2000,'Team Lineups'!$C$2:$C$2000,AX$1))</f>
        <v>0</v>
      </c>
      <c r="AY46" cm="1">
        <f t="array" ref="AY46">SUMPRODUCT(('Team Lineups'!$K$2:$K$2000&lt;&gt;"")*('Team Lineups'!$C$2:$C$2000=$A46)*COUNTIFS('Team Lineups'!$K$2:$K$2000,'Team Lineups'!$K$2:$K$2000,'Team Lineups'!$C$2:$C$2000,AY$1))</f>
        <v>0</v>
      </c>
    </row>
    <row r="47" spans="1:51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2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3</v>
      </c>
      <c r="E47" cm="1">
        <f t="array" ref="E47">SUMPRODUCT(('Team Lineups'!$K$2:$K$2000&lt;&gt;"")*('Team Lineups'!$C$2:$C$2000=$A47)*COUNTIFS('Team Lineups'!$K$2:$K$2000,'Team Lineups'!$K$2:$K$2000,'Team Lineups'!$C$2:$C$2000,E$1))</f>
        <v>1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3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3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1</v>
      </c>
      <c r="M47" cm="1">
        <f t="array" ref="M47">SUMPRODUCT(('Team Lineups'!$K$2:$K$2000&lt;&gt;"")*('Team Lineups'!$C$2:$C$2000=$A47)*COUNTIFS('Team Lineups'!$K$2:$K$2000,'Team Lineups'!$K$2:$K$2000,'Team Lineups'!$C$2:$C$2000,M$1))</f>
        <v>2</v>
      </c>
      <c r="N47" cm="1">
        <f t="array" ref="N47">SUMPRODUCT(('Team Lineups'!$K$2:$K$2000&lt;&gt;"")*('Team Lineups'!$C$2:$C$2000=$A47)*COUNTIFS('Team Lineups'!$K$2:$K$2000,'Team Lineups'!$K$2:$K$2000,'Team Lineups'!$C$2:$C$2000,N$1))</f>
        <v>1</v>
      </c>
      <c r="O47" cm="1">
        <f t="array" ref="O47">SUMPRODUCT(('Team Lineups'!$K$2:$K$2000&lt;&gt;"")*('Team Lineups'!$C$2:$C$2000=$A47)*COUNTIFS('Team Lineups'!$K$2:$K$2000,'Team Lineups'!$K$2:$K$2000,'Team Lineups'!$C$2:$C$2000,O$1))</f>
        <v>2</v>
      </c>
      <c r="P47" cm="1">
        <f t="array" ref="P47">SUMPRODUCT(('Team Lineups'!$K$2:$K$2000&lt;&gt;"")*('Team Lineups'!$C$2:$C$2000=$A47)*COUNTIFS('Team Lineups'!$K$2:$K$2000,'Team Lineups'!$K$2:$K$2000,'Team Lineups'!$C$2:$C$2000,P$1))</f>
        <v>1</v>
      </c>
      <c r="Q47" cm="1">
        <f t="array" ref="Q47">SUMPRODUCT(('Team Lineups'!$K$2:$K$2000&lt;&gt;"")*('Team Lineups'!$C$2:$C$2000=$A47)*COUNTIFS('Team Lineups'!$K$2:$K$2000,'Team Lineups'!$K$2:$K$2000,'Team Lineups'!$C$2:$C$2000,Q$1))</f>
        <v>1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4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1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1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2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1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1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7</v>
      </c>
      <c r="AV47" cm="1">
        <f t="array" ref="AV47">SUMPRODUCT(('Team Lineups'!$K$2:$K$2000&lt;&gt;"")*('Team Lineups'!$C$2:$C$2000=$A47)*COUNTIFS('Team Lineups'!$K$2:$K$2000,'Team Lineups'!$K$2:$K$2000,'Team Lineups'!$C$2:$C$2000,AV$1))</f>
        <v>3</v>
      </c>
      <c r="AW47" cm="1">
        <f t="array" ref="AW47">SUMPRODUCT(('Team Lineups'!$K$2:$K$2000&lt;&gt;"")*('Team Lineups'!$C$2:$C$2000=$A47)*COUNTIFS('Team Lineups'!$K$2:$K$2000,'Team Lineups'!$K$2:$K$2000,'Team Lineups'!$C$2:$C$2000,AW$1))</f>
        <v>0</v>
      </c>
      <c r="AX47" cm="1">
        <f t="array" ref="AX47">SUMPRODUCT(('Team Lineups'!$K$2:$K$2000&lt;&gt;"")*('Team Lineups'!$C$2:$C$2000=$A47)*COUNTIFS('Team Lineups'!$K$2:$K$2000,'Team Lineups'!$K$2:$K$2000,'Team Lineups'!$C$2:$C$2000,AX$1))</f>
        <v>0</v>
      </c>
      <c r="AY47" cm="1">
        <f t="array" ref="AY47">SUMPRODUCT(('Team Lineups'!$K$2:$K$2000&lt;&gt;"")*('Team Lineups'!$C$2:$C$2000=$A47)*COUNTIFS('Team Lineups'!$K$2:$K$2000,'Team Lineups'!$K$2:$K$2000,'Team Lineups'!$C$2:$C$2000,AY$1))</f>
        <v>0</v>
      </c>
    </row>
    <row r="48" spans="1:51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1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3</v>
      </c>
      <c r="E48" cm="1">
        <f t="array" ref="E48">SUMPRODUCT(('Team Lineups'!$K$2:$K$2000&lt;&gt;"")*('Team Lineups'!$C$2:$C$2000=$A48)*COUNTIFS('Team Lineups'!$K$2:$K$2000,'Team Lineups'!$K$2:$K$2000,'Team Lineups'!$C$2:$C$2000,E$1))</f>
        <v>2</v>
      </c>
      <c r="F48" cm="1">
        <f t="array" ref="F48">SUMPRODUCT(('Team Lineups'!$K$2:$K$2000&lt;&gt;"")*('Team Lineups'!$C$2:$C$2000=$A48)*COUNTIFS('Team Lineups'!$K$2:$K$2000,'Team Lineups'!$K$2:$K$2000,'Team Lineups'!$C$2:$C$2000,F$1))</f>
        <v>2</v>
      </c>
      <c r="G48" cm="1">
        <f t="array" ref="G48">SUMPRODUCT(('Team Lineups'!$K$2:$K$2000&lt;&gt;"")*('Team Lineups'!$C$2:$C$2000=$A48)*COUNTIFS('Team Lineups'!$K$2:$K$2000,'Team Lineups'!$K$2:$K$2000,'Team Lineups'!$C$2:$C$2000,G$1))</f>
        <v>5</v>
      </c>
      <c r="H48" cm="1">
        <f t="array" ref="H48">SUMPRODUCT(('Team Lineups'!$K$2:$K$2000&lt;&gt;"")*('Team Lineups'!$C$2:$C$2000=$A48)*COUNTIFS('Team Lineups'!$K$2:$K$2000,'Team Lineups'!$K$2:$K$2000,'Team Lineups'!$C$2:$C$2000,H$1))</f>
        <v>2</v>
      </c>
      <c r="I48" cm="1">
        <f t="array" ref="I48">SUMPRODUCT(('Team Lineups'!$K$2:$K$2000&lt;&gt;"")*('Team Lineups'!$C$2:$C$2000=$A48)*COUNTIFS('Team Lineups'!$K$2:$K$2000,'Team Lineups'!$K$2:$K$2000,'Team Lineups'!$C$2:$C$2000,I$1))</f>
        <v>2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2</v>
      </c>
      <c r="P48" cm="1">
        <f t="array" ref="P48">SUMPRODUCT(('Team Lineups'!$K$2:$K$2000&lt;&gt;"")*('Team Lineups'!$C$2:$C$2000=$A48)*COUNTIFS('Team Lineups'!$K$2:$K$2000,'Team Lineups'!$K$2:$K$2000,'Team Lineups'!$C$2:$C$2000,P$1))</f>
        <v>1</v>
      </c>
      <c r="Q48" cm="1">
        <f t="array" ref="Q48">SUMPRODUCT(('Team Lineups'!$K$2:$K$2000&lt;&gt;"")*('Team Lineups'!$C$2:$C$2000=$A48)*COUNTIFS('Team Lineups'!$K$2:$K$2000,'Team Lineups'!$K$2:$K$2000,'Team Lineups'!$C$2:$C$2000,Q$1))</f>
        <v>1</v>
      </c>
      <c r="R48" cm="1">
        <f t="array" ref="R48">SUMPRODUCT(('Team Lineups'!$K$2:$K$2000&lt;&gt;"")*('Team Lineups'!$C$2:$C$2000=$A48)*COUNTIFS('Team Lineups'!$K$2:$K$2000,'Team Lineups'!$K$2:$K$2000,'Team Lineups'!$C$2:$C$2000,R$1))</f>
        <v>2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1</v>
      </c>
      <c r="AA48" cm="1">
        <f t="array" ref="AA48">SUMPRODUCT(('Team Lineups'!$K$2:$K$2000&lt;&gt;"")*('Team Lineups'!$C$2:$C$2000=$A48)*COUNTIFS('Team Lineups'!$K$2:$K$2000,'Team Lineups'!$K$2:$K$2000,'Team Lineups'!$C$2:$C$2000,AA$1))</f>
        <v>1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3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1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4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5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4</v>
      </c>
      <c r="AQ48" cm="1">
        <f t="array" ref="AQ48">SUMPRODUCT(('Team Lineups'!$K$2:$K$2000&lt;&gt;"")*('Team Lineups'!$C$2:$C$2000=$A48)*COUNTIFS('Team Lineups'!$K$2:$K$2000,'Team Lineups'!$K$2:$K$2000,'Team Lineups'!$C$2:$C$2000,AQ$1))</f>
        <v>4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3</v>
      </c>
      <c r="AV48" cm="1">
        <f t="array" ref="AV48">SUMPRODUCT(('Team Lineups'!$K$2:$K$2000&lt;&gt;"")*('Team Lineups'!$C$2:$C$2000=$A48)*COUNTIFS('Team Lineups'!$K$2:$K$2000,'Team Lineups'!$K$2:$K$2000,'Team Lineups'!$C$2:$C$2000,AV$1))</f>
        <v>9</v>
      </c>
      <c r="AW48" cm="1">
        <f t="array" ref="AW48">SUMPRODUCT(('Team Lineups'!$K$2:$K$2000&lt;&gt;"")*('Team Lineups'!$C$2:$C$2000=$A48)*COUNTIFS('Team Lineups'!$K$2:$K$2000,'Team Lineups'!$K$2:$K$2000,'Team Lineups'!$C$2:$C$2000,AW$1))</f>
        <v>0</v>
      </c>
      <c r="AX48" cm="1">
        <f t="array" ref="AX48">SUMPRODUCT(('Team Lineups'!$K$2:$K$2000&lt;&gt;"")*('Team Lineups'!$C$2:$C$2000=$A48)*COUNTIFS('Team Lineups'!$K$2:$K$2000,'Team Lineups'!$K$2:$K$2000,'Team Lineups'!$C$2:$C$2000,AX$1))</f>
        <v>0</v>
      </c>
      <c r="AY48" cm="1">
        <f t="array" ref="AY48">SUMPRODUCT(('Team Lineups'!$K$2:$K$2000&lt;&gt;"")*('Team Lineups'!$C$2:$C$2000=$A48)*COUNTIFS('Team Lineups'!$K$2:$K$2000,'Team Lineups'!$K$2:$K$2000,'Team Lineups'!$C$2:$C$2000,AY$1))</f>
        <v>0</v>
      </c>
    </row>
    <row r="49" spans="1:51" x14ac:dyDescent="0.35">
      <c r="A49" t="str">
        <v>Renan</v>
      </c>
      <c r="B49" cm="1">
        <f t="array" ref="B49">SUMPRODUCT(('Team Lineups'!$K$2:$K$2000&lt;&gt;"")*('Team Lineups'!$C$2:$C$2000=$A49)*COUNTIFS('Team Lineups'!$K$2:$K$2000,'Team Lineups'!$K$2:$K$2000,'Team Lineups'!$C$2:$C$2000,B$1))</f>
        <v>1</v>
      </c>
      <c r="C49" cm="1">
        <f t="array" ref="C49">SUMPRODUCT(('Team Lineups'!$K$2:$K$2000&lt;&gt;"")*('Team Lineups'!$C$2:$C$2000=$A49)*COUNTIFS('Team Lineups'!$K$2:$K$2000,'Team Lineups'!$K$2:$K$2000,'Team Lineups'!$C$2:$C$2000,C$1))</f>
        <v>0</v>
      </c>
      <c r="D49" cm="1">
        <f t="array" ref="D49">SUMPRODUCT(('Team Lineups'!$K$2:$K$2000&lt;&gt;"")*('Team Lineups'!$C$2:$C$2000=$A49)*COUNTIFS('Team Lineups'!$K$2:$K$2000,'Team Lineups'!$K$2:$K$2000,'Team Lineups'!$C$2:$C$2000,D$1))</f>
        <v>0</v>
      </c>
      <c r="E49" cm="1">
        <f t="array" ref="E49">SUMPRODUCT(('Team Lineups'!$K$2:$K$2000&lt;&gt;"")*('Team Lineups'!$C$2:$C$2000=$A49)*COUNTIFS('Team Lineups'!$K$2:$K$2000,'Team Lineups'!$K$2:$K$2000,'Team Lineups'!$C$2:$C$2000,E$1))</f>
        <v>0</v>
      </c>
      <c r="F49" cm="1">
        <f t="array" ref="F49">SUMPRODUCT(('Team Lineups'!$K$2:$K$2000&lt;&gt;"")*('Team Lineups'!$C$2:$C$2000=$A49)*COUNTIFS('Team Lineups'!$K$2:$K$2000,'Team Lineups'!$K$2:$K$2000,'Team Lineups'!$C$2:$C$2000,F$1))</f>
        <v>0</v>
      </c>
      <c r="G49" cm="1">
        <f t="array" ref="G49">SUMPRODUCT(('Team Lineups'!$K$2:$K$2000&lt;&gt;"")*('Team Lineups'!$C$2:$C$2000=$A49)*COUNTIFS('Team Lineups'!$K$2:$K$2000,'Team Lineups'!$K$2:$K$2000,'Team Lineups'!$C$2:$C$2000,G$1))</f>
        <v>1</v>
      </c>
      <c r="H49" cm="1">
        <f t="array" ref="H49">SUMPRODUCT(('Team Lineups'!$K$2:$K$2000&lt;&gt;"")*('Team Lineups'!$C$2:$C$2000=$A49)*COUNTIFS('Team Lineups'!$K$2:$K$2000,'Team Lineups'!$K$2:$K$2000,'Team Lineups'!$C$2:$C$2000,H$1))</f>
        <v>0</v>
      </c>
      <c r="I49" cm="1">
        <f t="array" ref="I49">SUMPRODUCT(('Team Lineups'!$K$2:$K$2000&lt;&gt;"")*('Team Lineups'!$C$2:$C$2000=$A49)*COUNTIFS('Team Lineups'!$K$2:$K$2000,'Team Lineups'!$K$2:$K$2000,'Team Lineups'!$C$2:$C$2000,I$1))</f>
        <v>1</v>
      </c>
      <c r="J49" cm="1">
        <f t="array" ref="J49">SUMPRODUCT(('Team Lineups'!$K$2:$K$2000&lt;&gt;"")*('Team Lineups'!$C$2:$C$2000=$A49)*COUNTIFS('Team Lineups'!$K$2:$K$2000,'Team Lineups'!$K$2:$K$2000,'Team Lineups'!$C$2:$C$2000,J$1))</f>
        <v>0</v>
      </c>
      <c r="K49" cm="1">
        <f t="array" ref="K49">SUMPRODUCT(('Team Lineups'!$K$2:$K$2000&lt;&gt;"")*('Team Lineups'!$C$2:$C$2000=$A49)*COUNTIFS('Team Lineups'!$K$2:$K$2000,'Team Lineups'!$K$2:$K$2000,'Team Lineups'!$C$2:$C$2000,K$1))</f>
        <v>0</v>
      </c>
      <c r="L49" cm="1">
        <f t="array" ref="L49">SUMPRODUCT(('Team Lineups'!$K$2:$K$2000&lt;&gt;"")*('Team Lineups'!$C$2:$C$2000=$A49)*COUNTIFS('Team Lineups'!$K$2:$K$2000,'Team Lineups'!$K$2:$K$2000,'Team Lineups'!$C$2:$C$2000,L$1))</f>
        <v>1</v>
      </c>
      <c r="M49" cm="1">
        <f t="array" ref="M49">SUMPRODUCT(('Team Lineups'!$K$2:$K$2000&lt;&gt;"")*('Team Lineups'!$C$2:$C$2000=$A49)*COUNTIFS('Team Lineups'!$K$2:$K$2000,'Team Lineups'!$K$2:$K$2000,'Team Lineups'!$C$2:$C$2000,M$1))</f>
        <v>1</v>
      </c>
      <c r="N49" cm="1">
        <f t="array" ref="N49">SUMPRODUCT(('Team Lineups'!$K$2:$K$2000&lt;&gt;"")*('Team Lineups'!$C$2:$C$2000=$A49)*COUNTIFS('Team Lineups'!$K$2:$K$2000,'Team Lineups'!$K$2:$K$2000,'Team Lineups'!$C$2:$C$2000,N$1))</f>
        <v>0</v>
      </c>
      <c r="O49" cm="1">
        <f t="array" ref="O49">SUMPRODUCT(('Team Lineups'!$K$2:$K$2000&lt;&gt;"")*('Team Lineups'!$C$2:$C$2000=$A49)*COUNTIFS('Team Lineups'!$K$2:$K$2000,'Team Lineups'!$K$2:$K$2000,'Team Lineups'!$C$2:$C$2000,O$1))</f>
        <v>0</v>
      </c>
      <c r="P49" cm="1">
        <f t="array" ref="P49">SUMPRODUCT(('Team Lineups'!$K$2:$K$2000&lt;&gt;"")*('Team Lineups'!$C$2:$C$2000=$A49)*COUNTIFS('Team Lineups'!$K$2:$K$2000,'Team Lineups'!$K$2:$K$2000,'Team Lineups'!$C$2:$C$2000,P$1))</f>
        <v>0</v>
      </c>
      <c r="Q49" cm="1">
        <f t="array" ref="Q49">SUMPRODUCT(('Team Lineups'!$K$2:$K$2000&lt;&gt;"")*('Team Lineups'!$C$2:$C$2000=$A49)*COUNTIFS('Team Lineups'!$K$2:$K$2000,'Team Lineups'!$K$2:$K$2000,'Team Lineups'!$C$2:$C$2000,Q$1))</f>
        <v>0</v>
      </c>
      <c r="R49" cm="1">
        <f t="array" ref="R49">SUMPRODUCT(('Team Lineups'!$K$2:$K$2000&lt;&gt;"")*('Team Lineups'!$C$2:$C$2000=$A49)*COUNTIFS('Team Lineups'!$K$2:$K$2000,'Team Lineups'!$K$2:$K$2000,'Team Lineups'!$C$2:$C$2000,R$1))</f>
        <v>0</v>
      </c>
      <c r="S49" cm="1">
        <f t="array" ref="S49">SUMPRODUCT(('Team Lineups'!$K$2:$K$2000&lt;&gt;"")*('Team Lineups'!$C$2:$C$2000=$A49)*COUNTIFS('Team Lineups'!$K$2:$K$2000,'Team Lineups'!$K$2:$K$2000,'Team Lineups'!$C$2:$C$2000,S$1))</f>
        <v>0</v>
      </c>
      <c r="T49" cm="1">
        <f t="array" ref="T49">SUMPRODUCT(('Team Lineups'!$K$2:$K$2000&lt;&gt;"")*('Team Lineups'!$C$2:$C$2000=$A49)*COUNTIFS('Team Lineups'!$K$2:$K$2000,'Team Lineups'!$K$2:$K$2000,'Team Lineups'!$C$2:$C$2000,T$1))</f>
        <v>0</v>
      </c>
      <c r="U49" cm="1">
        <f t="array" ref="U49">SUMPRODUCT(('Team Lineups'!$K$2:$K$2000&lt;&gt;"")*('Team Lineups'!$C$2:$C$2000=$A49)*COUNTIFS('Team Lineups'!$K$2:$K$2000,'Team Lineups'!$K$2:$K$2000,'Team Lineups'!$C$2:$C$2000,U$1))</f>
        <v>0</v>
      </c>
      <c r="V49" cm="1">
        <f t="array" ref="V49">SUMPRODUCT(('Team Lineups'!$K$2:$K$2000&lt;&gt;"")*('Team Lineups'!$C$2:$C$2000=$A49)*COUNTIFS('Team Lineups'!$K$2:$K$2000,'Team Lineups'!$K$2:$K$2000,'Team Lineups'!$C$2:$C$2000,V$1))</f>
        <v>0</v>
      </c>
      <c r="W49" cm="1">
        <f t="array" ref="W49">SUMPRODUCT(('Team Lineups'!$K$2:$K$2000&lt;&gt;"")*('Team Lineups'!$C$2:$C$2000=$A49)*COUNTIFS('Team Lineups'!$K$2:$K$2000,'Team Lineups'!$K$2:$K$2000,'Team Lineups'!$C$2:$C$2000,W$1))</f>
        <v>0</v>
      </c>
      <c r="X49" cm="1">
        <f t="array" ref="X49">SUMPRODUCT(('Team Lineups'!$K$2:$K$2000&lt;&gt;"")*('Team Lineups'!$C$2:$C$2000=$A49)*COUNTIFS('Team Lineups'!$K$2:$K$2000,'Team Lineups'!$K$2:$K$2000,'Team Lineups'!$C$2:$C$2000,X$1))</f>
        <v>0</v>
      </c>
      <c r="Y49" cm="1">
        <f t="array" ref="Y49">SUMPRODUCT(('Team Lineups'!$K$2:$K$2000&lt;&gt;"")*('Team Lineups'!$C$2:$C$2000=$A49)*COUNTIFS('Team Lineups'!$K$2:$K$2000,'Team Lineups'!$K$2:$K$2000,'Team Lineups'!$C$2:$C$2000,Y$1))</f>
        <v>0</v>
      </c>
      <c r="Z49" cm="1">
        <f t="array" ref="Z49">SUMPRODUCT(('Team Lineups'!$K$2:$K$2000&lt;&gt;"")*('Team Lineups'!$C$2:$C$2000=$A49)*COUNTIFS('Team Lineups'!$K$2:$K$2000,'Team Lineups'!$K$2:$K$2000,'Team Lineups'!$C$2:$C$2000,Z$1))</f>
        <v>0</v>
      </c>
      <c r="AA49" cm="1">
        <f t="array" ref="AA49">SUMPRODUCT(('Team Lineups'!$K$2:$K$2000&lt;&gt;"")*('Team Lineups'!$C$2:$C$2000=$A49)*COUNTIFS('Team Lineups'!$K$2:$K$2000,'Team Lineups'!$K$2:$K$2000,'Team Lineups'!$C$2:$C$2000,AA$1))</f>
        <v>1</v>
      </c>
      <c r="AB49" cm="1">
        <f t="array" ref="AB49">SUMPRODUCT(('Team Lineups'!$K$2:$K$2000&lt;&gt;"")*('Team Lineups'!$C$2:$C$2000=$A49)*COUNTIFS('Team Lineups'!$K$2:$K$2000,'Team Lineups'!$K$2:$K$2000,'Team Lineups'!$C$2:$C$2000,AB$1))</f>
        <v>0</v>
      </c>
      <c r="AC49" cm="1">
        <f t="array" ref="AC49">SUMPRODUCT(('Team Lineups'!$K$2:$K$2000&lt;&gt;"")*('Team Lineups'!$C$2:$C$2000=$A49)*COUNTIFS('Team Lineups'!$K$2:$K$2000,'Team Lineups'!$K$2:$K$2000,'Team Lineups'!$C$2:$C$2000,AC$1))</f>
        <v>0</v>
      </c>
      <c r="AD49" cm="1">
        <f t="array" ref="AD49">SUMPRODUCT(('Team Lineups'!$K$2:$K$2000&lt;&gt;"")*('Team Lineups'!$C$2:$C$2000=$A49)*COUNTIFS('Team Lineups'!$K$2:$K$2000,'Team Lineups'!$K$2:$K$2000,'Team Lineups'!$C$2:$C$2000,AD$1))</f>
        <v>0</v>
      </c>
      <c r="AE49" cm="1">
        <f t="array" ref="AE49">SUMPRODUCT(('Team Lineups'!$K$2:$K$2000&lt;&gt;"")*('Team Lineups'!$C$2:$C$2000=$A49)*COUNTIFS('Team Lineups'!$K$2:$K$2000,'Team Lineups'!$K$2:$K$2000,'Team Lineups'!$C$2:$C$2000,AE$1))</f>
        <v>0</v>
      </c>
      <c r="AF49" cm="1">
        <f t="array" ref="AF49">SUMPRODUCT(('Team Lineups'!$K$2:$K$2000&lt;&gt;"")*('Team Lineups'!$C$2:$C$2000=$A49)*COUNTIFS('Team Lineups'!$K$2:$K$2000,'Team Lineups'!$K$2:$K$2000,'Team Lineups'!$C$2:$C$2000,AF$1))</f>
        <v>0</v>
      </c>
      <c r="AG49" cm="1">
        <f t="array" ref="AG49">SUMPRODUCT(('Team Lineups'!$K$2:$K$2000&lt;&gt;"")*('Team Lineups'!$C$2:$C$2000=$A49)*COUNTIFS('Team Lineups'!$K$2:$K$2000,'Team Lineups'!$K$2:$K$2000,'Team Lineups'!$C$2:$C$2000,AG$1))</f>
        <v>0</v>
      </c>
      <c r="AH49" cm="1">
        <f t="array" ref="AH49">SUMPRODUCT(('Team Lineups'!$K$2:$K$2000&lt;&gt;"")*('Team Lineups'!$C$2:$C$2000=$A49)*COUNTIFS('Team Lineups'!$K$2:$K$2000,'Team Lineups'!$K$2:$K$2000,'Team Lineups'!$C$2:$C$2000,AH$1))</f>
        <v>0</v>
      </c>
      <c r="AI49" cm="1">
        <f t="array" ref="AI49">SUMPRODUCT(('Team Lineups'!$K$2:$K$2000&lt;&gt;"")*('Team Lineups'!$C$2:$C$2000=$A49)*COUNTIFS('Team Lineups'!$K$2:$K$2000,'Team Lineups'!$K$2:$K$2000,'Team Lineups'!$C$2:$C$2000,AI$1))</f>
        <v>0</v>
      </c>
      <c r="AJ49" cm="1">
        <f t="array" ref="AJ49">SUMPRODUCT(('Team Lineups'!$K$2:$K$2000&lt;&gt;"")*('Team Lineups'!$C$2:$C$2000=$A49)*COUNTIFS('Team Lineups'!$K$2:$K$2000,'Team Lineups'!$K$2:$K$2000,'Team Lineups'!$C$2:$C$2000,AJ$1))</f>
        <v>0</v>
      </c>
      <c r="AK49" cm="1">
        <f t="array" ref="AK49">SUMPRODUCT(('Team Lineups'!$K$2:$K$2000&lt;&gt;"")*('Team Lineups'!$C$2:$C$2000=$A49)*COUNTIFS('Team Lineups'!$K$2:$K$2000,'Team Lineups'!$K$2:$K$2000,'Team Lineups'!$C$2:$C$2000,AK$1))</f>
        <v>0</v>
      </c>
      <c r="AL49" cm="1">
        <f t="array" ref="AL49">SUMPRODUCT(('Team Lineups'!$K$2:$K$2000&lt;&gt;"")*('Team Lineups'!$C$2:$C$2000=$A49)*COUNTIFS('Team Lineups'!$K$2:$K$2000,'Team Lineups'!$K$2:$K$2000,'Team Lineups'!$C$2:$C$2000,AL$1))</f>
        <v>0</v>
      </c>
      <c r="AM49" cm="1">
        <f t="array" ref="AM49">SUMPRODUCT(('Team Lineups'!$K$2:$K$2000&lt;&gt;"")*('Team Lineups'!$C$2:$C$2000=$A49)*COUNTIFS('Team Lineups'!$K$2:$K$2000,'Team Lineups'!$K$2:$K$2000,'Team Lineups'!$C$2:$C$2000,AM$1))</f>
        <v>0</v>
      </c>
      <c r="AN49" cm="1">
        <f t="array" ref="AN49">SUMPRODUCT(('Team Lineups'!$K$2:$K$2000&lt;&gt;"")*('Team Lineups'!$C$2:$C$2000=$A49)*COUNTIFS('Team Lineups'!$K$2:$K$2000,'Team Lineups'!$K$2:$K$2000,'Team Lineups'!$C$2:$C$2000,AN$1))</f>
        <v>0</v>
      </c>
      <c r="AO49" cm="1">
        <f t="array" ref="AO49">SUMPRODUCT(('Team Lineups'!$K$2:$K$2000&lt;&gt;"")*('Team Lineups'!$C$2:$C$2000=$A49)*COUNTIFS('Team Lineups'!$K$2:$K$2000,'Team Lineups'!$K$2:$K$2000,'Team Lineups'!$C$2:$C$2000,AO$1))</f>
        <v>0</v>
      </c>
      <c r="AP49" cm="1">
        <f t="array" ref="AP49">SUMPRODUCT(('Team Lineups'!$K$2:$K$2000&lt;&gt;"")*('Team Lineups'!$C$2:$C$2000=$A49)*COUNTIFS('Team Lineups'!$K$2:$K$2000,'Team Lineups'!$K$2:$K$2000,'Team Lineups'!$C$2:$C$2000,AP$1))</f>
        <v>0</v>
      </c>
      <c r="AQ49" cm="1">
        <f t="array" ref="AQ49">SUMPRODUCT(('Team Lineups'!$K$2:$K$2000&lt;&gt;"")*('Team Lineups'!$C$2:$C$2000=$A49)*COUNTIFS('Team Lineups'!$K$2:$K$2000,'Team Lineups'!$K$2:$K$2000,'Team Lineups'!$C$2:$C$2000,AQ$1))</f>
        <v>0</v>
      </c>
      <c r="AR49" cm="1">
        <f t="array" ref="AR49">SUMPRODUCT(('Team Lineups'!$K$2:$K$2000&lt;&gt;"")*('Team Lineups'!$C$2:$C$2000=$A49)*COUNTIFS('Team Lineups'!$K$2:$K$2000,'Team Lineups'!$K$2:$K$2000,'Team Lineups'!$C$2:$C$2000,AR$1))</f>
        <v>0</v>
      </c>
      <c r="AS49" cm="1">
        <f t="array" ref="AS49">SUMPRODUCT(('Team Lineups'!$K$2:$K$2000&lt;&gt;"")*('Team Lineups'!$C$2:$C$2000=$A49)*COUNTIFS('Team Lineups'!$K$2:$K$2000,'Team Lineups'!$K$2:$K$2000,'Team Lineups'!$C$2:$C$2000,AS$1))</f>
        <v>0</v>
      </c>
      <c r="AT49" cm="1">
        <f t="array" ref="AT49">SUMPRODUCT(('Team Lineups'!$K$2:$K$2000&lt;&gt;"")*('Team Lineups'!$C$2:$C$2000=$A49)*COUNTIFS('Team Lineups'!$K$2:$K$2000,'Team Lineups'!$K$2:$K$2000,'Team Lineups'!$C$2:$C$2000,AT$1))</f>
        <v>0</v>
      </c>
      <c r="AU49" cm="1">
        <f t="array" ref="AU49">SUMPRODUCT(('Team Lineups'!$K$2:$K$2000&lt;&gt;"")*('Team Lineups'!$C$2:$C$2000=$A49)*COUNTIFS('Team Lineups'!$K$2:$K$2000,'Team Lineups'!$K$2:$K$2000,'Team Lineups'!$C$2:$C$2000,AU$1))</f>
        <v>0</v>
      </c>
      <c r="AV49" cm="1">
        <f t="array" ref="AV49">SUMPRODUCT(('Team Lineups'!$K$2:$K$2000&lt;&gt;"")*('Team Lineups'!$C$2:$C$2000=$A49)*COUNTIFS('Team Lineups'!$K$2:$K$2000,'Team Lineups'!$K$2:$K$2000,'Team Lineups'!$C$2:$C$2000,AV$1))</f>
        <v>0</v>
      </c>
      <c r="AW49" cm="1">
        <f t="array" ref="AW49">SUMPRODUCT(('Team Lineups'!$K$2:$K$2000&lt;&gt;"")*('Team Lineups'!$C$2:$C$2000=$A49)*COUNTIFS('Team Lineups'!$K$2:$K$2000,'Team Lineups'!$K$2:$K$2000,'Team Lineups'!$C$2:$C$2000,AW$1))</f>
        <v>1</v>
      </c>
      <c r="AX49" cm="1">
        <f t="array" ref="AX49">SUMPRODUCT(('Team Lineups'!$K$2:$K$2000&lt;&gt;"")*('Team Lineups'!$C$2:$C$2000=$A49)*COUNTIFS('Team Lineups'!$K$2:$K$2000,'Team Lineups'!$K$2:$K$2000,'Team Lineups'!$C$2:$C$2000,AX$1))</f>
        <v>0</v>
      </c>
      <c r="AY49" cm="1">
        <f t="array" ref="AY49">SUMPRODUCT(('Team Lineups'!$K$2:$K$2000&lt;&gt;"")*('Team Lineups'!$C$2:$C$2000=$A49)*COUNTIFS('Team Lineups'!$K$2:$K$2000,'Team Lineups'!$K$2:$K$2000,'Team Lineups'!$C$2:$C$2000,AY$1))</f>
        <v>0</v>
      </c>
    </row>
    <row r="50" spans="1:51" x14ac:dyDescent="0.35">
      <c r="A50" t="str">
        <v>Felipe</v>
      </c>
      <c r="B50" cm="1">
        <f t="array" ref="B50">SUMPRODUCT(('Team Lineups'!$K$2:$K$2000&lt;&gt;"")*('Team Lineups'!$C$2:$C$2000=$A50)*COUNTIFS('Team Lineups'!$K$2:$K$2000,'Team Lineups'!$K$2:$K$2000,'Team Lineups'!$C$2:$C$2000,B$1))</f>
        <v>0</v>
      </c>
      <c r="C50" cm="1">
        <f t="array" ref="C50">SUMPRODUCT(('Team Lineups'!$K$2:$K$2000&lt;&gt;"")*('Team Lineups'!$C$2:$C$2000=$A50)*COUNTIFS('Team Lineups'!$K$2:$K$2000,'Team Lineups'!$K$2:$K$2000,'Team Lineups'!$C$2:$C$2000,C$1))</f>
        <v>0</v>
      </c>
      <c r="D50" cm="1">
        <f t="array" ref="D50">SUMPRODUCT(('Team Lineups'!$K$2:$K$2000&lt;&gt;"")*('Team Lineups'!$C$2:$C$2000=$A50)*COUNTIFS('Team Lineups'!$K$2:$K$2000,'Team Lineups'!$K$2:$K$2000,'Team Lineups'!$C$2:$C$2000,D$1))</f>
        <v>0</v>
      </c>
      <c r="E50" cm="1">
        <f t="array" ref="E50">SUMPRODUCT(('Team Lineups'!$K$2:$K$2000&lt;&gt;"")*('Team Lineups'!$C$2:$C$2000=$A50)*COUNTIFS('Team Lineups'!$K$2:$K$2000,'Team Lineups'!$K$2:$K$2000,'Team Lineups'!$C$2:$C$2000,E$1))</f>
        <v>0</v>
      </c>
      <c r="F50" cm="1">
        <f t="array" ref="F50">SUMPRODUCT(('Team Lineups'!$K$2:$K$2000&lt;&gt;"")*('Team Lineups'!$C$2:$C$2000=$A50)*COUNTIFS('Team Lineups'!$K$2:$K$2000,'Team Lineups'!$K$2:$K$2000,'Team Lineups'!$C$2:$C$2000,F$1))</f>
        <v>0</v>
      </c>
      <c r="G50" cm="1">
        <f t="array" ref="G50">SUMPRODUCT(('Team Lineups'!$K$2:$K$2000&lt;&gt;"")*('Team Lineups'!$C$2:$C$2000=$A50)*COUNTIFS('Team Lineups'!$K$2:$K$2000,'Team Lineups'!$K$2:$K$2000,'Team Lineups'!$C$2:$C$2000,G$1))</f>
        <v>1</v>
      </c>
      <c r="H50" cm="1">
        <f t="array" ref="H50">SUMPRODUCT(('Team Lineups'!$K$2:$K$2000&lt;&gt;"")*('Team Lineups'!$C$2:$C$2000=$A50)*COUNTIFS('Team Lineups'!$K$2:$K$2000,'Team Lineups'!$K$2:$K$2000,'Team Lineups'!$C$2:$C$2000,H$1))</f>
        <v>0</v>
      </c>
      <c r="I50" cm="1">
        <f t="array" ref="I50">SUMPRODUCT(('Team Lineups'!$K$2:$K$2000&lt;&gt;"")*('Team Lineups'!$C$2:$C$2000=$A50)*COUNTIFS('Team Lineups'!$K$2:$K$2000,'Team Lineups'!$K$2:$K$2000,'Team Lineups'!$C$2:$C$2000,I$1))</f>
        <v>0</v>
      </c>
      <c r="J50" cm="1">
        <f t="array" ref="J50">SUMPRODUCT(('Team Lineups'!$K$2:$K$2000&lt;&gt;"")*('Team Lineups'!$C$2:$C$2000=$A50)*COUNTIFS('Team Lineups'!$K$2:$K$2000,'Team Lineups'!$K$2:$K$2000,'Team Lineups'!$C$2:$C$2000,J$1))</f>
        <v>0</v>
      </c>
      <c r="K50" cm="1">
        <f t="array" ref="K50">SUMPRODUCT(('Team Lineups'!$K$2:$K$2000&lt;&gt;"")*('Team Lineups'!$C$2:$C$2000=$A50)*COUNTIFS('Team Lineups'!$K$2:$K$2000,'Team Lineups'!$K$2:$K$2000,'Team Lineups'!$C$2:$C$2000,K$1))</f>
        <v>0</v>
      </c>
      <c r="L50" cm="1">
        <f t="array" ref="L50">SUMPRODUCT(('Team Lineups'!$K$2:$K$2000&lt;&gt;"")*('Team Lineups'!$C$2:$C$2000=$A50)*COUNTIFS('Team Lineups'!$K$2:$K$2000,'Team Lineups'!$K$2:$K$2000,'Team Lineups'!$C$2:$C$2000,L$1))</f>
        <v>0</v>
      </c>
      <c r="M50" cm="1">
        <f t="array" ref="M50">SUMPRODUCT(('Team Lineups'!$K$2:$K$2000&lt;&gt;"")*('Team Lineups'!$C$2:$C$2000=$A50)*COUNTIFS('Team Lineups'!$K$2:$K$2000,'Team Lineups'!$K$2:$K$2000,'Team Lineups'!$C$2:$C$2000,M$1))</f>
        <v>1</v>
      </c>
      <c r="N50" cm="1">
        <f t="array" ref="N50">SUMPRODUCT(('Team Lineups'!$K$2:$K$2000&lt;&gt;"")*('Team Lineups'!$C$2:$C$2000=$A50)*COUNTIFS('Team Lineups'!$K$2:$K$2000,'Team Lineups'!$K$2:$K$2000,'Team Lineups'!$C$2:$C$2000,N$1))</f>
        <v>0</v>
      </c>
      <c r="O50" cm="1">
        <f t="array" ref="O50">SUMPRODUCT(('Team Lineups'!$K$2:$K$2000&lt;&gt;"")*('Team Lineups'!$C$2:$C$2000=$A50)*COUNTIFS('Team Lineups'!$K$2:$K$2000,'Team Lineups'!$K$2:$K$2000,'Team Lineups'!$C$2:$C$2000,O$1))</f>
        <v>0</v>
      </c>
      <c r="P50" cm="1">
        <f t="array" ref="P50">SUMPRODUCT(('Team Lineups'!$K$2:$K$2000&lt;&gt;"")*('Team Lineups'!$C$2:$C$2000=$A50)*COUNTIFS('Team Lineups'!$K$2:$K$2000,'Team Lineups'!$K$2:$K$2000,'Team Lineups'!$C$2:$C$2000,P$1))</f>
        <v>0</v>
      </c>
      <c r="Q50" cm="1">
        <f t="array" ref="Q50">SUMPRODUCT(('Team Lineups'!$K$2:$K$2000&lt;&gt;"")*('Team Lineups'!$C$2:$C$2000=$A50)*COUNTIFS('Team Lineups'!$K$2:$K$2000,'Team Lineups'!$K$2:$K$2000,'Team Lineups'!$C$2:$C$2000,Q$1))</f>
        <v>0</v>
      </c>
      <c r="R50" cm="1">
        <f t="array" ref="R50">SUMPRODUCT(('Team Lineups'!$K$2:$K$2000&lt;&gt;"")*('Team Lineups'!$C$2:$C$2000=$A50)*COUNTIFS('Team Lineups'!$K$2:$K$2000,'Team Lineups'!$K$2:$K$2000,'Team Lineups'!$C$2:$C$2000,R$1))</f>
        <v>1</v>
      </c>
      <c r="S50" cm="1">
        <f t="array" ref="S50">SUMPRODUCT(('Team Lineups'!$K$2:$K$2000&lt;&gt;"")*('Team Lineups'!$C$2:$C$2000=$A50)*COUNTIFS('Team Lineups'!$K$2:$K$2000,'Team Lineups'!$K$2:$K$2000,'Team Lineups'!$C$2:$C$2000,S$1))</f>
        <v>0</v>
      </c>
      <c r="T50" cm="1">
        <f t="array" ref="T50">SUMPRODUCT(('Team Lineups'!$K$2:$K$2000&lt;&gt;"")*('Team Lineups'!$C$2:$C$2000=$A50)*COUNTIFS('Team Lineups'!$K$2:$K$2000,'Team Lineups'!$K$2:$K$2000,'Team Lineups'!$C$2:$C$2000,T$1))</f>
        <v>0</v>
      </c>
      <c r="U50" cm="1">
        <f t="array" ref="U50">SUMPRODUCT(('Team Lineups'!$K$2:$K$2000&lt;&gt;"")*('Team Lineups'!$C$2:$C$2000=$A50)*COUNTIFS('Team Lineups'!$K$2:$K$2000,'Team Lineups'!$K$2:$K$2000,'Team Lineups'!$C$2:$C$2000,U$1))</f>
        <v>0</v>
      </c>
      <c r="V50" cm="1">
        <f t="array" ref="V50">SUMPRODUCT(('Team Lineups'!$K$2:$K$2000&lt;&gt;"")*('Team Lineups'!$C$2:$C$2000=$A50)*COUNTIFS('Team Lineups'!$K$2:$K$2000,'Team Lineups'!$K$2:$K$2000,'Team Lineups'!$C$2:$C$2000,V$1))</f>
        <v>0</v>
      </c>
      <c r="W50" cm="1">
        <f t="array" ref="W50">SUMPRODUCT(('Team Lineups'!$K$2:$K$2000&lt;&gt;"")*('Team Lineups'!$C$2:$C$2000=$A50)*COUNTIFS('Team Lineups'!$K$2:$K$2000,'Team Lineups'!$K$2:$K$2000,'Team Lineups'!$C$2:$C$2000,W$1))</f>
        <v>0</v>
      </c>
      <c r="X50" cm="1">
        <f t="array" ref="X50">SUMPRODUCT(('Team Lineups'!$K$2:$K$2000&lt;&gt;"")*('Team Lineups'!$C$2:$C$2000=$A50)*COUNTIFS('Team Lineups'!$K$2:$K$2000,'Team Lineups'!$K$2:$K$2000,'Team Lineups'!$C$2:$C$2000,X$1))</f>
        <v>0</v>
      </c>
      <c r="Y50" cm="1">
        <f t="array" ref="Y50">SUMPRODUCT(('Team Lineups'!$K$2:$K$2000&lt;&gt;"")*('Team Lineups'!$C$2:$C$2000=$A50)*COUNTIFS('Team Lineups'!$K$2:$K$2000,'Team Lineups'!$K$2:$K$2000,'Team Lineups'!$C$2:$C$2000,Y$1))</f>
        <v>0</v>
      </c>
      <c r="Z50" cm="1">
        <f t="array" ref="Z50">SUMPRODUCT(('Team Lineups'!$K$2:$K$2000&lt;&gt;"")*('Team Lineups'!$C$2:$C$2000=$A50)*COUNTIFS('Team Lineups'!$K$2:$K$2000,'Team Lineups'!$K$2:$K$2000,'Team Lineups'!$C$2:$C$2000,Z$1))</f>
        <v>0</v>
      </c>
      <c r="AA50" cm="1">
        <f t="array" ref="AA50">SUMPRODUCT(('Team Lineups'!$K$2:$K$2000&lt;&gt;"")*('Team Lineups'!$C$2:$C$2000=$A50)*COUNTIFS('Team Lineups'!$K$2:$K$2000,'Team Lineups'!$K$2:$K$2000,'Team Lineups'!$C$2:$C$2000,AA$1))</f>
        <v>0</v>
      </c>
      <c r="AB50" cm="1">
        <f t="array" ref="AB50">SUMPRODUCT(('Team Lineups'!$K$2:$K$2000&lt;&gt;"")*('Team Lineups'!$C$2:$C$2000=$A50)*COUNTIFS('Team Lineups'!$K$2:$K$2000,'Team Lineups'!$K$2:$K$2000,'Team Lineups'!$C$2:$C$2000,AB$1))</f>
        <v>0</v>
      </c>
      <c r="AC50" cm="1">
        <f t="array" ref="AC50">SUMPRODUCT(('Team Lineups'!$K$2:$K$2000&lt;&gt;"")*('Team Lineups'!$C$2:$C$2000=$A50)*COUNTIFS('Team Lineups'!$K$2:$K$2000,'Team Lineups'!$K$2:$K$2000,'Team Lineups'!$C$2:$C$2000,AC$1))</f>
        <v>0</v>
      </c>
      <c r="AD50" cm="1">
        <f t="array" ref="AD50">SUMPRODUCT(('Team Lineups'!$K$2:$K$2000&lt;&gt;"")*('Team Lineups'!$C$2:$C$2000=$A50)*COUNTIFS('Team Lineups'!$K$2:$K$2000,'Team Lineups'!$K$2:$K$2000,'Team Lineups'!$C$2:$C$2000,AD$1))</f>
        <v>0</v>
      </c>
      <c r="AE50" cm="1">
        <f t="array" ref="AE50">SUMPRODUCT(('Team Lineups'!$K$2:$K$2000&lt;&gt;"")*('Team Lineups'!$C$2:$C$2000=$A50)*COUNTIFS('Team Lineups'!$K$2:$K$2000,'Team Lineups'!$K$2:$K$2000,'Team Lineups'!$C$2:$C$2000,AE$1))</f>
        <v>0</v>
      </c>
      <c r="AF50" cm="1">
        <f t="array" ref="AF50">SUMPRODUCT(('Team Lineups'!$K$2:$K$2000&lt;&gt;"")*('Team Lineups'!$C$2:$C$2000=$A50)*COUNTIFS('Team Lineups'!$K$2:$K$2000,'Team Lineups'!$K$2:$K$2000,'Team Lineups'!$C$2:$C$2000,AF$1))</f>
        <v>0</v>
      </c>
      <c r="AG50" cm="1">
        <f t="array" ref="AG50">SUMPRODUCT(('Team Lineups'!$K$2:$K$2000&lt;&gt;"")*('Team Lineups'!$C$2:$C$2000=$A50)*COUNTIFS('Team Lineups'!$K$2:$K$2000,'Team Lineups'!$K$2:$K$2000,'Team Lineups'!$C$2:$C$2000,AG$1))</f>
        <v>0</v>
      </c>
      <c r="AH50" cm="1">
        <f t="array" ref="AH50">SUMPRODUCT(('Team Lineups'!$K$2:$K$2000&lt;&gt;"")*('Team Lineups'!$C$2:$C$2000=$A50)*COUNTIFS('Team Lineups'!$K$2:$K$2000,'Team Lineups'!$K$2:$K$2000,'Team Lineups'!$C$2:$C$2000,AH$1))</f>
        <v>0</v>
      </c>
      <c r="AI50" cm="1">
        <f t="array" ref="AI50">SUMPRODUCT(('Team Lineups'!$K$2:$K$2000&lt;&gt;"")*('Team Lineups'!$C$2:$C$2000=$A50)*COUNTIFS('Team Lineups'!$K$2:$K$2000,'Team Lineups'!$K$2:$K$2000,'Team Lineups'!$C$2:$C$2000,AI$1))</f>
        <v>0</v>
      </c>
      <c r="AJ50" cm="1">
        <f t="array" ref="AJ50">SUMPRODUCT(('Team Lineups'!$K$2:$K$2000&lt;&gt;"")*('Team Lineups'!$C$2:$C$2000=$A50)*COUNTIFS('Team Lineups'!$K$2:$K$2000,'Team Lineups'!$K$2:$K$2000,'Team Lineups'!$C$2:$C$2000,AJ$1))</f>
        <v>0</v>
      </c>
      <c r="AK50" cm="1">
        <f t="array" ref="AK50">SUMPRODUCT(('Team Lineups'!$K$2:$K$2000&lt;&gt;"")*('Team Lineups'!$C$2:$C$2000=$A50)*COUNTIFS('Team Lineups'!$K$2:$K$2000,'Team Lineups'!$K$2:$K$2000,'Team Lineups'!$C$2:$C$2000,AK$1))</f>
        <v>0</v>
      </c>
      <c r="AL50" cm="1">
        <f t="array" ref="AL50">SUMPRODUCT(('Team Lineups'!$K$2:$K$2000&lt;&gt;"")*('Team Lineups'!$C$2:$C$2000=$A50)*COUNTIFS('Team Lineups'!$K$2:$K$2000,'Team Lineups'!$K$2:$K$2000,'Team Lineups'!$C$2:$C$2000,AL$1))</f>
        <v>1</v>
      </c>
      <c r="AM50" cm="1">
        <f t="array" ref="AM50">SUMPRODUCT(('Team Lineups'!$K$2:$K$2000&lt;&gt;"")*('Team Lineups'!$C$2:$C$2000=$A50)*COUNTIFS('Team Lineups'!$K$2:$K$2000,'Team Lineups'!$K$2:$K$2000,'Team Lineups'!$C$2:$C$2000,AM$1))</f>
        <v>0</v>
      </c>
      <c r="AN50" cm="1">
        <f t="array" ref="AN50">SUMPRODUCT(('Team Lineups'!$K$2:$K$2000&lt;&gt;"")*('Team Lineups'!$C$2:$C$2000=$A50)*COUNTIFS('Team Lineups'!$K$2:$K$2000,'Team Lineups'!$K$2:$K$2000,'Team Lineups'!$C$2:$C$2000,AN$1))</f>
        <v>0</v>
      </c>
      <c r="AO50" cm="1">
        <f t="array" ref="AO50">SUMPRODUCT(('Team Lineups'!$K$2:$K$2000&lt;&gt;"")*('Team Lineups'!$C$2:$C$2000=$A50)*COUNTIFS('Team Lineups'!$K$2:$K$2000,'Team Lineups'!$K$2:$K$2000,'Team Lineups'!$C$2:$C$2000,AO$1))</f>
        <v>0</v>
      </c>
      <c r="AP50" cm="1">
        <f t="array" ref="AP50">SUMPRODUCT(('Team Lineups'!$K$2:$K$2000&lt;&gt;"")*('Team Lineups'!$C$2:$C$2000=$A50)*COUNTIFS('Team Lineups'!$K$2:$K$2000,'Team Lineups'!$K$2:$K$2000,'Team Lineups'!$C$2:$C$2000,AP$1))</f>
        <v>0</v>
      </c>
      <c r="AQ50" cm="1">
        <f t="array" ref="AQ50">SUMPRODUCT(('Team Lineups'!$K$2:$K$2000&lt;&gt;"")*('Team Lineups'!$C$2:$C$2000=$A50)*COUNTIFS('Team Lineups'!$K$2:$K$2000,'Team Lineups'!$K$2:$K$2000,'Team Lineups'!$C$2:$C$2000,AQ$1))</f>
        <v>0</v>
      </c>
      <c r="AR50" cm="1">
        <f t="array" ref="AR50">SUMPRODUCT(('Team Lineups'!$K$2:$K$2000&lt;&gt;"")*('Team Lineups'!$C$2:$C$2000=$A50)*COUNTIFS('Team Lineups'!$K$2:$K$2000,'Team Lineups'!$K$2:$K$2000,'Team Lineups'!$C$2:$C$2000,AR$1))</f>
        <v>0</v>
      </c>
      <c r="AS50" cm="1">
        <f t="array" ref="AS50">SUMPRODUCT(('Team Lineups'!$K$2:$K$2000&lt;&gt;"")*('Team Lineups'!$C$2:$C$2000=$A50)*COUNTIFS('Team Lineups'!$K$2:$K$2000,'Team Lineups'!$K$2:$K$2000,'Team Lineups'!$C$2:$C$2000,AS$1))</f>
        <v>0</v>
      </c>
      <c r="AT50" cm="1">
        <f t="array" ref="AT50">SUMPRODUCT(('Team Lineups'!$K$2:$K$2000&lt;&gt;"")*('Team Lineups'!$C$2:$C$2000=$A50)*COUNTIFS('Team Lineups'!$K$2:$K$2000,'Team Lineups'!$K$2:$K$2000,'Team Lineups'!$C$2:$C$2000,AT$1))</f>
        <v>0</v>
      </c>
      <c r="AU50" cm="1">
        <f t="array" ref="AU50">SUMPRODUCT(('Team Lineups'!$K$2:$K$2000&lt;&gt;"")*('Team Lineups'!$C$2:$C$2000=$A50)*COUNTIFS('Team Lineups'!$K$2:$K$2000,'Team Lineups'!$K$2:$K$2000,'Team Lineups'!$C$2:$C$2000,AU$1))</f>
        <v>0</v>
      </c>
      <c r="AV50" cm="1">
        <f t="array" ref="AV50">SUMPRODUCT(('Team Lineups'!$K$2:$K$2000&lt;&gt;"")*('Team Lineups'!$C$2:$C$2000=$A50)*COUNTIFS('Team Lineups'!$K$2:$K$2000,'Team Lineups'!$K$2:$K$2000,'Team Lineups'!$C$2:$C$2000,AV$1))</f>
        <v>0</v>
      </c>
      <c r="AW50" cm="1">
        <f t="array" ref="AW50">SUMPRODUCT(('Team Lineups'!$K$2:$K$2000&lt;&gt;"")*('Team Lineups'!$C$2:$C$2000=$A50)*COUNTIFS('Team Lineups'!$K$2:$K$2000,'Team Lineups'!$K$2:$K$2000,'Team Lineups'!$C$2:$C$2000,AW$1))</f>
        <v>0</v>
      </c>
      <c r="AX50" cm="1">
        <f t="array" ref="AX50">SUMPRODUCT(('Team Lineups'!$K$2:$K$2000&lt;&gt;"")*('Team Lineups'!$C$2:$C$2000=$A50)*COUNTIFS('Team Lineups'!$K$2:$K$2000,'Team Lineups'!$K$2:$K$2000,'Team Lineups'!$C$2:$C$2000,AX$1))</f>
        <v>1</v>
      </c>
      <c r="AY50" cm="1">
        <f t="array" ref="AY50">SUMPRODUCT(('Team Lineups'!$K$2:$K$2000&lt;&gt;"")*('Team Lineups'!$C$2:$C$2000=$A50)*COUNTIFS('Team Lineups'!$K$2:$K$2000,'Team Lineups'!$K$2:$K$2000,'Team Lineups'!$C$2:$C$2000,AY$1))</f>
        <v>0</v>
      </c>
    </row>
    <row r="51" spans="1:51" x14ac:dyDescent="0.35">
      <c r="A51" t="str">
        <v>Georgian</v>
      </c>
      <c r="B51" cm="1">
        <f t="array" ref="B51">SUMPRODUCT(('Team Lineups'!$K$2:$K$2000&lt;&gt;"")*('Team Lineups'!$C$2:$C$2000=$A51)*COUNTIFS('Team Lineups'!$K$2:$K$2000,'Team Lineups'!$K$2:$K$2000,'Team Lineups'!$C$2:$C$2000,B$1))</f>
        <v>0</v>
      </c>
      <c r="C51" cm="1">
        <f t="array" ref="C51">SUMPRODUCT(('Team Lineups'!$K$2:$K$2000&lt;&gt;"")*('Team Lineups'!$C$2:$C$2000=$A51)*COUNTIFS('Team Lineups'!$K$2:$K$2000,'Team Lineups'!$K$2:$K$2000,'Team Lineups'!$C$2:$C$2000,C$1))</f>
        <v>0</v>
      </c>
      <c r="D51" cm="1">
        <f t="array" ref="D51">SUMPRODUCT(('Team Lineups'!$K$2:$K$2000&lt;&gt;"")*('Team Lineups'!$C$2:$C$2000=$A51)*COUNTIFS('Team Lineups'!$K$2:$K$2000,'Team Lineups'!$K$2:$K$2000,'Team Lineups'!$C$2:$C$2000,D$1))</f>
        <v>0</v>
      </c>
      <c r="E51" cm="1">
        <f t="array" ref="E51">SUMPRODUCT(('Team Lineups'!$K$2:$K$2000&lt;&gt;"")*('Team Lineups'!$C$2:$C$2000=$A51)*COUNTIFS('Team Lineups'!$K$2:$K$2000,'Team Lineups'!$K$2:$K$2000,'Team Lineups'!$C$2:$C$2000,E$1))</f>
        <v>0</v>
      </c>
      <c r="F51" cm="1">
        <f t="array" ref="F51">SUMPRODUCT(('Team Lineups'!$K$2:$K$2000&lt;&gt;"")*('Team Lineups'!$C$2:$C$2000=$A51)*COUNTIFS('Team Lineups'!$K$2:$K$2000,'Team Lineups'!$K$2:$K$2000,'Team Lineups'!$C$2:$C$2000,F$1))</f>
        <v>0</v>
      </c>
      <c r="G51" cm="1">
        <f t="array" ref="G51">SUMPRODUCT(('Team Lineups'!$K$2:$K$2000&lt;&gt;"")*('Team Lineups'!$C$2:$C$2000=$A51)*COUNTIFS('Team Lineups'!$K$2:$K$2000,'Team Lineups'!$K$2:$K$2000,'Team Lineups'!$C$2:$C$2000,G$1))</f>
        <v>0</v>
      </c>
      <c r="H51" cm="1">
        <f t="array" ref="H51">SUMPRODUCT(('Team Lineups'!$K$2:$K$2000&lt;&gt;"")*('Team Lineups'!$C$2:$C$2000=$A51)*COUNTIFS('Team Lineups'!$K$2:$K$2000,'Team Lineups'!$K$2:$K$2000,'Team Lineups'!$C$2:$C$2000,H$1))</f>
        <v>1</v>
      </c>
      <c r="I51" cm="1">
        <f t="array" ref="I51">SUMPRODUCT(('Team Lineups'!$K$2:$K$2000&lt;&gt;"")*('Team Lineups'!$C$2:$C$2000=$A51)*COUNTIFS('Team Lineups'!$K$2:$K$2000,'Team Lineups'!$K$2:$K$2000,'Team Lineups'!$C$2:$C$2000,I$1))</f>
        <v>1</v>
      </c>
      <c r="J51" cm="1">
        <f t="array" ref="J51">SUMPRODUCT(('Team Lineups'!$K$2:$K$2000&lt;&gt;"")*('Team Lineups'!$C$2:$C$2000=$A51)*COUNTIFS('Team Lineups'!$K$2:$K$2000,'Team Lineups'!$K$2:$K$2000,'Team Lineups'!$C$2:$C$2000,J$1))</f>
        <v>0</v>
      </c>
      <c r="K51" cm="1">
        <f t="array" ref="K51">SUMPRODUCT(('Team Lineups'!$K$2:$K$2000&lt;&gt;"")*('Team Lineups'!$C$2:$C$2000=$A51)*COUNTIFS('Team Lineups'!$K$2:$K$2000,'Team Lineups'!$K$2:$K$2000,'Team Lineups'!$C$2:$C$2000,K$1))</f>
        <v>0</v>
      </c>
      <c r="L51" cm="1">
        <f t="array" ref="L51">SUMPRODUCT(('Team Lineups'!$K$2:$K$2000&lt;&gt;"")*('Team Lineups'!$C$2:$C$2000=$A51)*COUNTIFS('Team Lineups'!$K$2:$K$2000,'Team Lineups'!$K$2:$K$2000,'Team Lineups'!$C$2:$C$2000,L$1))</f>
        <v>1</v>
      </c>
      <c r="M51" cm="1">
        <f t="array" ref="M51">SUMPRODUCT(('Team Lineups'!$K$2:$K$2000&lt;&gt;"")*('Team Lineups'!$C$2:$C$2000=$A51)*COUNTIFS('Team Lineups'!$K$2:$K$2000,'Team Lineups'!$K$2:$K$2000,'Team Lineups'!$C$2:$C$2000,M$1))</f>
        <v>0</v>
      </c>
      <c r="N51" cm="1">
        <f t="array" ref="N51">SUMPRODUCT(('Team Lineups'!$K$2:$K$2000&lt;&gt;"")*('Team Lineups'!$C$2:$C$2000=$A51)*COUNTIFS('Team Lineups'!$K$2:$K$2000,'Team Lineups'!$K$2:$K$2000,'Team Lineups'!$C$2:$C$2000,N$1))</f>
        <v>1</v>
      </c>
      <c r="O51" cm="1">
        <f t="array" ref="O51">SUMPRODUCT(('Team Lineups'!$K$2:$K$2000&lt;&gt;"")*('Team Lineups'!$C$2:$C$2000=$A51)*COUNTIFS('Team Lineups'!$K$2:$K$2000,'Team Lineups'!$K$2:$K$2000,'Team Lineups'!$C$2:$C$2000,O$1))</f>
        <v>0</v>
      </c>
      <c r="P51" cm="1">
        <f t="array" ref="P51">SUMPRODUCT(('Team Lineups'!$K$2:$K$2000&lt;&gt;"")*('Team Lineups'!$C$2:$C$2000=$A51)*COUNTIFS('Team Lineups'!$K$2:$K$2000,'Team Lineups'!$K$2:$K$2000,'Team Lineups'!$C$2:$C$2000,P$1))</f>
        <v>0</v>
      </c>
      <c r="Q51" cm="1">
        <f t="array" ref="Q51">SUMPRODUCT(('Team Lineups'!$K$2:$K$2000&lt;&gt;"")*('Team Lineups'!$C$2:$C$2000=$A51)*COUNTIFS('Team Lineups'!$K$2:$K$2000,'Team Lineups'!$K$2:$K$2000,'Team Lineups'!$C$2:$C$2000,Q$1))</f>
        <v>0</v>
      </c>
      <c r="R51" cm="1">
        <f t="array" ref="R51">SUMPRODUCT(('Team Lineups'!$K$2:$K$2000&lt;&gt;"")*('Team Lineups'!$C$2:$C$2000=$A51)*COUNTIFS('Team Lineups'!$K$2:$K$2000,'Team Lineups'!$K$2:$K$2000,'Team Lineups'!$C$2:$C$2000,R$1))</f>
        <v>0</v>
      </c>
      <c r="S51" cm="1">
        <f t="array" ref="S51">SUMPRODUCT(('Team Lineups'!$K$2:$K$2000&lt;&gt;"")*('Team Lineups'!$C$2:$C$2000=$A51)*COUNTIFS('Team Lineups'!$K$2:$K$2000,'Team Lineups'!$K$2:$K$2000,'Team Lineups'!$C$2:$C$2000,S$1))</f>
        <v>0</v>
      </c>
      <c r="T51" cm="1">
        <f t="array" ref="T51">SUMPRODUCT(('Team Lineups'!$K$2:$K$2000&lt;&gt;"")*('Team Lineups'!$C$2:$C$2000=$A51)*COUNTIFS('Team Lineups'!$K$2:$K$2000,'Team Lineups'!$K$2:$K$2000,'Team Lineups'!$C$2:$C$2000,T$1))</f>
        <v>0</v>
      </c>
      <c r="U51" cm="1">
        <f t="array" ref="U51">SUMPRODUCT(('Team Lineups'!$K$2:$K$2000&lt;&gt;"")*('Team Lineups'!$C$2:$C$2000=$A51)*COUNTIFS('Team Lineups'!$K$2:$K$2000,'Team Lineups'!$K$2:$K$2000,'Team Lineups'!$C$2:$C$2000,U$1))</f>
        <v>0</v>
      </c>
      <c r="V51" cm="1">
        <f t="array" ref="V51">SUMPRODUCT(('Team Lineups'!$K$2:$K$2000&lt;&gt;"")*('Team Lineups'!$C$2:$C$2000=$A51)*COUNTIFS('Team Lineups'!$K$2:$K$2000,'Team Lineups'!$K$2:$K$2000,'Team Lineups'!$C$2:$C$2000,V$1))</f>
        <v>0</v>
      </c>
      <c r="W51" cm="1">
        <f t="array" ref="W51">SUMPRODUCT(('Team Lineups'!$K$2:$K$2000&lt;&gt;"")*('Team Lineups'!$C$2:$C$2000=$A51)*COUNTIFS('Team Lineups'!$K$2:$K$2000,'Team Lineups'!$K$2:$K$2000,'Team Lineups'!$C$2:$C$2000,W$1))</f>
        <v>0</v>
      </c>
      <c r="X51" cm="1">
        <f t="array" ref="X51">SUMPRODUCT(('Team Lineups'!$K$2:$K$2000&lt;&gt;"")*('Team Lineups'!$C$2:$C$2000=$A51)*COUNTIFS('Team Lineups'!$K$2:$K$2000,'Team Lineups'!$K$2:$K$2000,'Team Lineups'!$C$2:$C$2000,X$1))</f>
        <v>0</v>
      </c>
      <c r="Y51" cm="1">
        <f t="array" ref="Y51">SUMPRODUCT(('Team Lineups'!$K$2:$K$2000&lt;&gt;"")*('Team Lineups'!$C$2:$C$2000=$A51)*COUNTIFS('Team Lineups'!$K$2:$K$2000,'Team Lineups'!$K$2:$K$2000,'Team Lineups'!$C$2:$C$2000,Y$1))</f>
        <v>0</v>
      </c>
      <c r="Z51" cm="1">
        <f t="array" ref="Z51">SUMPRODUCT(('Team Lineups'!$K$2:$K$2000&lt;&gt;"")*('Team Lineups'!$C$2:$C$2000=$A51)*COUNTIFS('Team Lineups'!$K$2:$K$2000,'Team Lineups'!$K$2:$K$2000,'Team Lineups'!$C$2:$C$2000,Z$1))</f>
        <v>0</v>
      </c>
      <c r="AA51" cm="1">
        <f t="array" ref="AA51">SUMPRODUCT(('Team Lineups'!$K$2:$K$2000&lt;&gt;"")*('Team Lineups'!$C$2:$C$2000=$A51)*COUNTIFS('Team Lineups'!$K$2:$K$2000,'Team Lineups'!$K$2:$K$2000,'Team Lineups'!$C$2:$C$2000,AA$1))</f>
        <v>1</v>
      </c>
      <c r="AB51" cm="1">
        <f t="array" ref="AB51">SUMPRODUCT(('Team Lineups'!$K$2:$K$2000&lt;&gt;"")*('Team Lineups'!$C$2:$C$2000=$A51)*COUNTIFS('Team Lineups'!$K$2:$K$2000,'Team Lineups'!$K$2:$K$2000,'Team Lineups'!$C$2:$C$2000,AB$1))</f>
        <v>1</v>
      </c>
      <c r="AC51" cm="1">
        <f t="array" ref="AC51">SUMPRODUCT(('Team Lineups'!$K$2:$K$2000&lt;&gt;"")*('Team Lineups'!$C$2:$C$2000=$A51)*COUNTIFS('Team Lineups'!$K$2:$K$2000,'Team Lineups'!$K$2:$K$2000,'Team Lineups'!$C$2:$C$2000,AC$1))</f>
        <v>0</v>
      </c>
      <c r="AD51" cm="1">
        <f t="array" ref="AD51">SUMPRODUCT(('Team Lineups'!$K$2:$K$2000&lt;&gt;"")*('Team Lineups'!$C$2:$C$2000=$A51)*COUNTIFS('Team Lineups'!$K$2:$K$2000,'Team Lineups'!$K$2:$K$2000,'Team Lineups'!$C$2:$C$2000,AD$1))</f>
        <v>1</v>
      </c>
      <c r="AE51" cm="1">
        <f t="array" ref="AE51">SUMPRODUCT(('Team Lineups'!$K$2:$K$2000&lt;&gt;"")*('Team Lineups'!$C$2:$C$2000=$A51)*COUNTIFS('Team Lineups'!$K$2:$K$2000,'Team Lineups'!$K$2:$K$2000,'Team Lineups'!$C$2:$C$2000,AE$1))</f>
        <v>0</v>
      </c>
      <c r="AF51" cm="1">
        <f t="array" ref="AF51">SUMPRODUCT(('Team Lineups'!$K$2:$K$2000&lt;&gt;"")*('Team Lineups'!$C$2:$C$2000=$A51)*COUNTIFS('Team Lineups'!$K$2:$K$2000,'Team Lineups'!$K$2:$K$2000,'Team Lineups'!$C$2:$C$2000,AF$1))</f>
        <v>0</v>
      </c>
      <c r="AG51" cm="1">
        <f t="array" ref="AG51">SUMPRODUCT(('Team Lineups'!$K$2:$K$2000&lt;&gt;"")*('Team Lineups'!$C$2:$C$2000=$A51)*COUNTIFS('Team Lineups'!$K$2:$K$2000,'Team Lineups'!$K$2:$K$2000,'Team Lineups'!$C$2:$C$2000,AG$1))</f>
        <v>0</v>
      </c>
      <c r="AH51" cm="1">
        <f t="array" ref="AH51">SUMPRODUCT(('Team Lineups'!$K$2:$K$2000&lt;&gt;"")*('Team Lineups'!$C$2:$C$2000=$A51)*COUNTIFS('Team Lineups'!$K$2:$K$2000,'Team Lineups'!$K$2:$K$2000,'Team Lineups'!$C$2:$C$2000,AH$1))</f>
        <v>0</v>
      </c>
      <c r="AI51" cm="1">
        <f t="array" ref="AI51">SUMPRODUCT(('Team Lineups'!$K$2:$K$2000&lt;&gt;"")*('Team Lineups'!$C$2:$C$2000=$A51)*COUNTIFS('Team Lineups'!$K$2:$K$2000,'Team Lineups'!$K$2:$K$2000,'Team Lineups'!$C$2:$C$2000,AI$1))</f>
        <v>0</v>
      </c>
      <c r="AJ51" cm="1">
        <f t="array" ref="AJ51">SUMPRODUCT(('Team Lineups'!$K$2:$K$2000&lt;&gt;"")*('Team Lineups'!$C$2:$C$2000=$A51)*COUNTIFS('Team Lineups'!$K$2:$K$2000,'Team Lineups'!$K$2:$K$2000,'Team Lineups'!$C$2:$C$2000,AJ$1))</f>
        <v>0</v>
      </c>
      <c r="AK51" cm="1">
        <f t="array" ref="AK51">SUMPRODUCT(('Team Lineups'!$K$2:$K$2000&lt;&gt;"")*('Team Lineups'!$C$2:$C$2000=$A51)*COUNTIFS('Team Lineups'!$K$2:$K$2000,'Team Lineups'!$K$2:$K$2000,'Team Lineups'!$C$2:$C$2000,AK$1))</f>
        <v>0</v>
      </c>
      <c r="AL51" cm="1">
        <f t="array" ref="AL51">SUMPRODUCT(('Team Lineups'!$K$2:$K$2000&lt;&gt;"")*('Team Lineups'!$C$2:$C$2000=$A51)*COUNTIFS('Team Lineups'!$K$2:$K$2000,'Team Lineups'!$K$2:$K$2000,'Team Lineups'!$C$2:$C$2000,AL$1))</f>
        <v>0</v>
      </c>
      <c r="AM51" cm="1">
        <f t="array" ref="AM51">SUMPRODUCT(('Team Lineups'!$K$2:$K$2000&lt;&gt;"")*('Team Lineups'!$C$2:$C$2000=$A51)*COUNTIFS('Team Lineups'!$K$2:$K$2000,'Team Lineups'!$K$2:$K$2000,'Team Lineups'!$C$2:$C$2000,AM$1))</f>
        <v>0</v>
      </c>
      <c r="AN51" cm="1">
        <f t="array" ref="AN51">SUMPRODUCT(('Team Lineups'!$K$2:$K$2000&lt;&gt;"")*('Team Lineups'!$C$2:$C$2000=$A51)*COUNTIFS('Team Lineups'!$K$2:$K$2000,'Team Lineups'!$K$2:$K$2000,'Team Lineups'!$C$2:$C$2000,AN$1))</f>
        <v>0</v>
      </c>
      <c r="AO51" cm="1">
        <f t="array" ref="AO51">SUMPRODUCT(('Team Lineups'!$K$2:$K$2000&lt;&gt;"")*('Team Lineups'!$C$2:$C$2000=$A51)*COUNTIFS('Team Lineups'!$K$2:$K$2000,'Team Lineups'!$K$2:$K$2000,'Team Lineups'!$C$2:$C$2000,AO$1))</f>
        <v>0</v>
      </c>
      <c r="AP51" cm="1">
        <f t="array" ref="AP51">SUMPRODUCT(('Team Lineups'!$K$2:$K$2000&lt;&gt;"")*('Team Lineups'!$C$2:$C$2000=$A51)*COUNTIFS('Team Lineups'!$K$2:$K$2000,'Team Lineups'!$K$2:$K$2000,'Team Lineups'!$C$2:$C$2000,AP$1))</f>
        <v>0</v>
      </c>
      <c r="AQ51" cm="1">
        <f t="array" ref="AQ51">SUMPRODUCT(('Team Lineups'!$K$2:$K$2000&lt;&gt;"")*('Team Lineups'!$C$2:$C$2000=$A51)*COUNTIFS('Team Lineups'!$K$2:$K$2000,'Team Lineups'!$K$2:$K$2000,'Team Lineups'!$C$2:$C$2000,AQ$1))</f>
        <v>0</v>
      </c>
      <c r="AR51" cm="1">
        <f t="array" ref="AR51">SUMPRODUCT(('Team Lineups'!$K$2:$K$2000&lt;&gt;"")*('Team Lineups'!$C$2:$C$2000=$A51)*COUNTIFS('Team Lineups'!$K$2:$K$2000,'Team Lineups'!$K$2:$K$2000,'Team Lineups'!$C$2:$C$2000,AR$1))</f>
        <v>0</v>
      </c>
      <c r="AS51" cm="1">
        <f t="array" ref="AS51">SUMPRODUCT(('Team Lineups'!$K$2:$K$2000&lt;&gt;"")*('Team Lineups'!$C$2:$C$2000=$A51)*COUNTIFS('Team Lineups'!$K$2:$K$2000,'Team Lineups'!$K$2:$K$2000,'Team Lineups'!$C$2:$C$2000,AS$1))</f>
        <v>0</v>
      </c>
      <c r="AT51" cm="1">
        <f t="array" ref="AT51">SUMPRODUCT(('Team Lineups'!$K$2:$K$2000&lt;&gt;"")*('Team Lineups'!$C$2:$C$2000=$A51)*COUNTIFS('Team Lineups'!$K$2:$K$2000,'Team Lineups'!$K$2:$K$2000,'Team Lineups'!$C$2:$C$2000,AT$1))</f>
        <v>0</v>
      </c>
      <c r="AU51" cm="1">
        <f t="array" ref="AU51">SUMPRODUCT(('Team Lineups'!$K$2:$K$2000&lt;&gt;"")*('Team Lineups'!$C$2:$C$2000=$A51)*COUNTIFS('Team Lineups'!$K$2:$K$2000,'Team Lineups'!$K$2:$K$2000,'Team Lineups'!$C$2:$C$2000,AU$1))</f>
        <v>0</v>
      </c>
      <c r="AV51" cm="1">
        <f t="array" ref="AV51">SUMPRODUCT(('Team Lineups'!$K$2:$K$2000&lt;&gt;"")*('Team Lineups'!$C$2:$C$2000=$A51)*COUNTIFS('Team Lineups'!$K$2:$K$2000,'Team Lineups'!$K$2:$K$2000,'Team Lineups'!$C$2:$C$2000,AV$1))</f>
        <v>0</v>
      </c>
      <c r="AW51" cm="1">
        <f t="array" ref="AW51">SUMPRODUCT(('Team Lineups'!$K$2:$K$2000&lt;&gt;"")*('Team Lineups'!$C$2:$C$2000=$A51)*COUNTIFS('Team Lineups'!$K$2:$K$2000,'Team Lineups'!$K$2:$K$2000,'Team Lineups'!$C$2:$C$2000,AW$1))</f>
        <v>0</v>
      </c>
      <c r="AX51" cm="1">
        <f t="array" ref="AX51">SUMPRODUCT(('Team Lineups'!$K$2:$K$2000&lt;&gt;"")*('Team Lineups'!$C$2:$C$2000=$A51)*COUNTIFS('Team Lineups'!$K$2:$K$2000,'Team Lineups'!$K$2:$K$2000,'Team Lineups'!$C$2:$C$2000,AX$1))</f>
        <v>0</v>
      </c>
      <c r="AY51" cm="1">
        <f t="array" ref="AY51">SUMPRODUCT(('Team Lineups'!$K$2:$K$2000&lt;&gt;"")*('Team Lineups'!$C$2:$C$2000=$A51)*COUNTIFS('Team Lineups'!$K$2:$K$2000,'Team Lineups'!$K$2:$K$2000,'Team Lineups'!$C$2:$C$2000,AY$1))</f>
        <v>1</v>
      </c>
    </row>
    <row r="52" spans="1:51" x14ac:dyDescent="0.35">
      <c r="A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2026-10-19T13:06:31Z</dcterms:modified>
</cp:coreProperties>
</file>