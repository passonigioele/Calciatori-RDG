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D26D85C2-2D65-429C-BBCB-CE4197D1791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5" i="2" l="1"/>
  <c r="F375" i="2"/>
  <c r="G375" i="2" s="1"/>
  <c r="E376" i="2"/>
  <c r="G376" i="2" s="1"/>
  <c r="F376" i="2"/>
  <c r="E377" i="2"/>
  <c r="F377" i="2"/>
  <c r="G377" i="2"/>
  <c r="E378" i="2"/>
  <c r="F378" i="2"/>
  <c r="G378" i="2"/>
  <c r="E379" i="2"/>
  <c r="F379" i="2"/>
  <c r="G379" i="2" s="1"/>
  <c r="E380" i="2"/>
  <c r="G380" i="2" s="1"/>
  <c r="F380" i="2"/>
  <c r="E381" i="2"/>
  <c r="F381" i="2"/>
  <c r="G381" i="2"/>
  <c r="E382" i="2"/>
  <c r="F382" i="2"/>
  <c r="G382" i="2"/>
  <c r="E383" i="2"/>
  <c r="F383" i="2"/>
  <c r="G383" i="2" s="1"/>
  <c r="E384" i="2"/>
  <c r="G384" i="2" s="1"/>
  <c r="F384" i="2"/>
  <c r="E385" i="2"/>
  <c r="F385" i="2"/>
  <c r="G385" i="2"/>
  <c r="E386" i="2"/>
  <c r="F386" i="2"/>
  <c r="G386" i="2"/>
  <c r="E387" i="2"/>
  <c r="F387" i="2"/>
  <c r="G387" i="2" s="1"/>
  <c r="E388" i="2"/>
  <c r="G388" i="2" s="1"/>
  <c r="F388" i="2"/>
  <c r="E389" i="2"/>
  <c r="F389" i="2"/>
  <c r="G389" i="2"/>
  <c r="E390" i="2"/>
  <c r="F390" i="2"/>
  <c r="G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G362" i="2" s="1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G374" i="2" s="1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D44" i="3" s="1"/>
  <c r="F265" i="2"/>
  <c r="E44" i="3" s="1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63" i="2" l="1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D14" i="3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E14" i="3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44" i="3" s="1"/>
  <c r="J44" i="3" s="1"/>
  <c r="G268" i="2"/>
  <c r="G252" i="2"/>
  <c r="G257" i="2"/>
  <c r="G262" i="2"/>
  <c r="G228" i="2"/>
  <c r="G230" i="2"/>
  <c r="G263" i="2"/>
  <c r="G98" i="2"/>
  <c r="G251" i="2"/>
  <c r="D41" i="3"/>
  <c r="G73" i="2"/>
  <c r="G37" i="2"/>
  <c r="G28" i="2"/>
  <c r="G258" i="2"/>
  <c r="M44" i="3"/>
  <c r="P44" i="3"/>
  <c r="P43" i="3"/>
  <c r="K13" i="3"/>
  <c r="F44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E41" i="3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45" i="3" l="1"/>
  <c r="H44" i="3"/>
  <c r="F14" i="3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 l="1"/>
  <c r="J5" i="3" s="1"/>
  <c r="I5" i="3"/>
  <c r="K5" i="3" s="1"/>
  <c r="AP12" i="6" a="1"/>
  <c r="AP12" i="6" s="1"/>
  <c r="AP19" i="6" a="1"/>
  <c r="AP19" i="6" s="1"/>
  <c r="AP24" i="6" a="1"/>
  <c r="AP24" i="6" s="1"/>
  <c r="AP30" i="6" a="1"/>
  <c r="AP30" i="6" s="1"/>
  <c r="AP37" i="6" a="1"/>
  <c r="AP37" i="6" s="1"/>
  <c r="J42" i="6" a="1"/>
  <c r="J42" i="6" s="1"/>
  <c r="S42" i="6" a="1"/>
  <c r="S42" i="6" s="1"/>
  <c r="Z42" i="6" a="1"/>
  <c r="Z42" i="6" s="1"/>
  <c r="AG42" i="6" a="1"/>
  <c r="AG42" i="6" s="1"/>
  <c r="AN42" i="6" a="1"/>
  <c r="AN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P42" i="6" a="1"/>
  <c r="P42" i="6" s="1"/>
  <c r="X42" i="6" a="1"/>
  <c r="X42" i="6" s="1"/>
  <c r="AE42" i="6" a="1"/>
  <c r="AE42" i="6" s="1"/>
  <c r="AL42" i="6" a="1"/>
  <c r="AL42" i="6" s="1"/>
  <c r="AP18" i="6" a="1"/>
  <c r="AP18" i="6" s="1"/>
  <c r="AP25" i="6" a="1"/>
  <c r="AP25" i="6" s="1"/>
  <c r="AP31" i="6" a="1"/>
  <c r="AP31" i="6" s="1"/>
  <c r="AP38" i="6" a="1"/>
  <c r="AP38" i="6" s="1"/>
  <c r="L42" i="6" a="1"/>
  <c r="L42" i="6" s="1"/>
  <c r="T42" i="6" a="1"/>
  <c r="T42" i="6" s="1"/>
  <c r="AA42" i="6" a="1"/>
  <c r="AA42" i="6" s="1"/>
  <c r="AH42" i="6" a="1"/>
  <c r="AH42" i="6" s="1"/>
  <c r="AO42" i="6" a="1"/>
  <c r="AO42" i="6" s="1"/>
  <c r="AP14" i="6" a="1"/>
  <c r="AP14" i="6" s="1"/>
  <c r="AP20" i="6" a="1"/>
  <c r="AP20" i="6" s="1"/>
  <c r="AP26" i="6" a="1"/>
  <c r="AP26" i="6" s="1"/>
  <c r="AP32" i="6" a="1"/>
  <c r="AP32" i="6" s="1"/>
  <c r="AP39" i="6" a="1"/>
  <c r="AP39" i="6" s="1"/>
  <c r="K42" i="6" a="1"/>
  <c r="K42" i="6" s="1"/>
  <c r="R42" i="6" a="1"/>
  <c r="R42" i="6" s="1"/>
  <c r="Y42" i="6" a="1"/>
  <c r="Y42" i="6" s="1"/>
  <c r="AF42" i="6" a="1"/>
  <c r="AF42" i="6" s="1"/>
  <c r="AM42" i="6" a="1"/>
  <c r="AM42" i="6" s="1"/>
  <c r="AP11" i="6" a="1"/>
  <c r="AP11" i="6" s="1"/>
  <c r="AP16" i="6" a="1"/>
  <c r="AP16" i="6" s="1"/>
  <c r="AP22" i="6" a="1"/>
  <c r="AP22" i="6" s="1"/>
  <c r="AP27" i="6" a="1"/>
  <c r="AP27" i="6" s="1"/>
  <c r="AP33" i="6" a="1"/>
  <c r="AP33" i="6" s="1"/>
  <c r="AP36" i="6" a="1"/>
  <c r="AP36" i="6" s="1"/>
  <c r="AP42" i="6" a="1"/>
  <c r="AP42" i="6" s="1"/>
  <c r="O42" i="6" a="1"/>
  <c r="O42" i="6" s="1"/>
  <c r="V42" i="6" a="1"/>
  <c r="V42" i="6" s="1"/>
  <c r="AC42" i="6" a="1"/>
  <c r="AC42" i="6" s="1"/>
  <c r="AI42" i="6" a="1"/>
  <c r="AI42" i="6" s="1"/>
  <c r="AP15" i="6" a="1"/>
  <c r="AP15" i="6" s="1"/>
  <c r="AP21" i="6" a="1"/>
  <c r="AP21" i="6" s="1"/>
  <c r="AP28" i="6" a="1"/>
  <c r="AP28" i="6" s="1"/>
  <c r="AP34" i="6" a="1"/>
  <c r="AP34" i="6" s="1"/>
  <c r="AP41" i="6" a="1"/>
  <c r="AP41" i="6" s="1"/>
  <c r="N42" i="6" a="1"/>
  <c r="N42" i="6" s="1"/>
  <c r="U42" i="6" a="1"/>
  <c r="U42" i="6" s="1"/>
  <c r="AB42" i="6" a="1"/>
  <c r="AB42" i="6" s="1"/>
  <c r="AJ42" i="6" a="1"/>
  <c r="AJ42" i="6" s="1"/>
  <c r="AP13" i="6" a="1"/>
  <c r="AP13" i="6" s="1"/>
  <c r="AP17" i="6" a="1"/>
  <c r="AP17" i="6" s="1"/>
  <c r="AP23" i="6" a="1"/>
  <c r="AP23" i="6" s="1"/>
  <c r="AP29" i="6" a="1"/>
  <c r="AP29" i="6" s="1"/>
  <c r="AP35" i="6" a="1"/>
  <c r="AP35" i="6" s="1"/>
  <c r="AP40" i="6" a="1"/>
  <c r="AP40" i="6" s="1"/>
  <c r="M42" i="6" a="1"/>
  <c r="M42" i="6" s="1"/>
  <c r="Q42" i="6" a="1"/>
  <c r="Q42" i="6" s="1"/>
  <c r="W42" i="6" a="1"/>
  <c r="W42" i="6" s="1"/>
  <c r="AD42" i="6" a="1"/>
  <c r="AD42" i="6" s="1"/>
  <c r="AK42" i="6" a="1"/>
  <c r="AK42" i="6" s="1"/>
  <c r="AP8" i="6" a="1"/>
  <c r="AP8" i="6" s="1"/>
  <c r="AP4" i="6" a="1"/>
  <c r="AP4" i="6" s="1"/>
  <c r="AP10" i="6" a="1"/>
  <c r="AP10" i="6" s="1"/>
  <c r="AP5" i="6" a="1"/>
  <c r="AP5" i="6" s="1"/>
  <c r="AP6" i="6" a="1"/>
  <c r="AP6" i="6" s="1"/>
  <c r="AP3" i="6" a="1"/>
  <c r="AP3" i="6" s="1"/>
  <c r="AP7" i="6" a="1"/>
  <c r="AP7" i="6" s="1"/>
  <c r="AP9" i="6" a="1"/>
  <c r="AP9" i="6" s="1"/>
  <c r="C42" i="6" a="1"/>
  <c r="C42" i="6" s="1"/>
  <c r="AP2" i="6" a="1"/>
  <c r="AP2" i="6" s="1"/>
  <c r="AO2" i="6" a="1"/>
  <c r="AO2" i="6" s="1"/>
  <c r="AO15" i="6" a="1"/>
  <c r="AO15" i="6" s="1"/>
  <c r="AO19" i="6" a="1"/>
  <c r="AO19" i="6" s="1"/>
  <c r="AO27" i="6" a="1"/>
  <c r="AO27" i="6" s="1"/>
  <c r="AO31" i="6" a="1"/>
  <c r="AO31" i="6" s="1"/>
  <c r="Z41" i="6" a="1"/>
  <c r="Z41" i="6" s="1"/>
  <c r="AK41" i="6" a="1"/>
  <c r="AK41" i="6" s="1"/>
  <c r="W23" i="6" a="1"/>
  <c r="W23" i="6" s="1"/>
  <c r="AB41" i="6" a="1"/>
  <c r="AB41" i="6" s="1"/>
  <c r="O15" i="6" a="1"/>
  <c r="O15" i="6" s="1"/>
  <c r="AC29" i="6" a="1"/>
  <c r="AC29" i="6" s="1"/>
  <c r="AO7" i="6" a="1"/>
  <c r="AO7" i="6" s="1"/>
  <c r="H41" i="6" a="1"/>
  <c r="H41" i="6" s="1"/>
  <c r="K41" i="6" a="1"/>
  <c r="K41" i="6" s="1"/>
  <c r="U41" i="6" a="1"/>
  <c r="U41" i="6" s="1"/>
  <c r="AJ41" i="6" a="1"/>
  <c r="AJ41" i="6" s="1"/>
  <c r="AB28" i="6" a="1"/>
  <c r="AB28" i="6" s="1"/>
  <c r="L41" i="6" a="1"/>
  <c r="L41" i="6" s="1"/>
  <c r="U21" i="6" a="1"/>
  <c r="U21" i="6" s="1"/>
  <c r="AO34" i="6" a="1"/>
  <c r="AO34" i="6" s="1"/>
  <c r="D4" i="6" a="1"/>
  <c r="D4" i="6" s="1"/>
  <c r="E5" i="6" a="1"/>
  <c r="E5" i="6" s="1"/>
  <c r="AO3" i="6" a="1"/>
  <c r="AO3" i="6" s="1"/>
  <c r="AO6" i="6" a="1"/>
  <c r="AO6" i="6" s="1"/>
  <c r="AO9" i="6" a="1"/>
  <c r="AO9" i="6" s="1"/>
  <c r="AO36" i="6" a="1"/>
  <c r="AO36" i="6" s="1"/>
  <c r="AN41" i="6" a="1"/>
  <c r="AN41" i="6" s="1"/>
  <c r="G41" i="6" a="1"/>
  <c r="G41" i="6" s="1"/>
  <c r="W41" i="6" a="1"/>
  <c r="W41" i="6" s="1"/>
  <c r="R18" i="6" a="1"/>
  <c r="R18" i="6" s="1"/>
  <c r="AH34" i="6" a="1"/>
  <c r="AH34" i="6" s="1"/>
  <c r="P16" i="6" a="1"/>
  <c r="P16" i="6" s="1"/>
  <c r="AO37" i="6" a="1"/>
  <c r="AO37" i="6" s="1"/>
  <c r="AO38" i="6" a="1"/>
  <c r="AO38" i="6" s="1"/>
  <c r="D41" i="6" a="1"/>
  <c r="D41" i="6" s="1"/>
  <c r="J41" i="6" a="1"/>
  <c r="J41" i="6" s="1"/>
  <c r="O41" i="6" a="1"/>
  <c r="O41" i="6" s="1"/>
  <c r="T41" i="6" a="1"/>
  <c r="T41" i="6" s="1"/>
  <c r="Y41" i="6" a="1"/>
  <c r="Y41" i="6" s="1"/>
  <c r="AN40" i="6" a="1"/>
  <c r="AN40" i="6" s="1"/>
  <c r="AK37" i="6" a="1"/>
  <c r="AK37" i="6" s="1"/>
  <c r="M13" i="6" a="1"/>
  <c r="M13" i="6" s="1"/>
  <c r="S41" i="6" a="1"/>
  <c r="S41" i="6" s="1"/>
  <c r="X41" i="6" a="1"/>
  <c r="X41" i="6" s="1"/>
  <c r="AC41" i="6" a="1"/>
  <c r="AC41" i="6" s="1"/>
  <c r="C41" i="6" a="1"/>
  <c r="C41" i="6" s="1"/>
  <c r="I41" i="6" a="1"/>
  <c r="I41" i="6" s="1"/>
  <c r="N41" i="6" a="1"/>
  <c r="N41" i="6" s="1"/>
  <c r="R41" i="6" a="1"/>
  <c r="R41" i="6" s="1"/>
  <c r="V41" i="6" a="1"/>
  <c r="V41" i="6" s="1"/>
  <c r="AA41" i="6" a="1"/>
  <c r="AA41" i="6" s="1"/>
  <c r="AO17" i="6" a="1"/>
  <c r="AO17" i="6" s="1"/>
  <c r="AO18" i="6" a="1"/>
  <c r="AO18" i="6" s="1"/>
  <c r="AO25" i="6" a="1"/>
  <c r="AO25" i="6" s="1"/>
  <c r="AO30" i="6" a="1"/>
  <c r="AO30" i="6" s="1"/>
  <c r="E41" i="6" a="1"/>
  <c r="E41" i="6" s="1"/>
  <c r="AF41" i="6" a="1"/>
  <c r="AF41" i="6" s="1"/>
  <c r="AM39" i="6" a="1"/>
  <c r="AM39" i="6" s="1"/>
  <c r="Z26" i="6" a="1"/>
  <c r="Z26" i="6" s="1"/>
  <c r="Q41" i="6" a="1"/>
  <c r="Q41" i="6" s="1"/>
  <c r="X24" i="6" a="1"/>
  <c r="X24" i="6" s="1"/>
  <c r="C3" i="6" a="1"/>
  <c r="C3" i="6" s="1"/>
  <c r="V22" i="6" a="1"/>
  <c r="V22" i="6" s="1"/>
  <c r="AO4" i="6" a="1"/>
  <c r="AO4" i="6" s="1"/>
  <c r="AO16" i="6" a="1"/>
  <c r="AO16" i="6" s="1"/>
  <c r="AO23" i="6" a="1"/>
  <c r="AO23" i="6" s="1"/>
  <c r="AO39" i="6" a="1"/>
  <c r="AO39" i="6" s="1"/>
  <c r="AH41" i="6" a="1"/>
  <c r="AH41" i="6" s="1"/>
  <c r="AI35" i="6" a="1"/>
  <c r="AI35" i="6" s="1"/>
  <c r="K11" i="6" a="1"/>
  <c r="K11" i="6" s="1"/>
  <c r="AD30" i="6" a="1"/>
  <c r="AD30" i="6" s="1"/>
  <c r="AO5" i="6" a="1"/>
  <c r="AO5" i="6" s="1"/>
  <c r="J10" i="6" a="1"/>
  <c r="J10" i="6" s="1"/>
  <c r="M41" i="6" a="1"/>
  <c r="M41" i="6" s="1"/>
  <c r="AO12" i="6" a="1"/>
  <c r="AO12" i="6" s="1"/>
  <c r="AO26" i="6" a="1"/>
  <c r="AO26" i="6" s="1"/>
  <c r="AD41" i="6" a="1"/>
  <c r="AD41" i="6" s="1"/>
  <c r="AM41" i="6" a="1"/>
  <c r="AM41" i="6" s="1"/>
  <c r="Q17" i="6" a="1"/>
  <c r="Q17" i="6" s="1"/>
  <c r="AJ36" i="6" a="1"/>
  <c r="AJ36" i="6" s="1"/>
  <c r="L12" i="6" a="1"/>
  <c r="L12" i="6" s="1"/>
  <c r="AE31" i="6" a="1"/>
  <c r="AE31" i="6" s="1"/>
  <c r="AO40" i="6" a="1"/>
  <c r="AO40" i="6" s="1"/>
  <c r="AO11" i="6" a="1"/>
  <c r="AO11" i="6" s="1"/>
  <c r="AO21" i="6" a="1"/>
  <c r="AO21" i="6" s="1"/>
  <c r="AO13" i="6" a="1"/>
  <c r="AO13" i="6" s="1"/>
  <c r="AO22" i="6" a="1"/>
  <c r="AO22" i="6" s="1"/>
  <c r="AO35" i="6" a="1"/>
  <c r="AO35" i="6" s="1"/>
  <c r="AG41" i="6" a="1"/>
  <c r="AG41" i="6" s="1"/>
  <c r="AL38" i="6" a="1"/>
  <c r="AL38" i="6" s="1"/>
  <c r="N14" i="6" a="1"/>
  <c r="N14" i="6" s="1"/>
  <c r="AG33" i="6" a="1"/>
  <c r="AG33" i="6" s="1"/>
  <c r="F6" i="6" a="1"/>
  <c r="F6" i="6" s="1"/>
  <c r="S19" i="6" a="1"/>
  <c r="S19" i="6" s="1"/>
  <c r="F41" i="6" a="1"/>
  <c r="F41" i="6" s="1"/>
  <c r="AO10" i="6" a="1"/>
  <c r="AO10" i="6" s="1"/>
  <c r="AO24" i="6" a="1"/>
  <c r="AO24" i="6" s="1"/>
  <c r="AO29" i="6" a="1"/>
  <c r="AO29" i="6" s="1"/>
  <c r="P41" i="6" a="1"/>
  <c r="P41" i="6" s="1"/>
  <c r="AI41" i="6" a="1"/>
  <c r="AI41" i="6" s="1"/>
  <c r="AF32" i="6" a="1"/>
  <c r="AF32" i="6" s="1"/>
  <c r="H8" i="6" a="1"/>
  <c r="H8" i="6" s="1"/>
  <c r="AA27" i="6" a="1"/>
  <c r="AA27" i="6" s="1"/>
  <c r="AO8" i="6" a="1"/>
  <c r="AO8" i="6" s="1"/>
  <c r="G7" i="6" a="1"/>
  <c r="G7" i="6" s="1"/>
  <c r="AO14" i="6" a="1"/>
  <c r="AO14" i="6" s="1"/>
  <c r="AO20" i="6" a="1"/>
  <c r="AO20" i="6" s="1"/>
  <c r="AO28" i="6" a="1"/>
  <c r="AO28" i="6" s="1"/>
  <c r="AO32" i="6" a="1"/>
  <c r="AO32" i="6" s="1"/>
  <c r="AE41" i="6" a="1"/>
  <c r="AE41" i="6" s="1"/>
  <c r="AL41" i="6" a="1"/>
  <c r="AL41" i="6" s="1"/>
  <c r="T20" i="6" a="1"/>
  <c r="T20" i="6" s="1"/>
  <c r="AO41" i="6" a="1"/>
  <c r="AO41" i="6" s="1"/>
  <c r="I9" i="6" a="1"/>
  <c r="I9" i="6" s="1"/>
  <c r="Y25" i="6" a="1"/>
  <c r="Y25" i="6" s="1"/>
  <c r="AO33" i="6" a="1"/>
  <c r="AO33" i="6" s="1"/>
  <c r="AN2" i="6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2" i="6" s="1" a="1"/>
  <c r="B42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41" i="6" s="1"/>
  <c r="B2" i="6" a="1"/>
  <c r="B2" i="6" s="1"/>
  <c r="B39" i="6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<sst xmlns="http://schemas.openxmlformats.org/spreadsheetml/2006/main" count="957" uniqueCount="107">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</sst>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25" workbookViewId="0">
      <selection activeCell="D35" sqref="D35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B35" s="2"/>
    </row>
    <row r="36" spans="1:7" x14ac:dyDescent="0.35">
      <c r="B36" s="2"/>
    </row>
    <row r="37" spans="1:7" x14ac:dyDescent="0.35">
      <c r="B37" s="2"/>
    </row>
    <row r="38" spans="1:7" x14ac:dyDescent="0.35">
      <c r="B38" s="2"/>
    </row>
    <row r="39" spans="1:7" x14ac:dyDescent="0.35">
      <c r="B39" s="2"/>
    </row>
    <row r="40" spans="1:7" x14ac:dyDescent="0.35">
      <c r="B40" s="2"/>
    </row>
    <row r="41" spans="1:7" x14ac:dyDescent="0.35">
      <c r="B41" s="2"/>
    </row>
    <row r="42" spans="1:7" x14ac:dyDescent="0.35">
      <c r="B42" s="2"/>
    </row>
    <row r="43" spans="1:7" x14ac:dyDescent="0.35">
      <c r="B43" s="2"/>
    </row>
    <row r="44" spans="1:7" x14ac:dyDescent="0.35">
      <c r="B44" s="2"/>
    </row>
    <row r="45" spans="1:7" x14ac:dyDescent="0.35">
      <c r="B45" s="2"/>
    </row>
    <row r="46" spans="1:7" x14ac:dyDescent="0.35">
      <c r="B46" s="2"/>
    </row>
    <row r="47" spans="1:7" x14ac:dyDescent="0.35">
      <c r="B47" s="2"/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0"/>
  <sheetViews>
    <sheetView topLeftCell="A377" workbookViewId="0">
      <selection activeCell="H391" sqref="H391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1</v>
      </c>
      <c r="I297">
        <v>1</v>
      </c>
      <c r="J297">
        <v>2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0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390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opLeftCell="A41" workbookViewId="0">
      <selection activeCell="E54" sqref="E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13</v>
      </c>
      <c r="D4">
        <f>SUMIF('Team Lineups'!C:C,A4,'Team Lineups'!E:E)</f>
        <v>88</v>
      </c>
      <c r="E4">
        <f>SUMIF('Team Lineups'!C:C,A4,'Team Lineups'!F:F)</f>
        <v>80</v>
      </c>
      <c r="F4">
        <f t="shared" si="0"/>
        <v>8</v>
      </c>
      <c r="G4">
        <f>COUNTIFS('Team Lineups'!C:C,A4,'Team Lineups'!G:G,"Win")</f>
        <v>6</v>
      </c>
      <c r="H4">
        <f>COUNTIFS('Team Lineups'!C:C,A4,'Team Lineups'!G:G,"Draw")</f>
        <v>2</v>
      </c>
      <c r="I4">
        <f>COUNTIFS('Team Lineups'!C:C,A4,'Team Lineups'!G:G,"Loss")</f>
        <v>5</v>
      </c>
      <c r="J4" s="3">
        <f t="shared" si="3"/>
        <v>0.46153846153846156</v>
      </c>
      <c r="K4" s="3">
        <f t="shared" si="4"/>
        <v>0.38461538461538464</v>
      </c>
      <c r="L4">
        <f>SUMIF('Team Lineups'!C:C,A4,'Team Lineups'!H:H)</f>
        <v>5</v>
      </c>
      <c r="M4">
        <f t="shared" si="1"/>
        <v>0.38461538461538464</v>
      </c>
      <c r="N4">
        <f>SUMIF('Team Lineups'!C:C,A4,'Team Lineups'!I:I)</f>
        <v>5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17</v>
      </c>
      <c r="D5">
        <f>SUMIF('Team Lineups'!C:C,A5,'Team Lineups'!E:E)</f>
        <v>93</v>
      </c>
      <c r="E5">
        <f>SUMIF('Team Lineups'!C:C,A5,'Team Lineups'!F:F)</f>
        <v>115</v>
      </c>
      <c r="F5">
        <f t="shared" si="0"/>
        <v>-22</v>
      </c>
      <c r="G5">
        <f>COUNTIFS('Team Lineups'!C:C,A5,'Team Lineups'!G:G,"Win")</f>
        <v>3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0.17647058823529413</v>
      </c>
      <c r="K5" s="3">
        <f t="shared" si="4"/>
        <v>0.6470588235294118</v>
      </c>
      <c r="L5">
        <f>SUMIF('Team Lineups'!C:C,A5,'Team Lineups'!H:H)</f>
        <v>22</v>
      </c>
      <c r="M5">
        <f t="shared" si="1"/>
        <v>1.2941176470588236</v>
      </c>
      <c r="N5">
        <f>SUMIF('Team Lineups'!C:C,A5,'Team Lineups'!I:I)</f>
        <v>20</v>
      </c>
      <c r="O5">
        <f>COUNTIF(Matches!G:G,A5)</f>
        <v>2</v>
      </c>
      <c r="P5">
        <f t="shared" si="2"/>
        <v>0.11764705882352941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13</v>
      </c>
      <c r="D6">
        <f>SUMIF('Team Lineups'!C:C,A6,'Team Lineups'!E:E)</f>
        <v>75</v>
      </c>
      <c r="E6">
        <f>SUMIF('Team Lineups'!C:C,A6,'Team Lineups'!F:F)</f>
        <v>68</v>
      </c>
      <c r="F6">
        <f t="shared" si="0"/>
        <v>7</v>
      </c>
      <c r="G6">
        <f>COUNTIFS('Team Lineups'!C:C,A6,'Team Lineups'!G:G,"Win")</f>
        <v>6</v>
      </c>
      <c r="H6">
        <f>COUNTIFS('Team Lineups'!C:C,A6,'Team Lineups'!G:G,"Draw")</f>
        <v>4</v>
      </c>
      <c r="I6">
        <f>COUNTIFS('Team Lineups'!C:C,A6,'Team Lineups'!G:G,"Loss")</f>
        <v>3</v>
      </c>
      <c r="J6" s="3">
        <f t="shared" si="3"/>
        <v>0.46153846153846156</v>
      </c>
      <c r="K6" s="3">
        <f t="shared" si="4"/>
        <v>0.23076923076923078</v>
      </c>
      <c r="L6">
        <f>SUMIF('Team Lineups'!C:C,A6,'Team Lineups'!H:H)</f>
        <v>12</v>
      </c>
      <c r="M6">
        <f t="shared" si="1"/>
        <v>0.92307692307692313</v>
      </c>
      <c r="N6">
        <f>SUMIF('Team Lineups'!C:C,A6,'Team Lineups'!I:I)</f>
        <v>9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23</v>
      </c>
      <c r="D7">
        <f>SUMIF('Team Lineups'!C:C,A7,'Team Lineups'!E:E)</f>
        <v>147</v>
      </c>
      <c r="E7">
        <f>SUMIF('Team Lineups'!C:C,A7,'Team Lineups'!F:F)</f>
        <v>163</v>
      </c>
      <c r="F7">
        <f t="shared" si="0"/>
        <v>-16</v>
      </c>
      <c r="G7">
        <f>COUNTIFS('Team Lineups'!C:C,A7,'Team Lineups'!G:G,"Win")</f>
        <v>7</v>
      </c>
      <c r="H7">
        <f>COUNTIFS('Team Lineups'!C:C,A7,'Team Lineups'!G:G,"Draw")</f>
        <v>4</v>
      </c>
      <c r="I7">
        <f>COUNTIFS('Team Lineups'!C:C,A7,'Team Lineups'!G:G,"Loss")</f>
        <v>11</v>
      </c>
      <c r="J7" s="3">
        <f t="shared" si="3"/>
        <v>0.30434782608695654</v>
      </c>
      <c r="K7" s="3">
        <f t="shared" si="4"/>
        <v>0.47826086956521741</v>
      </c>
      <c r="L7">
        <f>SUMIF('Team Lineups'!C:C,A7,'Team Lineups'!H:H)</f>
        <v>25</v>
      </c>
      <c r="M7">
        <f t="shared" si="1"/>
        <v>1.0869565217391304</v>
      </c>
      <c r="N7">
        <f>SUMIF('Team Lineups'!C:C,A7,'Team Lineups'!I:I)</f>
        <v>21</v>
      </c>
      <c r="O7">
        <f>COUNTIF(Matches!G:G,A7)</f>
        <v>1</v>
      </c>
      <c r="P7">
        <f t="shared" si="2"/>
        <v>4.3478260869565216E-2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19</v>
      </c>
      <c r="D8">
        <f>SUMIF('Team Lineups'!C:C,A8,'Team Lineups'!E:E)</f>
        <v>128</v>
      </c>
      <c r="E8">
        <f>SUMIF('Team Lineups'!C:C,A8,'Team Lineups'!F:F)</f>
        <v>122</v>
      </c>
      <c r="F8">
        <f t="shared" si="0"/>
        <v>6</v>
      </c>
      <c r="G8">
        <f>COUNTIFS('Team Lineups'!C:C,A8,'Team Lineups'!G:G,"Win")</f>
        <v>9</v>
      </c>
      <c r="H8">
        <f>COUNTIFS('Team Lineups'!C:C,A8,'Team Lineups'!G:G,"Draw")</f>
        <v>4</v>
      </c>
      <c r="I8">
        <f>COUNTIFS('Team Lineups'!C:C,A8,'Team Lineups'!G:G,"Loss")</f>
        <v>6</v>
      </c>
      <c r="J8" s="3">
        <f t="shared" si="3"/>
        <v>0.47368421052631576</v>
      </c>
      <c r="K8" s="3">
        <f t="shared" si="4"/>
        <v>0.31578947368421051</v>
      </c>
      <c r="L8">
        <f>SUMIF('Team Lineups'!C:C,A8,'Team Lineups'!H:H)</f>
        <v>40</v>
      </c>
      <c r="M8">
        <f t="shared" si="1"/>
        <v>2.1052631578947367</v>
      </c>
      <c r="N8">
        <f>SUMIF('Team Lineups'!C:C,A8,'Team Lineups'!I:I)</f>
        <v>18</v>
      </c>
      <c r="O8">
        <f>COUNTIF(Matches!G:G,A8)</f>
        <v>4</v>
      </c>
      <c r="P8">
        <f t="shared" si="2"/>
        <v>0.21052631578947367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16</v>
      </c>
      <c r="D9">
        <f>SUMIF('Team Lineups'!C:C,A9,'Team Lineups'!E:E)</f>
        <v>83</v>
      </c>
      <c r="E9">
        <f>SUMIF('Team Lineups'!C:C,A9,'Team Lineups'!F:F)</f>
        <v>93</v>
      </c>
      <c r="F9">
        <f t="shared" si="0"/>
        <v>-10</v>
      </c>
      <c r="G9">
        <f>COUNTIFS('Team Lineups'!C:C,A9,'Team Lineups'!G:G,"Win")</f>
        <v>6</v>
      </c>
      <c r="H9">
        <f>COUNTIFS('Team Lineups'!C:C,A9,'Team Lineups'!G:G,"Draw")</f>
        <v>2</v>
      </c>
      <c r="I9">
        <f>COUNTIFS('Team Lineups'!C:C,A9,'Team Lineups'!G:G,"Loss")</f>
        <v>8</v>
      </c>
      <c r="J9" s="3">
        <f t="shared" si="3"/>
        <v>0.375</v>
      </c>
      <c r="K9" s="3">
        <f t="shared" si="4"/>
        <v>0.5</v>
      </c>
      <c r="L9">
        <f>SUMIF('Team Lineups'!C:C,A9,'Team Lineups'!H:H)</f>
        <v>10</v>
      </c>
      <c r="M9">
        <f t="shared" si="1"/>
        <v>0.625</v>
      </c>
      <c r="N9">
        <f>SUMIF('Team Lineups'!C:C,A9,'Team Lineups'!I:I)</f>
        <v>5</v>
      </c>
      <c r="O9">
        <f>COUNTIF(Matches!G:G,A9)</f>
        <v>1</v>
      </c>
      <c r="P9">
        <f t="shared" si="2"/>
        <v>6.25E-2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21</v>
      </c>
      <c r="D12">
        <f>SUMIF('Team Lineups'!C:C,A12,'Team Lineups'!E:E)</f>
        <v>131</v>
      </c>
      <c r="E12">
        <f>SUMIF('Team Lineups'!C:C,A12,'Team Lineups'!F:F)</f>
        <v>145</v>
      </c>
      <c r="F12">
        <f t="shared" si="0"/>
        <v>-14</v>
      </c>
      <c r="G12">
        <f>COUNTIFS('Team Lineups'!C:C,A12,'Team Lineups'!G:G,"Win")</f>
        <v>7</v>
      </c>
      <c r="H12">
        <f>COUNTIFS('Team Lineups'!C:C,A12,'Team Lineups'!G:G,"Draw")</f>
        <v>2</v>
      </c>
      <c r="I12">
        <f>COUNTIFS('Team Lineups'!C:C,A12,'Team Lineups'!G:G,"Loss")</f>
        <v>12</v>
      </c>
      <c r="J12" s="3">
        <f t="shared" si="3"/>
        <v>0.33333333333333331</v>
      </c>
      <c r="K12" s="3">
        <f t="shared" si="4"/>
        <v>0.5714285714285714</v>
      </c>
      <c r="L12">
        <f>SUMIF('Team Lineups'!C:C,A12,'Team Lineups'!H:H)</f>
        <v>34</v>
      </c>
      <c r="M12">
        <f t="shared" si="1"/>
        <v>1.6190476190476191</v>
      </c>
      <c r="N12">
        <f>SUMIF('Team Lineups'!C:C,A12,'Team Lineups'!I:I)</f>
        <v>9</v>
      </c>
      <c r="O12">
        <f>COUNTIF(Matches!G:G,A12)</f>
        <v>1</v>
      </c>
      <c r="P12">
        <f t="shared" si="2"/>
        <v>4.7619047619047616E-2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7</v>
      </c>
      <c r="D14">
        <f>SUMIF('Team Lineups'!C:C,A14,'Team Lineups'!E:E)</f>
        <v>44</v>
      </c>
      <c r="E14">
        <f>SUMIF('Team Lineups'!C:C,A14,'Team Lineups'!F:F)</f>
        <v>64</v>
      </c>
      <c r="F14">
        <f t="shared" si="0"/>
        <v>-20</v>
      </c>
      <c r="G14">
        <f>COUNTIFS('Team Lineups'!C:C,A14,'Team Lineups'!G:G,"Win")</f>
        <v>1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0.14285714285714285</v>
      </c>
      <c r="K14" s="3">
        <f t="shared" si="4"/>
        <v>0.8571428571428571</v>
      </c>
      <c r="L14">
        <f>SUMIF('Team Lineups'!C:C,A14,'Team Lineups'!H:H)</f>
        <v>2</v>
      </c>
      <c r="M14">
        <f t="shared" si="1"/>
        <v>0.2857142857142857</v>
      </c>
      <c r="N14">
        <f>SUMIF('Team Lineups'!C:C,A14,'Team Lineups'!I:I)</f>
        <v>6</v>
      </c>
      <c r="O14">
        <f>COUNTIF(Matches!G:G,A14)</f>
        <v>1</v>
      </c>
      <c r="P14">
        <f t="shared" si="2"/>
        <v>0.14285714285714285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8</v>
      </c>
      <c r="D15">
        <f>SUMIF('Team Lineups'!C:C,A15,'Team Lineups'!E:E)</f>
        <v>51</v>
      </c>
      <c r="E15">
        <f>SUMIF('Team Lineups'!C:C,A15,'Team Lineups'!F:F)</f>
        <v>38</v>
      </c>
      <c r="F15">
        <f t="shared" si="0"/>
        <v>13</v>
      </c>
      <c r="G15">
        <f>COUNTIFS('Team Lineups'!C:C,A15,'Team Lineups'!G:G,"Win")</f>
        <v>4</v>
      </c>
      <c r="H15">
        <f>COUNTIFS('Team Lineups'!C:C,A15,'Team Lineups'!G:G,"Draw")</f>
        <v>2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0.25</v>
      </c>
      <c r="L15">
        <f>SUMIF('Team Lineups'!C:C,A15,'Team Lineups'!H:H)</f>
        <v>3</v>
      </c>
      <c r="M15">
        <f t="shared" si="1"/>
        <v>0.375</v>
      </c>
      <c r="N15">
        <f>SUMIF('Team Lineups'!C:C,A15,'Team Lineups'!I:I)</f>
        <v>7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17</v>
      </c>
      <c r="D16">
        <f>SUMIF('Team Lineups'!C:C,A16,'Team Lineups'!E:E)</f>
        <v>88</v>
      </c>
      <c r="E16">
        <f>SUMIF('Team Lineups'!C:C,A16,'Team Lineups'!F:F)</f>
        <v>101</v>
      </c>
      <c r="F16">
        <f t="shared" si="0"/>
        <v>-13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9</v>
      </c>
      <c r="J16" s="3">
        <f t="shared" si="3"/>
        <v>0.23529411764705882</v>
      </c>
      <c r="K16" s="3">
        <f t="shared" si="4"/>
        <v>0.52941176470588236</v>
      </c>
      <c r="L16">
        <f>SUMIF('Team Lineups'!C:C,A16,'Team Lineups'!H:H)</f>
        <v>7</v>
      </c>
      <c r="M16">
        <f t="shared" si="1"/>
        <v>0.41176470588235292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20</v>
      </c>
      <c r="D17">
        <f>SUMIF('Team Lineups'!C:C,A17,'Team Lineups'!E:E)</f>
        <v>120</v>
      </c>
      <c r="E17">
        <f>SUMIF('Team Lineups'!C:C,A17,'Team Lineups'!F:F)</f>
        <v>105</v>
      </c>
      <c r="F17">
        <f t="shared" si="0"/>
        <v>15</v>
      </c>
      <c r="G17">
        <f>COUNTIFS('Team Lineups'!C:C,A17,'Team Lineups'!G:G,"Win")</f>
        <v>11</v>
      </c>
      <c r="H17">
        <f>COUNTIFS('Team Lineups'!C:C,A17,'Team Lineups'!G:G,"Draw")</f>
        <v>4</v>
      </c>
      <c r="I17">
        <f>COUNTIFS('Team Lineups'!C:C,A17,'Team Lineups'!G:G,"Loss")</f>
        <v>5</v>
      </c>
      <c r="J17" s="3">
        <f t="shared" si="3"/>
        <v>0.55000000000000004</v>
      </c>
      <c r="K17" s="3">
        <f t="shared" si="4"/>
        <v>0.25</v>
      </c>
      <c r="L17">
        <f>SUMIF('Team Lineups'!C:C,A17,'Team Lineups'!H:H)</f>
        <v>9</v>
      </c>
      <c r="M17">
        <f t="shared" si="1"/>
        <v>0.45</v>
      </c>
      <c r="N17">
        <f>SUMIF('Team Lineups'!C:C,A17,'Team Lineups'!I:I)</f>
        <v>16</v>
      </c>
      <c r="O17">
        <f>COUNTIF(Matches!G:G,A17)</f>
        <v>1</v>
      </c>
      <c r="P17">
        <f t="shared" si="2"/>
        <v>0.05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17</v>
      </c>
      <c r="D18">
        <f>SUMIF('Team Lineups'!C:C,A18,'Team Lineups'!E:E)</f>
        <v>112</v>
      </c>
      <c r="E18">
        <f>SUMIF('Team Lineups'!C:C,A18,'Team Lineups'!F:F)</f>
        <v>129</v>
      </c>
      <c r="F18">
        <f t="shared" si="0"/>
        <v>-17</v>
      </c>
      <c r="G18">
        <f>COUNTIFS('Team Lineups'!C:C,A18,'Team Lineups'!G:G,"Win")</f>
        <v>6</v>
      </c>
      <c r="H18">
        <f>COUNTIFS('Team Lineups'!C:C,A18,'Team Lineups'!G:G,"Draw")</f>
        <v>2</v>
      </c>
      <c r="I18">
        <f>COUNTIFS('Team Lineups'!C:C,A18,'Team Lineups'!G:G,"Loss")</f>
        <v>9</v>
      </c>
      <c r="J18" s="3">
        <f t="shared" si="3"/>
        <v>0.35294117647058826</v>
      </c>
      <c r="K18" s="3">
        <f t="shared" si="4"/>
        <v>0.52941176470588236</v>
      </c>
      <c r="L18">
        <f>SUMIF('Team Lineups'!C:C,A18,'Team Lineups'!H:H)</f>
        <v>10</v>
      </c>
      <c r="M18">
        <f t="shared" si="1"/>
        <v>0.58823529411764708</v>
      </c>
      <c r="N18">
        <f>SUMIF('Team Lineups'!C:C,A18,'Team Lineups'!I:I)</f>
        <v>8</v>
      </c>
      <c r="O18">
        <f>COUNTIF(Matches!G:G,A18)</f>
        <v>1</v>
      </c>
      <c r="P18">
        <f t="shared" si="2"/>
        <v>5.8823529411764705E-2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8</v>
      </c>
      <c r="D21">
        <f>SUMIF('Team Lineups'!C:C,A21,'Team Lineups'!E:E)</f>
        <v>59</v>
      </c>
      <c r="E21">
        <f>SUMIF('Team Lineups'!C:C,A21,'Team Lineups'!F:F)</f>
        <v>58</v>
      </c>
      <c r="F21">
        <f t="shared" si="0"/>
        <v>1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4</v>
      </c>
      <c r="J21" s="3">
        <f t="shared" si="3"/>
        <v>0.375</v>
      </c>
      <c r="K21" s="3">
        <f t="shared" si="4"/>
        <v>0.5</v>
      </c>
      <c r="L21">
        <f>SUMIF('Team Lineups'!C:C,A21,'Team Lineups'!H:H)</f>
        <v>4</v>
      </c>
      <c r="M21">
        <f t="shared" si="1"/>
        <v>0.5</v>
      </c>
      <c r="N21">
        <f>SUMIF('Team Lineups'!C:C,A21,'Team Lineups'!I:I)</f>
        <v>12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21</v>
      </c>
      <c r="D23">
        <f>SUMIF('Team Lineups'!C:C,A23,'Team Lineups'!E:E)</f>
        <v>136</v>
      </c>
      <c r="E23">
        <f>SUMIF('Team Lineups'!C:C,A23,'Team Lineups'!F:F)</f>
        <v>121</v>
      </c>
      <c r="F23">
        <f t="shared" si="0"/>
        <v>15</v>
      </c>
      <c r="G23">
        <f>COUNTIFS('Team Lineups'!C:C,A23,'Team Lineups'!G:G,"Win")</f>
        <v>10</v>
      </c>
      <c r="H23">
        <f>COUNTIFS('Team Lineups'!C:C,A23,'Team Lineups'!G:G,"Draw")</f>
        <v>4</v>
      </c>
      <c r="I23">
        <f>COUNTIFS('Team Lineups'!C:C,A23,'Team Lineups'!G:G,"Loss")</f>
        <v>7</v>
      </c>
      <c r="J23" s="3">
        <f t="shared" si="3"/>
        <v>0.47619047619047616</v>
      </c>
      <c r="K23" s="3">
        <f t="shared" si="4"/>
        <v>0.33333333333333331</v>
      </c>
      <c r="L23">
        <f>SUMIF('Team Lineups'!C:C,A23,'Team Lineups'!H:H)</f>
        <v>26</v>
      </c>
      <c r="M23">
        <f t="shared" si="1"/>
        <v>1.2380952380952381</v>
      </c>
      <c r="N23">
        <f>SUMIF('Team Lineups'!C:C,A23,'Team Lineups'!I:I)</f>
        <v>11</v>
      </c>
      <c r="O23">
        <f>COUNTIF(Matches!G:G,A23)</f>
        <v>4</v>
      </c>
      <c r="P23">
        <f t="shared" si="2"/>
        <v>0.19047619047619047</v>
      </c>
      <c r="Q23">
        <f>SUMIF('Team Lineups'!C:C,A23,'Team Lineups'!J:J)</f>
        <v>2</v>
      </c>
    </row>
    <row r="24" spans="1:17" x14ac:dyDescent="0.35">
      <c r="A24" t="s">
        <v>25</v>
      </c>
      <c r="C24">
        <f>COUNTIF('Team Lineups'!C:C,A24)</f>
        <v>22</v>
      </c>
      <c r="D24">
        <f>SUMIF('Team Lineups'!C:C,A24,'Team Lineups'!E:E)</f>
        <v>141</v>
      </c>
      <c r="E24">
        <f>SUMIF('Team Lineups'!C:C,A24,'Team Lineups'!F:F)</f>
        <v>139</v>
      </c>
      <c r="F24">
        <f t="shared" si="0"/>
        <v>2</v>
      </c>
      <c r="G24">
        <f>COUNTIFS('Team Lineups'!C:C,A24,'Team Lineups'!G:G,"Win")</f>
        <v>7</v>
      </c>
      <c r="H24">
        <f>COUNTIFS('Team Lineups'!C:C,A24,'Team Lineups'!G:G,"Draw")</f>
        <v>5</v>
      </c>
      <c r="I24">
        <f>COUNTIFS('Team Lineups'!C:C,A24,'Team Lineups'!G:G,"Loss")</f>
        <v>10</v>
      </c>
      <c r="J24" s="3">
        <f t="shared" si="3"/>
        <v>0.31818181818181818</v>
      </c>
      <c r="K24" s="3">
        <f t="shared" si="4"/>
        <v>0.45454545454545453</v>
      </c>
      <c r="L24">
        <f>SUMIF('Team Lineups'!C:C,A24,'Team Lineups'!H:H)</f>
        <v>12</v>
      </c>
      <c r="M24">
        <f t="shared" si="1"/>
        <v>0.54545454545454541</v>
      </c>
      <c r="N24">
        <f>SUMIF('Team Lineups'!C:C,A24,'Team Lineups'!I:I)</f>
        <v>9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21</v>
      </c>
      <c r="D25">
        <f>SUMIF('Team Lineups'!C:C,A25,'Team Lineups'!E:E)</f>
        <v>141</v>
      </c>
      <c r="E25">
        <f>SUMIF('Team Lineups'!C:C,A25,'Team Lineups'!F:F)</f>
        <v>122</v>
      </c>
      <c r="F25">
        <f t="shared" si="0"/>
        <v>19</v>
      </c>
      <c r="G25">
        <f>COUNTIFS('Team Lineups'!C:C,A25,'Team Lineups'!G:G,"Win")</f>
        <v>11</v>
      </c>
      <c r="H25">
        <f>COUNTIFS('Team Lineups'!C:C,A25,'Team Lineups'!G:G,"Draw")</f>
        <v>4</v>
      </c>
      <c r="I25">
        <f>COUNTIFS('Team Lineups'!C:C,A25,'Team Lineups'!G:G,"Loss")</f>
        <v>6</v>
      </c>
      <c r="J25" s="3">
        <f t="shared" si="3"/>
        <v>0.52380952380952384</v>
      </c>
      <c r="K25" s="3">
        <f t="shared" si="4"/>
        <v>0.2857142857142857</v>
      </c>
      <c r="L25">
        <f>SUMIF('Team Lineups'!C:C,A25,'Team Lineups'!H:H)</f>
        <v>30</v>
      </c>
      <c r="M25">
        <f t="shared" si="1"/>
        <v>1.4285714285714286</v>
      </c>
      <c r="N25">
        <f>SUMIF('Team Lineups'!C:C,A25,'Team Lineups'!I:I)</f>
        <v>11</v>
      </c>
      <c r="O25">
        <f>COUNTIF(Matches!G:G,A25)</f>
        <v>2</v>
      </c>
      <c r="P25">
        <f t="shared" si="2"/>
        <v>9.5238095238095233E-2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10</v>
      </c>
      <c r="D26">
        <f>SUMIF('Team Lineups'!C:C,A26,'Team Lineups'!E:E)</f>
        <v>44</v>
      </c>
      <c r="E26">
        <f>SUMIF('Team Lineups'!C:C,A26,'Team Lineups'!F:F)</f>
        <v>56</v>
      </c>
      <c r="F26">
        <f t="shared" si="0"/>
        <v>-12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7</v>
      </c>
      <c r="J26" s="3">
        <f t="shared" si="3"/>
        <v>0.2</v>
      </c>
      <c r="K26" s="3">
        <f t="shared" si="4"/>
        <v>0.7</v>
      </c>
      <c r="L26">
        <f>SUMIF('Team Lineups'!C:C,A26,'Team Lineups'!H:H)</f>
        <v>1</v>
      </c>
      <c r="M26">
        <f t="shared" si="1"/>
        <v>0.1</v>
      </c>
      <c r="N26">
        <f>SUMIF('Team Lineups'!C:C,A26,'Team Lineups'!I:I)</f>
        <v>5</v>
      </c>
      <c r="O26">
        <f>COUNTIF(Matches!G:G,A26)</f>
        <v>1</v>
      </c>
      <c r="P26">
        <f t="shared" si="2"/>
        <v>0.1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17</v>
      </c>
      <c r="D33">
        <f>SUMIF('Team Lineups'!C:C,A33,'Team Lineups'!E:E)</f>
        <v>115</v>
      </c>
      <c r="E33">
        <f>SUMIF('Team Lineups'!C:C,A33,'Team Lineups'!F:F)</f>
        <v>110</v>
      </c>
      <c r="F33">
        <f t="shared" si="5"/>
        <v>5</v>
      </c>
      <c r="G33">
        <f>COUNTIFS('Team Lineups'!C:C,A33,'Team Lineups'!G:G,"Win")</f>
        <v>8</v>
      </c>
      <c r="H33">
        <f>COUNTIFS('Team Lineups'!C:C,A33,'Team Lineups'!G:G,"Draw")</f>
        <v>3</v>
      </c>
      <c r="I33">
        <f>COUNTIFS('Team Lineups'!C:C,A33,'Team Lineups'!G:G,"Loss")</f>
        <v>6</v>
      </c>
      <c r="J33" s="3">
        <f t="shared" si="6"/>
        <v>0.47058823529411764</v>
      </c>
      <c r="K33" s="3">
        <f t="shared" si="4"/>
        <v>0.35294117647058826</v>
      </c>
      <c r="L33">
        <f>SUMIF('Team Lineups'!C:C,A33,'Team Lineups'!H:H)</f>
        <v>47</v>
      </c>
      <c r="M33">
        <f t="shared" si="7"/>
        <v>2.7647058823529411</v>
      </c>
      <c r="N33">
        <f>SUMIF('Team Lineups'!C:C,A33,'Team Lineups'!I:I)</f>
        <v>15</v>
      </c>
      <c r="O33">
        <f>COUNTIF(Matches!G:G,A33)</f>
        <v>2</v>
      </c>
      <c r="P33">
        <f t="shared" si="8"/>
        <v>0.11764705882352941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9</v>
      </c>
      <c r="D34">
        <f>SUMIF('Team Lineups'!C:C,A34,'Team Lineups'!E:E)</f>
        <v>57</v>
      </c>
      <c r="E34">
        <f>SUMIF('Team Lineups'!C:C,A34,'Team Lineups'!F:F)</f>
        <v>39</v>
      </c>
      <c r="F34">
        <f t="shared" si="5"/>
        <v>18</v>
      </c>
      <c r="G34">
        <f>COUNTIFS('Team Lineups'!C:C,A34,'Team Lineups'!G:G,"Win")</f>
        <v>6</v>
      </c>
      <c r="H34">
        <f>COUNTIFS('Team Lineups'!C:C,A34,'Team Lineups'!G:G,"Draw")</f>
        <v>1</v>
      </c>
      <c r="I34">
        <f>COUNTIFS('Team Lineups'!C:C,A34,'Team Lineups'!G:G,"Loss")</f>
        <v>2</v>
      </c>
      <c r="J34" s="3">
        <f t="shared" si="6"/>
        <v>0.66666666666666663</v>
      </c>
      <c r="K34" s="3">
        <f t="shared" si="4"/>
        <v>0.22222222222222221</v>
      </c>
      <c r="L34">
        <f>SUMIF('Team Lineups'!C:C,A34,'Team Lineups'!H:H)</f>
        <v>12</v>
      </c>
      <c r="M34">
        <f t="shared" si="7"/>
        <v>1.3333333333333333</v>
      </c>
      <c r="N34">
        <f>SUMIF('Team Lineups'!C:C,A34,'Team Lineups'!I:I)</f>
        <v>7</v>
      </c>
      <c r="O34">
        <f>COUNTIF(Matches!G:G,A34)</f>
        <v>2</v>
      </c>
      <c r="P34">
        <f t="shared" si="8"/>
        <v>0.22222222222222221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6</v>
      </c>
      <c r="D35">
        <f>SUMIF('Team Lineups'!C:C,A35,'Team Lineups'!E:E)</f>
        <v>30</v>
      </c>
      <c r="E35">
        <f>SUMIF('Team Lineups'!C:C,A35,'Team Lineups'!F:F)</f>
        <v>39</v>
      </c>
      <c r="F35">
        <f t="shared" ref="F35" si="9">D35-E35</f>
        <v>-9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5</v>
      </c>
      <c r="J35" s="3">
        <f t="shared" ref="J35" si="10">G35/C35</f>
        <v>0.16666666666666666</v>
      </c>
      <c r="K35" s="3">
        <f t="shared" si="4"/>
        <v>0.83333333333333337</v>
      </c>
      <c r="L35">
        <f>SUMIF('Team Lineups'!C:C,A35,'Team Lineups'!H:H)</f>
        <v>2</v>
      </c>
      <c r="M35">
        <f t="shared" ref="M35" si="11">L35/C35</f>
        <v>0.33333333333333331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6</v>
      </c>
      <c r="D37">
        <f>SUMIF('Team Lineups'!C:C,A37,'Team Lineups'!E:E)</f>
        <v>32</v>
      </c>
      <c r="E37">
        <f>SUMIF('Team Lineups'!C:C,A37,'Team Lineups'!F:F)</f>
        <v>36</v>
      </c>
      <c r="F37">
        <f t="shared" ref="F37:F42" si="17">D37-E37</f>
        <v>-4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1</v>
      </c>
      <c r="J37" s="3">
        <f t="shared" ref="J37:J42" si="18">G37/C37</f>
        <v>0.66666666666666663</v>
      </c>
      <c r="K37" s="3">
        <f t="shared" ref="K37:K42" si="19">I37/C37</f>
        <v>0.16666666666666666</v>
      </c>
      <c r="L37">
        <f>SUMIF('Team Lineups'!C:C,A37,'Team Lineups'!H:H)</f>
        <v>3</v>
      </c>
      <c r="M37">
        <f t="shared" ref="M37:M42" si="20">L37/C37</f>
        <v>0.5</v>
      </c>
      <c r="N37">
        <f>SUMIF('Team Lineups'!C:C,A37,'Team Lineups'!I:I)</f>
        <v>4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7</v>
      </c>
      <c r="D41">
        <f>SUMIF('Team Lineups'!C:C,A41,'Team Lineups'!E:E)</f>
        <v>35</v>
      </c>
      <c r="E41">
        <f>SUMIF('Team Lineups'!C:C,A41,'Team Lineups'!F:F)</f>
        <v>40</v>
      </c>
      <c r="F41">
        <f t="shared" si="17"/>
        <v>-5</v>
      </c>
      <c r="G41">
        <f>COUNTIFS('Team Lineups'!C:C,A41,'Team Lineups'!G:G,"Win")</f>
        <v>2</v>
      </c>
      <c r="H41">
        <f>COUNTIFS('Team Lineups'!C:C,A41,'Team Lineups'!G:G,"Draw")</f>
        <v>1</v>
      </c>
      <c r="I41">
        <f>COUNTIFS('Team Lineups'!C:C,A41,'Team Lineups'!G:G,"Loss")</f>
        <v>4</v>
      </c>
      <c r="J41" s="3">
        <f t="shared" si="18"/>
        <v>0.2857142857142857</v>
      </c>
      <c r="K41" s="3">
        <f t="shared" si="19"/>
        <v>0.5714285714285714</v>
      </c>
      <c r="L41">
        <f>SUMIF('Team Lineups'!C:C,A41,'Team Lineups'!H:H)</f>
        <v>9</v>
      </c>
      <c r="M41">
        <f t="shared" si="20"/>
        <v>1.2857142857142858</v>
      </c>
      <c r="N41">
        <f>SUMIF('Team Lineups'!C:C,A41,'Team Lineups'!I:I)</f>
        <v>2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9</v>
      </c>
      <c r="D42">
        <f>SUMIF('Team Lineups'!C:C,A42,'Team Lineups'!E:E)</f>
        <v>58</v>
      </c>
      <c r="E42">
        <f>SUMIF('Team Lineups'!C:C,A42,'Team Lineups'!F:F)</f>
        <v>50</v>
      </c>
      <c r="F42">
        <f t="shared" si="17"/>
        <v>8</v>
      </c>
      <c r="G42">
        <f>COUNTIFS('Team Lineups'!C:C,A42,'Team Lineups'!G:G,"Win")</f>
        <v>5</v>
      </c>
      <c r="H42">
        <f>COUNTIFS('Team Lineups'!C:C,A42,'Team Lineups'!G:G,"Draw")</f>
        <v>1</v>
      </c>
      <c r="I42">
        <f>COUNTIFS('Team Lineups'!C:C,A42,'Team Lineups'!G:G,"Loss")</f>
        <v>3</v>
      </c>
      <c r="J42" s="3">
        <f t="shared" si="18"/>
        <v>0.55555555555555558</v>
      </c>
      <c r="K42" s="3">
        <f t="shared" si="19"/>
        <v>0.33333333333333331</v>
      </c>
      <c r="L42">
        <f>SUMIF('Team Lineups'!C:C,A42,'Team Lineups'!H:H)</f>
        <v>12</v>
      </c>
      <c r="M42">
        <f t="shared" si="20"/>
        <v>1.3333333333333333</v>
      </c>
      <c r="N42">
        <f>SUMIF('Team Lineups'!C:C,A42,'Team Lineups'!I:I)</f>
        <v>6</v>
      </c>
      <c r="O42">
        <f>COUNTIF(Matches!G:G,A42)</f>
        <v>1</v>
      </c>
      <c r="P42">
        <f t="shared" si="21"/>
        <v>0.1111111111111111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2</v>
      </c>
      <c r="D44">
        <f>SUMIF('Team Lineups'!C:C,A44,'Team Lineups'!E:E)</f>
        <v>20</v>
      </c>
      <c r="E44">
        <f>SUMIF('Team Lineups'!C:C,A44,'Team Lineups'!F:F)</f>
        <v>14</v>
      </c>
      <c r="F44">
        <f t="shared" ref="F44" si="27">D44-E44</f>
        <v>6</v>
      </c>
      <c r="G44">
        <f>COUNTIFS('Team Lineups'!C:C,A44,'Team Lineups'!G:G,"Win")</f>
        <v>2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ref="J44" si="28">G44/C44</f>
        <v>1</v>
      </c>
      <c r="K44" s="3">
        <f t="shared" ref="K44" si="29">I44/C44</f>
        <v>0</v>
      </c>
      <c r="L44">
        <f>SUMIF('Team Lineups'!C:C,A44,'Team Lineups'!H:H)</f>
        <v>2</v>
      </c>
      <c r="M44">
        <f t="shared" ref="M44" si="30">L44/C44</f>
        <v>1</v>
      </c>
      <c r="N44">
        <f>SUMIF('Team Lineups'!C:C,A44,'Team Lineups'!I:I)</f>
        <v>3</v>
      </c>
      <c r="O44">
        <f>COUNTIF(Matches!G:G,A44)</f>
        <v>1</v>
      </c>
      <c r="P44">
        <f t="shared" ref="P44" si="31">O44/C44</f>
        <v>0.5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5</v>
      </c>
      <c r="D45">
        <f>SUMIF('Team Lineups'!C:C,A45,'Team Lineups'!E:E)</f>
        <v>21</v>
      </c>
      <c r="E45">
        <f>SUMIF('Team Lineups'!C:C,A45,'Team Lineups'!F:F)</f>
        <v>33</v>
      </c>
      <c r="F45">
        <f t="shared" ref="F45" si="32">D45-E45</f>
        <v>-12</v>
      </c>
      <c r="G45">
        <f>COUNTIFS('Team Lineups'!C:C,A45,'Team Lineups'!G:G,"Win")</f>
        <v>2</v>
      </c>
      <c r="H45">
        <f>COUNTIFS('Team Lineups'!C:C,A45,'Team Lineups'!G:G,"Draw")</f>
        <v>0</v>
      </c>
      <c r="I45">
        <f>COUNTIFS('Team Lineups'!C:C,A45,'Team Lineups'!G:G,"Loss")</f>
        <v>3</v>
      </c>
      <c r="J45" s="3">
        <f t="shared" ref="J45" si="33">G45/C45</f>
        <v>0.4</v>
      </c>
      <c r="K45" s="3">
        <f t="shared" ref="K45" si="34">I45/C45</f>
        <v>0.6</v>
      </c>
      <c r="L45">
        <f>SUMIF('Team Lineups'!C:C,A45,'Team Lineups'!H:H)</f>
        <v>1</v>
      </c>
      <c r="M45">
        <f t="shared" ref="M45" si="35">L45/C45</f>
        <v>0.2</v>
      </c>
      <c r="N45">
        <f>SUMIF('Team Lineups'!C:C,A45,'Team Lineups'!I:I)</f>
        <v>0</v>
      </c>
      <c r="O45">
        <f>COUNTIF(Matches!G:G,A45)</f>
        <v>2</v>
      </c>
      <c r="P45">
        <f t="shared" ref="P45" si="36">O45/C45</f>
        <v>0.4</v>
      </c>
      <c r="Q45">
        <f>SUMIF('Team Lineups'!C:C,A45,'Team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3"/>
  <sheetViews>
    <sheetView tabSelected="1" topLeftCell="A8" workbookViewId="0">
      <selection activeCell="G17" sqref="G17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3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17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6</v>
      </c>
      <c r="H2" cm="1">
        <f t="array" ref="H2">SUMPRODUCT(('Team Lineups'!$K$2:$K$2000&lt;&gt;"")*('Team Lineups'!$C$2:$C$2000=$A2)*COUNTIFS('Team Lineups'!$K$2:$K$2000,'Team Lineups'!$K$2:$K$2000,'Team Lineups'!$C$2:$C$2000,H$1))</f>
        <v>4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1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19</v>
      </c>
      <c r="E4" cm="1">
        <f t="array" ref="E4">SUMPRODUCT(('Team Lineups'!$K$2:$K$2000&lt;&gt;"")*('Team Lineups'!$C$2:$C$2000=$A4)*COUNTIFS('Team Lineups'!$K$2:$K$2000,'Team Lineups'!$K$2:$K$2000,'Team Lineups'!$C$2:$C$2000,E$1))</f>
        <v>6</v>
      </c>
      <c r="F4" cm="1">
        <f t="array" ref="F4">SUMPRODUCT(('Team Lineups'!$K$2:$K$2000&lt;&gt;"")*('Team Lineups'!$C$2:$C$2000=$A4)*COUNTIFS('Team Lineups'!$K$2:$K$2000,'Team Lineups'!$K$2:$K$2000,'Team Lineups'!$C$2:$C$2000,F$1))</f>
        <v>9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4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5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2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6</v>
      </c>
      <c r="E5" cm="1">
        <f t="array" ref="E5">SUMPRODUCT(('Team Lineups'!$K$2:$K$2000&lt;&gt;"")*('Team Lineups'!$C$2:$C$2000=$A5)*COUNTIFS('Team Lineups'!$K$2:$K$2000,'Team Lineups'!$K$2:$K$2000,'Team Lineups'!$C$2:$C$2000,E$1))</f>
        <v>20</v>
      </c>
      <c r="F5" cm="1">
        <f t="array" ref="F5">SUMPRODUCT(('Team Lineups'!$K$2:$K$2000&lt;&gt;"")*('Team Lineups'!$C$2:$C$2000=$A5)*COUNTIFS('Team Lineups'!$K$2:$K$2000,'Team Lineups'!$K$2:$K$2000,'Team Lineups'!$C$2:$C$2000,F$1))</f>
        <v>7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3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7</v>
      </c>
      <c r="AB5" cm="1">
        <f t="array" ref="AB5">SUMPRODUCT(('Team Lineups'!$K$2:$K$2000&lt;&gt;"")*('Team Lineups'!$C$2:$C$2000=$A5)*COUNTIFS('Team Lineups'!$K$2:$K$2000,'Team Lineups'!$K$2:$K$2000,'Team Lineups'!$C$2:$C$2000,AB$1))</f>
        <v>3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6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9</v>
      </c>
      <c r="E6" cm="1">
        <f t="array" ref="E6">SUMPRODUCT(('Team Lineups'!$K$2:$K$2000&lt;&gt;"")*('Team Lineups'!$C$2:$C$2000=$A6)*COUNTIFS('Team Lineups'!$K$2:$K$2000,'Team Lineups'!$K$2:$K$2000,'Team Lineups'!$C$2:$C$2000,E$1))</f>
        <v>7</v>
      </c>
      <c r="F6" cm="1">
        <f t="array" ref="F6">SUMPRODUCT(('Team Lineups'!$K$2:$K$2000&lt;&gt;"")*('Team Lineups'!$C$2:$C$2000=$A6)*COUNTIFS('Team Lineups'!$K$2:$K$2000,'Team Lineups'!$K$2:$K$2000,'Team Lineups'!$C$2:$C$2000,F$1))</f>
        <v>17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7</v>
      </c>
      <c r="M6" cm="1">
        <f t="array" ref="M6">SUMPRODUCT(('Team Lineups'!$K$2:$K$2000&lt;&gt;"")*('Team Lineups'!$C$2:$C$2000=$A6)*COUNTIFS('Team Lineups'!$K$2:$K$2000,'Team Lineups'!$K$2:$K$2000,'Team Lineups'!$C$2:$C$2000,M$1))</f>
        <v>8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4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5</v>
      </c>
      <c r="R6" cm="1">
        <f t="array" ref="R6">SUMPRODUCT(('Team Lineups'!$K$2:$K$2000&lt;&gt;"")*('Team Lineups'!$C$2:$C$2000=$A6)*COUNTIFS('Team Lineups'!$K$2:$K$2000,'Team Lineups'!$K$2:$K$2000,'Team Lineups'!$C$2:$C$2000,R$1))</f>
        <v>6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5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2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1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3</v>
      </c>
      <c r="AO6" cm="1">
        <f t="array" ref="AO6">SUMPRODUCT(('Team Lineups'!$K$2:$K$2000&lt;&gt;"")*('Team Lineups'!$C$2:$C$2000=$A6)*COUNTIFS('Team Lineups'!$K$2:$K$2000,'Team Lineups'!$K$2:$K$2000,'Team Lineups'!$C$2:$C$2000,AO$1))</f>
        <v>0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6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cm="1">
        <f t="array" ref="G7">SUMPRODUCT(('Team Lineups'!$K$2:$K$2000&lt;&gt;"")*('Team Lineups'!$C$2:$C$2000=$A7)*COUNTIFS('Team Lineups'!$K$2:$K$2000,'Team Lineups'!$K$2:$K$2000,'Team Lineups'!$C$2:$C$2000,G$1))</f>
        <v>21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10</v>
      </c>
      <c r="N7" cm="1">
        <f t="array" ref="N7">SUMPRODUCT(('Team Lineups'!$K$2:$K$2000&lt;&gt;"")*('Team Lineups'!$C$2:$C$2000=$A7)*COUNTIFS('Team Lineups'!$K$2:$K$2000,'Team Lineups'!$K$2:$K$2000,'Team Lineups'!$C$2:$C$2000,N$1))</f>
        <v>4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5</v>
      </c>
      <c r="R7" cm="1">
        <f t="array" ref="R7">SUMPRODUCT(('Team Lineups'!$K$2:$K$2000&lt;&gt;"")*('Team Lineups'!$C$2:$C$2000=$A7)*COUNTIFS('Team Lineups'!$K$2:$K$2000,'Team Lineups'!$K$2:$K$2000,'Team Lineups'!$C$2:$C$2000,R$1))</f>
        <v>6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3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4</v>
      </c>
      <c r="AE7" cm="1">
        <f t="array" ref="AE7">SUMPRODUCT(('Team Lineups'!$K$2:$K$2000&lt;&gt;"")*('Team Lineups'!$C$2:$C$2000=$A7)*COUNTIFS('Team Lineups'!$K$2:$K$2000,'Team Lineups'!$K$2:$K$2000,'Team Lineups'!$C$2:$C$2000,AE$1))</f>
        <v>1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0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4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1</v>
      </c>
      <c r="AO7" cm="1">
        <f t="array" ref="AO7">SUMPRODUCT(('Team Lineups'!$K$2:$K$2000&lt;&gt;"")*('Team Lineups'!$C$2:$C$2000=$A7)*COUNTIFS('Team Lineups'!$K$2:$K$2000,'Team Lineups'!$K$2:$K$2000,'Team Lineups'!$C$2:$C$2000,AO$1))</f>
        <v>1</v>
      </c>
      <c r="AP7" cm="1">
        <f t="array" ref="AP7">SUMPRODUCT(('Team Lineups'!$K$2:$K$2000&lt;&gt;"")*('Team Lineups'!$C$2:$C$2000=$A7)*COUNTIFS('Team Lineups'!$K$2:$K$2000,'Team Lineups'!$K$2:$K$2000,'Team Lineups'!$C$2:$C$2000,AP$1))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4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17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6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4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2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0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3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22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6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7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5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4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1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2</v>
      </c>
      <c r="AO9" cm="1">
        <f t="array" ref="AO9">SUMPRODUCT(('Team Lineups'!$K$2:$K$2000&lt;&gt;"")*('Team Lineups'!$C$2:$C$2000=$A9)*COUNTIFS('Team Lineups'!$K$2:$K$2000,'Team Lineups'!$K$2:$K$2000,'Team Lineups'!$C$2:$C$2000,AO$1))</f>
        <v>1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7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6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21</v>
      </c>
      <c r="M12" cm="1">
        <f t="array" ref="M12">SUMPRODUCT(('Team Lineups'!$K$2:$K$2000&lt;&gt;"")*('Team Lineups'!$C$2:$C$2000=$A12)*COUNTIFS('Team Lineups'!$K$2:$K$2000,'Team Lineups'!$K$2:$K$2000,'Team Lineups'!$C$2:$C$2000,M$1))</f>
        <v>7</v>
      </c>
      <c r="N12" cm="1">
        <f t="array" ref="N12">SUMPRODUCT(('Team Lineups'!$K$2:$K$2000&lt;&gt;"")*('Team Lineups'!$C$2:$C$2000=$A12)*COUNTIFS('Team Lineups'!$K$2:$K$2000,'Team Lineups'!$K$2:$K$2000,'Team Lineups'!$C$2:$C$2000,N$1))</f>
        <v>6</v>
      </c>
      <c r="O12" cm="1">
        <f t="array" ref="O12">SUMPRODUCT(('Team Lineups'!$K$2:$K$2000&lt;&gt;"")*('Team Lineups'!$C$2:$C$2000=$A12)*COUNTIFS('Team Lineups'!$K$2:$K$2000,'Team Lineups'!$K$2:$K$2000,'Team Lineups'!$C$2:$C$2000,O$1))</f>
        <v>4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5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6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4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3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1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4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8</v>
      </c>
      <c r="G13" cm="1">
        <f t="array" ref="G13">SUMPRODUCT(('Team Lineups'!$K$2:$K$2000&lt;&gt;"")*('Team Lineups'!$C$2:$C$2000=$A13)*COUNTIFS('Team Lineups'!$K$2:$K$2000,'Team Lineups'!$K$2:$K$2000,'Team Lineups'!$C$2:$C$2000,G$1))</f>
        <v>10</v>
      </c>
      <c r="H13" cm="1">
        <f t="array" ref="H13">SUMPRODUCT(('Team Lineups'!$K$2:$K$2000&lt;&gt;"")*('Team Lineups'!$C$2:$C$2000=$A13)*COUNTIFS('Team Lineups'!$K$2:$K$2000,'Team Lineups'!$K$2:$K$2000,'Team Lineups'!$C$2:$C$2000,H$1))</f>
        <v>6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7</v>
      </c>
      <c r="M13" cm="1">
        <f t="array" ref="M13">SUMPRODUCT(('Team Lineups'!$K$2:$K$2000&lt;&gt;"")*('Team Lineups'!$C$2:$C$2000=$A13)*COUNTIFS('Team Lineups'!$K$2:$K$2000,'Team Lineups'!$K$2:$K$2000,'Team Lineups'!$C$2:$C$2000,M$1))</f>
        <v>23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9</v>
      </c>
      <c r="R13" cm="1">
        <f t="array" ref="R13">SUMPRODUCT(('Team Lineups'!$K$2:$K$2000&lt;&gt;"")*('Team Lineups'!$C$2:$C$2000=$A13)*COUNTIFS('Team Lineups'!$K$2:$K$2000,'Team Lineups'!$K$2:$K$2000,'Team Lineups'!$C$2:$C$2000,R$1))</f>
        <v>5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2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5</v>
      </c>
      <c r="AA13" cm="1">
        <f t="array" ref="AA13">SUMPRODUCT(('Team Lineups'!$K$2:$K$2000&lt;&gt;"")*('Team Lineups'!$C$2:$C$2000=$A13)*COUNTIFS('Team Lineups'!$K$2:$K$2000,'Team Lineups'!$K$2:$K$2000,'Team Lineups'!$C$2:$C$2000,AA$1))</f>
        <v>5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2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4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6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16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3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3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4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4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1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1</v>
      </c>
      <c r="AP14" cm="1">
        <f t="array" ref="AP14">SUMPRODUCT(('Team Lineups'!$K$2:$K$2000&lt;&gt;"")*('Team Lineups'!$C$2:$C$2000=$A14)*COUNTIFS('Team Lineups'!$K$2:$K$2000,'Team Lineups'!$K$2:$K$2000,'Team Lineups'!$C$2:$C$2000,AP$1))</f>
        <v>2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4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4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10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7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3</v>
      </c>
      <c r="AB15" cm="1">
        <f t="array" ref="AB15">SUMPRODUCT(('Team Lineups'!$K$2:$K$2000&lt;&gt;"")*('Team Lineups'!$C$2:$C$2000=$A15)*COUNTIFS('Team Lineups'!$K$2:$K$2000,'Team Lineups'!$K$2:$K$2000,'Team Lineups'!$C$2:$C$2000,AB$1))</f>
        <v>3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1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</row>
    <row r="17" spans="1:4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5</v>
      </c>
      <c r="G17" cm="1">
        <f t="array" ref="G17">SUMPRODUCT(('Team Lineups'!$K$2:$K$2000&lt;&gt;"")*('Team Lineups'!$C$2:$C$2000=$A17)*COUNTIFS('Team Lineups'!$K$2:$K$2000,'Team Lineups'!$K$2:$K$2000,'Team Lineups'!$C$2:$C$2000,G$1))</f>
        <v>5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5</v>
      </c>
      <c r="M17" cm="1">
        <f t="array" ref="M17">SUMPRODUCT(('Team Lineups'!$K$2:$K$2000&lt;&gt;"")*('Team Lineups'!$C$2:$C$2000=$A17)*COUNTIFS('Team Lineups'!$K$2:$K$2000,'Team Lineups'!$K$2:$K$2000,'Team Lineups'!$C$2:$C$2000,M$1))</f>
        <v>9</v>
      </c>
      <c r="N17" cm="1">
        <f t="array" ref="N17">SUMPRODUCT(('Team Lineups'!$K$2:$K$2000&lt;&gt;"")*('Team Lineups'!$C$2:$C$2000=$A17)*COUNTIFS('Team Lineups'!$K$2:$K$2000,'Team Lineups'!$K$2:$K$2000,'Team Lineups'!$C$2:$C$2000,N$1))</f>
        <v>3</v>
      </c>
      <c r="O17" cm="1">
        <f t="array" ref="O17">SUMPRODUCT(('Team Lineups'!$K$2:$K$2000&lt;&gt;"")*('Team Lineups'!$C$2:$C$2000=$A17)*COUNTIFS('Team Lineups'!$K$2:$K$2000,'Team Lineups'!$K$2:$K$2000,'Team Lineups'!$C$2:$C$2000,O$1))</f>
        <v>7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21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2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2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2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1</v>
      </c>
      <c r="AO17" cm="1">
        <f t="array" ref="AO17">SUMPRODUCT(('Team Lineups'!$K$2:$K$2000&lt;&gt;"")*('Team Lineups'!$C$2:$C$2000=$A17)*COUNTIFS('Team Lineups'!$K$2:$K$2000,'Team Lineups'!$K$2:$K$2000,'Team Lineups'!$C$2:$C$2000,AO$1))</f>
        <v>1</v>
      </c>
      <c r="AP17" cm="1">
        <f t="array" ref="AP17">SUMPRODUCT(('Team Lineups'!$K$2:$K$2000&lt;&gt;"")*('Team Lineups'!$C$2:$C$2000=$A17)*COUNTIFS('Team Lineups'!$K$2:$K$2000,'Team Lineups'!$K$2:$K$2000,'Team Lineups'!$C$2:$C$2000,AP$1))</f>
        <v>0</v>
      </c>
    </row>
    <row r="18" spans="1:4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5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6</v>
      </c>
      <c r="G18" cm="1">
        <f t="array" ref="G18">SUMPRODUCT(('Team Lineups'!$K$2:$K$2000&lt;&gt;"")*('Team Lineups'!$C$2:$C$2000=$A18)*COUNTIFS('Team Lineups'!$K$2:$K$2000,'Team Lineups'!$K$2:$K$2000,'Team Lineups'!$C$2:$C$2000,G$1))</f>
        <v>6</v>
      </c>
      <c r="H18" cm="1">
        <f t="array" ref="H18">SUMPRODUCT(('Team Lineups'!$K$2:$K$2000&lt;&gt;"")*('Team Lineups'!$C$2:$C$2000=$A18)*COUNTIFS('Team Lineups'!$K$2:$K$2000,'Team Lineups'!$K$2:$K$2000,'Team Lineups'!$C$2:$C$2000,H$1))</f>
        <v>4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5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13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3</v>
      </c>
      <c r="AA18" cm="1">
        <f t="array" ref="AA18">SUMPRODUCT(('Team Lineups'!$K$2:$K$2000&lt;&gt;"")*('Team Lineups'!$C$2:$C$2000=$A18)*COUNTIFS('Team Lineups'!$K$2:$K$2000,'Team Lineups'!$K$2:$K$2000,'Team Lineups'!$C$2:$C$2000,AA$1))</f>
        <v>4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5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</row>
    <row r="19" spans="1:4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</row>
    <row r="20" spans="1:4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2</v>
      </c>
      <c r="N20" cm="1">
        <f t="array" ref="N20">SUMPRODUCT(('Team Lineups'!$K$2:$K$2000&lt;&gt;"")*('Team Lineups'!$C$2:$C$2000=$A20)*COUNTIFS('Team Lineups'!$K$2:$K$2000,'Team Lineups'!$K$2:$K$2000,'Team Lineups'!$C$2:$C$2000,N$1))</f>
        <v>3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2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8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0</v>
      </c>
    </row>
    <row r="21" spans="1:4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</row>
    <row r="22" spans="1:4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</row>
    <row r="23" spans="1:4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</row>
    <row r="24" spans="1:4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</row>
    <row r="25" spans="1:4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</row>
    <row r="26" spans="1:4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5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3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8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3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</row>
    <row r="27" spans="1:4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7</v>
      </c>
      <c r="F27" cm="1">
        <f t="array" ref="F27">SUMPRODUCT(('Team Lineups'!$K$2:$K$2000&lt;&gt;"")*('Team Lineups'!$C$2:$C$2000=$A27)*COUNTIFS('Team Lineups'!$K$2:$K$2000,'Team Lineups'!$K$2:$K$2000,'Team Lineups'!$C$2:$C$2000,F$1))</f>
        <v>5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2</v>
      </c>
      <c r="I27" cm="1">
        <f t="array" ref="I27">SUMPRODUCT(('Team Lineups'!$K$2:$K$2000&lt;&gt;"")*('Team Lineups'!$C$2:$C$2000=$A27)*COUNTIFS('Team Lineups'!$K$2:$K$2000,'Team Lineups'!$K$2:$K$2000,'Team Lineups'!$C$2:$C$2000,I$1))</f>
        <v>7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6</v>
      </c>
      <c r="M27" cm="1">
        <f t="array" ref="M27">SUMPRODUCT(('Team Lineups'!$K$2:$K$2000&lt;&gt;"")*('Team Lineups'!$C$2:$C$2000=$A27)*COUNTIFS('Team Lineups'!$K$2:$K$2000,'Team Lineups'!$K$2:$K$2000,'Team Lineups'!$C$2:$C$2000,M$1))</f>
        <v>5</v>
      </c>
      <c r="N27" cm="1">
        <f t="array" ref="N27">SUMPRODUCT(('Team Lineups'!$K$2:$K$2000&lt;&gt;"")*('Team Lineups'!$C$2:$C$2000=$A27)*COUNTIFS('Team Lineups'!$K$2:$K$2000,'Team Lineups'!$K$2:$K$2000,'Team Lineups'!$C$2:$C$2000,N$1))</f>
        <v>4</v>
      </c>
      <c r="O27" cm="1">
        <f t="array" ref="O27">SUMPRODUCT(('Team Lineups'!$K$2:$K$2000&lt;&gt;"")*('Team Lineups'!$C$2:$C$2000=$A27)*COUNTIFS('Team Lineups'!$K$2:$K$2000,'Team Lineups'!$K$2:$K$2000,'Team Lineups'!$C$2:$C$2000,O$1))</f>
        <v>3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4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cm="1">
        <f t="array" ref="AA27">SUMPRODUCT(('Team Lineups'!$K$2:$K$2000&lt;&gt;"")*('Team Lineups'!$C$2:$C$2000=$A27)*COUNTIFS('Team Lineups'!$K$2:$K$2000,'Team Lineups'!$K$2:$K$2000,'Team Lineups'!$C$2:$C$2000,AA$1))</f>
        <v>17</v>
      </c>
      <c r="AB27" cm="1">
        <f t="array" ref="AB27">SUMPRODUCT(('Team Lineups'!$K$2:$K$2000&lt;&gt;"")*('Team Lineups'!$C$2:$C$2000=$A27)*COUNTIFS('Team Lineups'!$K$2:$K$2000,'Team Lineups'!$K$2:$K$2000,'Team Lineups'!$C$2:$C$2000,AB$1))</f>
        <v>4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2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3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1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1</v>
      </c>
      <c r="AO27" cm="1">
        <f t="array" ref="AO27">SUMPRODUCT(('Team Lineups'!$K$2:$K$2000&lt;&gt;"")*('Team Lineups'!$C$2:$C$2000=$A27)*COUNTIFS('Team Lineups'!$K$2:$K$2000,'Team Lineups'!$K$2:$K$2000,'Team Lineups'!$C$2:$C$2000,AO$1))</f>
        <v>2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</row>
    <row r="28" spans="1:4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1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3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3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3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4</v>
      </c>
      <c r="AB28" cm="1">
        <f t="array" ref="AB28">SUMPRODUCT(('Team Lineups'!$K$2:$K$2000&lt;&gt;"")*('Team Lineups'!$C$2:$C$2000=$A28)*COUNTIFS('Team Lineups'!$K$2:$K$2000,'Team Lineups'!$K$2:$K$2000,'Team Lineups'!$C$2:$C$2000,AB$1))</f>
        <v>13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4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3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1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</row>
    <row r="29" spans="1:4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</row>
    <row r="30" spans="1:4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4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5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4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2</v>
      </c>
      <c r="AB30" cm="1">
        <f t="array" ref="AB30">SUMPRODUCT(('Team Lineups'!$K$2:$K$2000&lt;&gt;"")*('Team Lineups'!$C$2:$C$2000=$A30)*COUNTIFS('Team Lineups'!$K$2:$K$2000,'Team Lineups'!$K$2:$K$2000,'Team Lineups'!$C$2:$C$2000,AB$1))</f>
        <v>4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9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1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1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0</v>
      </c>
      <c r="AO30" cm="1">
        <f t="array" ref="AO30">SUMPRODUCT(('Team Lineups'!$K$2:$K$2000&lt;&gt;"")*('Team Lineups'!$C$2:$C$2000=$A30)*COUNTIFS('Team Lineups'!$K$2:$K$2000,'Team Lineups'!$K$2:$K$2000,'Team Lineups'!$C$2:$C$2000,AO$1))</f>
        <v>1</v>
      </c>
      <c r="AP30" cm="1">
        <f t="array" ref="AP30">SUMPRODUCT(('Team Lineups'!$K$2:$K$2000&lt;&gt;"")*('Team Lineups'!$C$2:$C$2000=$A30)*COUNTIFS('Team Lineups'!$K$2:$K$2000,'Team Lineups'!$K$2:$K$2000,'Team Lineups'!$C$2:$C$2000,AP$1))</f>
        <v>1</v>
      </c>
    </row>
    <row r="31" spans="1:4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1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6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0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</row>
    <row r="32" spans="1:4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</row>
    <row r="33" spans="1:42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6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2</v>
      </c>
    </row>
    <row r="34" spans="1:42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</row>
    <row r="35" spans="1:42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</row>
    <row r="36" spans="1:42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2</v>
      </c>
      <c r="G36" cm="1">
        <f t="array" ref="G36">SUMPRODUCT(('Team Lineups'!$K$2:$K$2000&lt;&gt;"")*('Team Lineups'!$C$2:$C$2000=$A36)*COUNTIFS('Team Lineups'!$K$2:$K$2000,'Team Lineups'!$K$2:$K$2000,'Team Lineups'!$C$2:$C$2000,G$1))</f>
        <v>0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4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3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4</v>
      </c>
      <c r="O36" cm="1">
        <f t="array" ref="O36">SUMPRODUCT(('Team Lineups'!$K$2:$K$2000&lt;&gt;"")*('Team Lineups'!$C$2:$C$2000=$A36)*COUNTIFS('Team Lineups'!$K$2:$K$2000,'Team Lineups'!$K$2:$K$2000,'Team Lineups'!$C$2:$C$2000,O$1))</f>
        <v>1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2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3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1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7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1</v>
      </c>
      <c r="AO36" cm="1">
        <f t="array" ref="AO36">SUMPRODUCT(('Team Lineups'!$K$2:$K$2000&lt;&gt;"")*('Team Lineups'!$C$2:$C$2000=$A36)*COUNTIFS('Team Lineups'!$K$2:$K$2000,'Team Lineups'!$K$2:$K$2000,'Team Lineups'!$C$2:$C$2000,AO$1))</f>
        <v>1</v>
      </c>
      <c r="AP36" cm="1">
        <f t="array" ref="AP36">SUMPRODUCT(('Team Lineups'!$K$2:$K$2000&lt;&gt;"")*('Team Lineups'!$C$2:$C$2000=$A36)*COUNTIFS('Team Lineups'!$K$2:$K$2000,'Team Lineups'!$K$2:$K$2000,'Team Lineups'!$C$2:$C$2000,AP$1))</f>
        <v>1</v>
      </c>
    </row>
    <row r="37" spans="1:42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</row>
    <row r="38" spans="1:42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2</v>
      </c>
      <c r="E38" cm="1">
        <f t="array" ref="E38">SUMPRODUCT(('Team Lineups'!$K$2:$K$2000&lt;&gt;"")*('Team Lineups'!$C$2:$C$2000=$A38)*COUNTIFS('Team Lineups'!$K$2:$K$2000,'Team Lineups'!$K$2:$K$2000,'Team Lineups'!$C$2:$C$2000,E$1))</f>
        <v>6</v>
      </c>
      <c r="F38" cm="1">
        <f t="array" ref="F38">SUMPRODUCT(('Team Lineups'!$K$2:$K$2000&lt;&gt;"")*('Team Lineups'!$C$2:$C$2000=$A38)*COUNTIFS('Team Lineups'!$K$2:$K$2000,'Team Lineups'!$K$2:$K$2000,'Team Lineups'!$C$2:$C$2000,F$1))</f>
        <v>1</v>
      </c>
      <c r="G38" cm="1">
        <f t="array" ref="G38">SUMPRODUCT(('Team Lineups'!$K$2:$K$2000&lt;&gt;"")*('Team Lineups'!$C$2:$C$2000=$A38)*COUNTIFS('Team Lineups'!$K$2:$K$2000,'Team Lineups'!$K$2:$K$2000,'Team Lineups'!$C$2:$C$2000,G$1))</f>
        <v>4</v>
      </c>
      <c r="H38" cm="1">
        <f t="array" ref="H38">SUMPRODUCT(('Team Lineups'!$K$2:$K$2000&lt;&gt;"")*('Team Lineups'!$C$2:$C$2000=$A38)*COUNTIFS('Team Lineups'!$K$2:$K$2000,'Team Lineups'!$K$2:$K$2000,'Team Lineups'!$C$2:$C$2000,H$1))</f>
        <v>0</v>
      </c>
      <c r="I38" cm="1">
        <f t="array" ref="I38">SUMPRODUCT(('Team Lineups'!$K$2:$K$2000&lt;&gt;"")*('Team Lineups'!$C$2:$C$2000=$A38)*COUNTIFS('Team Lineups'!$K$2:$K$2000,'Team Lineups'!$K$2:$K$2000,'Team Lineups'!$C$2:$C$2000,I$1))</f>
        <v>1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2</v>
      </c>
      <c r="N38" cm="1">
        <f t="array" ref="N38">SUMPRODUCT(('Team Lineups'!$K$2:$K$2000&lt;&gt;"")*('Team Lineups'!$C$2:$C$2000=$A38)*COUNTIFS('Team Lineups'!$K$2:$K$2000,'Team Lineups'!$K$2:$K$2000,'Team Lineups'!$C$2:$C$2000,N$1))</f>
        <v>1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2</v>
      </c>
      <c r="R38" cm="1">
        <f t="array" ref="R38">SUMPRODUCT(('Team Lineups'!$K$2:$K$2000&lt;&gt;"")*('Team Lineups'!$C$2:$C$2000=$A38)*COUNTIFS('Team Lineups'!$K$2:$K$2000,'Team Lineups'!$K$2:$K$2000,'Team Lineups'!$C$2:$C$2000,R$1))</f>
        <v>5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3</v>
      </c>
      <c r="AA38" cm="1">
        <f t="array" ref="AA38">SUMPRODUCT(('Team Lineups'!$K$2:$K$2000&lt;&gt;"")*('Team Lineups'!$C$2:$C$2000=$A38)*COUNTIFS('Team Lineups'!$K$2:$K$2000,'Team Lineups'!$K$2:$K$2000,'Team Lineups'!$C$2:$C$2000,AA$1))</f>
        <v>1</v>
      </c>
      <c r="AB38" cm="1">
        <f t="array" ref="AB38">SUMPRODUCT(('Team Lineups'!$K$2:$K$2000&lt;&gt;"")*('Team Lineups'!$C$2:$C$2000=$A38)*COUNTIFS('Team Lineups'!$K$2:$K$2000,'Team Lineups'!$K$2:$K$2000,'Team Lineups'!$C$2:$C$2000,AB$1))</f>
        <v>3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1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9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3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2</v>
      </c>
    </row>
    <row r="39" spans="1:42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</row>
    <row r="40" spans="1:42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3</v>
      </c>
      <c r="G40" cm="1">
        <f t="array" ref="G40">SUMPRODUCT(('Team Lineups'!$K$2:$K$2000&lt;&gt;"")*('Team Lineups'!$C$2:$C$2000=$A40)*COUNTIFS('Team Lineups'!$K$2:$K$2000,'Team Lineups'!$K$2:$K$2000,'Team Lineups'!$C$2:$C$2000,G$1))</f>
        <v>1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2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1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1</v>
      </c>
      <c r="AB40" cm="1">
        <f t="array" ref="AB40">SUMPRODUCT(('Team Lineups'!$K$2:$K$2000&lt;&gt;"")*('Team Lineups'!$C$2:$C$2000=$A40)*COUNTIFS('Team Lineups'!$K$2:$K$2000,'Team Lineups'!$K$2:$K$2000,'Team Lineups'!$C$2:$C$2000,AB$1))</f>
        <v>1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0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1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3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7</v>
      </c>
      <c r="AO40" cm="1">
        <f t="array" ref="AO40">SUMPRODUCT(('Team Lineups'!$K$2:$K$2000&lt;&gt;"")*('Team Lineups'!$C$2:$C$2000=$A40)*COUNTIFS('Team Lineups'!$K$2:$K$2000,'Team Lineups'!$K$2:$K$2000,'Team Lineups'!$C$2:$C$2000,AO$1))</f>
        <v>0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</row>
    <row r="41" spans="1:42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0</v>
      </c>
      <c r="G41" cm="1">
        <f t="array" ref="G41">SUMPRODUCT(('Team Lineups'!$K$2:$K$2000&lt;&gt;"")*('Team Lineups'!$C$2:$C$2000=$A41)*COUNTIFS('Team Lineups'!$K$2:$K$2000,'Team Lineups'!$K$2:$K$2000,'Team Lineups'!$C$2:$C$2000,G$1))</f>
        <v>1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1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1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1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1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2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1</v>
      </c>
      <c r="AE41" cm="1">
        <f t="array" ref="AE41">SUMPRODUCT(('Team Lineups'!$K$2:$K$2000&lt;&gt;"")*('Team Lineups'!$C$2:$C$2000=$A41)*COUNTIFS('Team Lineups'!$K$2:$K$2000,'Team Lineups'!$K$2:$K$2000,'Team Lineups'!$C$2:$C$2000,AE$1))</f>
        <v>0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1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0</v>
      </c>
      <c r="AO41" cm="1">
        <f t="array" ref="AO41">SUMPRODUCT(('Team Lineups'!$K$2:$K$2000&lt;&gt;"")*('Team Lineups'!$C$2:$C$2000=$A41)*COUNTIFS('Team Lineups'!$K$2:$K$2000,'Team Lineups'!$K$2:$K$2000,'Team Lineups'!$C$2:$C$2000,AO$1))</f>
        <v>2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</row>
    <row r="42" spans="1:42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1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1</v>
      </c>
      <c r="N42" cm="1">
        <f t="array" ref="N42">SUMPRODUCT(('Team Lineups'!$K$2:$K$2000&lt;&gt;"")*('Team Lineups'!$C$2:$C$2000=$A42)*COUNTIFS('Team Lineups'!$K$2:$K$2000,'Team Lineups'!$K$2:$K$2000,'Team Lineups'!$C$2:$C$2000,N$1))</f>
        <v>2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0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0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1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2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1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2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5</v>
      </c>
    </row>
    <row r="43" spans="1:42" x14ac:dyDescent="0.35">
      <c r="A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2026-05-18T16:19:50Z</dcterms:modified>
</cp:coreProperties>
</file>