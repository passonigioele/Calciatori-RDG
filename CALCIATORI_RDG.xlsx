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8_{EF08FA0D-C33D-4A31-BADD-0C846D98672A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Matches" sheetId="1" r:id="rId1"/>
    <sheet name="Team Lineups" sheetId="2" r:id="rId2"/>
    <sheet name="Players" sheetId="3" r:id="rId3"/>
    <sheet name="Sheet2" sheetId="6" r:id="rId4"/>
  </sheets>
  <definedNames>
    <definedName name="_xlnm._FilterDatabase" localSheetId="2" hidden="1">Players!$A$1:$O$27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6" l="1" a="1"/>
  <c r="A2" i="6" s="1"/>
  <c r="P34" i="3"/>
  <c r="N34" i="3"/>
  <c r="M34" i="3"/>
  <c r="K34" i="3"/>
  <c r="L34" i="3" s="1"/>
  <c r="I34" i="3"/>
  <c r="H34" i="3"/>
  <c r="G34" i="3"/>
  <c r="J34" i="3" s="1"/>
  <c r="E34" i="3"/>
  <c r="D34" i="3"/>
  <c r="F34" i="3" s="1"/>
  <c r="C34" i="3"/>
  <c r="O34" i="3" s="1"/>
  <c r="P33" i="3"/>
  <c r="N33" i="3"/>
  <c r="M33" i="3"/>
  <c r="K33" i="3"/>
  <c r="L33" i="3" s="1"/>
  <c r="I33" i="3"/>
  <c r="H33" i="3"/>
  <c r="G33" i="3"/>
  <c r="J33" i="3" s="1"/>
  <c r="E33" i="3"/>
  <c r="D33" i="3"/>
  <c r="F33" i="3" s="1"/>
  <c r="C33" i="3"/>
  <c r="O33" i="3" s="1"/>
  <c r="P32" i="3"/>
  <c r="N32" i="3"/>
  <c r="M32" i="3"/>
  <c r="K32" i="3"/>
  <c r="L32" i="3" s="1"/>
  <c r="I32" i="3"/>
  <c r="H32" i="3"/>
  <c r="G32" i="3"/>
  <c r="J32" i="3" s="1"/>
  <c r="E32" i="3"/>
  <c r="D32" i="3"/>
  <c r="F32" i="3" s="1"/>
  <c r="C32" i="3"/>
  <c r="O32" i="3" s="1"/>
  <c r="P31" i="3"/>
  <c r="N31" i="3"/>
  <c r="M31" i="3"/>
  <c r="K31" i="3"/>
  <c r="L31" i="3" s="1"/>
  <c r="I31" i="3"/>
  <c r="H31" i="3"/>
  <c r="G31" i="3"/>
  <c r="J31" i="3" s="1"/>
  <c r="E31" i="3"/>
  <c r="D31" i="3"/>
  <c r="F31" i="3" s="1"/>
  <c r="C31" i="3"/>
  <c r="O31" i="3" s="1"/>
  <c r="P30" i="3"/>
  <c r="N30" i="3"/>
  <c r="M30" i="3"/>
  <c r="K30" i="3"/>
  <c r="L30" i="3" s="1"/>
  <c r="I30" i="3"/>
  <c r="H30" i="3"/>
  <c r="G30" i="3"/>
  <c r="J30" i="3" s="1"/>
  <c r="E30" i="3"/>
  <c r="D30" i="3"/>
  <c r="F30" i="3" s="1"/>
  <c r="C30" i="3"/>
  <c r="O30" i="3" s="1"/>
  <c r="P29" i="3"/>
  <c r="N29" i="3"/>
  <c r="M29" i="3"/>
  <c r="K29" i="3"/>
  <c r="L29" i="3" s="1"/>
  <c r="I29" i="3"/>
  <c r="H29" i="3"/>
  <c r="G29" i="3"/>
  <c r="J29" i="3" s="1"/>
  <c r="E29" i="3"/>
  <c r="D29" i="3"/>
  <c r="F29" i="3" s="1"/>
  <c r="C29" i="3"/>
  <c r="O29" i="3" s="1"/>
  <c r="P28" i="3"/>
  <c r="N28" i="3"/>
  <c r="M28" i="3"/>
  <c r="K28" i="3"/>
  <c r="L28" i="3" s="1"/>
  <c r="I28" i="3"/>
  <c r="H28" i="3"/>
  <c r="G28" i="3"/>
  <c r="J28" i="3" s="1"/>
  <c r="E28" i="3"/>
  <c r="D28" i="3"/>
  <c r="F28" i="3" s="1"/>
  <c r="C28" i="3"/>
  <c r="O28" i="3" s="1"/>
  <c r="P27" i="3"/>
  <c r="N27" i="3"/>
  <c r="M27" i="3"/>
  <c r="K27" i="3"/>
  <c r="L27" i="3" s="1"/>
  <c r="I27" i="3"/>
  <c r="H27" i="3"/>
  <c r="G27" i="3"/>
  <c r="J27" i="3" s="1"/>
  <c r="E27" i="3"/>
  <c r="D27" i="3"/>
  <c r="F27" i="3" s="1"/>
  <c r="C27" i="3"/>
  <c r="O27" i="3" s="1"/>
  <c r="P26" i="3"/>
  <c r="O26" i="3"/>
  <c r="N26" i="3"/>
  <c r="M26" i="3"/>
  <c r="K26" i="3"/>
  <c r="L26" i="3" s="1"/>
  <c r="I26" i="3"/>
  <c r="H26" i="3"/>
  <c r="G26" i="3"/>
  <c r="J26" i="3" s="1"/>
  <c r="F26" i="3"/>
  <c r="E26" i="3"/>
  <c r="D26" i="3"/>
  <c r="C26" i="3"/>
  <c r="P25" i="3"/>
  <c r="N25" i="3"/>
  <c r="M25" i="3"/>
  <c r="K25" i="3"/>
  <c r="L25" i="3" s="1"/>
  <c r="I25" i="3"/>
  <c r="H25" i="3"/>
  <c r="G25" i="3"/>
  <c r="J25" i="3" s="1"/>
  <c r="E25" i="3"/>
  <c r="D25" i="3"/>
  <c r="F25" i="3" s="1"/>
  <c r="C25" i="3"/>
  <c r="O25" i="3" s="1"/>
  <c r="P24" i="3"/>
  <c r="N24" i="3"/>
  <c r="M24" i="3"/>
  <c r="K24" i="3"/>
  <c r="L24" i="3" s="1"/>
  <c r="I24" i="3"/>
  <c r="H24" i="3"/>
  <c r="G24" i="3"/>
  <c r="J24" i="3" s="1"/>
  <c r="E24" i="3"/>
  <c r="D24" i="3"/>
  <c r="F24" i="3" s="1"/>
  <c r="C24" i="3"/>
  <c r="O24" i="3" s="1"/>
  <c r="P23" i="3"/>
  <c r="N23" i="3"/>
  <c r="M23" i="3"/>
  <c r="K23" i="3"/>
  <c r="L23" i="3" s="1"/>
  <c r="I23" i="3"/>
  <c r="H23" i="3"/>
  <c r="G23" i="3"/>
  <c r="J23" i="3" s="1"/>
  <c r="E23" i="3"/>
  <c r="D23" i="3"/>
  <c r="F23" i="3" s="1"/>
  <c r="C23" i="3"/>
  <c r="O23" i="3" s="1"/>
  <c r="P22" i="3"/>
  <c r="N22" i="3"/>
  <c r="M22" i="3"/>
  <c r="K22" i="3"/>
  <c r="L22" i="3" s="1"/>
  <c r="I22" i="3"/>
  <c r="H22" i="3"/>
  <c r="G22" i="3"/>
  <c r="J22" i="3" s="1"/>
  <c r="E22" i="3"/>
  <c r="D22" i="3"/>
  <c r="F22" i="3" s="1"/>
  <c r="C22" i="3"/>
  <c r="O22" i="3" s="1"/>
  <c r="P21" i="3"/>
  <c r="N21" i="3"/>
  <c r="M21" i="3"/>
  <c r="K21" i="3"/>
  <c r="L21" i="3" s="1"/>
  <c r="I21" i="3"/>
  <c r="H21" i="3"/>
  <c r="G21" i="3"/>
  <c r="J21" i="3" s="1"/>
  <c r="E21" i="3"/>
  <c r="D21" i="3"/>
  <c r="F21" i="3" s="1"/>
  <c r="C21" i="3"/>
  <c r="O21" i="3" s="1"/>
  <c r="P20" i="3"/>
  <c r="N20" i="3"/>
  <c r="M20" i="3"/>
  <c r="K20" i="3"/>
  <c r="L20" i="3" s="1"/>
  <c r="I20" i="3"/>
  <c r="H20" i="3"/>
  <c r="G20" i="3"/>
  <c r="J20" i="3" s="1"/>
  <c r="E20" i="3"/>
  <c r="D20" i="3"/>
  <c r="F20" i="3" s="1"/>
  <c r="C20" i="3"/>
  <c r="O20" i="3" s="1"/>
  <c r="P19" i="3"/>
  <c r="N19" i="3"/>
  <c r="M19" i="3"/>
  <c r="K19" i="3"/>
  <c r="L19" i="3" s="1"/>
  <c r="I19" i="3"/>
  <c r="H19" i="3"/>
  <c r="G19" i="3"/>
  <c r="J19" i="3" s="1"/>
  <c r="E19" i="3"/>
  <c r="D19" i="3"/>
  <c r="F19" i="3" s="1"/>
  <c r="C19" i="3"/>
  <c r="O19" i="3" s="1"/>
  <c r="P18" i="3"/>
  <c r="N18" i="3"/>
  <c r="M18" i="3"/>
  <c r="K18" i="3"/>
  <c r="L18" i="3" s="1"/>
  <c r="I18" i="3"/>
  <c r="H18" i="3"/>
  <c r="G18" i="3"/>
  <c r="J18" i="3" s="1"/>
  <c r="E18" i="3"/>
  <c r="D18" i="3"/>
  <c r="F18" i="3" s="1"/>
  <c r="C18" i="3"/>
  <c r="O18" i="3" s="1"/>
  <c r="P17" i="3"/>
  <c r="N17" i="3"/>
  <c r="M17" i="3"/>
  <c r="K17" i="3"/>
  <c r="L17" i="3" s="1"/>
  <c r="I17" i="3"/>
  <c r="H17" i="3"/>
  <c r="G17" i="3"/>
  <c r="J17" i="3" s="1"/>
  <c r="E17" i="3"/>
  <c r="D17" i="3"/>
  <c r="F17" i="3" s="1"/>
  <c r="C17" i="3"/>
  <c r="O17" i="3" s="1"/>
  <c r="P16" i="3"/>
  <c r="N16" i="3"/>
  <c r="M16" i="3"/>
  <c r="K16" i="3"/>
  <c r="L16" i="3" s="1"/>
  <c r="I16" i="3"/>
  <c r="H16" i="3"/>
  <c r="G16" i="3"/>
  <c r="J16" i="3" s="1"/>
  <c r="E16" i="3"/>
  <c r="D16" i="3"/>
  <c r="F16" i="3" s="1"/>
  <c r="C16" i="3"/>
  <c r="O16" i="3" s="1"/>
  <c r="P15" i="3"/>
  <c r="N15" i="3"/>
  <c r="M15" i="3"/>
  <c r="K15" i="3"/>
  <c r="L15" i="3" s="1"/>
  <c r="I15" i="3"/>
  <c r="H15" i="3"/>
  <c r="G15" i="3"/>
  <c r="J15" i="3" s="1"/>
  <c r="E15" i="3"/>
  <c r="D15" i="3"/>
  <c r="F15" i="3" s="1"/>
  <c r="C15" i="3"/>
  <c r="O15" i="3" s="1"/>
  <c r="P14" i="3"/>
  <c r="O14" i="3"/>
  <c r="N14" i="3"/>
  <c r="M14" i="3"/>
  <c r="K14" i="3"/>
  <c r="L14" i="3" s="1"/>
  <c r="J14" i="3"/>
  <c r="I14" i="3"/>
  <c r="H14" i="3"/>
  <c r="G14" i="3"/>
  <c r="E14" i="3"/>
  <c r="D14" i="3"/>
  <c r="F14" i="3" s="1"/>
  <c r="C14" i="3"/>
  <c r="P13" i="3"/>
  <c r="N13" i="3"/>
  <c r="M13" i="3"/>
  <c r="K13" i="3"/>
  <c r="L13" i="3" s="1"/>
  <c r="I13" i="3"/>
  <c r="H13" i="3"/>
  <c r="G13" i="3"/>
  <c r="J13" i="3" s="1"/>
  <c r="E13" i="3"/>
  <c r="D13" i="3"/>
  <c r="F13" i="3" s="1"/>
  <c r="C13" i="3"/>
  <c r="O13" i="3" s="1"/>
  <c r="P12" i="3"/>
  <c r="N12" i="3"/>
  <c r="M12" i="3"/>
  <c r="K12" i="3"/>
  <c r="L12" i="3" s="1"/>
  <c r="I12" i="3"/>
  <c r="H12" i="3"/>
  <c r="G12" i="3"/>
  <c r="J12" i="3" s="1"/>
  <c r="E12" i="3"/>
  <c r="D12" i="3"/>
  <c r="F12" i="3" s="1"/>
  <c r="C12" i="3"/>
  <c r="O12" i="3" s="1"/>
  <c r="P11" i="3"/>
  <c r="N11" i="3"/>
  <c r="M11" i="3"/>
  <c r="K11" i="3"/>
  <c r="L11" i="3" s="1"/>
  <c r="I11" i="3"/>
  <c r="H11" i="3"/>
  <c r="G11" i="3"/>
  <c r="J11" i="3" s="1"/>
  <c r="E11" i="3"/>
  <c r="D11" i="3"/>
  <c r="F11" i="3" s="1"/>
  <c r="C11" i="3"/>
  <c r="O11" i="3" s="1"/>
  <c r="P10" i="3"/>
  <c r="N10" i="3"/>
  <c r="M10" i="3"/>
  <c r="K10" i="3"/>
  <c r="L10" i="3" s="1"/>
  <c r="I10" i="3"/>
  <c r="H10" i="3"/>
  <c r="G10" i="3"/>
  <c r="J10" i="3" s="1"/>
  <c r="E10" i="3"/>
  <c r="D10" i="3"/>
  <c r="F10" i="3" s="1"/>
  <c r="C10" i="3"/>
  <c r="O10" i="3" s="1"/>
  <c r="P9" i="3"/>
  <c r="N9" i="3"/>
  <c r="M9" i="3"/>
  <c r="K9" i="3"/>
  <c r="L9" i="3" s="1"/>
  <c r="I9" i="3"/>
  <c r="H9" i="3"/>
  <c r="G9" i="3"/>
  <c r="J9" i="3" s="1"/>
  <c r="E9" i="3"/>
  <c r="D9" i="3"/>
  <c r="F9" i="3" s="1"/>
  <c r="C9" i="3"/>
  <c r="O9" i="3" s="1"/>
  <c r="P8" i="3"/>
  <c r="N8" i="3"/>
  <c r="M8" i="3"/>
  <c r="K8" i="3"/>
  <c r="L8" i="3" s="1"/>
  <c r="I8" i="3"/>
  <c r="H8" i="3"/>
  <c r="G8" i="3"/>
  <c r="J8" i="3" s="1"/>
  <c r="E8" i="3"/>
  <c r="D8" i="3"/>
  <c r="F8" i="3" s="1"/>
  <c r="C8" i="3"/>
  <c r="O8" i="3" s="1"/>
  <c r="P7" i="3"/>
  <c r="N7" i="3"/>
  <c r="M7" i="3"/>
  <c r="K7" i="3"/>
  <c r="L7" i="3" s="1"/>
  <c r="I7" i="3"/>
  <c r="H7" i="3"/>
  <c r="G7" i="3"/>
  <c r="J7" i="3" s="1"/>
  <c r="E7" i="3"/>
  <c r="D7" i="3"/>
  <c r="F7" i="3" s="1"/>
  <c r="C7" i="3"/>
  <c r="O7" i="3" s="1"/>
  <c r="P6" i="3"/>
  <c r="N6" i="3"/>
  <c r="M6" i="3"/>
  <c r="K6" i="3"/>
  <c r="L6" i="3" s="1"/>
  <c r="I6" i="3"/>
  <c r="H6" i="3"/>
  <c r="G6" i="3"/>
  <c r="J6" i="3" s="1"/>
  <c r="E6" i="3"/>
  <c r="D6" i="3"/>
  <c r="F6" i="3" s="1"/>
  <c r="C6" i="3"/>
  <c r="O6" i="3" s="1"/>
  <c r="P5" i="3"/>
  <c r="N5" i="3"/>
  <c r="M5" i="3"/>
  <c r="K5" i="3"/>
  <c r="L5" i="3" s="1"/>
  <c r="I5" i="3"/>
  <c r="H5" i="3"/>
  <c r="G5" i="3"/>
  <c r="J5" i="3" s="1"/>
  <c r="E5" i="3"/>
  <c r="D5" i="3"/>
  <c r="F5" i="3" s="1"/>
  <c r="C5" i="3"/>
  <c r="O5" i="3" s="1"/>
  <c r="P4" i="3"/>
  <c r="N4" i="3"/>
  <c r="M4" i="3"/>
  <c r="K4" i="3"/>
  <c r="L4" i="3" s="1"/>
  <c r="I4" i="3"/>
  <c r="H4" i="3"/>
  <c r="G4" i="3"/>
  <c r="J4" i="3" s="1"/>
  <c r="E4" i="3"/>
  <c r="D4" i="3"/>
  <c r="F4" i="3" s="1"/>
  <c r="C4" i="3"/>
  <c r="O4" i="3" s="1"/>
  <c r="P3" i="3"/>
  <c r="N3" i="3"/>
  <c r="M3" i="3"/>
  <c r="K3" i="3"/>
  <c r="L3" i="3" s="1"/>
  <c r="I3" i="3"/>
  <c r="H3" i="3"/>
  <c r="G3" i="3"/>
  <c r="J3" i="3" s="1"/>
  <c r="E3" i="3"/>
  <c r="D3" i="3"/>
  <c r="F3" i="3" s="1"/>
  <c r="C3" i="3"/>
  <c r="O3" i="3" s="1"/>
  <c r="P2" i="3"/>
  <c r="O2" i="3"/>
  <c r="N2" i="3"/>
  <c r="M2" i="3"/>
  <c r="K2" i="3"/>
  <c r="L2" i="3" s="1"/>
  <c r="J2" i="3"/>
  <c r="I2" i="3"/>
  <c r="H2" i="3"/>
  <c r="G2" i="3"/>
  <c r="E2" i="3"/>
  <c r="D2" i="3"/>
  <c r="F2" i="3" s="1"/>
  <c r="C2" i="3"/>
  <c r="K154" i="2"/>
  <c r="G154" i="2"/>
  <c r="F154" i="2"/>
  <c r="E154" i="2"/>
  <c r="K153" i="2"/>
  <c r="G153" i="2"/>
  <c r="F153" i="2"/>
  <c r="E153" i="2"/>
  <c r="K152" i="2"/>
  <c r="G152" i="2"/>
  <c r="F152" i="2"/>
  <c r="E152" i="2"/>
  <c r="K151" i="2"/>
  <c r="G151" i="2"/>
  <c r="F151" i="2"/>
  <c r="E151" i="2"/>
  <c r="K150" i="2"/>
  <c r="G150" i="2"/>
  <c r="F150" i="2"/>
  <c r="E150" i="2"/>
  <c r="K149" i="2"/>
  <c r="G149" i="2"/>
  <c r="F149" i="2"/>
  <c r="E149" i="2"/>
  <c r="K148" i="2"/>
  <c r="G148" i="2"/>
  <c r="F148" i="2"/>
  <c r="E148" i="2"/>
  <c r="K147" i="2"/>
  <c r="G147" i="2"/>
  <c r="F147" i="2"/>
  <c r="E147" i="2"/>
  <c r="K146" i="2"/>
  <c r="G146" i="2"/>
  <c r="F146" i="2"/>
  <c r="E146" i="2"/>
  <c r="K145" i="2"/>
  <c r="G145" i="2"/>
  <c r="F145" i="2"/>
  <c r="E145" i="2"/>
  <c r="K144" i="2"/>
  <c r="G144" i="2"/>
  <c r="F144" i="2"/>
  <c r="E144" i="2"/>
  <c r="K143" i="2"/>
  <c r="G143" i="2"/>
  <c r="F143" i="2"/>
  <c r="E143" i="2"/>
  <c r="K142" i="2"/>
  <c r="G142" i="2"/>
  <c r="F142" i="2"/>
  <c r="E142" i="2"/>
  <c r="K141" i="2"/>
  <c r="G141" i="2"/>
  <c r="F141" i="2"/>
  <c r="E141" i="2"/>
  <c r="K140" i="2"/>
  <c r="G140" i="2"/>
  <c r="F140" i="2"/>
  <c r="E140" i="2"/>
  <c r="K139" i="2"/>
  <c r="G139" i="2"/>
  <c r="F139" i="2"/>
  <c r="E139" i="2"/>
  <c r="K138" i="2"/>
  <c r="G138" i="2"/>
  <c r="F138" i="2"/>
  <c r="E138" i="2"/>
  <c r="K137" i="2"/>
  <c r="G137" i="2"/>
  <c r="F137" i="2"/>
  <c r="E137" i="2"/>
  <c r="K136" i="2"/>
  <c r="G136" i="2"/>
  <c r="F136" i="2"/>
  <c r="E136" i="2"/>
  <c r="K135" i="2"/>
  <c r="G135" i="2"/>
  <c r="F135" i="2"/>
  <c r="E135" i="2"/>
  <c r="K134" i="2"/>
  <c r="G134" i="2"/>
  <c r="F134" i="2"/>
  <c r="E134" i="2"/>
  <c r="K133" i="2"/>
  <c r="G133" i="2"/>
  <c r="F133" i="2"/>
  <c r="E133" i="2"/>
  <c r="K132" i="2"/>
  <c r="G132" i="2"/>
  <c r="F132" i="2"/>
  <c r="E132" i="2"/>
  <c r="K131" i="2"/>
  <c r="G131" i="2"/>
  <c r="F131" i="2"/>
  <c r="E131" i="2"/>
  <c r="K130" i="2"/>
  <c r="G130" i="2"/>
  <c r="F130" i="2"/>
  <c r="E130" i="2"/>
  <c r="K129" i="2"/>
  <c r="G129" i="2"/>
  <c r="F129" i="2"/>
  <c r="E129" i="2"/>
  <c r="K128" i="2"/>
  <c r="G128" i="2"/>
  <c r="F128" i="2"/>
  <c r="E128" i="2"/>
  <c r="K127" i="2"/>
  <c r="G127" i="2"/>
  <c r="F127" i="2"/>
  <c r="E127" i="2"/>
  <c r="K126" i="2"/>
  <c r="G126" i="2"/>
  <c r="F126" i="2"/>
  <c r="E126" i="2"/>
  <c r="K125" i="2"/>
  <c r="G125" i="2"/>
  <c r="F125" i="2"/>
  <c r="E125" i="2"/>
  <c r="K124" i="2"/>
  <c r="G124" i="2"/>
  <c r="F124" i="2"/>
  <c r="E124" i="2"/>
  <c r="K123" i="2"/>
  <c r="G123" i="2"/>
  <c r="F123" i="2"/>
  <c r="E123" i="2"/>
  <c r="K122" i="2"/>
  <c r="G122" i="2"/>
  <c r="F122" i="2"/>
  <c r="E122" i="2"/>
  <c r="K121" i="2"/>
  <c r="G121" i="2"/>
  <c r="F121" i="2"/>
  <c r="E121" i="2"/>
  <c r="K120" i="2"/>
  <c r="G120" i="2"/>
  <c r="F120" i="2"/>
  <c r="E120" i="2"/>
  <c r="K119" i="2"/>
  <c r="G119" i="2"/>
  <c r="F119" i="2"/>
  <c r="E119" i="2"/>
  <c r="K118" i="2"/>
  <c r="G118" i="2"/>
  <c r="F118" i="2"/>
  <c r="E118" i="2"/>
  <c r="K117" i="2"/>
  <c r="G117" i="2"/>
  <c r="F117" i="2"/>
  <c r="E117" i="2"/>
  <c r="K116" i="2"/>
  <c r="G116" i="2"/>
  <c r="F116" i="2"/>
  <c r="E116" i="2"/>
  <c r="K115" i="2"/>
  <c r="G115" i="2"/>
  <c r="F115" i="2"/>
  <c r="E115" i="2"/>
  <c r="K114" i="2"/>
  <c r="G114" i="2"/>
  <c r="F114" i="2"/>
  <c r="E114" i="2"/>
  <c r="K113" i="2"/>
  <c r="G113" i="2"/>
  <c r="F113" i="2"/>
  <c r="E113" i="2"/>
  <c r="K112" i="2"/>
  <c r="G112" i="2"/>
  <c r="F112" i="2"/>
  <c r="E112" i="2"/>
  <c r="K111" i="2"/>
  <c r="G111" i="2"/>
  <c r="F111" i="2"/>
  <c r="E111" i="2"/>
  <c r="K110" i="2"/>
  <c r="G110" i="2"/>
  <c r="F110" i="2"/>
  <c r="E110" i="2"/>
  <c r="K109" i="2"/>
  <c r="G109" i="2"/>
  <c r="F109" i="2"/>
  <c r="E109" i="2"/>
  <c r="K108" i="2"/>
  <c r="G108" i="2"/>
  <c r="F108" i="2"/>
  <c r="E108" i="2"/>
  <c r="K107" i="2"/>
  <c r="G107" i="2"/>
  <c r="F107" i="2"/>
  <c r="E107" i="2"/>
  <c r="K106" i="2"/>
  <c r="G106" i="2"/>
  <c r="F106" i="2"/>
  <c r="E106" i="2"/>
  <c r="K105" i="2"/>
  <c r="G105" i="2"/>
  <c r="F105" i="2"/>
  <c r="E105" i="2"/>
  <c r="K104" i="2"/>
  <c r="G104" i="2"/>
  <c r="F104" i="2"/>
  <c r="E104" i="2"/>
  <c r="K103" i="2"/>
  <c r="G103" i="2"/>
  <c r="F103" i="2"/>
  <c r="E103" i="2"/>
  <c r="K102" i="2"/>
  <c r="G102" i="2"/>
  <c r="F102" i="2"/>
  <c r="E102" i="2"/>
  <c r="K101" i="2"/>
  <c r="G101" i="2"/>
  <c r="F101" i="2"/>
  <c r="E101" i="2"/>
  <c r="K100" i="2"/>
  <c r="G100" i="2"/>
  <c r="F100" i="2"/>
  <c r="E100" i="2"/>
  <c r="K99" i="2"/>
  <c r="G99" i="2"/>
  <c r="F99" i="2"/>
  <c r="E99" i="2"/>
  <c r="K98" i="2"/>
  <c r="G98" i="2"/>
  <c r="F98" i="2"/>
  <c r="E98" i="2"/>
  <c r="K97" i="2"/>
  <c r="G97" i="2"/>
  <c r="F97" i="2"/>
  <c r="E97" i="2"/>
  <c r="K96" i="2"/>
  <c r="G96" i="2"/>
  <c r="F96" i="2"/>
  <c r="E96" i="2"/>
  <c r="K95" i="2"/>
  <c r="G95" i="2"/>
  <c r="F95" i="2"/>
  <c r="E95" i="2"/>
  <c r="K94" i="2"/>
  <c r="G94" i="2"/>
  <c r="F94" i="2"/>
  <c r="E94" i="2"/>
  <c r="K93" i="2"/>
  <c r="G93" i="2"/>
  <c r="F93" i="2"/>
  <c r="E93" i="2"/>
  <c r="K92" i="2"/>
  <c r="G92" i="2"/>
  <c r="F92" i="2"/>
  <c r="E92" i="2"/>
  <c r="K91" i="2"/>
  <c r="G91" i="2"/>
  <c r="F91" i="2"/>
  <c r="E91" i="2"/>
  <c r="K90" i="2"/>
  <c r="G90" i="2"/>
  <c r="F90" i="2"/>
  <c r="E90" i="2"/>
  <c r="K89" i="2"/>
  <c r="G89" i="2"/>
  <c r="F89" i="2"/>
  <c r="E89" i="2"/>
  <c r="K88" i="2"/>
  <c r="G88" i="2"/>
  <c r="F88" i="2"/>
  <c r="E88" i="2"/>
  <c r="K87" i="2"/>
  <c r="G87" i="2"/>
  <c r="F87" i="2"/>
  <c r="E87" i="2"/>
  <c r="K86" i="2"/>
  <c r="G86" i="2"/>
  <c r="F86" i="2"/>
  <c r="E86" i="2"/>
  <c r="K85" i="2"/>
  <c r="G85" i="2"/>
  <c r="F85" i="2"/>
  <c r="E85" i="2"/>
  <c r="K84" i="2"/>
  <c r="G84" i="2"/>
  <c r="F84" i="2"/>
  <c r="E84" i="2"/>
  <c r="K83" i="2"/>
  <c r="G83" i="2"/>
  <c r="F83" i="2"/>
  <c r="E83" i="2"/>
  <c r="K82" i="2"/>
  <c r="G82" i="2"/>
  <c r="F82" i="2"/>
  <c r="E82" i="2"/>
  <c r="K81" i="2"/>
  <c r="G81" i="2"/>
  <c r="F81" i="2"/>
  <c r="E81" i="2"/>
  <c r="K80" i="2"/>
  <c r="G80" i="2"/>
  <c r="F80" i="2"/>
  <c r="E80" i="2"/>
  <c r="K79" i="2"/>
  <c r="G79" i="2"/>
  <c r="F79" i="2"/>
  <c r="E79" i="2"/>
  <c r="K78" i="2"/>
  <c r="G78" i="2"/>
  <c r="F78" i="2"/>
  <c r="E78" i="2"/>
  <c r="K77" i="2"/>
  <c r="G77" i="2"/>
  <c r="E77" i="2"/>
  <c r="K76" i="2"/>
  <c r="G76" i="2"/>
  <c r="F76" i="2"/>
  <c r="E76" i="2"/>
  <c r="K75" i="2"/>
  <c r="G75" i="2"/>
  <c r="F75" i="2"/>
  <c r="E75" i="2"/>
  <c r="K74" i="2"/>
  <c r="G74" i="2"/>
  <c r="F74" i="2"/>
  <c r="E74" i="2"/>
  <c r="K73" i="2"/>
  <c r="G73" i="2"/>
  <c r="F73" i="2"/>
  <c r="E73" i="2"/>
  <c r="K72" i="2"/>
  <c r="G72" i="2"/>
  <c r="F72" i="2"/>
  <c r="E72" i="2"/>
  <c r="K71" i="2"/>
  <c r="G71" i="2"/>
  <c r="F71" i="2"/>
  <c r="E71" i="2"/>
  <c r="K70" i="2"/>
  <c r="G70" i="2"/>
  <c r="F70" i="2"/>
  <c r="E70" i="2"/>
  <c r="K69" i="2"/>
  <c r="G69" i="2"/>
  <c r="F69" i="2"/>
  <c r="E69" i="2"/>
  <c r="K68" i="2"/>
  <c r="G68" i="2"/>
  <c r="F68" i="2"/>
  <c r="E68" i="2"/>
  <c r="K67" i="2"/>
  <c r="G67" i="2"/>
  <c r="F67" i="2"/>
  <c r="E67" i="2"/>
  <c r="K66" i="2"/>
  <c r="G66" i="2"/>
  <c r="F66" i="2"/>
  <c r="E66" i="2"/>
  <c r="K65" i="2"/>
  <c r="G65" i="2"/>
  <c r="F65" i="2"/>
  <c r="E65" i="2"/>
  <c r="K64" i="2"/>
  <c r="G64" i="2"/>
  <c r="F64" i="2"/>
  <c r="E64" i="2"/>
  <c r="K63" i="2"/>
  <c r="G63" i="2"/>
  <c r="F63" i="2"/>
  <c r="E63" i="2"/>
  <c r="K62" i="2"/>
  <c r="G62" i="2"/>
  <c r="F62" i="2"/>
  <c r="E62" i="2"/>
  <c r="K61" i="2"/>
  <c r="G61" i="2"/>
  <c r="F61" i="2"/>
  <c r="E61" i="2"/>
  <c r="K60" i="2"/>
  <c r="F60" i="2"/>
  <c r="E60" i="2"/>
  <c r="K59" i="2"/>
  <c r="G59" i="2"/>
  <c r="F59" i="2"/>
  <c r="E59" i="2"/>
  <c r="K58" i="2"/>
  <c r="G58" i="2"/>
  <c r="F58" i="2"/>
  <c r="E58" i="2"/>
  <c r="K57" i="2"/>
  <c r="G57" i="2"/>
  <c r="F57" i="2"/>
  <c r="E57" i="2"/>
  <c r="K56" i="2"/>
  <c r="G56" i="2"/>
  <c r="F56" i="2"/>
  <c r="E56" i="2"/>
  <c r="K55" i="2"/>
  <c r="G55" i="2"/>
  <c r="F55" i="2"/>
  <c r="E55" i="2"/>
  <c r="K54" i="2"/>
  <c r="G54" i="2"/>
  <c r="F54" i="2"/>
  <c r="E54" i="2"/>
  <c r="K53" i="2"/>
  <c r="G53" i="2"/>
  <c r="F53" i="2"/>
  <c r="E53" i="2"/>
  <c r="K52" i="2"/>
  <c r="G52" i="2"/>
  <c r="F52" i="2"/>
  <c r="E52" i="2"/>
  <c r="K51" i="2"/>
  <c r="G51" i="2"/>
  <c r="F51" i="2"/>
  <c r="E51" i="2"/>
  <c r="K50" i="2"/>
  <c r="G50" i="2"/>
  <c r="F50" i="2"/>
  <c r="E50" i="2"/>
  <c r="K49" i="2"/>
  <c r="G49" i="2"/>
  <c r="F49" i="2"/>
  <c r="E49" i="2"/>
  <c r="K48" i="2"/>
  <c r="G48" i="2"/>
  <c r="F48" i="2"/>
  <c r="E48" i="2"/>
  <c r="K47" i="2"/>
  <c r="G47" i="2"/>
  <c r="F47" i="2"/>
  <c r="E47" i="2"/>
  <c r="K46" i="2"/>
  <c r="G46" i="2"/>
  <c r="F46" i="2"/>
  <c r="E46" i="2"/>
  <c r="K45" i="2"/>
  <c r="G45" i="2"/>
  <c r="F45" i="2"/>
  <c r="E45" i="2"/>
  <c r="K44" i="2"/>
  <c r="G44" i="2"/>
  <c r="F44" i="2"/>
  <c r="E44" i="2"/>
  <c r="K43" i="2"/>
  <c r="G43" i="2"/>
  <c r="F43" i="2"/>
  <c r="E43" i="2"/>
  <c r="K42" i="2"/>
  <c r="G42" i="2"/>
  <c r="F42" i="2"/>
  <c r="E42" i="2"/>
  <c r="K41" i="2"/>
  <c r="G41" i="2"/>
  <c r="F41" i="2"/>
  <c r="E41" i="2"/>
  <c r="K40" i="2"/>
  <c r="G40" i="2"/>
  <c r="F40" i="2"/>
  <c r="E40" i="2"/>
  <c r="K39" i="2"/>
  <c r="G39" i="2"/>
  <c r="F39" i="2"/>
  <c r="E39" i="2"/>
  <c r="K38" i="2"/>
  <c r="G38" i="2"/>
  <c r="F38" i="2"/>
  <c r="E38" i="2"/>
  <c r="K37" i="2"/>
  <c r="G37" i="2"/>
  <c r="F37" i="2"/>
  <c r="E37" i="2"/>
  <c r="K36" i="2"/>
  <c r="G36" i="2"/>
  <c r="F36" i="2"/>
  <c r="E36" i="2"/>
  <c r="K35" i="2"/>
  <c r="G35" i="2"/>
  <c r="F35" i="2"/>
  <c r="E35" i="2"/>
  <c r="K34" i="2"/>
  <c r="G34" i="2"/>
  <c r="F34" i="2"/>
  <c r="E34" i="2"/>
  <c r="K33" i="2"/>
  <c r="G33" i="2"/>
  <c r="F33" i="2"/>
  <c r="E33" i="2"/>
  <c r="K32" i="2"/>
  <c r="G32" i="2"/>
  <c r="F32" i="2"/>
  <c r="E32" i="2"/>
  <c r="K31" i="2"/>
  <c r="G31" i="2"/>
  <c r="F31" i="2"/>
  <c r="E31" i="2"/>
  <c r="K30" i="2"/>
  <c r="G30" i="2"/>
  <c r="F30" i="2"/>
  <c r="E30" i="2"/>
  <c r="K29" i="2"/>
  <c r="G29" i="2"/>
  <c r="F29" i="2"/>
  <c r="E29" i="2"/>
  <c r="K28" i="2"/>
  <c r="G28" i="2"/>
  <c r="F28" i="2"/>
  <c r="E28" i="2"/>
  <c r="K27" i="2"/>
  <c r="G27" i="2"/>
  <c r="F27" i="2"/>
  <c r="E27" i="2"/>
  <c r="K26" i="2"/>
  <c r="G26" i="2"/>
  <c r="F26" i="2"/>
  <c r="E26" i="2"/>
  <c r="K25" i="2"/>
  <c r="G25" i="2"/>
  <c r="F25" i="2"/>
  <c r="E25" i="2"/>
  <c r="B25" i="2"/>
  <c r="K24" i="2"/>
  <c r="G24" i="2"/>
  <c r="F24" i="2"/>
  <c r="E24" i="2"/>
  <c r="B24" i="2"/>
  <c r="K23" i="2"/>
  <c r="G23" i="2"/>
  <c r="F23" i="2"/>
  <c r="E23" i="2"/>
  <c r="B23" i="2"/>
  <c r="K22" i="2"/>
  <c r="G22" i="2"/>
  <c r="F22" i="2"/>
  <c r="E22" i="2"/>
  <c r="B22" i="2"/>
  <c r="K21" i="2"/>
  <c r="G21" i="2"/>
  <c r="F21" i="2"/>
  <c r="E21" i="2"/>
  <c r="B21" i="2"/>
  <c r="K20" i="2"/>
  <c r="G20" i="2"/>
  <c r="F20" i="2"/>
  <c r="E20" i="2"/>
  <c r="B20" i="2"/>
  <c r="K19" i="2"/>
  <c r="G19" i="2"/>
  <c r="F19" i="2"/>
  <c r="E19" i="2"/>
  <c r="B19" i="2"/>
  <c r="K18" i="2"/>
  <c r="G18" i="2"/>
  <c r="F18" i="2"/>
  <c r="E18" i="2"/>
  <c r="B18" i="2"/>
  <c r="K17" i="2"/>
  <c r="G17" i="2"/>
  <c r="F17" i="2"/>
  <c r="E17" i="2"/>
  <c r="B17" i="2"/>
  <c r="K16" i="2"/>
  <c r="G16" i="2"/>
  <c r="F16" i="2"/>
  <c r="E16" i="2"/>
  <c r="B16" i="2"/>
  <c r="K15" i="2"/>
  <c r="G15" i="2"/>
  <c r="F15" i="2"/>
  <c r="E15" i="2"/>
  <c r="B15" i="2"/>
  <c r="K14" i="2"/>
  <c r="G14" i="2"/>
  <c r="F14" i="2"/>
  <c r="E14" i="2"/>
  <c r="B14" i="2"/>
  <c r="K13" i="2"/>
  <c r="G13" i="2"/>
  <c r="F13" i="2"/>
  <c r="E13" i="2"/>
  <c r="B13" i="2"/>
  <c r="K12" i="2"/>
  <c r="G12" i="2"/>
  <c r="F12" i="2"/>
  <c r="E12" i="2"/>
  <c r="B12" i="2"/>
  <c r="K11" i="2"/>
  <c r="G11" i="2"/>
  <c r="F11" i="2"/>
  <c r="E11" i="2"/>
  <c r="B11" i="2"/>
  <c r="K10" i="2"/>
  <c r="G10" i="2"/>
  <c r="F10" i="2"/>
  <c r="E10" i="2"/>
  <c r="B10" i="2"/>
  <c r="K9" i="2"/>
  <c r="G9" i="2"/>
  <c r="F9" i="2"/>
  <c r="E9" i="2"/>
  <c r="B9" i="2"/>
  <c r="K8" i="2"/>
  <c r="G8" i="2"/>
  <c r="F8" i="2"/>
  <c r="E8" i="2"/>
  <c r="B8" i="2"/>
  <c r="K7" i="2"/>
  <c r="G7" i="2"/>
  <c r="F7" i="2"/>
  <c r="E7" i="2"/>
  <c r="B7" i="2"/>
  <c r="K6" i="2"/>
  <c r="G6" i="2"/>
  <c r="F6" i="2"/>
  <c r="E6" i="2"/>
  <c r="B6" i="2"/>
  <c r="K5" i="2"/>
  <c r="G5" i="2"/>
  <c r="F5" i="2"/>
  <c r="E5" i="2"/>
  <c r="B5" i="2"/>
  <c r="K4" i="2"/>
  <c r="G4" i="2"/>
  <c r="F4" i="2"/>
  <c r="E4" i="2"/>
  <c r="B4" i="2"/>
  <c r="K3" i="2"/>
  <c r="G3" i="2"/>
  <c r="F3" i="2"/>
  <c r="E3" i="2"/>
  <c r="B3" i="2"/>
  <c r="K2" i="2"/>
  <c r="G2" i="2"/>
  <c r="F2" i="2"/>
  <c r="E2" i="2"/>
  <c r="B2" i="2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B1" i="6" l="1" a="1"/>
  <c r="B1" i="6" l="1"/>
  <c r="P2" i="6" a="1"/>
  <c r="P2" i="6" s="1"/>
  <c r="T2" i="6" a="1"/>
  <c r="T2" i="6" s="1"/>
  <c r="AA2" i="6" a="1"/>
  <c r="AA2" i="6" s="1"/>
  <c r="P3" i="6" a="1"/>
  <c r="P3" i="6" s="1"/>
  <c r="W3" i="6" a="1"/>
  <c r="W3" i="6" s="1"/>
  <c r="AC3" i="6" a="1"/>
  <c r="AC3" i="6" s="1"/>
  <c r="U4" i="6" a="1"/>
  <c r="U4" i="6" s="1"/>
  <c r="AA4" i="6" a="1"/>
  <c r="AA4" i="6" s="1"/>
  <c r="T5" i="6" a="1"/>
  <c r="T5" i="6" s="1"/>
  <c r="AA5" i="6" a="1"/>
  <c r="AA5" i="6" s="1"/>
  <c r="T6" i="6" a="1"/>
  <c r="T6" i="6" s="1"/>
  <c r="Z6" i="6" a="1"/>
  <c r="Z6" i="6" s="1"/>
  <c r="R7" i="6" a="1"/>
  <c r="R7" i="6" s="1"/>
  <c r="X7" i="6" a="1"/>
  <c r="X7" i="6" s="1"/>
  <c r="P8" i="6" a="1"/>
  <c r="P8" i="6" s="1"/>
  <c r="V8" i="6" a="1"/>
  <c r="V8" i="6" s="1"/>
  <c r="AB8" i="6" a="1"/>
  <c r="AB8" i="6" s="1"/>
  <c r="U9" i="6" a="1"/>
  <c r="U9" i="6" s="1"/>
  <c r="Z9" i="6" a="1"/>
  <c r="Z9" i="6" s="1"/>
  <c r="S10" i="6" a="1"/>
  <c r="S10" i="6" s="1"/>
  <c r="Y10" i="6" a="1"/>
  <c r="Y10" i="6" s="1"/>
  <c r="Q11" i="6" a="1"/>
  <c r="Q11" i="6" s="1"/>
  <c r="W11" i="6" a="1"/>
  <c r="W11" i="6" s="1"/>
  <c r="X13" i="6" a="1"/>
  <c r="X13" i="6" s="1"/>
  <c r="AD13" i="6" a="1"/>
  <c r="AD13" i="6" s="1"/>
  <c r="W14" i="6" a="1"/>
  <c r="W14" i="6" s="1"/>
  <c r="AD14" i="6" a="1"/>
  <c r="AD14" i="6" s="1"/>
  <c r="X15" i="6" a="1"/>
  <c r="X15" i="6" s="1"/>
  <c r="AD15" i="6" a="1"/>
  <c r="AD15" i="6" s="1"/>
  <c r="X16" i="6" a="1"/>
  <c r="X16" i="6" s="1"/>
  <c r="P17" i="6" a="1"/>
  <c r="P17" i="6" s="1"/>
  <c r="Y17" i="6" a="1"/>
  <c r="Y17" i="6" s="1"/>
  <c r="Q18" i="6" a="1"/>
  <c r="Q18" i="6" s="1"/>
  <c r="Z18" i="6" a="1"/>
  <c r="Z18" i="6" s="1"/>
  <c r="R19" i="6" a="1"/>
  <c r="R19" i="6" s="1"/>
  <c r="AA19" i="6" a="1"/>
  <c r="AA19" i="6" s="1"/>
  <c r="U20" i="6" a="1"/>
  <c r="U20" i="6" s="1"/>
  <c r="AC20" i="6" a="1"/>
  <c r="AC20" i="6" s="1"/>
  <c r="V21" i="6" a="1"/>
  <c r="V21" i="6" s="1"/>
  <c r="AD21" i="6" a="1"/>
  <c r="AD21" i="6" s="1"/>
  <c r="AA25" i="6" a="1"/>
  <c r="AA25" i="6" s="1"/>
  <c r="U26" i="6" a="1"/>
  <c r="U26" i="6" s="1"/>
  <c r="AD26" i="6" a="1"/>
  <c r="AD26" i="6" s="1"/>
  <c r="X27" i="6" a="1"/>
  <c r="X27" i="6" s="1"/>
  <c r="S28" i="6" a="1"/>
  <c r="S28" i="6" s="1"/>
  <c r="AC28" i="6" a="1"/>
  <c r="AC28" i="6" s="1"/>
  <c r="W29" i="6" a="1"/>
  <c r="W29" i="6" s="1"/>
  <c r="R30" i="6" a="1"/>
  <c r="R30" i="6" s="1"/>
  <c r="Z30" i="6" a="1"/>
  <c r="Z30" i="6" s="1"/>
  <c r="K2" i="6" a="1"/>
  <c r="K2" i="6" s="1"/>
  <c r="I3" i="6" a="1"/>
  <c r="I3" i="6" s="1"/>
  <c r="I4" i="6" a="1"/>
  <c r="I4" i="6" s="1"/>
  <c r="M10" i="6" a="1"/>
  <c r="M10" i="6" s="1"/>
  <c r="O11" i="6" a="1"/>
  <c r="O11" i="6" s="1"/>
  <c r="O12" i="6" a="1"/>
  <c r="O12" i="6" s="1"/>
  <c r="F14" i="6" a="1"/>
  <c r="F14" i="6" s="1"/>
  <c r="F15" i="6" a="1"/>
  <c r="F15" i="6" s="1"/>
  <c r="G16" i="6" a="1"/>
  <c r="G16" i="6" s="1"/>
  <c r="G17" i="6" a="1"/>
  <c r="G17" i="6" s="1"/>
  <c r="G18" i="6" a="1"/>
  <c r="G18" i="6" s="1"/>
  <c r="F19" i="6" a="1"/>
  <c r="F19" i="6" s="1"/>
  <c r="F20" i="6" a="1"/>
  <c r="F20" i="6" s="1"/>
  <c r="I27" i="6" a="1"/>
  <c r="I27" i="6" s="1"/>
  <c r="J28" i="6" a="1"/>
  <c r="J28" i="6" s="1"/>
  <c r="J29" i="6" a="1"/>
  <c r="J29" i="6" s="1"/>
  <c r="K30" i="6" a="1"/>
  <c r="K30" i="6" s="1"/>
  <c r="C11" i="6" a="1"/>
  <c r="C11" i="6" s="1"/>
  <c r="C14" i="6" a="1"/>
  <c r="C14" i="6" s="1"/>
  <c r="E16" i="6" a="1"/>
  <c r="E16" i="6" s="1"/>
  <c r="D19" i="6" a="1"/>
  <c r="D19" i="6" s="1"/>
  <c r="AC11" i="6" a="1"/>
  <c r="AC11" i="6" s="1"/>
  <c r="AD11" i="6" a="1"/>
  <c r="AD11" i="6" s="1"/>
  <c r="P12" i="6" a="1"/>
  <c r="P12" i="6" s="1"/>
  <c r="Q12" i="6" a="1"/>
  <c r="Q12" i="6" s="1"/>
  <c r="R12" i="6" a="1"/>
  <c r="R12" i="6" s="1"/>
  <c r="S12" i="6" a="1"/>
  <c r="S12" i="6" s="1"/>
  <c r="T12" i="6" a="1"/>
  <c r="T12" i="6" s="1"/>
  <c r="U12" i="6" a="1"/>
  <c r="U12" i="6" s="1"/>
  <c r="V12" i="6" a="1"/>
  <c r="V12" i="6" s="1"/>
  <c r="W12" i="6" a="1"/>
  <c r="W12" i="6" s="1"/>
  <c r="X12" i="6" a="1"/>
  <c r="X12" i="6" s="1"/>
  <c r="Y12" i="6" a="1"/>
  <c r="Y12" i="6" s="1"/>
  <c r="Z12" i="6" a="1"/>
  <c r="Z12" i="6" s="1"/>
  <c r="AA12" i="6" a="1"/>
  <c r="AA12" i="6" s="1"/>
  <c r="AB12" i="6" a="1"/>
  <c r="AB12" i="6" s="1"/>
  <c r="AC12" i="6" a="1"/>
  <c r="AC12" i="6" s="1"/>
  <c r="AD12" i="6" a="1"/>
  <c r="AD12" i="6" s="1"/>
  <c r="P13" i="6" a="1"/>
  <c r="P13" i="6" s="1"/>
  <c r="Q13" i="6" a="1"/>
  <c r="Q13" i="6" s="1"/>
  <c r="R13" i="6" a="1"/>
  <c r="R13" i="6" s="1"/>
  <c r="S13" i="6" a="1"/>
  <c r="S13" i="6" s="1"/>
  <c r="T13" i="6" a="1"/>
  <c r="T13" i="6" s="1"/>
  <c r="U13" i="6" a="1"/>
  <c r="U13" i="6" s="1"/>
  <c r="V13" i="6" a="1"/>
  <c r="V13" i="6" s="1"/>
  <c r="AB13" i="6" a="1"/>
  <c r="AB13" i="6" s="1"/>
  <c r="T14" i="6" a="1"/>
  <c r="T14" i="6" s="1"/>
  <c r="AB14" i="6" a="1"/>
  <c r="AB14" i="6" s="1"/>
  <c r="T15" i="6" a="1"/>
  <c r="T15" i="6" s="1"/>
  <c r="AB15" i="6" a="1"/>
  <c r="AB15" i="6" s="1"/>
  <c r="U16" i="6" a="1"/>
  <c r="U16" i="6" s="1"/>
  <c r="AB16" i="6" a="1"/>
  <c r="AB16" i="6" s="1"/>
  <c r="V17" i="6" a="1"/>
  <c r="V17" i="6" s="1"/>
  <c r="AD17" i="6" a="1"/>
  <c r="AD17" i="6" s="1"/>
  <c r="W18" i="6" a="1"/>
  <c r="W18" i="6" s="1"/>
  <c r="P19" i="6" a="1"/>
  <c r="P19" i="6" s="1"/>
  <c r="X19" i="6" a="1"/>
  <c r="X19" i="6" s="1"/>
  <c r="Q20" i="6" a="1"/>
  <c r="Q20" i="6" s="1"/>
  <c r="Y20" i="6" a="1"/>
  <c r="Y20" i="6" s="1"/>
  <c r="R21" i="6" a="1"/>
  <c r="R21" i="6" s="1"/>
  <c r="AA21" i="6" a="1"/>
  <c r="AA21" i="6" s="1"/>
  <c r="W25" i="6" a="1"/>
  <c r="W25" i="6" s="1"/>
  <c r="R26" i="6" a="1"/>
  <c r="R26" i="6" s="1"/>
  <c r="AB26" i="6" a="1"/>
  <c r="AB26" i="6" s="1"/>
  <c r="U27" i="6" a="1"/>
  <c r="U27" i="6" s="1"/>
  <c r="P28" i="6" a="1"/>
  <c r="P28" i="6" s="1"/>
  <c r="X28" i="6" a="1"/>
  <c r="X28" i="6" s="1"/>
  <c r="T29" i="6" a="1"/>
  <c r="T29" i="6" s="1"/>
  <c r="AB29" i="6" a="1"/>
  <c r="AB29" i="6" s="1"/>
  <c r="X30" i="6" a="1"/>
  <c r="X30" i="6" s="1"/>
  <c r="H2" i="6" a="1"/>
  <c r="H2" i="6" s="1"/>
  <c r="G3" i="6" a="1"/>
  <c r="G3" i="6" s="1"/>
  <c r="O3" i="6" a="1"/>
  <c r="O3" i="6" s="1"/>
  <c r="H10" i="6" a="1"/>
  <c r="H10" i="6" s="1"/>
  <c r="H11" i="6" a="1"/>
  <c r="H11" i="6" s="1"/>
  <c r="J12" i="6" a="1"/>
  <c r="J12" i="6" s="1"/>
  <c r="J13" i="6" a="1"/>
  <c r="J13" i="6" s="1"/>
  <c r="K14" i="6" a="1"/>
  <c r="K14" i="6" s="1"/>
  <c r="K15" i="6" a="1"/>
  <c r="K15" i="6" s="1"/>
  <c r="L16" i="6" a="1"/>
  <c r="L16" i="6" s="1"/>
  <c r="L17" i="6" a="1"/>
  <c r="L17" i="6" s="1"/>
  <c r="L18" i="6" a="1"/>
  <c r="L18" i="6" s="1"/>
  <c r="L19" i="6" a="1"/>
  <c r="L19" i="6" s="1"/>
  <c r="O26" i="6" a="1"/>
  <c r="O26" i="6" s="1"/>
  <c r="O27" i="6" a="1"/>
  <c r="O27" i="6" s="1"/>
  <c r="F29" i="6" a="1"/>
  <c r="F29" i="6" s="1"/>
  <c r="F30" i="6" a="1"/>
  <c r="F30" i="6" s="1"/>
  <c r="D10" i="6" a="1"/>
  <c r="D10" i="6" s="1"/>
  <c r="L10" i="6" a="1"/>
  <c r="L10" i="6" s="1"/>
  <c r="M11" i="6" a="1"/>
  <c r="M11" i="6" s="1"/>
  <c r="D18" i="6" a="1"/>
  <c r="D18" i="6" s="1"/>
  <c r="S22" i="6" a="1"/>
  <c r="S22" i="6" s="1"/>
  <c r="T22" i="6" a="1"/>
  <c r="T22" i="6" s="1"/>
  <c r="U22" i="6" a="1"/>
  <c r="U22" i="6" s="1"/>
  <c r="W22" i="6" a="1"/>
  <c r="W22" i="6" s="1"/>
  <c r="X22" i="6" a="1"/>
  <c r="X22" i="6" s="1"/>
  <c r="Y22" i="6" a="1"/>
  <c r="Y22" i="6" s="1"/>
  <c r="Z22" i="6" a="1"/>
  <c r="Z22" i="6" s="1"/>
  <c r="AA22" i="6" a="1"/>
  <c r="AA22" i="6" s="1"/>
  <c r="AB22" i="6" a="1"/>
  <c r="AB22" i="6" s="1"/>
  <c r="AC22" i="6" a="1"/>
  <c r="AC22" i="6" s="1"/>
  <c r="AD22" i="6" a="1"/>
  <c r="AD22" i="6" s="1"/>
  <c r="P23" i="6" a="1"/>
  <c r="P23" i="6" s="1"/>
  <c r="Q23" i="6" a="1"/>
  <c r="Q23" i="6" s="1"/>
  <c r="R23" i="6" a="1"/>
  <c r="R23" i="6" s="1"/>
  <c r="S23" i="6" a="1"/>
  <c r="S23" i="6" s="1"/>
  <c r="T23" i="6" a="1"/>
  <c r="T23" i="6" s="1"/>
  <c r="U23" i="6" a="1"/>
  <c r="U23" i="6" s="1"/>
  <c r="V23" i="6" a="1"/>
  <c r="V23" i="6" s="1"/>
  <c r="X23" i="6" a="1"/>
  <c r="X23" i="6" s="1"/>
  <c r="Y23" i="6" a="1"/>
  <c r="Y23" i="6" s="1"/>
  <c r="Z23" i="6" a="1"/>
  <c r="Z23" i="6" s="1"/>
  <c r="AA23" i="6" a="1"/>
  <c r="AA23" i="6" s="1"/>
  <c r="AB23" i="6" a="1"/>
  <c r="AB23" i="6" s="1"/>
  <c r="AC23" i="6" a="1"/>
  <c r="AC23" i="6" s="1"/>
  <c r="AD23" i="6" a="1"/>
  <c r="AD23" i="6" s="1"/>
  <c r="P24" i="6" a="1"/>
  <c r="P24" i="6" s="1"/>
  <c r="Q24" i="6" a="1"/>
  <c r="Q24" i="6" s="1"/>
  <c r="R24" i="6" a="1"/>
  <c r="R24" i="6" s="1"/>
  <c r="S24" i="6" a="1"/>
  <c r="S24" i="6" s="1"/>
  <c r="T24" i="6" a="1"/>
  <c r="T24" i="6" s="1"/>
  <c r="U24" i="6" a="1"/>
  <c r="U24" i="6" s="1"/>
  <c r="V24" i="6" a="1"/>
  <c r="V24" i="6" s="1"/>
  <c r="W24" i="6" a="1"/>
  <c r="W24" i="6" s="1"/>
  <c r="Y24" i="6" a="1"/>
  <c r="Y24" i="6" s="1"/>
  <c r="Z24" i="6" a="1"/>
  <c r="Z24" i="6" s="1"/>
  <c r="AA24" i="6" a="1"/>
  <c r="AA24" i="6" s="1"/>
  <c r="AB24" i="6" a="1"/>
  <c r="AB24" i="6" s="1"/>
  <c r="AC24" i="6" a="1"/>
  <c r="AC24" i="6" s="1"/>
  <c r="AD24" i="6" a="1"/>
  <c r="AD24" i="6" s="1"/>
  <c r="P25" i="6" a="1"/>
  <c r="P25" i="6" s="1"/>
  <c r="Q25" i="6" a="1"/>
  <c r="Q25" i="6" s="1"/>
  <c r="R25" i="6" a="1"/>
  <c r="R25" i="6" s="1"/>
  <c r="S25" i="6" a="1"/>
  <c r="S25" i="6" s="1"/>
  <c r="T25" i="6" a="1"/>
  <c r="T25" i="6" s="1"/>
  <c r="U25" i="6" a="1"/>
  <c r="U25" i="6" s="1"/>
  <c r="X25" i="6" a="1"/>
  <c r="X25" i="6" s="1"/>
  <c r="Q26" i="6" a="1"/>
  <c r="Q26" i="6" s="1"/>
  <c r="Y26" i="6" a="1"/>
  <c r="Y26" i="6" s="1"/>
  <c r="T27" i="6" a="1"/>
  <c r="T27" i="6" s="1"/>
  <c r="AC27" i="6" a="1"/>
  <c r="AC27" i="6" s="1"/>
  <c r="T28" i="6" a="1"/>
  <c r="T28" i="6" s="1"/>
  <c r="AD28" i="6" a="1"/>
  <c r="AD28" i="6" s="1"/>
  <c r="V29" i="6" a="1"/>
  <c r="V29" i="6" s="1"/>
  <c r="AD29" i="6" a="1"/>
  <c r="AD29" i="6" s="1"/>
  <c r="W30" i="6" a="1"/>
  <c r="W30" i="6" s="1"/>
  <c r="G2" i="6" a="1"/>
  <c r="G2" i="6" s="1"/>
  <c r="O2" i="6" a="1"/>
  <c r="O2" i="6" s="1"/>
  <c r="N3" i="6" a="1"/>
  <c r="N3" i="6" s="1"/>
  <c r="J4" i="6" a="1"/>
  <c r="J4" i="6" s="1"/>
  <c r="N10" i="6" a="1"/>
  <c r="N10" i="6" s="1"/>
  <c r="N11" i="6" a="1"/>
  <c r="N11" i="6" s="1"/>
  <c r="K12" i="6" a="1"/>
  <c r="K12" i="6" s="1"/>
  <c r="N13" i="6" a="1"/>
  <c r="N13" i="6" s="1"/>
  <c r="L14" i="6" a="1"/>
  <c r="L14" i="6" s="1"/>
  <c r="L15" i="6" a="1"/>
  <c r="L15" i="6" s="1"/>
  <c r="K16" i="6" a="1"/>
  <c r="K16" i="6" s="1"/>
  <c r="K17" i="6" a="1"/>
  <c r="K17" i="6" s="1"/>
  <c r="J18" i="6" a="1"/>
  <c r="J18" i="6" s="1"/>
  <c r="G19" i="6" a="1"/>
  <c r="G19" i="6" s="1"/>
  <c r="G20" i="6" a="1"/>
  <c r="G20" i="6" s="1"/>
  <c r="G27" i="6" a="1"/>
  <c r="G27" i="6" s="1"/>
  <c r="G28" i="6" a="1"/>
  <c r="G28" i="6" s="1"/>
  <c r="G29" i="6" a="1"/>
  <c r="G29" i="6" s="1"/>
  <c r="G30" i="6" a="1"/>
  <c r="G30" i="6" s="1"/>
  <c r="N12" i="6" a="1"/>
  <c r="N12" i="6" s="1"/>
  <c r="E12" i="6" a="1"/>
  <c r="E12" i="6" s="1"/>
  <c r="O13" i="6" a="1"/>
  <c r="O13" i="6" s="1"/>
  <c r="O14" i="6" a="1"/>
  <c r="O14" i="6" s="1"/>
  <c r="C19" i="6" a="1"/>
  <c r="C19" i="6" s="1"/>
  <c r="K4" i="6" a="1"/>
  <c r="K4" i="6" s="1"/>
  <c r="L4" i="6" a="1"/>
  <c r="L4" i="6" s="1"/>
  <c r="M4" i="6" a="1"/>
  <c r="M4" i="6" s="1"/>
  <c r="N4" i="6" a="1"/>
  <c r="N4" i="6" s="1"/>
  <c r="O4" i="6" a="1"/>
  <c r="O4" i="6" s="1"/>
  <c r="F5" i="6" a="1"/>
  <c r="F5" i="6" s="1"/>
  <c r="G5" i="6" a="1"/>
  <c r="G5" i="6" s="1"/>
  <c r="H5" i="6" a="1"/>
  <c r="H5" i="6" s="1"/>
  <c r="I5" i="6" a="1"/>
  <c r="I5" i="6" s="1"/>
  <c r="J5" i="6" a="1"/>
  <c r="J5" i="6" s="1"/>
  <c r="K5" i="6" a="1"/>
  <c r="K5" i="6" s="1"/>
  <c r="L5" i="6" a="1"/>
  <c r="L5" i="6" s="1"/>
  <c r="M5" i="6" a="1"/>
  <c r="M5" i="6" s="1"/>
  <c r="N5" i="6" a="1"/>
  <c r="N5" i="6" s="1"/>
  <c r="O5" i="6" a="1"/>
  <c r="O5" i="6" s="1"/>
  <c r="G6" i="6" a="1"/>
  <c r="G6" i="6" s="1"/>
  <c r="H6" i="6" a="1"/>
  <c r="H6" i="6" s="1"/>
  <c r="I6" i="6" a="1"/>
  <c r="I6" i="6" s="1"/>
  <c r="J6" i="6" a="1"/>
  <c r="J6" i="6" s="1"/>
  <c r="K6" i="6" a="1"/>
  <c r="K6" i="6" s="1"/>
  <c r="L6" i="6" a="1"/>
  <c r="L6" i="6" s="1"/>
  <c r="M6" i="6" a="1"/>
  <c r="M6" i="6" s="1"/>
  <c r="N6" i="6" a="1"/>
  <c r="N6" i="6" s="1"/>
  <c r="O6" i="6" a="1"/>
  <c r="O6" i="6" s="1"/>
  <c r="F7" i="6" a="1"/>
  <c r="F7" i="6" s="1"/>
  <c r="H7" i="6" a="1"/>
  <c r="H7" i="6" s="1"/>
  <c r="I7" i="6" a="1"/>
  <c r="I7" i="6" s="1"/>
  <c r="J7" i="6" a="1"/>
  <c r="J7" i="6" s="1"/>
  <c r="K7" i="6" a="1"/>
  <c r="K7" i="6" s="1"/>
  <c r="L7" i="6" a="1"/>
  <c r="L7" i="6" s="1"/>
  <c r="M7" i="6" a="1"/>
  <c r="M7" i="6" s="1"/>
  <c r="N7" i="6" a="1"/>
  <c r="N7" i="6" s="1"/>
  <c r="O7" i="6" a="1"/>
  <c r="O7" i="6" s="1"/>
  <c r="F8" i="6" a="1"/>
  <c r="F8" i="6" s="1"/>
  <c r="G8" i="6" a="1"/>
  <c r="G8" i="6" s="1"/>
  <c r="I8" i="6" a="1"/>
  <c r="I8" i="6" s="1"/>
  <c r="J8" i="6" a="1"/>
  <c r="J8" i="6" s="1"/>
  <c r="K8" i="6" a="1"/>
  <c r="K8" i="6" s="1"/>
  <c r="L8" i="6" a="1"/>
  <c r="L8" i="6" s="1"/>
  <c r="M8" i="6" a="1"/>
  <c r="M8" i="6" s="1"/>
  <c r="N8" i="6" a="1"/>
  <c r="N8" i="6" s="1"/>
  <c r="O8" i="6" a="1"/>
  <c r="O8" i="6" s="1"/>
  <c r="F9" i="6" a="1"/>
  <c r="F9" i="6" s="1"/>
  <c r="G9" i="6" a="1"/>
  <c r="G9" i="6" s="1"/>
  <c r="H9" i="6" a="1"/>
  <c r="H9" i="6" s="1"/>
  <c r="J9" i="6" a="1"/>
  <c r="J9" i="6" s="1"/>
  <c r="K9" i="6" a="1"/>
  <c r="K9" i="6" s="1"/>
  <c r="L9" i="6" a="1"/>
  <c r="L9" i="6" s="1"/>
  <c r="M9" i="6" a="1"/>
  <c r="M9" i="6" s="1"/>
  <c r="N9" i="6" a="1"/>
  <c r="N9" i="6" s="1"/>
  <c r="K10" i="6" a="1"/>
  <c r="K10" i="6" s="1"/>
  <c r="L11" i="6" a="1"/>
  <c r="L11" i="6" s="1"/>
  <c r="M12" i="6" a="1"/>
  <c r="M12" i="6" s="1"/>
  <c r="L13" i="6" a="1"/>
  <c r="L13" i="6" s="1"/>
  <c r="M14" i="6" a="1"/>
  <c r="M14" i="6" s="1"/>
  <c r="N15" i="6" a="1"/>
  <c r="N15" i="6" s="1"/>
  <c r="N16" i="6" a="1"/>
  <c r="N16" i="6" s="1"/>
  <c r="M17" i="6" a="1"/>
  <c r="M17" i="6" s="1"/>
  <c r="N18" i="6" a="1"/>
  <c r="N18" i="6" s="1"/>
  <c r="M19" i="6" a="1"/>
  <c r="M19" i="6" s="1"/>
  <c r="F27" i="6" a="1"/>
  <c r="F27" i="6" s="1"/>
  <c r="F28" i="6" a="1"/>
  <c r="F28" i="6" s="1"/>
  <c r="H29" i="6" a="1"/>
  <c r="H29" i="6" s="1"/>
  <c r="H30" i="6" a="1"/>
  <c r="H30" i="6" s="1"/>
  <c r="F16" i="6" a="1"/>
  <c r="F16" i="6" s="1"/>
  <c r="D13" i="6" a="1"/>
  <c r="D13" i="6" s="1"/>
  <c r="C16" i="6" a="1"/>
  <c r="C16" i="6" s="1"/>
  <c r="E18" i="6" a="1"/>
  <c r="E18" i="6" s="1"/>
  <c r="I20" i="6" a="1"/>
  <c r="I20" i="6" s="1"/>
  <c r="J20" i="6" a="1"/>
  <c r="J20" i="6" s="1"/>
  <c r="K20" i="6" a="1"/>
  <c r="K20" i="6" s="1"/>
  <c r="L20" i="6" a="1"/>
  <c r="L20" i="6" s="1"/>
  <c r="M20" i="6" a="1"/>
  <c r="M20" i="6" s="1"/>
  <c r="N20" i="6" a="1"/>
  <c r="N20" i="6" s="1"/>
  <c r="O20" i="6" a="1"/>
  <c r="O20" i="6" s="1"/>
  <c r="F21" i="6" a="1"/>
  <c r="F21" i="6" s="1"/>
  <c r="G21" i="6" a="1"/>
  <c r="G21" i="6" s="1"/>
  <c r="H21" i="6" a="1"/>
  <c r="H21" i="6" s="1"/>
  <c r="I21" i="6" a="1"/>
  <c r="I21" i="6" s="1"/>
  <c r="J21" i="6" a="1"/>
  <c r="J21" i="6" s="1"/>
  <c r="K21" i="6" a="1"/>
  <c r="K21" i="6" s="1"/>
  <c r="L21" i="6" a="1"/>
  <c r="L21" i="6" s="1"/>
  <c r="M21" i="6" a="1"/>
  <c r="M21" i="6" s="1"/>
  <c r="N21" i="6" a="1"/>
  <c r="N21" i="6" s="1"/>
  <c r="O21" i="6" a="1"/>
  <c r="O21" i="6" s="1"/>
  <c r="F22" i="6" a="1"/>
  <c r="F22" i="6" s="1"/>
  <c r="G22" i="6" a="1"/>
  <c r="G22" i="6" s="1"/>
  <c r="H22" i="6" a="1"/>
  <c r="H22" i="6" s="1"/>
  <c r="I22" i="6" a="1"/>
  <c r="I22" i="6" s="1"/>
  <c r="J22" i="6" a="1"/>
  <c r="J22" i="6" s="1"/>
  <c r="K22" i="6" a="1"/>
  <c r="K22" i="6" s="1"/>
  <c r="L22" i="6" a="1"/>
  <c r="L22" i="6" s="1"/>
  <c r="M22" i="6" a="1"/>
  <c r="M22" i="6" s="1"/>
  <c r="N22" i="6" a="1"/>
  <c r="N22" i="6" s="1"/>
  <c r="O22" i="6" a="1"/>
  <c r="O22" i="6" s="1"/>
  <c r="F23" i="6" a="1"/>
  <c r="F23" i="6" s="1"/>
  <c r="G23" i="6" a="1"/>
  <c r="G23" i="6" s="1"/>
  <c r="H23" i="6" a="1"/>
  <c r="H23" i="6" s="1"/>
  <c r="I23" i="6" a="1"/>
  <c r="I23" i="6" s="1"/>
  <c r="J23" i="6" a="1"/>
  <c r="J23" i="6" s="1"/>
  <c r="K23" i="6" a="1"/>
  <c r="K23" i="6" s="1"/>
  <c r="L23" i="6" a="1"/>
  <c r="L23" i="6" s="1"/>
  <c r="M23" i="6" a="1"/>
  <c r="M23" i="6" s="1"/>
  <c r="N23" i="6" a="1"/>
  <c r="N23" i="6" s="1"/>
  <c r="O23" i="6" a="1"/>
  <c r="O23" i="6" s="1"/>
  <c r="F24" i="6" a="1"/>
  <c r="F24" i="6" s="1"/>
  <c r="G24" i="6" a="1"/>
  <c r="G24" i="6" s="1"/>
  <c r="H24" i="6" a="1"/>
  <c r="H24" i="6" s="1"/>
  <c r="I24" i="6" a="1"/>
  <c r="I24" i="6" s="1"/>
  <c r="J24" i="6" a="1"/>
  <c r="J24" i="6" s="1"/>
  <c r="K24" i="6" a="1"/>
  <c r="K24" i="6" s="1"/>
  <c r="L24" i="6" a="1"/>
  <c r="L24" i="6" s="1"/>
  <c r="M24" i="6" a="1"/>
  <c r="M24" i="6" s="1"/>
  <c r="N24" i="6" a="1"/>
  <c r="N24" i="6" s="1"/>
  <c r="O24" i="6" a="1"/>
  <c r="O24" i="6" s="1"/>
  <c r="F25" i="6" a="1"/>
  <c r="F25" i="6" s="1"/>
  <c r="G25" i="6" a="1"/>
  <c r="G25" i="6" s="1"/>
  <c r="H25" i="6" a="1"/>
  <c r="H25" i="6" s="1"/>
  <c r="I25" i="6" a="1"/>
  <c r="I25" i="6" s="1"/>
  <c r="J25" i="6" a="1"/>
  <c r="J25" i="6" s="1"/>
  <c r="K25" i="6" a="1"/>
  <c r="K25" i="6" s="1"/>
  <c r="L25" i="6" a="1"/>
  <c r="L25" i="6" s="1"/>
  <c r="M25" i="6" a="1"/>
  <c r="M25" i="6" s="1"/>
  <c r="N25" i="6" a="1"/>
  <c r="N25" i="6" s="1"/>
  <c r="O25" i="6" a="1"/>
  <c r="O25" i="6" s="1"/>
  <c r="F26" i="6" a="1"/>
  <c r="F26" i="6" s="1"/>
  <c r="G26" i="6" a="1"/>
  <c r="G26" i="6" s="1"/>
  <c r="H26" i="6" a="1"/>
  <c r="H26" i="6" s="1"/>
  <c r="I26" i="6" a="1"/>
  <c r="I26" i="6" s="1"/>
  <c r="J26" i="6" a="1"/>
  <c r="J26" i="6" s="1"/>
  <c r="L26" i="6" a="1"/>
  <c r="L26" i="6" s="1"/>
  <c r="L27" i="6" a="1"/>
  <c r="L27" i="6" s="1"/>
  <c r="N28" i="6" a="1"/>
  <c r="N28" i="6" s="1"/>
  <c r="N29" i="6" a="1"/>
  <c r="N29" i="6" s="1"/>
  <c r="O30" i="6" a="1"/>
  <c r="O30" i="6" s="1"/>
  <c r="D12" i="6" a="1"/>
  <c r="D12" i="6" s="1"/>
  <c r="C15" i="6" a="1"/>
  <c r="C15" i="6" s="1"/>
  <c r="O16" i="6" a="1"/>
  <c r="O16" i="6" s="1"/>
  <c r="C20" i="6" a="1"/>
  <c r="C20" i="6" s="1"/>
  <c r="D20" i="6" a="1"/>
  <c r="D20" i="6" s="1"/>
  <c r="E20" i="6" a="1"/>
  <c r="E20" i="6" s="1"/>
  <c r="O17" i="6" a="1"/>
  <c r="O17" i="6" s="1"/>
  <c r="C21" i="6" a="1"/>
  <c r="C21" i="6" s="1"/>
  <c r="D21" i="6" a="1"/>
  <c r="D21" i="6" s="1"/>
  <c r="E21" i="6" a="1"/>
  <c r="E21" i="6" s="1"/>
  <c r="O18" i="6" a="1"/>
  <c r="O18" i="6" s="1"/>
  <c r="C22" i="6" a="1"/>
  <c r="C22" i="6" s="1"/>
  <c r="D22" i="6" a="1"/>
  <c r="D22" i="6" s="1"/>
  <c r="E22" i="6" a="1"/>
  <c r="E22" i="6" s="1"/>
  <c r="O19" i="6" a="1"/>
  <c r="O19" i="6" s="1"/>
  <c r="C23" i="6" a="1"/>
  <c r="C23" i="6" s="1"/>
  <c r="D23" i="6" a="1"/>
  <c r="D23" i="6" s="1"/>
  <c r="E23" i="6" a="1"/>
  <c r="E23" i="6" s="1"/>
  <c r="H27" i="6" a="1"/>
  <c r="H27" i="6" s="1"/>
  <c r="C24" i="6" a="1"/>
  <c r="C24" i="6" s="1"/>
  <c r="D24" i="6" a="1"/>
  <c r="D24" i="6" s="1"/>
  <c r="E24" i="6" a="1"/>
  <c r="E24" i="6" s="1"/>
  <c r="I28" i="6" a="1"/>
  <c r="I28" i="6" s="1"/>
  <c r="C25" i="6" a="1"/>
  <c r="C25" i="6" s="1"/>
  <c r="D25" i="6" a="1"/>
  <c r="D25" i="6" s="1"/>
  <c r="E25" i="6" a="1"/>
  <c r="E25" i="6" s="1"/>
  <c r="I29" i="6" a="1"/>
  <c r="I29" i="6" s="1"/>
  <c r="C26" i="6" a="1"/>
  <c r="C26" i="6" s="1"/>
  <c r="D26" i="6" a="1"/>
  <c r="D26" i="6" s="1"/>
  <c r="E26" i="6" a="1"/>
  <c r="E26" i="6" s="1"/>
  <c r="L30" i="6" a="1"/>
  <c r="L30" i="6" s="1"/>
  <c r="C27" i="6" a="1"/>
  <c r="C27" i="6" s="1"/>
  <c r="D27" i="6" a="1"/>
  <c r="D27" i="6" s="1"/>
  <c r="E27" i="6" a="1"/>
  <c r="E27" i="6" s="1"/>
  <c r="D11" i="6" a="1"/>
  <c r="D11" i="6" s="1"/>
  <c r="C28" i="6" a="1"/>
  <c r="C28" i="6" s="1"/>
  <c r="D28" i="6" a="1"/>
  <c r="D28" i="6" s="1"/>
  <c r="E28" i="6" a="1"/>
  <c r="E28" i="6" s="1"/>
  <c r="D16" i="6" a="1"/>
  <c r="D16" i="6" s="1"/>
  <c r="C29" i="6" a="1"/>
  <c r="C29" i="6" s="1"/>
  <c r="D29" i="6" a="1"/>
  <c r="D29" i="6" s="1"/>
  <c r="E29" i="6" a="1"/>
  <c r="E29" i="6" s="1"/>
  <c r="E19" i="6" a="1"/>
  <c r="E19" i="6" s="1"/>
  <c r="C30" i="6" a="1"/>
  <c r="C30" i="6" s="1"/>
  <c r="D30" i="6" a="1"/>
  <c r="D30" i="6" s="1"/>
  <c r="E30" i="6" a="1"/>
  <c r="E30" i="6" s="1"/>
  <c r="C2" i="6" a="1"/>
  <c r="C2" i="6" s="1"/>
  <c r="D2" i="6" a="1"/>
  <c r="D2" i="6" s="1"/>
  <c r="E2" i="6" a="1"/>
  <c r="E2" i="6" s="1"/>
  <c r="D3" i="6" a="1"/>
  <c r="D3" i="6" s="1"/>
  <c r="E3" i="6" a="1"/>
  <c r="E3" i="6" s="1"/>
  <c r="C4" i="6" a="1"/>
  <c r="C4" i="6" s="1"/>
  <c r="E4" i="6" a="1"/>
  <c r="E4" i="6" s="1"/>
  <c r="C5" i="6" a="1"/>
  <c r="C5" i="6" s="1"/>
  <c r="D5" i="6" a="1"/>
  <c r="D5" i="6" s="1"/>
  <c r="C6" i="6" a="1"/>
  <c r="C6" i="6" s="1"/>
  <c r="D6" i="6" a="1"/>
  <c r="D6" i="6" s="1"/>
  <c r="E6" i="6" a="1"/>
  <c r="E6" i="6" s="1"/>
  <c r="C7" i="6" a="1"/>
  <c r="C7" i="6" s="1"/>
  <c r="D7" i="6" a="1"/>
  <c r="D7" i="6" s="1"/>
  <c r="E7" i="6" a="1"/>
  <c r="E7" i="6" s="1"/>
  <c r="C8" i="6" a="1"/>
  <c r="C8" i="6" s="1"/>
  <c r="D8" i="6" a="1"/>
  <c r="D8" i="6" s="1"/>
  <c r="E8" i="6" a="1"/>
  <c r="E8" i="6" s="1"/>
  <c r="C9" i="6" a="1"/>
  <c r="C9" i="6" s="1"/>
  <c r="D9" i="6" a="1"/>
  <c r="D9" i="6" s="1"/>
  <c r="E9" i="6" a="1"/>
  <c r="E9" i="6" s="1"/>
  <c r="X2" i="6" a="1"/>
  <c r="X2" i="6" s="1"/>
  <c r="R3" i="6" a="1"/>
  <c r="R3" i="6" s="1"/>
  <c r="Y3" i="6" a="1"/>
  <c r="Y3" i="6" s="1"/>
  <c r="P4" i="6" a="1"/>
  <c r="P4" i="6" s="1"/>
  <c r="W4" i="6" a="1"/>
  <c r="W4" i="6" s="1"/>
  <c r="AC4" i="6" a="1"/>
  <c r="AC4" i="6" s="1"/>
  <c r="U5" i="6" a="1"/>
  <c r="U5" i="6" s="1"/>
  <c r="Z5" i="6" a="1"/>
  <c r="Z5" i="6" s="1"/>
  <c r="S6" i="6" a="1"/>
  <c r="S6" i="6" s="1"/>
  <c r="Y6" i="6" a="1"/>
  <c r="Y6" i="6" s="1"/>
  <c r="Q7" i="6" a="1"/>
  <c r="Q7" i="6" s="1"/>
  <c r="W7" i="6" a="1"/>
  <c r="W7" i="6" s="1"/>
  <c r="AD7" i="6" a="1"/>
  <c r="AD7" i="6" s="1"/>
  <c r="U8" i="6" a="1"/>
  <c r="U8" i="6" s="1"/>
  <c r="AA8" i="6" a="1"/>
  <c r="AA8" i="6" s="1"/>
  <c r="S9" i="6" a="1"/>
  <c r="S9" i="6" s="1"/>
  <c r="X9" i="6" a="1"/>
  <c r="X9" i="6" s="1"/>
  <c r="Q10" i="6" a="1"/>
  <c r="Q10" i="6" s="1"/>
  <c r="W10" i="6" a="1"/>
  <c r="W10" i="6" s="1"/>
  <c r="AD10" i="6" a="1"/>
  <c r="AD10" i="6" s="1"/>
  <c r="U11" i="6" a="1"/>
  <c r="U11" i="6" s="1"/>
  <c r="AB11" i="6" a="1"/>
  <c r="AB11" i="6" s="1"/>
  <c r="AC13" i="6" a="1"/>
  <c r="AC13" i="6" s="1"/>
  <c r="V14" i="6" a="1"/>
  <c r="V14" i="6" s="1"/>
  <c r="AC14" i="6" a="1"/>
  <c r="AC14" i="6" s="1"/>
  <c r="W15" i="6" a="1"/>
  <c r="W15" i="6" s="1"/>
  <c r="Q16" i="6" a="1"/>
  <c r="Q16" i="6" s="1"/>
  <c r="Y16" i="6" a="1"/>
  <c r="Y16" i="6" s="1"/>
  <c r="R17" i="6" a="1"/>
  <c r="R17" i="6" s="1"/>
  <c r="AA17" i="6" a="1"/>
  <c r="AA17" i="6" s="1"/>
  <c r="S18" i="6" a="1"/>
  <c r="S18" i="6" s="1"/>
  <c r="AB18" i="6" a="1"/>
  <c r="AB18" i="6" s="1"/>
  <c r="T19" i="6" a="1"/>
  <c r="T19" i="6" s="1"/>
  <c r="AC19" i="6" a="1"/>
  <c r="AC19" i="6" s="1"/>
  <c r="V20" i="6" a="1"/>
  <c r="V20" i="6" s="1"/>
  <c r="AD20" i="6" a="1"/>
  <c r="AD20" i="6" s="1"/>
  <c r="X21" i="6" a="1"/>
  <c r="X21" i="6" s="1"/>
  <c r="P22" i="6" a="1"/>
  <c r="P22" i="6" s="1"/>
  <c r="AB25" i="6" a="1"/>
  <c r="AB25" i="6" s="1"/>
  <c r="W26" i="6" a="1"/>
  <c r="W26" i="6" s="1"/>
  <c r="Q27" i="6" a="1"/>
  <c r="Q27" i="6" s="1"/>
  <c r="AB27" i="6" a="1"/>
  <c r="AB27" i="6" s="1"/>
  <c r="U28" i="6" a="1"/>
  <c r="U28" i="6" s="1"/>
  <c r="Q29" i="6" a="1"/>
  <c r="Q29" i="6" s="1"/>
  <c r="Y29" i="6" a="1"/>
  <c r="Y29" i="6" s="1"/>
  <c r="S30" i="6" a="1"/>
  <c r="S30" i="6" s="1"/>
  <c r="AB30" i="6" a="1"/>
  <c r="AB30" i="6" s="1"/>
  <c r="M2" i="6" a="1"/>
  <c r="M2" i="6" s="1"/>
  <c r="M3" i="6" a="1"/>
  <c r="M3" i="6" s="1"/>
  <c r="O9" i="6" a="1"/>
  <c r="O9" i="6" s="1"/>
  <c r="G11" i="6" a="1"/>
  <c r="G11" i="6" s="1"/>
  <c r="G12" i="6" a="1"/>
  <c r="G12" i="6" s="1"/>
  <c r="H13" i="6" a="1"/>
  <c r="H13" i="6" s="1"/>
  <c r="H14" i="6" a="1"/>
  <c r="H14" i="6" s="1"/>
  <c r="J15" i="6" a="1"/>
  <c r="J15" i="6" s="1"/>
  <c r="J16" i="6" a="1"/>
  <c r="J16" i="6" s="1"/>
  <c r="I17" i="6" a="1"/>
  <c r="I17" i="6" s="1"/>
  <c r="I18" i="6" a="1"/>
  <c r="I18" i="6" s="1"/>
  <c r="I19" i="6" a="1"/>
  <c r="I19" i="6" s="1"/>
  <c r="K26" i="6" a="1"/>
  <c r="K26" i="6" s="1"/>
  <c r="K27" i="6" a="1"/>
  <c r="K27" i="6" s="1"/>
  <c r="L28" i="6" a="1"/>
  <c r="L28" i="6" s="1"/>
  <c r="L29" i="6" a="1"/>
  <c r="L29" i="6" s="1"/>
  <c r="N30" i="6" a="1"/>
  <c r="N30" i="6" s="1"/>
  <c r="D14" i="6" a="1"/>
  <c r="D14" i="6" s="1"/>
  <c r="E17" i="6" a="1"/>
  <c r="E17" i="6" s="1"/>
  <c r="W2" i="6" a="1"/>
  <c r="W2" i="6" s="1"/>
  <c r="Q3" i="6" a="1"/>
  <c r="Q3" i="6" s="1"/>
  <c r="X3" i="6" a="1"/>
  <c r="X3" i="6" s="1"/>
  <c r="AD3" i="6" a="1"/>
  <c r="AD3" i="6" s="1"/>
  <c r="V4" i="6" a="1"/>
  <c r="V4" i="6" s="1"/>
  <c r="AB4" i="6" a="1"/>
  <c r="AB4" i="6" s="1"/>
  <c r="S5" i="6" a="1"/>
  <c r="S5" i="6" s="1"/>
  <c r="Y5" i="6" a="1"/>
  <c r="Y5" i="6" s="1"/>
  <c r="R6" i="6" a="1"/>
  <c r="R6" i="6" s="1"/>
  <c r="X6" i="6" a="1"/>
  <c r="X6" i="6" s="1"/>
  <c r="P7" i="6" a="1"/>
  <c r="P7" i="6" s="1"/>
  <c r="V7" i="6" a="1"/>
  <c r="V7" i="6" s="1"/>
  <c r="AC7" i="6" a="1"/>
  <c r="AC7" i="6" s="1"/>
  <c r="T8" i="6" a="1"/>
  <c r="T8" i="6" s="1"/>
  <c r="Z8" i="6" a="1"/>
  <c r="Z8" i="6" s="1"/>
  <c r="T9" i="6" a="1"/>
  <c r="T9" i="6" s="1"/>
  <c r="Y9" i="6" a="1"/>
  <c r="Y9" i="6" s="1"/>
  <c r="R10" i="6" a="1"/>
  <c r="R10" i="6" s="1"/>
  <c r="X10" i="6" a="1"/>
  <c r="X10" i="6" s="1"/>
  <c r="P11" i="6" a="1"/>
  <c r="P11" i="6" s="1"/>
  <c r="V11" i="6" a="1"/>
  <c r="V11" i="6" s="1"/>
  <c r="W13" i="6" a="1"/>
  <c r="W13" i="6" s="1"/>
  <c r="P14" i="6" a="1"/>
  <c r="P14" i="6" s="1"/>
  <c r="X14" i="6" a="1"/>
  <c r="X14" i="6" s="1"/>
  <c r="P15" i="6" a="1"/>
  <c r="P15" i="6" s="1"/>
  <c r="Y15" i="6" a="1"/>
  <c r="Y15" i="6" s="1"/>
  <c r="R16" i="6" a="1"/>
  <c r="R16" i="6" s="1"/>
  <c r="Z16" i="6" a="1"/>
  <c r="Z16" i="6" s="1"/>
  <c r="S17" i="6" a="1"/>
  <c r="S17" i="6" s="1"/>
  <c r="Z17" i="6" a="1"/>
  <c r="Z17" i="6" s="1"/>
  <c r="T18" i="6" a="1"/>
  <c r="T18" i="6" s="1"/>
  <c r="AA18" i="6" a="1"/>
  <c r="AA18" i="6" s="1"/>
  <c r="U19" i="6" a="1"/>
  <c r="U19" i="6" s="1"/>
  <c r="AD19" i="6" a="1"/>
  <c r="AD19" i="6" s="1"/>
  <c r="W20" i="6" a="1"/>
  <c r="W20" i="6" s="1"/>
  <c r="P21" i="6" a="1"/>
  <c r="P21" i="6" s="1"/>
  <c r="W21" i="6" a="1"/>
  <c r="W21" i="6" s="1"/>
  <c r="Q22" i="6" a="1"/>
  <c r="Q22" i="6" s="1"/>
  <c r="AC25" i="6" a="1"/>
  <c r="AC25" i="6" s="1"/>
  <c r="V26" i="6" a="1"/>
  <c r="V26" i="6" s="1"/>
  <c r="R27" i="6" a="1"/>
  <c r="R27" i="6" s="1"/>
  <c r="Z27" i="6" a="1"/>
  <c r="Z27" i="6" s="1"/>
  <c r="V28" i="6" a="1"/>
  <c r="V28" i="6" s="1"/>
  <c r="P29" i="6" a="1"/>
  <c r="P29" i="6" s="1"/>
  <c r="X29" i="6" a="1"/>
  <c r="X29" i="6" s="1"/>
  <c r="T30" i="6" a="1"/>
  <c r="T30" i="6" s="1"/>
  <c r="AA30" i="6" a="1"/>
  <c r="AA30" i="6" s="1"/>
  <c r="N2" i="6" a="1"/>
  <c r="N2" i="6" s="1"/>
  <c r="L3" i="6" a="1"/>
  <c r="L3" i="6" s="1"/>
  <c r="F10" i="6" a="1"/>
  <c r="F10" i="6" s="1"/>
  <c r="F11" i="6" a="1"/>
  <c r="F11" i="6" s="1"/>
  <c r="F12" i="6" a="1"/>
  <c r="F12" i="6" s="1"/>
  <c r="G13" i="6" a="1"/>
  <c r="G13" i="6" s="1"/>
  <c r="G14" i="6" a="1"/>
  <c r="G14" i="6" s="1"/>
  <c r="I15" i="6" a="1"/>
  <c r="I15" i="6" s="1"/>
  <c r="I16" i="6" a="1"/>
  <c r="I16" i="6" s="1"/>
  <c r="H17" i="6" a="1"/>
  <c r="H17" i="6" s="1"/>
  <c r="H18" i="6" a="1"/>
  <c r="H18" i="6" s="1"/>
  <c r="H19" i="6" a="1"/>
  <c r="H19" i="6" s="1"/>
  <c r="H20" i="6" a="1"/>
  <c r="H20" i="6" s="1"/>
  <c r="J27" i="6" a="1"/>
  <c r="J27" i="6" s="1"/>
  <c r="K28" i="6" a="1"/>
  <c r="K28" i="6" s="1"/>
  <c r="M29" i="6" a="1"/>
  <c r="M29" i="6" s="1"/>
  <c r="M30" i="6" a="1"/>
  <c r="M30" i="6" s="1"/>
  <c r="E11" i="6" a="1"/>
  <c r="E11" i="6" s="1"/>
  <c r="E14" i="6" a="1"/>
  <c r="E14" i="6" s="1"/>
  <c r="D17" i="6" a="1"/>
  <c r="D17" i="6" s="1"/>
  <c r="Q2" i="6" a="1"/>
  <c r="Q2" i="6" s="1"/>
  <c r="U2" i="6" a="1"/>
  <c r="U2" i="6" s="1"/>
  <c r="Z2" i="6" a="1"/>
  <c r="Z2" i="6" s="1"/>
  <c r="AD2" i="6" a="1"/>
  <c r="AD2" i="6" s="1"/>
  <c r="U3" i="6" a="1"/>
  <c r="U3" i="6" s="1"/>
  <c r="AA3" i="6" a="1"/>
  <c r="AA3" i="6" s="1"/>
  <c r="S4" i="6" a="1"/>
  <c r="S4" i="6" s="1"/>
  <c r="Y4" i="6" a="1"/>
  <c r="Y4" i="6" s="1"/>
  <c r="P5" i="6" a="1"/>
  <c r="P5" i="6" s="1"/>
  <c r="V5" i="6" a="1"/>
  <c r="V5" i="6" s="1"/>
  <c r="AB5" i="6" a="1"/>
  <c r="AB5" i="6" s="1"/>
  <c r="Q6" i="6" a="1"/>
  <c r="Q6" i="6" s="1"/>
  <c r="W6" i="6" a="1"/>
  <c r="W6" i="6" s="1"/>
  <c r="AC6" i="6" a="1"/>
  <c r="AC6" i="6" s="1"/>
  <c r="T7" i="6" a="1"/>
  <c r="T7" i="6" s="1"/>
  <c r="AA7" i="6" a="1"/>
  <c r="AA7" i="6" s="1"/>
  <c r="R8" i="6" a="1"/>
  <c r="R8" i="6" s="1"/>
  <c r="X8" i="6" a="1"/>
  <c r="X8" i="6" s="1"/>
  <c r="AC8" i="6" a="1"/>
  <c r="AC8" i="6" s="1"/>
  <c r="R9" i="6" a="1"/>
  <c r="R9" i="6" s="1"/>
  <c r="AA9" i="6" a="1"/>
  <c r="AA9" i="6" s="1"/>
  <c r="P10" i="6" a="1"/>
  <c r="P10" i="6" s="1"/>
  <c r="V10" i="6" a="1"/>
  <c r="V10" i="6" s="1"/>
  <c r="AB10" i="6" a="1"/>
  <c r="AB10" i="6" s="1"/>
  <c r="T11" i="6" a="1"/>
  <c r="T11" i="6" s="1"/>
  <c r="Y11" i="6" a="1"/>
  <c r="Y11" i="6" s="1"/>
  <c r="Y13" i="6" a="1"/>
  <c r="Y13" i="6" s="1"/>
  <c r="R14" i="6" a="1"/>
  <c r="R14" i="6" s="1"/>
  <c r="Y14" i="6" a="1"/>
  <c r="Y14" i="6" s="1"/>
  <c r="Q15" i="6" a="1"/>
  <c r="Q15" i="6" s="1"/>
  <c r="V15" i="6" a="1"/>
  <c r="V15" i="6" s="1"/>
  <c r="AC15" i="6" a="1"/>
  <c r="AC15" i="6" s="1"/>
  <c r="V16" i="6" a="1"/>
  <c r="V16" i="6" s="1"/>
  <c r="AD16" i="6" a="1"/>
  <c r="AD16" i="6" s="1"/>
  <c r="U17" i="6" a="1"/>
  <c r="U17" i="6" s="1"/>
  <c r="AB17" i="6" a="1"/>
  <c r="AB17" i="6" s="1"/>
  <c r="V18" i="6" a="1"/>
  <c r="V18" i="6" s="1"/>
  <c r="AC18" i="6" a="1"/>
  <c r="AC18" i="6" s="1"/>
  <c r="V19" i="6" a="1"/>
  <c r="V19" i="6" s="1"/>
  <c r="AB19" i="6" a="1"/>
  <c r="AB19" i="6" s="1"/>
  <c r="S20" i="6" a="1"/>
  <c r="S20" i="6" s="1"/>
  <c r="AA20" i="6" a="1"/>
  <c r="AA20" i="6" s="1"/>
  <c r="S21" i="6" a="1"/>
  <c r="S21" i="6" s="1"/>
  <c r="Z21" i="6" a="1"/>
  <c r="Z21" i="6" s="1"/>
  <c r="R22" i="6" a="1"/>
  <c r="R22" i="6" s="1"/>
  <c r="P26" i="6" a="1"/>
  <c r="P26" i="6" s="1"/>
  <c r="X26" i="6" a="1"/>
  <c r="X26" i="6" s="1"/>
  <c r="P27" i="6" a="1"/>
  <c r="P27" i="6" s="1"/>
  <c r="Y27" i="6" a="1"/>
  <c r="Y27" i="6" s="1"/>
  <c r="R28" i="6" a="1"/>
  <c r="R28" i="6" s="1"/>
  <c r="Y28" i="6" a="1"/>
  <c r="Y28" i="6" s="1"/>
  <c r="S29" i="6" a="1"/>
  <c r="S29" i="6" s="1"/>
  <c r="AA29" i="6" a="1"/>
  <c r="AA29" i="6" s="1"/>
  <c r="U30" i="6" a="1"/>
  <c r="U30" i="6" s="1"/>
  <c r="F2" i="6" a="1"/>
  <c r="F2" i="6" s="1"/>
  <c r="L2" i="6" a="1"/>
  <c r="L2" i="6" s="1"/>
  <c r="J3" i="6" a="1"/>
  <c r="J3" i="6" s="1"/>
  <c r="H4" i="6" a="1"/>
  <c r="H4" i="6" s="1"/>
  <c r="I10" i="6" a="1"/>
  <c r="I10" i="6" s="1"/>
  <c r="I11" i="6" a="1"/>
  <c r="I11" i="6" s="1"/>
  <c r="I12" i="6" a="1"/>
  <c r="I12" i="6" s="1"/>
  <c r="I13" i="6" a="1"/>
  <c r="I13" i="6" s="1"/>
  <c r="I14" i="6" a="1"/>
  <c r="I14" i="6" s="1"/>
  <c r="H15" i="6" a="1"/>
  <c r="H15" i="6" s="1"/>
  <c r="H16" i="6" a="1"/>
  <c r="H16" i="6" s="1"/>
  <c r="F17" i="6" a="1"/>
  <c r="F17" i="6" s="1"/>
  <c r="N17" i="6" a="1"/>
  <c r="N17" i="6" s="1"/>
  <c r="M18" i="6" a="1"/>
  <c r="M18" i="6" s="1"/>
  <c r="K19" i="6" a="1"/>
  <c r="K19" i="6" s="1"/>
  <c r="M26" i="6" a="1"/>
  <c r="M26" i="6" s="1"/>
  <c r="N27" i="6" a="1"/>
  <c r="N27" i="6" s="1"/>
  <c r="M28" i="6" a="1"/>
  <c r="M28" i="6" s="1"/>
  <c r="K29" i="6" a="1"/>
  <c r="K29" i="6" s="1"/>
  <c r="J30" i="6" a="1"/>
  <c r="J30" i="6" s="1"/>
  <c r="E10" i="6" a="1"/>
  <c r="E10" i="6" s="1"/>
  <c r="C13" i="6" a="1"/>
  <c r="C13" i="6" s="1"/>
  <c r="D15" i="6" a="1"/>
  <c r="D15" i="6" s="1"/>
  <c r="C18" i="6" a="1"/>
  <c r="C18" i="6" s="1"/>
  <c r="R2" i="6" a="1"/>
  <c r="R2" i="6" s="1"/>
  <c r="V2" i="6" a="1"/>
  <c r="V2" i="6" s="1"/>
  <c r="Y2" i="6" a="1"/>
  <c r="Y2" i="6" s="1"/>
  <c r="AC2" i="6" a="1"/>
  <c r="AC2" i="6" s="1"/>
  <c r="T3" i="6" a="1"/>
  <c r="T3" i="6" s="1"/>
  <c r="V3" i="6" a="1"/>
  <c r="V3" i="6" s="1"/>
  <c r="AB3" i="6" a="1"/>
  <c r="AB3" i="6" s="1"/>
  <c r="R4" i="6" a="1"/>
  <c r="R4" i="6" s="1"/>
  <c r="T4" i="6" a="1"/>
  <c r="T4" i="6" s="1"/>
  <c r="Z4" i="6" a="1"/>
  <c r="Z4" i="6" s="1"/>
  <c r="Q5" i="6" a="1"/>
  <c r="Q5" i="6" s="1"/>
  <c r="R5" i="6" a="1"/>
  <c r="R5" i="6" s="1"/>
  <c r="X5" i="6" a="1"/>
  <c r="X5" i="6" s="1"/>
  <c r="AD5" i="6" a="1"/>
  <c r="AD5" i="6" s="1"/>
  <c r="P6" i="6" a="1"/>
  <c r="P6" i="6" s="1"/>
  <c r="V6" i="6" a="1"/>
  <c r="V6" i="6" s="1"/>
  <c r="AB6" i="6" a="1"/>
  <c r="AB6" i="6" s="1"/>
  <c r="AD6" i="6" a="1"/>
  <c r="AD6" i="6" s="1"/>
  <c r="U7" i="6" a="1"/>
  <c r="U7" i="6" s="1"/>
  <c r="Z7" i="6" a="1"/>
  <c r="Z7" i="6" s="1"/>
  <c r="AB7" i="6" a="1"/>
  <c r="AB7" i="6" s="1"/>
  <c r="S8" i="6" a="1"/>
  <c r="S8" i="6" s="1"/>
  <c r="Y8" i="6" a="1"/>
  <c r="Y8" i="6" s="1"/>
  <c r="AD8" i="6" a="1"/>
  <c r="AD8" i="6" s="1"/>
  <c r="Q9" i="6" a="1"/>
  <c r="Q9" i="6" s="1"/>
  <c r="V9" i="6" a="1"/>
  <c r="V9" i="6" s="1"/>
  <c r="AB9" i="6" a="1"/>
  <c r="AB9" i="6" s="1"/>
  <c r="AD9" i="6" a="1"/>
  <c r="AD9" i="6" s="1"/>
  <c r="T10" i="6" a="1"/>
  <c r="T10" i="6" s="1"/>
  <c r="Z10" i="6" a="1"/>
  <c r="Z10" i="6" s="1"/>
  <c r="AC10" i="6" a="1"/>
  <c r="AC10" i="6" s="1"/>
  <c r="R11" i="6" a="1"/>
  <c r="R11" i="6" s="1"/>
  <c r="X11" i="6" a="1"/>
  <c r="X11" i="6" s="1"/>
  <c r="AA11" i="6" a="1"/>
  <c r="AA11" i="6" s="1"/>
  <c r="Z13" i="6" a="1"/>
  <c r="Z13" i="6" s="1"/>
  <c r="Q14" i="6" a="1"/>
  <c r="Q14" i="6" s="1"/>
  <c r="U14" i="6" a="1"/>
  <c r="U14" i="6" s="1"/>
  <c r="Z14" i="6" a="1"/>
  <c r="Z14" i="6" s="1"/>
  <c r="R15" i="6" a="1"/>
  <c r="R15" i="6" s="1"/>
  <c r="U15" i="6" a="1"/>
  <c r="U15" i="6" s="1"/>
  <c r="Z15" i="6" a="1"/>
  <c r="Z15" i="6" s="1"/>
  <c r="S16" i="6" a="1"/>
  <c r="S16" i="6" s="1"/>
  <c r="W16" i="6" a="1"/>
  <c r="W16" i="6" s="1"/>
  <c r="AA16" i="6" a="1"/>
  <c r="AA16" i="6" s="1"/>
  <c r="T17" i="6" a="1"/>
  <c r="T17" i="6" s="1"/>
  <c r="X17" i="6" a="1"/>
  <c r="X17" i="6" s="1"/>
  <c r="AC17" i="6" a="1"/>
  <c r="AC17" i="6" s="1"/>
  <c r="U18" i="6" a="1"/>
  <c r="U18" i="6" s="1"/>
  <c r="Y18" i="6" a="1"/>
  <c r="Y18" i="6" s="1"/>
  <c r="AD18" i="6" a="1"/>
  <c r="AD18" i="6" s="1"/>
  <c r="W19" i="6" a="1"/>
  <c r="W19" i="6" s="1"/>
  <c r="Z19" i="6" a="1"/>
  <c r="Z19" i="6" s="1"/>
  <c r="P20" i="6" a="1"/>
  <c r="P20" i="6" s="1"/>
  <c r="X20" i="6" a="1"/>
  <c r="X20" i="6" s="1"/>
  <c r="AB20" i="6" a="1"/>
  <c r="AB20" i="6" s="1"/>
  <c r="Q21" i="6" a="1"/>
  <c r="Q21" i="6" s="1"/>
  <c r="Y21" i="6" a="1"/>
  <c r="Y21" i="6" s="1"/>
  <c r="AC21" i="6" a="1"/>
  <c r="AC21" i="6" s="1"/>
  <c r="V25" i="6" a="1"/>
  <c r="V25" i="6" s="1"/>
  <c r="AD25" i="6" a="1"/>
  <c r="AD25" i="6" s="1"/>
  <c r="T26" i="6" a="1"/>
  <c r="T26" i="6" s="1"/>
  <c r="AA26" i="6" a="1"/>
  <c r="AA26" i="6" s="1"/>
  <c r="S27" i="6" a="1"/>
  <c r="S27" i="6" s="1"/>
  <c r="W27" i="6" a="1"/>
  <c r="W27" i="6" s="1"/>
  <c r="AD27" i="6" a="1"/>
  <c r="AD27" i="6" s="1"/>
  <c r="W28" i="6" a="1"/>
  <c r="W28" i="6" s="1"/>
  <c r="AA28" i="6" a="1"/>
  <c r="AA28" i="6" s="1"/>
  <c r="R29" i="6" a="1"/>
  <c r="R29" i="6" s="1"/>
  <c r="Z29" i="6" a="1"/>
  <c r="Z29" i="6" s="1"/>
  <c r="Q30" i="6" a="1"/>
  <c r="Q30" i="6" s="1"/>
  <c r="V30" i="6" a="1"/>
  <c r="V30" i="6" s="1"/>
  <c r="AC30" i="6" a="1"/>
  <c r="AC30" i="6" s="1"/>
  <c r="I2" i="6" a="1"/>
  <c r="I2" i="6" s="1"/>
  <c r="F3" i="6" a="1"/>
  <c r="F3" i="6" s="1"/>
  <c r="K3" i="6" a="1"/>
  <c r="K3" i="6" s="1"/>
  <c r="F4" i="6" a="1"/>
  <c r="F4" i="6" s="1"/>
  <c r="G10" i="6" a="1"/>
  <c r="G10" i="6" s="1"/>
  <c r="O10" i="6" a="1"/>
  <c r="O10" i="6" s="1"/>
  <c r="J11" i="6" a="1"/>
  <c r="J11" i="6" s="1"/>
  <c r="H12" i="6" a="1"/>
  <c r="H12" i="6" s="1"/>
  <c r="F13" i="6" a="1"/>
  <c r="F13" i="6" s="1"/>
  <c r="K13" i="6" a="1"/>
  <c r="K13" i="6" s="1"/>
  <c r="J14" i="6" a="1"/>
  <c r="J14" i="6" s="1"/>
  <c r="G15" i="6" a="1"/>
  <c r="G15" i="6" s="1"/>
  <c r="M15" i="6" a="1"/>
  <c r="M15" i="6" s="1"/>
  <c r="M16" i="6" a="1"/>
  <c r="M16" i="6" s="1"/>
  <c r="J17" i="6" a="1"/>
  <c r="J17" i="6" s="1"/>
  <c r="F18" i="6" a="1"/>
  <c r="F18" i="6" s="1"/>
  <c r="K18" i="6" a="1"/>
  <c r="K18" i="6" s="1"/>
  <c r="J19" i="6" a="1"/>
  <c r="J19" i="6" s="1"/>
  <c r="N19" i="6" a="1"/>
  <c r="N19" i="6" s="1"/>
  <c r="N26" i="6" a="1"/>
  <c r="N26" i="6" s="1"/>
  <c r="M27" i="6" a="1"/>
  <c r="M27" i="6" s="1"/>
  <c r="H28" i="6" a="1"/>
  <c r="H28" i="6" s="1"/>
  <c r="O28" i="6" a="1"/>
  <c r="O28" i="6" s="1"/>
  <c r="O29" i="6" a="1"/>
  <c r="O29" i="6" s="1"/>
  <c r="I30" i="6" a="1"/>
  <c r="I30" i="6" s="1"/>
  <c r="C10" i="6" a="1"/>
  <c r="C10" i="6" s="1"/>
  <c r="C12" i="6" a="1"/>
  <c r="C12" i="6" s="1"/>
  <c r="E13" i="6" a="1"/>
  <c r="E13" i="6" s="1"/>
  <c r="E15" i="6" a="1"/>
  <c r="E15" i="6" s="1"/>
  <c r="C17" i="6" a="1"/>
  <c r="C17" i="6" s="1"/>
  <c r="S2" i="6" a="1"/>
  <c r="S2" i="6" s="1"/>
  <c r="AB2" i="6" a="1"/>
  <c r="AB2" i="6" s="1"/>
  <c r="S3" i="6" a="1"/>
  <c r="S3" i="6" s="1"/>
  <c r="Z3" i="6" a="1"/>
  <c r="Z3" i="6" s="1"/>
  <c r="Q4" i="6" a="1"/>
  <c r="Q4" i="6" s="1"/>
  <c r="X4" i="6" a="1"/>
  <c r="X4" i="6" s="1"/>
  <c r="AD4" i="6" a="1"/>
  <c r="AD4" i="6" s="1"/>
  <c r="W5" i="6" a="1"/>
  <c r="W5" i="6" s="1"/>
  <c r="AC5" i="6" a="1"/>
  <c r="AC5" i="6" s="1"/>
  <c r="U6" i="6" a="1"/>
  <c r="U6" i="6" s="1"/>
  <c r="AA6" i="6" a="1"/>
  <c r="AA6" i="6" s="1"/>
  <c r="S7" i="6" a="1"/>
  <c r="S7" i="6" s="1"/>
  <c r="Y7" i="6" a="1"/>
  <c r="Y7" i="6" s="1"/>
  <c r="Q8" i="6" a="1"/>
  <c r="Q8" i="6" s="1"/>
  <c r="W8" i="6" a="1"/>
  <c r="W8" i="6" s="1"/>
  <c r="P9" i="6" a="1"/>
  <c r="P9" i="6" s="1"/>
  <c r="W9" i="6" a="1"/>
  <c r="W9" i="6" s="1"/>
  <c r="AC9" i="6" a="1"/>
  <c r="AC9" i="6" s="1"/>
  <c r="U10" i="6" a="1"/>
  <c r="U10" i="6" s="1"/>
  <c r="AA10" i="6" a="1"/>
  <c r="AA10" i="6" s="1"/>
  <c r="S11" i="6" a="1"/>
  <c r="S11" i="6" s="1"/>
  <c r="Z11" i="6" a="1"/>
  <c r="Z11" i="6" s="1"/>
  <c r="AA13" i="6" a="1"/>
  <c r="AA13" i="6" s="1"/>
  <c r="S14" i="6" a="1"/>
  <c r="S14" i="6" s="1"/>
  <c r="AA14" i="6" a="1"/>
  <c r="AA14" i="6" s="1"/>
  <c r="S15" i="6" a="1"/>
  <c r="S15" i="6" s="1"/>
  <c r="AA15" i="6" a="1"/>
  <c r="AA15" i="6" s="1"/>
  <c r="T16" i="6" a="1"/>
  <c r="T16" i="6" s="1"/>
  <c r="AC16" i="6" a="1"/>
  <c r="AC16" i="6" s="1"/>
  <c r="W17" i="6" a="1"/>
  <c r="W17" i="6" s="1"/>
  <c r="P18" i="6" a="1"/>
  <c r="P18" i="6" s="1"/>
  <c r="X18" i="6" a="1"/>
  <c r="X18" i="6" s="1"/>
  <c r="Q19" i="6" a="1"/>
  <c r="Q19" i="6" s="1"/>
  <c r="Y19" i="6" a="1"/>
  <c r="Y19" i="6" s="1"/>
  <c r="R20" i="6" a="1"/>
  <c r="R20" i="6" s="1"/>
  <c r="Z20" i="6" a="1"/>
  <c r="Z20" i="6" s="1"/>
  <c r="T21" i="6" a="1"/>
  <c r="T21" i="6" s="1"/>
  <c r="AB21" i="6" a="1"/>
  <c r="AB21" i="6" s="1"/>
  <c r="Z25" i="6" a="1"/>
  <c r="Z25" i="6" s="1"/>
  <c r="S26" i="6" a="1"/>
  <c r="S26" i="6" s="1"/>
  <c r="AC26" i="6" a="1"/>
  <c r="AC26" i="6" s="1"/>
  <c r="V27" i="6" a="1"/>
  <c r="V27" i="6" s="1"/>
  <c r="Q28" i="6" a="1"/>
  <c r="Q28" i="6" s="1"/>
  <c r="Z28" i="6" a="1"/>
  <c r="Z28" i="6" s="1"/>
  <c r="U29" i="6" a="1"/>
  <c r="U29" i="6" s="1"/>
  <c r="P30" i="6" a="1"/>
  <c r="P30" i="6" s="1"/>
  <c r="Y30" i="6" a="1"/>
  <c r="Y30" i="6" s="1"/>
  <c r="J2" i="6" a="1"/>
  <c r="J2" i="6" s="1"/>
  <c r="H3" i="6" a="1"/>
  <c r="H3" i="6" s="1"/>
  <c r="G4" i="6" a="1"/>
  <c r="G4" i="6" s="1"/>
  <c r="B12" i="6" l="1" a="1"/>
  <c r="B12" i="6" s="1"/>
  <c r="B9" i="6" a="1"/>
  <c r="B9" i="6" s="1"/>
  <c r="B14" i="6" a="1"/>
  <c r="B14" i="6" s="1"/>
  <c r="B6" i="6" a="1"/>
  <c r="B6" i="6" s="1"/>
  <c r="B5" i="6" a="1"/>
  <c r="B5" i="6" s="1"/>
  <c r="B4" i="6" a="1"/>
  <c r="B4" i="6" s="1"/>
  <c r="B8" i="6" a="1"/>
  <c r="B8" i="6" s="1"/>
  <c r="B3" i="6" a="1"/>
  <c r="B3" i="6" s="1"/>
  <c r="B19" i="6" a="1"/>
  <c r="B19" i="6" s="1"/>
  <c r="B7" i="6" a="1"/>
  <c r="B7" i="6" s="1"/>
  <c r="B20" i="6" a="1"/>
  <c r="B20" i="6" s="1"/>
  <c r="B30" i="6" a="1"/>
  <c r="B30" i="6" s="1"/>
  <c r="B29" i="6" a="1"/>
  <c r="B29" i="6" s="1"/>
  <c r="B28" i="6" a="1"/>
  <c r="B28" i="6" s="1"/>
  <c r="B27" i="6" a="1"/>
  <c r="B27" i="6" s="1"/>
  <c r="B26" i="6" a="1"/>
  <c r="B26" i="6" s="1"/>
  <c r="B25" i="6" a="1"/>
  <c r="B25" i="6" s="1"/>
  <c r="B24" i="6" a="1"/>
  <c r="B24" i="6" s="1"/>
  <c r="B23" i="6" a="1"/>
  <c r="B23" i="6" s="1"/>
  <c r="B22" i="6" a="1"/>
  <c r="B22" i="6" s="1"/>
  <c r="B21" i="6" a="1"/>
  <c r="B21" i="6" s="1"/>
  <c r="B18" i="6" a="1"/>
  <c r="B18" i="6" s="1"/>
  <c r="B11" i="6" a="1"/>
  <c r="B11" i="6" s="1"/>
  <c r="B17" i="6" a="1"/>
  <c r="B17" i="6" s="1"/>
  <c r="B15" i="6" a="1"/>
  <c r="B15" i="6" s="1"/>
  <c r="B10" i="6" a="1"/>
  <c r="B10" i="6" s="1"/>
  <c r="B16" i="6" a="1"/>
  <c r="B16" i="6" s="1"/>
  <c r="B13" i="6" a="1"/>
  <c r="B13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<sst xmlns="http://schemas.openxmlformats.org/spreadsheetml/2006/main" count="439" uniqueCount="78">
  <si>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</si>
  <si>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</si>
  <si>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</si>
  <si>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</si>
  <si>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</si>
  <si>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</si>
  <si>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</si>
  <si>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</si>
  <si>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</si>
  <si>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</si>
  <si>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</si>
  <si>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</si>
  <si>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</si>
  <si>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</si>
  <si>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</si>
  <si>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</si>
  <si>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</si>
  <si>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</si>
  <si>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</si>
  <si>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</si>
  <si>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</si>
  <si>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</si>
  <si>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</si>
  <si>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</si>
  <si>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</si>
  <si>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</si>
  <si>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</si>
  <si>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</si>
  <si>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</si>
  <si>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</si>
  <si>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</si>
  <si>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</si>
  <si>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</si>
  <si>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</si>
  <si>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</si>
  <si>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</si>
  <si>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</si>
  <si>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</si>
  <si>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</si>
  <si>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</si>
  <si>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</si>
  <si>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</si>
  <si>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</si>
  <si>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</si>
  <si>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</si>
  <si>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</si>
  <si>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</si>
  <si>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</si>
  <si>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</si>
  <si>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</si>
  <si>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</si>
  <si>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</si>
  <si>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</si>
  <si>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</si>
  <si>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</si>
  <si>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</si>
  <si>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</si>
  <si>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</si>
  <si>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</si>
  <si>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</si>
  <si>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</si>
  <si>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</si>
  <si>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</si>
  <si>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</si>
  <si>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</si>
  <si>
    <t>16-17</t>
  </si>
  <si>
    <t>Stefano</t>
  </si>
  <si>
    <t>Barroso played for both teams switching half way, so I put it only once in team B</t>
  </si>
  <si>
    <t>6-11</t>
  </si>
  <si>
    <t>5-5</t>
  </si>
  <si>
    <t>3-6</t>
  </si>
  <si>
    <t>Own Goals</t>
  </si>
  <si>
    <t>2-3</t>
  </si>
  <si>
    <t>6-5</t>
  </si>
  <si>
    <t>5-4</t>
  </si>
  <si>
    <t>Andrea M</t>
  </si>
  <si>
    <t>Unique Team ID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</si>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</sst>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workbookViewId="0">
      <selection activeCell="F13" sqref="F13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 t="shared" ref="E2:E13" si="0">VALUE(LEFT(D2, FIND("-", D2)-1))</f>
        <v>7</v>
      </c>
      <c r="F2">
        <f t="shared" ref="F2:F7" si="1"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si="0"/>
        <v>5</v>
      </c>
      <c r="F3">
        <f t="shared" si="1"/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0"/>
        <v>7</v>
      </c>
      <c r="F4">
        <f t="shared" si="1"/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0"/>
        <v>13</v>
      </c>
      <c r="F5">
        <f t="shared" si="1"/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0"/>
        <v>10</v>
      </c>
      <c r="F6">
        <f t="shared" si="1"/>
        <v>8</v>
      </c>
      <c r="G6" t="s">
        <v>44</v>
      </c>
    </row>
    <row r="7" spans="1:7" x14ac:dyDescent="0.35">
      <c r="A7">
        <v>6</v>
      </c>
      <c r="B7" s="2">
        <v>46009</v>
      </c>
      <c r="C7" t="s">
        <v>7</v>
      </c>
      <c r="D7" s="1" t="s">
        <v>65</v>
      </c>
      <c r="E7">
        <f t="shared" si="0"/>
        <v>16</v>
      </c>
      <c r="F7">
        <f t="shared" si="1"/>
        <v>17</v>
      </c>
      <c r="G7" t="s">
        <v>22</v>
      </c>
    </row>
    <row r="8" spans="1:7" x14ac:dyDescent="0.35">
      <c r="A8">
        <v>7</v>
      </c>
      <c r="B8" s="2">
        <v>46030</v>
      </c>
      <c r="C8" t="s">
        <v>7</v>
      </c>
      <c r="D8" s="1" t="s">
        <v>68</v>
      </c>
      <c r="E8">
        <f t="shared" si="0"/>
        <v>6</v>
      </c>
      <c r="F8">
        <f t="shared" ref="F8:F13" si="2">VALUE(MID(D8, FIND("-", D8)+1, 10))</f>
        <v>11</v>
      </c>
      <c r="G8" t="s">
        <v>66</v>
      </c>
    </row>
    <row r="9" spans="1:7" x14ac:dyDescent="0.35">
      <c r="A9">
        <v>8</v>
      </c>
      <c r="B9" s="2">
        <v>46037</v>
      </c>
      <c r="C9" t="s">
        <v>7</v>
      </c>
      <c r="D9" s="1" t="s">
        <v>69</v>
      </c>
      <c r="E9">
        <f t="shared" si="0"/>
        <v>5</v>
      </c>
      <c r="F9">
        <f t="shared" si="2"/>
        <v>5</v>
      </c>
      <c r="G9" t="s">
        <v>22</v>
      </c>
    </row>
    <row r="10" spans="1:7" x14ac:dyDescent="0.35">
      <c r="A10">
        <v>9</v>
      </c>
      <c r="B10" s="2">
        <v>46044</v>
      </c>
      <c r="C10" t="s">
        <v>7</v>
      </c>
      <c r="D10" s="1" t="s">
        <v>70</v>
      </c>
      <c r="E10">
        <f t="shared" si="0"/>
        <v>3</v>
      </c>
      <c r="F10">
        <f t="shared" si="2"/>
        <v>6</v>
      </c>
      <c r="G10" t="s">
        <v>21</v>
      </c>
    </row>
    <row r="11" spans="1:7" x14ac:dyDescent="0.35">
      <c r="A11">
        <v>10</v>
      </c>
      <c r="B11" s="2">
        <v>46051</v>
      </c>
      <c r="C11" t="s">
        <v>7</v>
      </c>
      <c r="D11" s="1" t="s">
        <v>73</v>
      </c>
      <c r="E11">
        <f t="shared" si="0"/>
        <v>6</v>
      </c>
      <c r="F11">
        <f t="shared" si="2"/>
        <v>5</v>
      </c>
      <c r="G11" t="s">
        <v>46</v>
      </c>
    </row>
    <row r="12" spans="1:7" x14ac:dyDescent="0.35">
      <c r="A12">
        <v>11</v>
      </c>
      <c r="B12" s="2">
        <v>46058</v>
      </c>
      <c r="C12" t="s">
        <v>7</v>
      </c>
      <c r="D12" s="1" t="s">
        <v>72</v>
      </c>
      <c r="E12">
        <f t="shared" si="0"/>
        <v>2</v>
      </c>
      <c r="F12">
        <f t="shared" si="2"/>
        <v>3</v>
      </c>
      <c r="G12" t="s">
        <v>54</v>
      </c>
    </row>
    <row r="13" spans="1:7" x14ac:dyDescent="0.35">
      <c r="A13">
        <v>12</v>
      </c>
      <c r="B13" s="2">
        <v>46065</v>
      </c>
      <c r="C13" t="s">
        <v>7</v>
      </c>
      <c r="D13" s="1" t="s">
        <v>74</v>
      </c>
      <c r="E13">
        <f t="shared" si="0"/>
        <v>5</v>
      </c>
      <c r="F13">
        <f t="shared" si="2"/>
        <v>4</v>
      </c>
      <c r="G13" t="s">
        <v>43</v>
      </c>
    </row>
  </sheetData>
  <phoneticPr fontId="3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4"/>
  <sheetViews>
    <sheetView tabSelected="1" topLeftCell="A54" workbookViewId="0">
      <selection activeCell="E61" sqref="E61"/>
    </sheetView>
  </sheetViews>
  <sheetFormatPr defaultRowHeight="14.5" x14ac:dyDescent="0.35"/>
  <cols>
    <col min="2" max="2" width="22.90625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11" s="4" customFormat="1" x14ac:dyDescent="0.35">
      <c r="A1" s="4" t="s">
        <v>0</v>
      </c>
      <c r="B1" s="4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71</v>
      </c>
      <c r="K1" s="4" t="s">
        <v>76</v>
      </c>
    </row>
    <row r="2" spans="1:11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  <c r="K2" t="str">
        <f>A2&amp;"_"&amp;D2</f>
        <v>1_A</v>
      </c>
    </row>
    <row r="3" spans="1:11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  <c r="I3">
        <v>0</v>
      </c>
      <c r="K3" t="str">
        <f t="shared" ref="K3:K66" si="1">A3&amp;"_"&amp;D3</f>
        <v>1_A</v>
      </c>
    </row>
    <row r="4" spans="1:11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  <c r="I4">
        <v>0</v>
      </c>
      <c r="K4" t="str">
        <f t="shared" si="1"/>
        <v>1_A</v>
      </c>
    </row>
    <row r="5" spans="1:11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  <c r="H5">
        <v>0</v>
      </c>
      <c r="I5">
        <v>0</v>
      </c>
      <c r="K5" t="str">
        <f t="shared" si="1"/>
        <v>1_A</v>
      </c>
    </row>
    <row r="6" spans="1:11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  <c r="H6">
        <v>0</v>
      </c>
      <c r="I6">
        <v>0</v>
      </c>
      <c r="K6" t="str">
        <f t="shared" si="1"/>
        <v>1_A</v>
      </c>
    </row>
    <row r="7" spans="1:11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  <c r="H7">
        <v>0</v>
      </c>
      <c r="I7">
        <v>0</v>
      </c>
      <c r="K7" t="str">
        <f t="shared" si="1"/>
        <v>1_B</v>
      </c>
    </row>
    <row r="8" spans="1:11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  <c r="I8">
        <v>0</v>
      </c>
      <c r="K8" t="str">
        <f t="shared" si="1"/>
        <v>1_B</v>
      </c>
    </row>
    <row r="9" spans="1:11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  <c r="H9">
        <v>0</v>
      </c>
      <c r="I9">
        <v>0</v>
      </c>
      <c r="K9" t="str">
        <f t="shared" si="1"/>
        <v>1_B</v>
      </c>
    </row>
    <row r="10" spans="1:11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  <c r="K10" t="str">
        <f t="shared" si="1"/>
        <v>1_B</v>
      </c>
    </row>
    <row r="11" spans="1:11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  <c r="H11">
        <v>0</v>
      </c>
      <c r="I11">
        <v>0</v>
      </c>
      <c r="K11" t="str">
        <f t="shared" si="1"/>
        <v>1_B</v>
      </c>
    </row>
    <row r="12" spans="1:11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  <c r="I12">
        <v>0</v>
      </c>
      <c r="K12" t="str">
        <f t="shared" si="1"/>
        <v>2_A</v>
      </c>
    </row>
    <row r="13" spans="1:11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  <c r="I13">
        <v>0</v>
      </c>
      <c r="K13" t="str">
        <f t="shared" si="1"/>
        <v>2_A</v>
      </c>
    </row>
    <row r="14" spans="1:11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  <c r="I14">
        <v>0</v>
      </c>
      <c r="K14" t="str">
        <f t="shared" si="1"/>
        <v>2_A</v>
      </c>
    </row>
    <row r="15" spans="1:11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  <c r="I15">
        <v>0</v>
      </c>
      <c r="K15" t="str">
        <f t="shared" si="1"/>
        <v>2_A</v>
      </c>
    </row>
    <row r="16" spans="1:11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  <c r="H16">
        <v>0</v>
      </c>
      <c r="I16">
        <v>0</v>
      </c>
      <c r="K16" t="str">
        <f t="shared" si="1"/>
        <v>2_A</v>
      </c>
    </row>
    <row r="17" spans="1:11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  <c r="I17">
        <v>0</v>
      </c>
      <c r="K17" t="str">
        <f t="shared" si="1"/>
        <v>2_A</v>
      </c>
    </row>
    <row r="18" spans="1:11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  <c r="H18">
        <v>0</v>
      </c>
      <c r="I18">
        <v>0</v>
      </c>
      <c r="K18" t="str">
        <f t="shared" si="1"/>
        <v>2_A</v>
      </c>
    </row>
    <row r="19" spans="1:11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  <c r="H19">
        <v>0</v>
      </c>
      <c r="I19">
        <v>0</v>
      </c>
      <c r="K19" t="str">
        <f t="shared" si="1"/>
        <v>2_B</v>
      </c>
    </row>
    <row r="20" spans="1:11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  <c r="I20">
        <v>0</v>
      </c>
      <c r="K20" t="str">
        <f t="shared" si="1"/>
        <v>2_B</v>
      </c>
    </row>
    <row r="21" spans="1:11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  <c r="H21">
        <v>0</v>
      </c>
      <c r="I21">
        <v>0</v>
      </c>
      <c r="K21" t="str">
        <f t="shared" si="1"/>
        <v>2_B</v>
      </c>
    </row>
    <row r="22" spans="1:11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  <c r="I22">
        <v>0</v>
      </c>
      <c r="K22" t="str">
        <f t="shared" si="1"/>
        <v>2_B</v>
      </c>
    </row>
    <row r="23" spans="1:11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  <c r="I23">
        <v>0</v>
      </c>
      <c r="K23" t="str">
        <f t="shared" si="1"/>
        <v>2_B</v>
      </c>
    </row>
    <row r="24" spans="1:11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  <c r="I24">
        <v>0</v>
      </c>
      <c r="K24" t="str">
        <f t="shared" si="1"/>
        <v>2_B</v>
      </c>
    </row>
    <row r="25" spans="1:11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  <c r="H25">
        <v>0</v>
      </c>
      <c r="I25">
        <v>0</v>
      </c>
      <c r="K25" t="str">
        <f t="shared" si="1"/>
        <v>2_B</v>
      </c>
    </row>
    <row r="26" spans="1:11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  <c r="K26" t="str">
        <f t="shared" si="1"/>
        <v>3_A</v>
      </c>
    </row>
    <row r="27" spans="1:11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  <c r="I27">
        <v>0</v>
      </c>
      <c r="K27" t="str">
        <f t="shared" si="1"/>
        <v>3_A</v>
      </c>
    </row>
    <row r="28" spans="1:11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  <c r="I28">
        <v>0</v>
      </c>
      <c r="K28" t="str">
        <f t="shared" si="1"/>
        <v>3_A</v>
      </c>
    </row>
    <row r="29" spans="1:11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H29">
        <v>0</v>
      </c>
      <c r="I29">
        <v>1</v>
      </c>
      <c r="K29" t="str">
        <f t="shared" si="1"/>
        <v>3_A</v>
      </c>
    </row>
    <row r="30" spans="1:11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H30">
        <v>0</v>
      </c>
      <c r="I30">
        <v>2</v>
      </c>
      <c r="K30" t="str">
        <f t="shared" si="1"/>
        <v>3_A</v>
      </c>
    </row>
    <row r="31" spans="1:11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  <c r="K31" t="str">
        <f t="shared" si="1"/>
        <v>3_B</v>
      </c>
    </row>
    <row r="32" spans="1:11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  <c r="K32" t="str">
        <f t="shared" si="1"/>
        <v>3_B</v>
      </c>
    </row>
    <row r="33" spans="1:11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  <c r="K33" t="str">
        <f t="shared" si="1"/>
        <v>3_B</v>
      </c>
    </row>
    <row r="34" spans="1:11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  <c r="K34" t="str">
        <f t="shared" si="1"/>
        <v>3_B</v>
      </c>
    </row>
    <row r="35" spans="1:11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H35">
        <v>0</v>
      </c>
      <c r="I35">
        <v>1</v>
      </c>
      <c r="K35" t="str">
        <f t="shared" si="1"/>
        <v>3_B</v>
      </c>
    </row>
    <row r="36" spans="1:11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76" si="2">IF(E36&gt;F36,"Win",IF(E36&lt;F36,"Loss","Draw"))</f>
        <v>Win</v>
      </c>
      <c r="H36">
        <v>3</v>
      </c>
      <c r="I36">
        <v>3</v>
      </c>
      <c r="K36" t="str">
        <f t="shared" si="1"/>
        <v>4_A</v>
      </c>
    </row>
    <row r="37" spans="1:11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2"/>
        <v>Win</v>
      </c>
      <c r="H37">
        <v>1</v>
      </c>
      <c r="I37">
        <v>2</v>
      </c>
      <c r="K37" t="str">
        <f t="shared" si="1"/>
        <v>4_A</v>
      </c>
    </row>
    <row r="38" spans="1:11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2"/>
        <v>Win</v>
      </c>
      <c r="H38">
        <v>5</v>
      </c>
      <c r="I38">
        <v>3</v>
      </c>
      <c r="K38" t="str">
        <f t="shared" si="1"/>
        <v>4_A</v>
      </c>
    </row>
    <row r="39" spans="1:11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2"/>
        <v>Win</v>
      </c>
      <c r="H39">
        <v>2</v>
      </c>
      <c r="I39">
        <v>2</v>
      </c>
      <c r="K39" t="str">
        <f t="shared" si="1"/>
        <v>4_A</v>
      </c>
    </row>
    <row r="40" spans="1:11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2"/>
        <v>Win</v>
      </c>
      <c r="H40">
        <v>2</v>
      </c>
      <c r="I40">
        <v>0</v>
      </c>
      <c r="K40" t="str">
        <f t="shared" si="1"/>
        <v>4_A</v>
      </c>
    </row>
    <row r="41" spans="1:11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2"/>
        <v>Loss</v>
      </c>
      <c r="H41">
        <v>5</v>
      </c>
      <c r="I41">
        <v>1</v>
      </c>
      <c r="K41" t="str">
        <f t="shared" si="1"/>
        <v>4_B</v>
      </c>
    </row>
    <row r="42" spans="1:11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2"/>
        <v>Loss</v>
      </c>
      <c r="H42">
        <v>2</v>
      </c>
      <c r="I42">
        <v>2</v>
      </c>
      <c r="K42" t="str">
        <f t="shared" si="1"/>
        <v>4_B</v>
      </c>
    </row>
    <row r="43" spans="1:11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2"/>
        <v>Loss</v>
      </c>
      <c r="H43">
        <v>0</v>
      </c>
      <c r="I43">
        <v>0</v>
      </c>
      <c r="K43" t="str">
        <f t="shared" si="1"/>
        <v>4_B</v>
      </c>
    </row>
    <row r="44" spans="1:11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2"/>
        <v>Loss</v>
      </c>
      <c r="H44">
        <v>0</v>
      </c>
      <c r="I44">
        <v>0</v>
      </c>
      <c r="K44" t="str">
        <f t="shared" si="1"/>
        <v>4_B</v>
      </c>
    </row>
    <row r="45" spans="1:11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2"/>
        <v>Loss</v>
      </c>
      <c r="H45">
        <v>1</v>
      </c>
      <c r="I45">
        <v>3</v>
      </c>
      <c r="K45" t="str">
        <f t="shared" si="1"/>
        <v>4_B</v>
      </c>
    </row>
    <row r="46" spans="1:11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2"/>
        <v>Win</v>
      </c>
      <c r="H46">
        <v>2</v>
      </c>
      <c r="I46">
        <v>0</v>
      </c>
      <c r="K46" t="str">
        <f t="shared" si="1"/>
        <v>5_A</v>
      </c>
    </row>
    <row r="47" spans="1:11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2"/>
        <v>Win</v>
      </c>
      <c r="H47">
        <v>4</v>
      </c>
      <c r="I47">
        <v>0</v>
      </c>
      <c r="K47" t="str">
        <f t="shared" si="1"/>
        <v>5_A</v>
      </c>
    </row>
    <row r="48" spans="1:11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2"/>
        <v>Win</v>
      </c>
      <c r="H48">
        <v>1</v>
      </c>
      <c r="I48">
        <v>4</v>
      </c>
      <c r="K48" t="str">
        <f t="shared" si="1"/>
        <v>5_A</v>
      </c>
    </row>
    <row r="49" spans="1:11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2"/>
        <v>Win</v>
      </c>
      <c r="H49">
        <v>1</v>
      </c>
      <c r="I49">
        <v>1</v>
      </c>
      <c r="K49" t="str">
        <f t="shared" si="1"/>
        <v>5_A</v>
      </c>
    </row>
    <row r="50" spans="1:11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2"/>
        <v>Win</v>
      </c>
      <c r="H50">
        <v>2</v>
      </c>
      <c r="I50">
        <v>3</v>
      </c>
      <c r="K50" t="str">
        <f t="shared" si="1"/>
        <v>5_A</v>
      </c>
    </row>
    <row r="51" spans="1:11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2"/>
        <v>Loss</v>
      </c>
      <c r="H51">
        <v>2</v>
      </c>
      <c r="I51">
        <v>1</v>
      </c>
      <c r="K51" t="str">
        <f t="shared" si="1"/>
        <v>5_B</v>
      </c>
    </row>
    <row r="52" spans="1:11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2"/>
        <v>Loss</v>
      </c>
      <c r="H52">
        <v>0</v>
      </c>
      <c r="I52">
        <v>1</v>
      </c>
      <c r="K52" t="str">
        <f t="shared" si="1"/>
        <v>5_B</v>
      </c>
    </row>
    <row r="53" spans="1:11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2"/>
        <v>Loss</v>
      </c>
      <c r="H53">
        <v>4</v>
      </c>
      <c r="I53">
        <v>0</v>
      </c>
      <c r="K53" t="str">
        <f t="shared" si="1"/>
        <v>5_B</v>
      </c>
    </row>
    <row r="54" spans="1:11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2"/>
        <v>Loss</v>
      </c>
      <c r="H54">
        <v>0</v>
      </c>
      <c r="I54">
        <v>1</v>
      </c>
      <c r="K54" t="str">
        <f t="shared" si="1"/>
        <v>5_B</v>
      </c>
    </row>
    <row r="55" spans="1:11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2"/>
        <v>Loss</v>
      </c>
      <c r="H55">
        <v>1</v>
      </c>
      <c r="I55">
        <v>2</v>
      </c>
      <c r="K55" t="str">
        <f t="shared" si="1"/>
        <v>5_B</v>
      </c>
    </row>
    <row r="56" spans="1:11" x14ac:dyDescent="0.35">
      <c r="A56">
        <v>6</v>
      </c>
      <c r="B56" s="6">
        <v>46009</v>
      </c>
      <c r="C56" t="s">
        <v>53</v>
      </c>
      <c r="D56" t="s">
        <v>17</v>
      </c>
      <c r="E56">
        <f>IF(D56="A", INDEX(Matches!$E:$E, MATCH(A56, Matches!$A:$A, 0)), INDEX(Matches!$F:$F, MATCH(A56, Matches!$A:$A, 0)))</f>
        <v>16</v>
      </c>
      <c r="F56">
        <f>IF(D56="A", INDEX(Matches!$F:$F, MATCH(A56, Matches!$A:$A, 0)), INDEX(Matches!$E:$E, MATCH(A56, Matches!$A:$A, 0)))</f>
        <v>17</v>
      </c>
      <c r="G56" t="str">
        <f t="shared" si="2"/>
        <v>Loss</v>
      </c>
      <c r="H56">
        <v>3</v>
      </c>
      <c r="I56">
        <v>2</v>
      </c>
      <c r="K56" t="str">
        <f t="shared" si="1"/>
        <v>6_A</v>
      </c>
    </row>
    <row r="57" spans="1:11" x14ac:dyDescent="0.35">
      <c r="A57">
        <v>6</v>
      </c>
      <c r="B57" s="6">
        <v>46009</v>
      </c>
      <c r="C57" t="s">
        <v>46</v>
      </c>
      <c r="D57" t="s">
        <v>17</v>
      </c>
      <c r="E57">
        <f>IF(D57="A", INDEX(Matches!$E:$E, MATCH(A57, Matches!$A:$A, 0)), INDEX(Matches!$F:$F, MATCH(A57, Matches!$A:$A, 0)))</f>
        <v>16</v>
      </c>
      <c r="F57">
        <f>IF(D57="A", INDEX(Matches!$F:$F, MATCH(A57, Matches!$A:$A, 0)), INDEX(Matches!$E:$E, MATCH(A57, Matches!$A:$A, 0)))</f>
        <v>17</v>
      </c>
      <c r="G57" t="str">
        <f t="shared" si="2"/>
        <v>Loss</v>
      </c>
      <c r="H57">
        <v>2</v>
      </c>
      <c r="I57">
        <v>4</v>
      </c>
      <c r="K57" t="str">
        <f t="shared" si="1"/>
        <v>6_A</v>
      </c>
    </row>
    <row r="58" spans="1:11" x14ac:dyDescent="0.35">
      <c r="A58">
        <v>6</v>
      </c>
      <c r="B58" s="6">
        <v>46009</v>
      </c>
      <c r="C58" t="s">
        <v>22</v>
      </c>
      <c r="D58" t="s">
        <v>17</v>
      </c>
      <c r="E58">
        <f>IF(D58="A", INDEX(Matches!$E:$E, MATCH(A58, Matches!$A:$A, 0)), INDEX(Matches!$F:$F, MATCH(A58, Matches!$A:$A, 0)))</f>
        <v>16</v>
      </c>
      <c r="F58">
        <f>IF(D58="A", INDEX(Matches!$F:$F, MATCH(A58, Matches!$A:$A, 0)), INDEX(Matches!$E:$E, MATCH(A58, Matches!$A:$A, 0)))</f>
        <v>17</v>
      </c>
      <c r="G58" t="str">
        <f t="shared" si="2"/>
        <v>Loss</v>
      </c>
      <c r="H58">
        <v>6</v>
      </c>
      <c r="I58">
        <v>1</v>
      </c>
      <c r="K58" t="str">
        <f t="shared" si="1"/>
        <v>6_A</v>
      </c>
    </row>
    <row r="59" spans="1:11" x14ac:dyDescent="0.35">
      <c r="A59">
        <v>6</v>
      </c>
      <c r="B59" s="6">
        <v>46009</v>
      </c>
      <c r="C59" t="s">
        <v>60</v>
      </c>
      <c r="D59" t="s">
        <v>17</v>
      </c>
      <c r="E59">
        <f>IF(D59="A", INDEX(Matches!$E:$E, MATCH(A59, Matches!$A:$A, 0)), INDEX(Matches!$F:$F, MATCH(A59, Matches!$A:$A, 0)))</f>
        <v>16</v>
      </c>
      <c r="F59">
        <f>IF(D59="A", INDEX(Matches!$F:$F, MATCH(A59, Matches!$A:$A, 0)), INDEX(Matches!$E:$E, MATCH(A59, Matches!$A:$A, 0)))</f>
        <v>17</v>
      </c>
      <c r="G59" t="str">
        <f t="shared" si="2"/>
        <v>Loss</v>
      </c>
      <c r="H59">
        <v>1</v>
      </c>
      <c r="I59">
        <v>0</v>
      </c>
      <c r="K59" t="str">
        <f t="shared" si="1"/>
        <v>6_A</v>
      </c>
    </row>
    <row r="60" spans="1:11" x14ac:dyDescent="0.35">
      <c r="A60">
        <v>6</v>
      </c>
      <c r="B60" s="6">
        <v>46009</v>
      </c>
      <c r="C60" t="s">
        <v>42</v>
      </c>
      <c r="D60" t="s">
        <v>17</v>
      </c>
      <c r="E60">
        <f>IF(D60="A", INDEX(Matches!$E:$E, MATCH(A60, Matches!$A:$A, 0)), INDEX(Matches!$F:$F, MATCH(A60, Matches!$A:$A, 0)))</f>
        <v>16</v>
      </c>
      <c r="F60">
        <f>IF(D60="A", INDEX(Matches!$F:$F, MATCH(A60, Matches!$A:$A, 0)), INDEX(Matches!$E:$E, MATCH(A60, Matches!$A:$A, 0)))</f>
        <v>17</v>
      </c>
      <c r="J60" t="s">
        <v>67</v>
      </c>
      <c r="K60" t="str">
        <f t="shared" si="1"/>
        <v>6_A</v>
      </c>
    </row>
    <row r="61" spans="1:11" x14ac:dyDescent="0.35">
      <c r="A61">
        <v>6</v>
      </c>
      <c r="B61" s="6">
        <v>46009</v>
      </c>
      <c r="C61" t="s">
        <v>66</v>
      </c>
      <c r="D61" t="s">
        <v>23</v>
      </c>
      <c r="E61">
        <f>IF(D61="A", INDEX(Matches!$E:$E, MATCH(A61, Matches!$A:$A, 0)), INDEX(Matches!$F:$F, MATCH(A61, Matches!$A:$A, 0)))</f>
        <v>17</v>
      </c>
      <c r="F61">
        <f>IF(D61="A", INDEX(Matches!$F:$F, MATCH(A61, Matches!$A:$A, 0)), INDEX(Matches!$E:$E, MATCH(A61, Matches!$A:$A, 0)))</f>
        <v>16</v>
      </c>
      <c r="G61" t="str">
        <f t="shared" si="2"/>
        <v>Win</v>
      </c>
      <c r="H61">
        <v>8</v>
      </c>
      <c r="I61">
        <v>1</v>
      </c>
      <c r="K61" t="str">
        <f t="shared" si="1"/>
        <v>6_B</v>
      </c>
    </row>
    <row r="62" spans="1:11" x14ac:dyDescent="0.35">
      <c r="A62">
        <v>6</v>
      </c>
      <c r="B62" s="6">
        <v>46009</v>
      </c>
      <c r="C62" t="s">
        <v>19</v>
      </c>
      <c r="D62" t="s">
        <v>23</v>
      </c>
      <c r="E62">
        <f>IF(D62="A", INDEX(Matches!$E:$E, MATCH(A62, Matches!$A:$A, 0)), INDEX(Matches!$F:$F, MATCH(A62, Matches!$A:$A, 0)))</f>
        <v>17</v>
      </c>
      <c r="F62">
        <f>IF(D62="A", INDEX(Matches!$F:$F, MATCH(A62, Matches!$A:$A, 0)), INDEX(Matches!$E:$E, MATCH(A62, Matches!$A:$A, 0)))</f>
        <v>16</v>
      </c>
      <c r="G62" t="str">
        <f t="shared" si="2"/>
        <v>Win</v>
      </c>
      <c r="H62">
        <v>2</v>
      </c>
      <c r="I62">
        <v>3</v>
      </c>
      <c r="K62" t="str">
        <f t="shared" si="1"/>
        <v>6_B</v>
      </c>
    </row>
    <row r="63" spans="1:11" x14ac:dyDescent="0.35">
      <c r="A63">
        <v>6</v>
      </c>
      <c r="B63" s="6">
        <v>46009</v>
      </c>
      <c r="C63" t="s">
        <v>21</v>
      </c>
      <c r="D63" t="s">
        <v>23</v>
      </c>
      <c r="E63">
        <f>IF(D63="A", INDEX(Matches!$E:$E, MATCH(A63, Matches!$A:$A, 0)), INDEX(Matches!$F:$F, MATCH(A63, Matches!$A:$A, 0)))</f>
        <v>17</v>
      </c>
      <c r="F63">
        <f>IF(D63="A", INDEX(Matches!$F:$F, MATCH(A63, Matches!$A:$A, 0)), INDEX(Matches!$E:$E, MATCH(A63, Matches!$A:$A, 0)))</f>
        <v>16</v>
      </c>
      <c r="G63" t="str">
        <f t="shared" si="2"/>
        <v>Win</v>
      </c>
      <c r="H63">
        <v>0</v>
      </c>
      <c r="I63">
        <v>0</v>
      </c>
      <c r="K63" t="str">
        <f t="shared" si="1"/>
        <v>6_B</v>
      </c>
    </row>
    <row r="64" spans="1:11" x14ac:dyDescent="0.35">
      <c r="A64">
        <v>6</v>
      </c>
      <c r="B64" s="6">
        <v>46009</v>
      </c>
      <c r="C64" t="s">
        <v>50</v>
      </c>
      <c r="D64" t="s">
        <v>23</v>
      </c>
      <c r="E64">
        <f>IF(D64="A", INDEX(Matches!$E:$E, MATCH(A64, Matches!$A:$A, 0)), INDEX(Matches!$F:$F, MATCH(A64, Matches!$A:$A, 0)))</f>
        <v>17</v>
      </c>
      <c r="F64">
        <f>IF(D64="A", INDEX(Matches!$F:$F, MATCH(A64, Matches!$A:$A, 0)), INDEX(Matches!$E:$E, MATCH(A64, Matches!$A:$A, 0)))</f>
        <v>16</v>
      </c>
      <c r="G64" t="str">
        <f t="shared" si="2"/>
        <v>Win</v>
      </c>
      <c r="H64">
        <v>5</v>
      </c>
      <c r="I64">
        <v>1</v>
      </c>
      <c r="K64" t="str">
        <f t="shared" si="1"/>
        <v>6_B</v>
      </c>
    </row>
    <row r="65" spans="1:11" x14ac:dyDescent="0.35">
      <c r="A65">
        <v>6</v>
      </c>
      <c r="B65" s="6">
        <v>46009</v>
      </c>
      <c r="C65" t="s">
        <v>40</v>
      </c>
      <c r="D65" t="s">
        <v>23</v>
      </c>
      <c r="E65">
        <f>IF(D65="A", INDEX(Matches!$E:$E, MATCH(A65, Matches!$A:$A, 0)), INDEX(Matches!$F:$F, MATCH(A65, Matches!$A:$A, 0)))</f>
        <v>17</v>
      </c>
      <c r="F65">
        <f>IF(D65="A", INDEX(Matches!$F:$F, MATCH(A65, Matches!$A:$A, 0)), INDEX(Matches!$E:$E, MATCH(A65, Matches!$A:$A, 0)))</f>
        <v>16</v>
      </c>
      <c r="G65" t="str">
        <f t="shared" si="2"/>
        <v>Win</v>
      </c>
      <c r="H65">
        <v>0</v>
      </c>
      <c r="I65">
        <v>0</v>
      </c>
      <c r="K65" t="str">
        <f t="shared" si="1"/>
        <v>6_B</v>
      </c>
    </row>
    <row r="66" spans="1:11" x14ac:dyDescent="0.35">
      <c r="A66">
        <v>6</v>
      </c>
      <c r="B66" s="6">
        <v>46009</v>
      </c>
      <c r="C66" t="s">
        <v>42</v>
      </c>
      <c r="D66" t="s">
        <v>23</v>
      </c>
      <c r="E66">
        <f>IF(D66="A", INDEX(Matches!$E:$E, MATCH(A66, Matches!$A:$A, 0)), INDEX(Matches!$F:$F, MATCH(A66, Matches!$A:$A, 0)))</f>
        <v>17</v>
      </c>
      <c r="F66">
        <f>IF(D66="A", INDEX(Matches!$F:$F, MATCH(A66, Matches!$A:$A, 0)), INDEX(Matches!$E:$E, MATCH(A66, Matches!$A:$A, 0)))</f>
        <v>16</v>
      </c>
      <c r="G66" t="str">
        <f t="shared" si="2"/>
        <v>Win</v>
      </c>
      <c r="H66">
        <v>6</v>
      </c>
      <c r="I66">
        <v>4</v>
      </c>
      <c r="K66" t="str">
        <f t="shared" si="1"/>
        <v>6_B</v>
      </c>
    </row>
    <row r="67" spans="1:11" x14ac:dyDescent="0.35">
      <c r="A67">
        <v>7</v>
      </c>
      <c r="B67" s="6">
        <v>46030</v>
      </c>
      <c r="C67" t="s">
        <v>16</v>
      </c>
      <c r="D67" t="s">
        <v>17</v>
      </c>
      <c r="E67">
        <f>IF(D67="A", INDEX(Matches!$E:$E, MATCH(A67, Matches!$A:$A, 0)), INDEX(Matches!$F:$F, MATCH(A67, Matches!$A:$A, 0)))</f>
        <v>6</v>
      </c>
      <c r="F67">
        <f>IF(D67="A", INDEX(Matches!$F:$F, MATCH(A67, Matches!$A:$A, 0)), INDEX(Matches!$E:$E, MATCH(A67, Matches!$A:$A, 0)))</f>
        <v>11</v>
      </c>
      <c r="G67" t="str">
        <f t="shared" si="2"/>
        <v>Loss</v>
      </c>
      <c r="H67">
        <v>2</v>
      </c>
      <c r="I67">
        <v>4</v>
      </c>
      <c r="K67" t="str">
        <f t="shared" ref="K67:K130" si="3">A67&amp;"_"&amp;D67</f>
        <v>7_A</v>
      </c>
    </row>
    <row r="68" spans="1:11" x14ac:dyDescent="0.35">
      <c r="A68">
        <v>7</v>
      </c>
      <c r="B68" s="6">
        <v>46030</v>
      </c>
      <c r="C68" t="s">
        <v>24</v>
      </c>
      <c r="D68" t="s">
        <v>17</v>
      </c>
      <c r="E68">
        <f>IF(D68="A", INDEX(Matches!$E:$E, MATCH(A68, Matches!$A:$A, 0)), INDEX(Matches!$F:$F, MATCH(A68, Matches!$A:$A, 0)))</f>
        <v>6</v>
      </c>
      <c r="F68">
        <f>IF(D68="A", INDEX(Matches!$F:$F, MATCH(A68, Matches!$A:$A, 0)), INDEX(Matches!$E:$E, MATCH(A68, Matches!$A:$A, 0)))</f>
        <v>11</v>
      </c>
      <c r="G68" t="str">
        <f t="shared" si="2"/>
        <v>Loss</v>
      </c>
      <c r="H68">
        <v>2</v>
      </c>
      <c r="I68">
        <v>0</v>
      </c>
      <c r="K68" t="str">
        <f t="shared" si="3"/>
        <v>7_A</v>
      </c>
    </row>
    <row r="69" spans="1:11" x14ac:dyDescent="0.35">
      <c r="A69">
        <v>7</v>
      </c>
      <c r="B69" s="6">
        <v>46030</v>
      </c>
      <c r="C69" t="s">
        <v>43</v>
      </c>
      <c r="D69" t="s">
        <v>17</v>
      </c>
      <c r="E69">
        <f>IF(D69="A", INDEX(Matches!$E:$E, MATCH(A69, Matches!$A:$A, 0)), INDEX(Matches!$F:$F, MATCH(A69, Matches!$A:$A, 0)))</f>
        <v>6</v>
      </c>
      <c r="F69">
        <f>IF(D69="A", INDEX(Matches!$F:$F, MATCH(A69, Matches!$A:$A, 0)), INDEX(Matches!$E:$E, MATCH(A69, Matches!$A:$A, 0)))</f>
        <v>11</v>
      </c>
      <c r="G69" t="str">
        <f t="shared" si="2"/>
        <v>Loss</v>
      </c>
      <c r="H69">
        <v>1</v>
      </c>
      <c r="I69">
        <v>1</v>
      </c>
      <c r="K69" t="str">
        <f t="shared" si="3"/>
        <v>7_A</v>
      </c>
    </row>
    <row r="70" spans="1:11" x14ac:dyDescent="0.35">
      <c r="A70">
        <v>7</v>
      </c>
      <c r="B70" s="6">
        <v>46030</v>
      </c>
      <c r="C70" t="s">
        <v>42</v>
      </c>
      <c r="D70" t="s">
        <v>17</v>
      </c>
      <c r="E70">
        <f>IF(D70="A", INDEX(Matches!$E:$E, MATCH(A70, Matches!$A:$A, 0)), INDEX(Matches!$F:$F, MATCH(A70, Matches!$A:$A, 0)))</f>
        <v>6</v>
      </c>
      <c r="F70">
        <f>IF(D70="A", INDEX(Matches!$F:$F, MATCH(A70, Matches!$A:$A, 0)), INDEX(Matches!$E:$E, MATCH(A70, Matches!$A:$A, 0)))</f>
        <v>11</v>
      </c>
      <c r="G70" t="str">
        <f t="shared" si="2"/>
        <v>Loss</v>
      </c>
      <c r="H70">
        <v>2</v>
      </c>
      <c r="I70">
        <v>1</v>
      </c>
      <c r="K70" t="str">
        <f t="shared" si="3"/>
        <v>7_A</v>
      </c>
    </row>
    <row r="71" spans="1:11" x14ac:dyDescent="0.35">
      <c r="A71">
        <v>7</v>
      </c>
      <c r="B71" s="6">
        <v>46030</v>
      </c>
      <c r="C71" t="s">
        <v>46</v>
      </c>
      <c r="D71" t="s">
        <v>17</v>
      </c>
      <c r="E71">
        <f>IF(D71="A", INDEX(Matches!$E:$E, MATCH(A71, Matches!$A:$A, 0)), INDEX(Matches!$F:$F, MATCH(A71, Matches!$A:$A, 0)))</f>
        <v>6</v>
      </c>
      <c r="F71">
        <f>IF(D71="A", INDEX(Matches!$F:$F, MATCH(A71, Matches!$A:$A, 0)), INDEX(Matches!$E:$E, MATCH(A71, Matches!$A:$A, 0)))</f>
        <v>11</v>
      </c>
      <c r="G71" t="str">
        <f t="shared" si="2"/>
        <v>Loss</v>
      </c>
      <c r="H71">
        <v>1</v>
      </c>
      <c r="I71">
        <v>0</v>
      </c>
      <c r="K71" t="str">
        <f t="shared" si="3"/>
        <v>7_A</v>
      </c>
    </row>
    <row r="72" spans="1:11" x14ac:dyDescent="0.35">
      <c r="A72">
        <v>7</v>
      </c>
      <c r="B72" s="6">
        <v>46030</v>
      </c>
      <c r="C72" t="s">
        <v>20</v>
      </c>
      <c r="D72" t="s">
        <v>23</v>
      </c>
      <c r="E72">
        <f>IF(D72="A", INDEX(Matches!$E:$E, MATCH(A72, Matches!$A:$A, 0)), INDEX(Matches!$F:$F, MATCH(A72, Matches!$A:$A, 0)))</f>
        <v>11</v>
      </c>
      <c r="F72">
        <f>IF(D72="A", INDEX(Matches!$F:$F, MATCH(A72, Matches!$A:$A, 0)), INDEX(Matches!$E:$E, MATCH(A72, Matches!$A:$A, 0)))</f>
        <v>6</v>
      </c>
      <c r="G72" t="str">
        <f t="shared" si="2"/>
        <v>Win</v>
      </c>
      <c r="H72">
        <v>0</v>
      </c>
      <c r="I72">
        <v>1</v>
      </c>
      <c r="K72" t="str">
        <f t="shared" si="3"/>
        <v>7_B</v>
      </c>
    </row>
    <row r="73" spans="1:11" x14ac:dyDescent="0.35">
      <c r="A73">
        <v>7</v>
      </c>
      <c r="B73" s="6">
        <v>46030</v>
      </c>
      <c r="C73" t="s">
        <v>66</v>
      </c>
      <c r="D73" t="s">
        <v>23</v>
      </c>
      <c r="E73">
        <f>IF(D73="A", INDEX(Matches!$E:$E, MATCH(A73, Matches!$A:$A, 0)), INDEX(Matches!$F:$F, MATCH(A73, Matches!$A:$A, 0)))</f>
        <v>11</v>
      </c>
      <c r="F73">
        <f>IF(D73="A", INDEX(Matches!$F:$F, MATCH(A73, Matches!$A:$A, 0)), INDEX(Matches!$E:$E, MATCH(A73, Matches!$A:$A, 0)))</f>
        <v>6</v>
      </c>
      <c r="G73" t="str">
        <f t="shared" si="2"/>
        <v>Win</v>
      </c>
      <c r="H73">
        <v>6</v>
      </c>
      <c r="I73">
        <v>5</v>
      </c>
      <c r="K73" t="str">
        <f t="shared" si="3"/>
        <v>7_B</v>
      </c>
    </row>
    <row r="74" spans="1:11" x14ac:dyDescent="0.35">
      <c r="A74">
        <v>7</v>
      </c>
      <c r="B74" s="6">
        <v>46030</v>
      </c>
      <c r="C74" t="s">
        <v>25</v>
      </c>
      <c r="D74" t="s">
        <v>23</v>
      </c>
      <c r="E74">
        <f>IF(D74="A", INDEX(Matches!$E:$E, MATCH(A74, Matches!$A:$A, 0)), INDEX(Matches!$F:$F, MATCH(A74, Matches!$A:$A, 0)))</f>
        <v>11</v>
      </c>
      <c r="F74">
        <f>IF(D74="A", INDEX(Matches!$F:$F, MATCH(A74, Matches!$A:$A, 0)), INDEX(Matches!$E:$E, MATCH(A74, Matches!$A:$A, 0)))</f>
        <v>6</v>
      </c>
      <c r="G74" t="str">
        <f t="shared" si="2"/>
        <v>Win</v>
      </c>
      <c r="H74">
        <v>0</v>
      </c>
      <c r="I74">
        <v>0</v>
      </c>
      <c r="K74" t="str">
        <f t="shared" si="3"/>
        <v>7_B</v>
      </c>
    </row>
    <row r="75" spans="1:11" x14ac:dyDescent="0.35">
      <c r="A75">
        <v>7</v>
      </c>
      <c r="B75" s="6">
        <v>46030</v>
      </c>
      <c r="C75" t="s">
        <v>19</v>
      </c>
      <c r="D75" t="s">
        <v>23</v>
      </c>
      <c r="E75">
        <f>IF(D75="A", INDEX(Matches!$E:$E, MATCH(A75, Matches!$A:$A, 0)), INDEX(Matches!$F:$F, MATCH(A75, Matches!$A:$A, 0)))</f>
        <v>11</v>
      </c>
      <c r="F75">
        <f>IF(D75="A", INDEX(Matches!$F:$F, MATCH(A75, Matches!$A:$A, 0)), INDEX(Matches!$E:$E, MATCH(A75, Matches!$A:$A, 0)))</f>
        <v>6</v>
      </c>
      <c r="G75" t="str">
        <f t="shared" si="2"/>
        <v>Win</v>
      </c>
      <c r="H75">
        <v>4</v>
      </c>
      <c r="I75">
        <v>1</v>
      </c>
      <c r="K75" t="str">
        <f t="shared" si="3"/>
        <v>7_B</v>
      </c>
    </row>
    <row r="76" spans="1:11" x14ac:dyDescent="0.35">
      <c r="A76">
        <v>7</v>
      </c>
      <c r="B76" s="6">
        <v>46030</v>
      </c>
      <c r="C76" t="s">
        <v>21</v>
      </c>
      <c r="D76" t="s">
        <v>23</v>
      </c>
      <c r="E76">
        <f>IF(D76="A", INDEX(Matches!$E:$E, MATCH(A76, Matches!$A:$A, 0)), INDEX(Matches!$F:$F, MATCH(A76, Matches!$A:$A, 0)))</f>
        <v>11</v>
      </c>
      <c r="F76">
        <f>IF(D76="A", INDEX(Matches!$F:$F, MATCH(A76, Matches!$A:$A, 0)), INDEX(Matches!$E:$E, MATCH(A76, Matches!$A:$A, 0)))</f>
        <v>6</v>
      </c>
      <c r="G76" t="str">
        <f t="shared" si="2"/>
        <v>Win</v>
      </c>
      <c r="H76">
        <v>1</v>
      </c>
      <c r="I76">
        <v>1</v>
      </c>
      <c r="K76" t="str">
        <f t="shared" si="3"/>
        <v>7_B</v>
      </c>
    </row>
    <row r="77" spans="1:11" x14ac:dyDescent="0.35">
      <c r="A77">
        <v>8</v>
      </c>
      <c r="B77" s="6">
        <v>46037</v>
      </c>
      <c r="C77" t="s">
        <v>53</v>
      </c>
      <c r="D77" t="s">
        <v>17</v>
      </c>
      <c r="E77">
        <f>IF(D77="A", INDEX(Matches!$E:$E, MATCH(A77, Matches!$A:$A, 0)), INDEX(Matches!$F:$F, MATCH(A77, Matches!$A:$A, 0)))</f>
        <v>5</v>
      </c>
      <c r="F77">
        <v>5</v>
      </c>
      <c r="G77" t="str">
        <f t="shared" ref="G77:G90" si="4">IF(E77&gt;F77,"Win",IF(E77&lt;F77,"Loss","Draw"))</f>
        <v>Draw</v>
      </c>
      <c r="H77">
        <v>2</v>
      </c>
      <c r="I77">
        <v>0</v>
      </c>
      <c r="K77" t="str">
        <f t="shared" si="3"/>
        <v>8_A</v>
      </c>
    </row>
    <row r="78" spans="1:11" x14ac:dyDescent="0.35">
      <c r="A78">
        <v>8</v>
      </c>
      <c r="B78" s="6">
        <v>46037</v>
      </c>
      <c r="C78" t="s">
        <v>16</v>
      </c>
      <c r="D78" t="s">
        <v>17</v>
      </c>
      <c r="E78">
        <f>IF(D78="A", INDEX(Matches!$E:$E, MATCH(A78, Matches!$A:$A, 0)), INDEX(Matches!$F:$F, MATCH(A78, Matches!$A:$A, 0)))</f>
        <v>5</v>
      </c>
      <c r="F78">
        <f>IF(D78="A", INDEX(Matches!$F:$F, MATCH(A78, Matches!$A:$A, 0)), INDEX(Matches!$E:$E, MATCH(A78, Matches!$A:$A, 0)))</f>
        <v>5</v>
      </c>
      <c r="G78" t="str">
        <f t="shared" si="4"/>
        <v>Draw</v>
      </c>
      <c r="H78">
        <v>0</v>
      </c>
      <c r="I78">
        <v>0</v>
      </c>
      <c r="K78" t="str">
        <f t="shared" si="3"/>
        <v>8_A</v>
      </c>
    </row>
    <row r="79" spans="1:11" x14ac:dyDescent="0.35">
      <c r="A79">
        <v>8</v>
      </c>
      <c r="B79" s="6">
        <v>46037</v>
      </c>
      <c r="C79" t="s">
        <v>20</v>
      </c>
      <c r="D79" t="s">
        <v>17</v>
      </c>
      <c r="E79">
        <f>IF(D79="A", INDEX(Matches!$E:$E, MATCH(A79, Matches!$A:$A, 0)), INDEX(Matches!$F:$F, MATCH(A79, Matches!$A:$A, 0)))</f>
        <v>5</v>
      </c>
      <c r="F79">
        <f>IF(D79="A", INDEX(Matches!$F:$F, MATCH(A79, Matches!$A:$A, 0)), INDEX(Matches!$E:$E, MATCH(A79, Matches!$A:$A, 0)))</f>
        <v>5</v>
      </c>
      <c r="G79" t="str">
        <f t="shared" si="4"/>
        <v>Draw</v>
      </c>
      <c r="H79">
        <v>0</v>
      </c>
      <c r="I79">
        <v>1</v>
      </c>
      <c r="K79" t="str">
        <f t="shared" si="3"/>
        <v>8_A</v>
      </c>
    </row>
    <row r="80" spans="1:11" x14ac:dyDescent="0.35">
      <c r="A80">
        <v>8</v>
      </c>
      <c r="B80" s="6">
        <v>46037</v>
      </c>
      <c r="C80" t="s">
        <v>19</v>
      </c>
      <c r="D80" t="s">
        <v>17</v>
      </c>
      <c r="E80">
        <f>IF(D80="A", INDEX(Matches!$E:$E, MATCH(A80, Matches!$A:$A, 0)), INDEX(Matches!$F:$F, MATCH(A80, Matches!$A:$A, 0)))</f>
        <v>5</v>
      </c>
      <c r="F80">
        <f>IF(D80="A", INDEX(Matches!$F:$F, MATCH(A80, Matches!$A:$A, 0)), INDEX(Matches!$E:$E, MATCH(A80, Matches!$A:$A, 0)))</f>
        <v>5</v>
      </c>
      <c r="G80" t="str">
        <f t="shared" si="4"/>
        <v>Draw</v>
      </c>
      <c r="H80">
        <v>3</v>
      </c>
      <c r="I80">
        <v>0</v>
      </c>
      <c r="K80" t="str">
        <f t="shared" si="3"/>
        <v>8_A</v>
      </c>
    </row>
    <row r="81" spans="1:11" x14ac:dyDescent="0.35">
      <c r="A81">
        <v>8</v>
      </c>
      <c r="B81" s="6">
        <v>46037</v>
      </c>
      <c r="C81" t="s">
        <v>18</v>
      </c>
      <c r="D81" t="s">
        <v>17</v>
      </c>
      <c r="E81">
        <f>IF(D81="A", INDEX(Matches!$E:$E, MATCH(A81, Matches!$A:$A, 0)), INDEX(Matches!$F:$F, MATCH(A81, Matches!$A:$A, 0)))</f>
        <v>5</v>
      </c>
      <c r="F81">
        <f>IF(D81="A", INDEX(Matches!$F:$F, MATCH(A81, Matches!$A:$A, 0)), INDEX(Matches!$E:$E, MATCH(A81, Matches!$A:$A, 0)))</f>
        <v>5</v>
      </c>
      <c r="G81" t="str">
        <f t="shared" si="4"/>
        <v>Draw</v>
      </c>
      <c r="H81">
        <v>0</v>
      </c>
      <c r="I81">
        <v>1</v>
      </c>
      <c r="K81" t="str">
        <f t="shared" si="3"/>
        <v>8_A</v>
      </c>
    </row>
    <row r="82" spans="1:11" x14ac:dyDescent="0.35">
      <c r="A82">
        <v>8</v>
      </c>
      <c r="B82" s="6">
        <v>46037</v>
      </c>
      <c r="C82" t="s">
        <v>60</v>
      </c>
      <c r="D82" t="s">
        <v>17</v>
      </c>
      <c r="E82">
        <f>IF(D82="A", INDEX(Matches!$E:$E, MATCH(A82, Matches!$A:$A, 0)), INDEX(Matches!$F:$F, MATCH(A82, Matches!$A:$A, 0)))</f>
        <v>5</v>
      </c>
      <c r="F82">
        <f>IF(D82="A", INDEX(Matches!$F:$F, MATCH(A82, Matches!$A:$A, 0)), INDEX(Matches!$E:$E, MATCH(A82, Matches!$A:$A, 0)))</f>
        <v>5</v>
      </c>
      <c r="G82" t="str">
        <f t="shared" si="4"/>
        <v>Draw</v>
      </c>
      <c r="H82">
        <v>0</v>
      </c>
      <c r="I82">
        <v>0</v>
      </c>
      <c r="K82" t="str">
        <f t="shared" si="3"/>
        <v>8_A</v>
      </c>
    </row>
    <row r="83" spans="1:11" x14ac:dyDescent="0.35">
      <c r="A83">
        <v>8</v>
      </c>
      <c r="B83" s="6">
        <v>46037</v>
      </c>
      <c r="C83" t="s">
        <v>43</v>
      </c>
      <c r="D83" t="s">
        <v>17</v>
      </c>
      <c r="E83">
        <f>IF(D83="A", INDEX(Matches!$E:$E, MATCH(A83, Matches!$A:$A, 0)), INDEX(Matches!$F:$F, MATCH(A83, Matches!$A:$A, 0)))</f>
        <v>5</v>
      </c>
      <c r="F83">
        <f>IF(D83="A", INDEX(Matches!$F:$F, MATCH(A83, Matches!$A:$A, 0)), INDEX(Matches!$E:$E, MATCH(A83, Matches!$A:$A, 0)))</f>
        <v>5</v>
      </c>
      <c r="G83" t="str">
        <f t="shared" si="4"/>
        <v>Draw</v>
      </c>
      <c r="H83">
        <v>0</v>
      </c>
      <c r="I83">
        <v>1</v>
      </c>
      <c r="K83" t="str">
        <f t="shared" si="3"/>
        <v>8_A</v>
      </c>
    </row>
    <row r="84" spans="1:11" x14ac:dyDescent="0.35">
      <c r="A84">
        <v>8</v>
      </c>
      <c r="B84" s="6">
        <v>46037</v>
      </c>
      <c r="C84" t="s">
        <v>41</v>
      </c>
      <c r="D84" t="s">
        <v>23</v>
      </c>
      <c r="E84">
        <f>IF(D84="A", INDEX(Matches!$E:$E, MATCH(A84, Matches!$A:$A, 0)), INDEX(Matches!$F:$F, MATCH(A84, Matches!$A:$A, 0)))</f>
        <v>5</v>
      </c>
      <c r="F84">
        <f>IF(D84="A", INDEX(Matches!$F:$F, MATCH(A84, Matches!$A:$A, 0)), INDEX(Matches!$E:$E, MATCH(A84, Matches!$A:$A, 0)))</f>
        <v>5</v>
      </c>
      <c r="G84" t="str">
        <f t="shared" si="4"/>
        <v>Draw</v>
      </c>
      <c r="H84">
        <v>0</v>
      </c>
      <c r="I84">
        <v>0</v>
      </c>
      <c r="K84" t="str">
        <f t="shared" si="3"/>
        <v>8_B</v>
      </c>
    </row>
    <row r="85" spans="1:11" x14ac:dyDescent="0.35">
      <c r="A85">
        <v>8</v>
      </c>
      <c r="B85" s="6">
        <v>46037</v>
      </c>
      <c r="C85" t="s">
        <v>42</v>
      </c>
      <c r="D85" t="s">
        <v>23</v>
      </c>
      <c r="E85">
        <f>IF(D85="A", INDEX(Matches!$E:$E, MATCH(A85, Matches!$A:$A, 0)), INDEX(Matches!$F:$F, MATCH(A85, Matches!$A:$A, 0)))</f>
        <v>5</v>
      </c>
      <c r="F85">
        <f>IF(D85="A", INDEX(Matches!$F:$F, MATCH(A85, Matches!$A:$A, 0)), INDEX(Matches!$E:$E, MATCH(A85, Matches!$A:$A, 0)))</f>
        <v>5</v>
      </c>
      <c r="G85" t="str">
        <f t="shared" si="4"/>
        <v>Draw</v>
      </c>
      <c r="H85">
        <v>1</v>
      </c>
      <c r="I85">
        <v>0</v>
      </c>
      <c r="K85" t="str">
        <f t="shared" si="3"/>
        <v>8_B</v>
      </c>
    </row>
    <row r="86" spans="1:11" x14ac:dyDescent="0.35">
      <c r="A86">
        <v>8</v>
      </c>
      <c r="B86" s="6">
        <v>46037</v>
      </c>
      <c r="C86" t="s">
        <v>25</v>
      </c>
      <c r="D86" t="s">
        <v>23</v>
      </c>
      <c r="E86">
        <f>IF(D86="A", INDEX(Matches!$E:$E, MATCH(A86, Matches!$A:$A, 0)), INDEX(Matches!$F:$F, MATCH(A86, Matches!$A:$A, 0)))</f>
        <v>5</v>
      </c>
      <c r="F86">
        <f>IF(D86="A", INDEX(Matches!$F:$F, MATCH(A86, Matches!$A:$A, 0)), INDEX(Matches!$E:$E, MATCH(A86, Matches!$A:$A, 0)))</f>
        <v>5</v>
      </c>
      <c r="G86" t="str">
        <f t="shared" si="4"/>
        <v>Draw</v>
      </c>
      <c r="H86">
        <v>0</v>
      </c>
      <c r="I86">
        <v>1</v>
      </c>
      <c r="K86" t="str">
        <f t="shared" si="3"/>
        <v>8_B</v>
      </c>
    </row>
    <row r="87" spans="1:11" x14ac:dyDescent="0.35">
      <c r="A87">
        <v>8</v>
      </c>
      <c r="B87" s="6">
        <v>46037</v>
      </c>
      <c r="C87" t="s">
        <v>66</v>
      </c>
      <c r="D87" t="s">
        <v>23</v>
      </c>
      <c r="E87">
        <f>IF(D87="A", INDEX(Matches!$E:$E, MATCH(A87, Matches!$A:$A, 0)), INDEX(Matches!$F:$F, MATCH(A87, Matches!$A:$A, 0)))</f>
        <v>5</v>
      </c>
      <c r="F87">
        <f>IF(D87="A", INDEX(Matches!$F:$F, MATCH(A87, Matches!$A:$A, 0)), INDEX(Matches!$E:$E, MATCH(A87, Matches!$A:$A, 0)))</f>
        <v>5</v>
      </c>
      <c r="G87" t="str">
        <f t="shared" si="4"/>
        <v>Draw</v>
      </c>
      <c r="H87">
        <v>0</v>
      </c>
      <c r="I87">
        <v>1</v>
      </c>
      <c r="K87" t="str">
        <f t="shared" si="3"/>
        <v>8_B</v>
      </c>
    </row>
    <row r="88" spans="1:11" x14ac:dyDescent="0.35">
      <c r="A88">
        <v>8</v>
      </c>
      <c r="B88" s="6">
        <v>46037</v>
      </c>
      <c r="C88" t="s">
        <v>44</v>
      </c>
      <c r="D88" t="s">
        <v>23</v>
      </c>
      <c r="E88">
        <f>IF(D88="A", INDEX(Matches!$E:$E, MATCH(A88, Matches!$A:$A, 0)), INDEX(Matches!$F:$F, MATCH(A88, Matches!$A:$A, 0)))</f>
        <v>5</v>
      </c>
      <c r="F88">
        <f>IF(D88="A", INDEX(Matches!$F:$F, MATCH(A88, Matches!$A:$A, 0)), INDEX(Matches!$E:$E, MATCH(A88, Matches!$A:$A, 0)))</f>
        <v>5</v>
      </c>
      <c r="G88" t="str">
        <f t="shared" si="4"/>
        <v>Draw</v>
      </c>
      <c r="H88">
        <v>1</v>
      </c>
      <c r="I88">
        <v>0</v>
      </c>
      <c r="K88" t="str">
        <f t="shared" si="3"/>
        <v>8_B</v>
      </c>
    </row>
    <row r="89" spans="1:11" x14ac:dyDescent="0.35">
      <c r="A89">
        <v>8</v>
      </c>
      <c r="B89" s="6">
        <v>46037</v>
      </c>
      <c r="C89" t="s">
        <v>24</v>
      </c>
      <c r="D89" t="s">
        <v>23</v>
      </c>
      <c r="E89">
        <f>IF(D89="A", INDEX(Matches!$E:$E, MATCH(A89, Matches!$A:$A, 0)), INDEX(Matches!$F:$F, MATCH(A89, Matches!$A:$A, 0)))</f>
        <v>5</v>
      </c>
      <c r="F89">
        <f>IF(D89="A", INDEX(Matches!$F:$F, MATCH(A89, Matches!$A:$A, 0)), INDEX(Matches!$E:$E, MATCH(A89, Matches!$A:$A, 0)))</f>
        <v>5</v>
      </c>
      <c r="G89" t="str">
        <f t="shared" si="4"/>
        <v>Draw</v>
      </c>
      <c r="H89">
        <v>0</v>
      </c>
      <c r="I89">
        <v>0</v>
      </c>
      <c r="K89" t="str">
        <f t="shared" si="3"/>
        <v>8_B</v>
      </c>
    </row>
    <row r="90" spans="1:11" x14ac:dyDescent="0.35">
      <c r="A90">
        <v>8</v>
      </c>
      <c r="B90" s="6">
        <v>46037</v>
      </c>
      <c r="C90" t="s">
        <v>22</v>
      </c>
      <c r="D90" t="s">
        <v>23</v>
      </c>
      <c r="E90">
        <f>IF(D90="A", INDEX(Matches!$E:$E, MATCH(A90, Matches!$A:$A, 0)), INDEX(Matches!$F:$F, MATCH(A90, Matches!$A:$A, 0)))</f>
        <v>5</v>
      </c>
      <c r="F90">
        <f>IF(D90="A", INDEX(Matches!$F:$F, MATCH(A90, Matches!$A:$A, 0)), INDEX(Matches!$E:$E, MATCH(A90, Matches!$A:$A, 0)))</f>
        <v>5</v>
      </c>
      <c r="G90" t="str">
        <f t="shared" si="4"/>
        <v>Draw</v>
      </c>
      <c r="H90">
        <v>2</v>
      </c>
      <c r="I90">
        <v>0</v>
      </c>
      <c r="K90" t="str">
        <f t="shared" si="3"/>
        <v>8_B</v>
      </c>
    </row>
    <row r="91" spans="1:11" x14ac:dyDescent="0.35">
      <c r="A91">
        <v>9</v>
      </c>
      <c r="B91" s="6">
        <v>46044</v>
      </c>
      <c r="C91" t="s">
        <v>22</v>
      </c>
      <c r="D91" t="s">
        <v>17</v>
      </c>
      <c r="E91">
        <f>IF(D91="A", INDEX(Matches!$E:$E, MATCH(A91, Matches!$A:$A, 0)), INDEX(Matches!$F:$F, MATCH(A91, Matches!$A:$A, 0)))</f>
        <v>3</v>
      </c>
      <c r="F91">
        <f>IF(D91="A", INDEX(Matches!$F:$F, MATCH(A91, Matches!$A:$A, 0)), INDEX(Matches!$E:$E, MATCH(A91, Matches!$A:$A, 0)))</f>
        <v>6</v>
      </c>
      <c r="G91" t="str">
        <f t="shared" ref="G91:G104" si="5">IF(E91&gt;F91,"Win",IF(E91&lt;F91,"Loss","Draw"))</f>
        <v>Loss</v>
      </c>
      <c r="H91">
        <v>0</v>
      </c>
      <c r="I91">
        <v>0</v>
      </c>
      <c r="K91" t="str">
        <f t="shared" si="3"/>
        <v>9_A</v>
      </c>
    </row>
    <row r="92" spans="1:11" x14ac:dyDescent="0.35">
      <c r="A92">
        <v>9</v>
      </c>
      <c r="B92" s="6">
        <v>46044</v>
      </c>
      <c r="C92" t="s">
        <v>20</v>
      </c>
      <c r="D92" t="s">
        <v>17</v>
      </c>
      <c r="E92">
        <f>IF(D92="A", INDEX(Matches!$E:$E, MATCH(A92, Matches!$A:$A, 0)), INDEX(Matches!$F:$F, MATCH(A92, Matches!$A:$A, 0)))</f>
        <v>3</v>
      </c>
      <c r="F92">
        <f>IF(D92="A", INDEX(Matches!$F:$F, MATCH(A92, Matches!$A:$A, 0)), INDEX(Matches!$E:$E, MATCH(A92, Matches!$A:$A, 0)))</f>
        <v>6</v>
      </c>
      <c r="G92" t="str">
        <f t="shared" si="5"/>
        <v>Loss</v>
      </c>
      <c r="H92">
        <v>0</v>
      </c>
      <c r="I92">
        <v>0</v>
      </c>
      <c r="K92" t="str">
        <f t="shared" si="3"/>
        <v>9_A</v>
      </c>
    </row>
    <row r="93" spans="1:11" x14ac:dyDescent="0.35">
      <c r="A93">
        <v>9</v>
      </c>
      <c r="B93" s="6">
        <v>46044</v>
      </c>
      <c r="C93" t="s">
        <v>25</v>
      </c>
      <c r="D93" t="s">
        <v>17</v>
      </c>
      <c r="E93">
        <f>IF(D93="A", INDEX(Matches!$E:$E, MATCH(A93, Matches!$A:$A, 0)), INDEX(Matches!$F:$F, MATCH(A93, Matches!$A:$A, 0)))</f>
        <v>3</v>
      </c>
      <c r="F93">
        <f>IF(D93="A", INDEX(Matches!$F:$F, MATCH(A93, Matches!$A:$A, 0)), INDEX(Matches!$E:$E, MATCH(A93, Matches!$A:$A, 0)))</f>
        <v>6</v>
      </c>
      <c r="G93" t="str">
        <f t="shared" si="5"/>
        <v>Loss</v>
      </c>
      <c r="H93">
        <v>0</v>
      </c>
      <c r="I93">
        <v>0</v>
      </c>
      <c r="K93" t="str">
        <f t="shared" si="3"/>
        <v>9_A</v>
      </c>
    </row>
    <row r="94" spans="1:11" x14ac:dyDescent="0.35">
      <c r="A94">
        <v>9</v>
      </c>
      <c r="B94" s="6">
        <v>46044</v>
      </c>
      <c r="C94" t="s">
        <v>18</v>
      </c>
      <c r="D94" t="s">
        <v>17</v>
      </c>
      <c r="E94">
        <f>IF(D94="A", INDEX(Matches!$E:$E, MATCH(A94, Matches!$A:$A, 0)), INDEX(Matches!$F:$F, MATCH(A94, Matches!$A:$A, 0)))</f>
        <v>3</v>
      </c>
      <c r="F94">
        <f>IF(D94="A", INDEX(Matches!$F:$F, MATCH(A94, Matches!$A:$A, 0)), INDEX(Matches!$E:$E, MATCH(A94, Matches!$A:$A, 0)))</f>
        <v>6</v>
      </c>
      <c r="G94" t="str">
        <f t="shared" si="5"/>
        <v>Loss</v>
      </c>
      <c r="H94">
        <v>0</v>
      </c>
      <c r="I94">
        <v>0</v>
      </c>
      <c r="K94" t="str">
        <f t="shared" si="3"/>
        <v>9_A</v>
      </c>
    </row>
    <row r="95" spans="1:11" x14ac:dyDescent="0.35">
      <c r="A95">
        <v>9</v>
      </c>
      <c r="B95" s="6">
        <v>46044</v>
      </c>
      <c r="C95" t="s">
        <v>16</v>
      </c>
      <c r="D95" t="s">
        <v>17</v>
      </c>
      <c r="E95">
        <f>IF(D95="A", INDEX(Matches!$E:$E, MATCH(A95, Matches!$A:$A, 0)), INDEX(Matches!$F:$F, MATCH(A95, Matches!$A:$A, 0)))</f>
        <v>3</v>
      </c>
      <c r="F95">
        <f>IF(D95="A", INDEX(Matches!$F:$F, MATCH(A95, Matches!$A:$A, 0)), INDEX(Matches!$E:$E, MATCH(A95, Matches!$A:$A, 0)))</f>
        <v>6</v>
      </c>
      <c r="G95" t="str">
        <f t="shared" si="5"/>
        <v>Loss</v>
      </c>
      <c r="H95">
        <v>0</v>
      </c>
      <c r="I95">
        <v>0</v>
      </c>
      <c r="K95" t="str">
        <f t="shared" si="3"/>
        <v>9_A</v>
      </c>
    </row>
    <row r="96" spans="1:11" x14ac:dyDescent="0.35">
      <c r="A96">
        <v>9</v>
      </c>
      <c r="B96" s="6">
        <v>46044</v>
      </c>
      <c r="C96" t="s">
        <v>55</v>
      </c>
      <c r="D96" t="s">
        <v>17</v>
      </c>
      <c r="E96">
        <f>IF(D96="A", INDEX(Matches!$E:$E, MATCH(A96, Matches!$A:$A, 0)), INDEX(Matches!$F:$F, MATCH(A96, Matches!$A:$A, 0)))</f>
        <v>3</v>
      </c>
      <c r="F96">
        <f>IF(D96="A", INDEX(Matches!$F:$F, MATCH(A96, Matches!$A:$A, 0)), INDEX(Matches!$E:$E, MATCH(A96, Matches!$A:$A, 0)))</f>
        <v>6</v>
      </c>
      <c r="G96" t="str">
        <f t="shared" si="5"/>
        <v>Loss</v>
      </c>
      <c r="H96">
        <v>0</v>
      </c>
      <c r="I96">
        <v>0</v>
      </c>
      <c r="K96" t="str">
        <f t="shared" si="3"/>
        <v>9_A</v>
      </c>
    </row>
    <row r="97" spans="1:11" x14ac:dyDescent="0.35">
      <c r="A97">
        <v>9</v>
      </c>
      <c r="B97" s="6">
        <v>46044</v>
      </c>
      <c r="C97" t="s">
        <v>66</v>
      </c>
      <c r="D97" t="s">
        <v>17</v>
      </c>
      <c r="E97">
        <f>IF(D97="A", INDEX(Matches!$E:$E, MATCH(A97, Matches!$A:$A, 0)), INDEX(Matches!$F:$F, MATCH(A97, Matches!$A:$A, 0)))</f>
        <v>3</v>
      </c>
      <c r="F97">
        <f>IF(D97="A", INDEX(Matches!$F:$F, MATCH(A97, Matches!$A:$A, 0)), INDEX(Matches!$E:$E, MATCH(A97, Matches!$A:$A, 0)))</f>
        <v>6</v>
      </c>
      <c r="G97" t="str">
        <f t="shared" si="5"/>
        <v>Loss</v>
      </c>
      <c r="H97">
        <v>3</v>
      </c>
      <c r="I97">
        <v>0</v>
      </c>
      <c r="K97" t="str">
        <f t="shared" si="3"/>
        <v>9_A</v>
      </c>
    </row>
    <row r="98" spans="1:11" x14ac:dyDescent="0.35">
      <c r="A98">
        <v>9</v>
      </c>
      <c r="B98" s="6">
        <v>46044</v>
      </c>
      <c r="C98" t="s">
        <v>53</v>
      </c>
      <c r="D98" t="s">
        <v>23</v>
      </c>
      <c r="E98">
        <f>IF(D98="A", INDEX(Matches!$E:$E, MATCH(A98, Matches!$A:$A, 0)), INDEX(Matches!$F:$F, MATCH(A98, Matches!$A:$A, 0)))</f>
        <v>6</v>
      </c>
      <c r="F98">
        <f>IF(D98="A", INDEX(Matches!$F:$F, MATCH(A98, Matches!$A:$A, 0)), INDEX(Matches!$E:$E, MATCH(A98, Matches!$A:$A, 0)))</f>
        <v>3</v>
      </c>
      <c r="G98" t="str">
        <f t="shared" si="5"/>
        <v>Win</v>
      </c>
      <c r="H98">
        <v>0</v>
      </c>
      <c r="I98">
        <v>0</v>
      </c>
      <c r="K98" t="str">
        <f t="shared" si="3"/>
        <v>9_B</v>
      </c>
    </row>
    <row r="99" spans="1:11" x14ac:dyDescent="0.35">
      <c r="A99">
        <v>9</v>
      </c>
      <c r="B99" s="6">
        <v>46044</v>
      </c>
      <c r="C99" t="s">
        <v>44</v>
      </c>
      <c r="D99" t="s">
        <v>23</v>
      </c>
      <c r="E99">
        <f>IF(D99="A", INDEX(Matches!$E:$E, MATCH(A99, Matches!$A:$A, 0)), INDEX(Matches!$F:$F, MATCH(A99, Matches!$A:$A, 0)))</f>
        <v>6</v>
      </c>
      <c r="F99">
        <f>IF(D99="A", INDEX(Matches!$F:$F, MATCH(A99, Matches!$A:$A, 0)), INDEX(Matches!$E:$E, MATCH(A99, Matches!$A:$A, 0)))</f>
        <v>3</v>
      </c>
      <c r="G99" t="str">
        <f t="shared" si="5"/>
        <v>Win</v>
      </c>
      <c r="H99">
        <v>2</v>
      </c>
      <c r="I99">
        <v>0</v>
      </c>
      <c r="K99" t="str">
        <f t="shared" si="3"/>
        <v>9_B</v>
      </c>
    </row>
    <row r="100" spans="1:11" x14ac:dyDescent="0.35">
      <c r="A100">
        <v>9</v>
      </c>
      <c r="B100" s="6">
        <v>46044</v>
      </c>
      <c r="C100" t="s">
        <v>21</v>
      </c>
      <c r="D100" t="s">
        <v>23</v>
      </c>
      <c r="E100">
        <f>IF(D100="A", INDEX(Matches!$E:$E, MATCH(A100, Matches!$A:$A, 0)), INDEX(Matches!$F:$F, MATCH(A100, Matches!$A:$A, 0)))</f>
        <v>6</v>
      </c>
      <c r="F100">
        <f>IF(D100="A", INDEX(Matches!$F:$F, MATCH(A100, Matches!$A:$A, 0)), INDEX(Matches!$E:$E, MATCH(A100, Matches!$A:$A, 0)))</f>
        <v>3</v>
      </c>
      <c r="G100" t="str">
        <f t="shared" si="5"/>
        <v>Win</v>
      </c>
      <c r="H100">
        <v>1</v>
      </c>
      <c r="I100">
        <v>1</v>
      </c>
      <c r="K100" t="str">
        <f t="shared" si="3"/>
        <v>9_B</v>
      </c>
    </row>
    <row r="101" spans="1:11" x14ac:dyDescent="0.35">
      <c r="A101">
        <v>9</v>
      </c>
      <c r="B101" s="6">
        <v>46044</v>
      </c>
      <c r="C101" t="s">
        <v>41</v>
      </c>
      <c r="D101" t="s">
        <v>23</v>
      </c>
      <c r="E101">
        <f>IF(D101="A", INDEX(Matches!$E:$E, MATCH(A101, Matches!$A:$A, 0)), INDEX(Matches!$F:$F, MATCH(A101, Matches!$A:$A, 0)))</f>
        <v>6</v>
      </c>
      <c r="F101">
        <f>IF(D101="A", INDEX(Matches!$F:$F, MATCH(A101, Matches!$A:$A, 0)), INDEX(Matches!$E:$E, MATCH(A101, Matches!$A:$A, 0)))</f>
        <v>3</v>
      </c>
      <c r="G101" t="str">
        <f t="shared" si="5"/>
        <v>Win</v>
      </c>
      <c r="H101">
        <v>0</v>
      </c>
      <c r="I101">
        <v>1</v>
      </c>
      <c r="K101" t="str">
        <f t="shared" si="3"/>
        <v>9_B</v>
      </c>
    </row>
    <row r="102" spans="1:11" x14ac:dyDescent="0.35">
      <c r="A102">
        <v>9</v>
      </c>
      <c r="B102" s="6">
        <v>46044</v>
      </c>
      <c r="C102" t="s">
        <v>40</v>
      </c>
      <c r="D102" t="s">
        <v>23</v>
      </c>
      <c r="E102">
        <f>IF(D102="A", INDEX(Matches!$E:$E, MATCH(A102, Matches!$A:$A, 0)), INDEX(Matches!$F:$F, MATCH(A102, Matches!$A:$A, 0)))</f>
        <v>6</v>
      </c>
      <c r="F102">
        <f>IF(D102="A", INDEX(Matches!$F:$F, MATCH(A102, Matches!$A:$A, 0)), INDEX(Matches!$E:$E, MATCH(A102, Matches!$A:$A, 0)))</f>
        <v>3</v>
      </c>
      <c r="G102" t="str">
        <f t="shared" si="5"/>
        <v>Win</v>
      </c>
      <c r="H102">
        <v>1</v>
      </c>
      <c r="I102">
        <v>0</v>
      </c>
      <c r="K102" t="str">
        <f t="shared" si="3"/>
        <v>9_B</v>
      </c>
    </row>
    <row r="103" spans="1:11" x14ac:dyDescent="0.35">
      <c r="A103">
        <v>9</v>
      </c>
      <c r="B103" s="6">
        <v>46044</v>
      </c>
      <c r="C103" t="s">
        <v>24</v>
      </c>
      <c r="D103" t="s">
        <v>23</v>
      </c>
      <c r="E103">
        <f>IF(D103="A", INDEX(Matches!$E:$E, MATCH(A103, Matches!$A:$A, 0)), INDEX(Matches!$F:$F, MATCH(A103, Matches!$A:$A, 0)))</f>
        <v>6</v>
      </c>
      <c r="F103">
        <f>IF(D103="A", INDEX(Matches!$F:$F, MATCH(A103, Matches!$A:$A, 0)), INDEX(Matches!$E:$E, MATCH(A103, Matches!$A:$A, 0)))</f>
        <v>3</v>
      </c>
      <c r="G103" t="str">
        <f t="shared" si="5"/>
        <v>Win</v>
      </c>
      <c r="H103">
        <v>0</v>
      </c>
      <c r="I103">
        <v>0</v>
      </c>
      <c r="K103" t="str">
        <f t="shared" si="3"/>
        <v>9_B</v>
      </c>
    </row>
    <row r="104" spans="1:11" x14ac:dyDescent="0.35">
      <c r="A104">
        <v>9</v>
      </c>
      <c r="B104" s="6">
        <v>46044</v>
      </c>
      <c r="C104" t="s">
        <v>19</v>
      </c>
      <c r="D104" t="s">
        <v>23</v>
      </c>
      <c r="E104">
        <f>IF(D104="A", INDEX(Matches!$E:$E, MATCH(A104, Matches!$A:$A, 0)), INDEX(Matches!$F:$F, MATCH(A104, Matches!$A:$A, 0)))</f>
        <v>6</v>
      </c>
      <c r="F104">
        <f>IF(D104="A", INDEX(Matches!$F:$F, MATCH(A104, Matches!$A:$A, 0)), INDEX(Matches!$E:$E, MATCH(A104, Matches!$A:$A, 0)))</f>
        <v>3</v>
      </c>
      <c r="G104" t="str">
        <f t="shared" si="5"/>
        <v>Win</v>
      </c>
      <c r="H104">
        <v>2</v>
      </c>
      <c r="I104">
        <v>1</v>
      </c>
      <c r="K104" t="str">
        <f t="shared" si="3"/>
        <v>9_B</v>
      </c>
    </row>
    <row r="105" spans="1:11" x14ac:dyDescent="0.35">
      <c r="A105">
        <v>10</v>
      </c>
      <c r="B105" s="6">
        <v>46051</v>
      </c>
      <c r="C105" t="s">
        <v>20</v>
      </c>
      <c r="D105" t="s">
        <v>17</v>
      </c>
      <c r="E105">
        <f>IF(D105="A", INDEX(Matches!$E:$E, MATCH(A105, Matches!$A:$A, 0)), INDEX(Matches!$F:$F, MATCH(A105, Matches!$A:$A, 0)))</f>
        <v>6</v>
      </c>
      <c r="F105">
        <f>IF(D105="A", INDEX(Matches!$F:$F, MATCH(A105, Matches!$A:$A, 0)), INDEX(Matches!$E:$E, MATCH(A105, Matches!$A:$A, 0)))</f>
        <v>5</v>
      </c>
      <c r="G105" t="str">
        <f>IF(E105&gt;F105,"Win",IF(E105&lt;F105,"Loss","Draw"))</f>
        <v>Win</v>
      </c>
      <c r="H105">
        <v>0</v>
      </c>
      <c r="I105">
        <v>0</v>
      </c>
      <c r="K105" t="str">
        <f t="shared" si="3"/>
        <v>10_A</v>
      </c>
    </row>
    <row r="106" spans="1:11" x14ac:dyDescent="0.35">
      <c r="A106">
        <v>10</v>
      </c>
      <c r="B106" s="6">
        <v>46051</v>
      </c>
      <c r="C106" t="s">
        <v>41</v>
      </c>
      <c r="D106" t="s">
        <v>17</v>
      </c>
      <c r="E106">
        <f>IF(D106="A", INDEX(Matches!$E:$E, MATCH(A106, Matches!$A:$A, 0)), INDEX(Matches!$F:$F, MATCH(A106, Matches!$A:$A, 0)))</f>
        <v>6</v>
      </c>
      <c r="F106">
        <f>IF(D106="A", INDEX(Matches!$F:$F, MATCH(A106, Matches!$A:$A, 0)), INDEX(Matches!$E:$E, MATCH(A106, Matches!$A:$A, 0)))</f>
        <v>5</v>
      </c>
      <c r="G106" t="str">
        <f t="shared" ref="G106:G119" si="6">IF(E106&gt;F106,"Win",IF(E106&lt;F106,"Loss","Draw"))</f>
        <v>Win</v>
      </c>
      <c r="H106">
        <v>0</v>
      </c>
      <c r="I106">
        <v>1</v>
      </c>
      <c r="J106">
        <v>2</v>
      </c>
      <c r="K106" t="str">
        <f t="shared" si="3"/>
        <v>10_A</v>
      </c>
    </row>
    <row r="107" spans="1:11" x14ac:dyDescent="0.35">
      <c r="A107">
        <v>10</v>
      </c>
      <c r="B107" s="6">
        <v>46051</v>
      </c>
      <c r="C107" t="s">
        <v>22</v>
      </c>
      <c r="D107" t="s">
        <v>17</v>
      </c>
      <c r="E107">
        <f>IF(D107="A", INDEX(Matches!$E:$E, MATCH(A107, Matches!$A:$A, 0)), INDEX(Matches!$F:$F, MATCH(A107, Matches!$A:$A, 0)))</f>
        <v>6</v>
      </c>
      <c r="F107">
        <f>IF(D107="A", INDEX(Matches!$F:$F, MATCH(A107, Matches!$A:$A, 0)), INDEX(Matches!$E:$E, MATCH(A107, Matches!$A:$A, 0)))</f>
        <v>5</v>
      </c>
      <c r="G107" t="str">
        <f t="shared" si="6"/>
        <v>Win</v>
      </c>
      <c r="H107">
        <v>0</v>
      </c>
      <c r="I107">
        <v>0</v>
      </c>
      <c r="K107" t="str">
        <f t="shared" si="3"/>
        <v>10_A</v>
      </c>
    </row>
    <row r="108" spans="1:11" x14ac:dyDescent="0.35">
      <c r="A108">
        <v>10</v>
      </c>
      <c r="B108" s="6">
        <v>46051</v>
      </c>
      <c r="C108" t="s">
        <v>18</v>
      </c>
      <c r="D108" t="s">
        <v>17</v>
      </c>
      <c r="E108">
        <f>IF(D108="A", INDEX(Matches!$E:$E, MATCH(A108, Matches!$A:$A, 0)), INDEX(Matches!$F:$F, MATCH(A108, Matches!$A:$A, 0)))</f>
        <v>6</v>
      </c>
      <c r="F108">
        <f>IF(D108="A", INDEX(Matches!$F:$F, MATCH(A108, Matches!$A:$A, 0)), INDEX(Matches!$E:$E, MATCH(A108, Matches!$A:$A, 0)))</f>
        <v>5</v>
      </c>
      <c r="G108" t="str">
        <f t="shared" si="6"/>
        <v>Win</v>
      </c>
      <c r="H108">
        <v>0</v>
      </c>
      <c r="I108">
        <v>2</v>
      </c>
      <c r="K108" t="str">
        <f t="shared" si="3"/>
        <v>10_A</v>
      </c>
    </row>
    <row r="109" spans="1:11" x14ac:dyDescent="0.35">
      <c r="A109">
        <v>10</v>
      </c>
      <c r="B109" s="6">
        <v>46051</v>
      </c>
      <c r="C109" t="s">
        <v>66</v>
      </c>
      <c r="D109" t="s">
        <v>17</v>
      </c>
      <c r="E109">
        <f>IF(D109="A", INDEX(Matches!$E:$E, MATCH(A109, Matches!$A:$A, 0)), INDEX(Matches!$F:$F, MATCH(A109, Matches!$A:$A, 0)))</f>
        <v>6</v>
      </c>
      <c r="F109">
        <f>IF(D109="A", INDEX(Matches!$F:$F, MATCH(A109, Matches!$A:$A, 0)), INDEX(Matches!$E:$E, MATCH(A109, Matches!$A:$A, 0)))</f>
        <v>5</v>
      </c>
      <c r="G109" t="str">
        <f t="shared" si="6"/>
        <v>Win</v>
      </c>
      <c r="H109">
        <v>5</v>
      </c>
      <c r="I109">
        <v>0</v>
      </c>
      <c r="K109" t="str">
        <f t="shared" si="3"/>
        <v>10_A</v>
      </c>
    </row>
    <row r="110" spans="1:11" x14ac:dyDescent="0.35">
      <c r="A110">
        <v>10</v>
      </c>
      <c r="B110" s="6">
        <v>46051</v>
      </c>
      <c r="C110" t="s">
        <v>53</v>
      </c>
      <c r="D110" t="s">
        <v>17</v>
      </c>
      <c r="E110">
        <f>IF(D110="A", INDEX(Matches!$E:$E, MATCH(A110, Matches!$A:$A, 0)), INDEX(Matches!$F:$F, MATCH(A110, Matches!$A:$A, 0)))</f>
        <v>6</v>
      </c>
      <c r="F110">
        <f>IF(D110="A", INDEX(Matches!$F:$F, MATCH(A110, Matches!$A:$A, 0)), INDEX(Matches!$E:$E, MATCH(A110, Matches!$A:$A, 0)))</f>
        <v>5</v>
      </c>
      <c r="G110" t="str">
        <f t="shared" si="6"/>
        <v>Win</v>
      </c>
      <c r="H110">
        <v>1</v>
      </c>
      <c r="I110">
        <v>0</v>
      </c>
      <c r="J110">
        <v>1</v>
      </c>
      <c r="K110" t="str">
        <f t="shared" si="3"/>
        <v>10_A</v>
      </c>
    </row>
    <row r="111" spans="1:11" x14ac:dyDescent="0.35">
      <c r="A111">
        <v>10</v>
      </c>
      <c r="B111" s="6">
        <v>46051</v>
      </c>
      <c r="C111" t="s">
        <v>60</v>
      </c>
      <c r="D111" t="s">
        <v>17</v>
      </c>
      <c r="E111">
        <f>IF(D111="A", INDEX(Matches!$E:$E, MATCH(A111, Matches!$A:$A, 0)), INDEX(Matches!$F:$F, MATCH(A111, Matches!$A:$A, 0)))</f>
        <v>6</v>
      </c>
      <c r="F111">
        <f>IF(D111="A", INDEX(Matches!$F:$F, MATCH(A111, Matches!$A:$A, 0)), INDEX(Matches!$E:$E, MATCH(A111, Matches!$A:$A, 0)))</f>
        <v>5</v>
      </c>
      <c r="G111" t="str">
        <f t="shared" si="6"/>
        <v>Win</v>
      </c>
      <c r="H111">
        <v>0</v>
      </c>
      <c r="I111">
        <v>0</v>
      </c>
      <c r="K111" t="str">
        <f t="shared" si="3"/>
        <v>10_A</v>
      </c>
    </row>
    <row r="112" spans="1:11" x14ac:dyDescent="0.35">
      <c r="A112">
        <v>10</v>
      </c>
      <c r="B112" s="6">
        <v>46051</v>
      </c>
      <c r="C112" t="s">
        <v>43</v>
      </c>
      <c r="D112" t="s">
        <v>17</v>
      </c>
      <c r="E112">
        <f>IF(D112="A", INDEX(Matches!$E:$E, MATCH(A112, Matches!$A:$A, 0)), INDEX(Matches!$F:$F, MATCH(A112, Matches!$A:$A, 0)))</f>
        <v>6</v>
      </c>
      <c r="F112">
        <f>IF(D112="A", INDEX(Matches!$F:$F, MATCH(A112, Matches!$A:$A, 0)), INDEX(Matches!$E:$E, MATCH(A112, Matches!$A:$A, 0)))</f>
        <v>5</v>
      </c>
      <c r="G112" t="str">
        <f t="shared" si="6"/>
        <v>Win</v>
      </c>
      <c r="H112">
        <v>0</v>
      </c>
      <c r="I112">
        <v>0</v>
      </c>
      <c r="K112" t="str">
        <f t="shared" si="3"/>
        <v>10_A</v>
      </c>
    </row>
    <row r="113" spans="1:11" x14ac:dyDescent="0.35">
      <c r="A113">
        <v>10</v>
      </c>
      <c r="B113" s="6">
        <v>46051</v>
      </c>
      <c r="C113" t="s">
        <v>21</v>
      </c>
      <c r="D113" t="s">
        <v>23</v>
      </c>
      <c r="E113">
        <f>IF(D113="A", INDEX(Matches!$E:$E, MATCH(A113, Matches!$A:$A, 0)), INDEX(Matches!$F:$F, MATCH(A113, Matches!$A:$A, 0)))</f>
        <v>5</v>
      </c>
      <c r="F113">
        <f>IF(D113="A", INDEX(Matches!$F:$F, MATCH(A113, Matches!$A:$A, 0)), INDEX(Matches!$E:$E, MATCH(A113, Matches!$A:$A, 0)))</f>
        <v>6</v>
      </c>
      <c r="G113" t="str">
        <f t="shared" si="6"/>
        <v>Loss</v>
      </c>
      <c r="H113">
        <v>0</v>
      </c>
      <c r="I113">
        <v>0</v>
      </c>
      <c r="K113" t="str">
        <f t="shared" si="3"/>
        <v>10_B</v>
      </c>
    </row>
    <row r="114" spans="1:11" x14ac:dyDescent="0.35">
      <c r="A114">
        <v>10</v>
      </c>
      <c r="B114" s="6">
        <v>46051</v>
      </c>
      <c r="C114" t="s">
        <v>46</v>
      </c>
      <c r="D114" t="s">
        <v>23</v>
      </c>
      <c r="E114">
        <f>IF(D114="A", INDEX(Matches!$E:$E, MATCH(A114, Matches!$A:$A, 0)), INDEX(Matches!$F:$F, MATCH(A114, Matches!$A:$A, 0)))</f>
        <v>5</v>
      </c>
      <c r="F114">
        <f>IF(D114="A", INDEX(Matches!$F:$F, MATCH(A114, Matches!$A:$A, 0)), INDEX(Matches!$E:$E, MATCH(A114, Matches!$A:$A, 0)))</f>
        <v>6</v>
      </c>
      <c r="G114" t="str">
        <f t="shared" si="6"/>
        <v>Loss</v>
      </c>
      <c r="H114">
        <v>2</v>
      </c>
      <c r="I114">
        <v>0</v>
      </c>
      <c r="K114" t="str">
        <f t="shared" si="3"/>
        <v>10_B</v>
      </c>
    </row>
    <row r="115" spans="1:11" x14ac:dyDescent="0.35">
      <c r="A115">
        <v>10</v>
      </c>
      <c r="B115" s="6">
        <v>46051</v>
      </c>
      <c r="C115" t="s">
        <v>24</v>
      </c>
      <c r="D115" t="s">
        <v>23</v>
      </c>
      <c r="E115">
        <f>IF(D115="A", INDEX(Matches!$E:$E, MATCH(A115, Matches!$A:$A, 0)), INDEX(Matches!$F:$F, MATCH(A115, Matches!$A:$A, 0)))</f>
        <v>5</v>
      </c>
      <c r="F115">
        <f>IF(D115="A", INDEX(Matches!$F:$F, MATCH(A115, Matches!$A:$A, 0)), INDEX(Matches!$E:$E, MATCH(A115, Matches!$A:$A, 0)))</f>
        <v>6</v>
      </c>
      <c r="G115" t="str">
        <f t="shared" si="6"/>
        <v>Loss</v>
      </c>
      <c r="H115">
        <v>0</v>
      </c>
      <c r="I115">
        <v>1</v>
      </c>
      <c r="K115" t="str">
        <f t="shared" si="3"/>
        <v>10_B</v>
      </c>
    </row>
    <row r="116" spans="1:11" x14ac:dyDescent="0.35">
      <c r="A116">
        <v>10</v>
      </c>
      <c r="B116" s="6">
        <v>46051</v>
      </c>
      <c r="C116" t="s">
        <v>51</v>
      </c>
      <c r="D116" t="s">
        <v>23</v>
      </c>
      <c r="E116">
        <f>IF(D116="A", INDEX(Matches!$E:$E, MATCH(A116, Matches!$A:$A, 0)), INDEX(Matches!$F:$F, MATCH(A116, Matches!$A:$A, 0)))</f>
        <v>5</v>
      </c>
      <c r="F116">
        <f>IF(D116="A", INDEX(Matches!$F:$F, MATCH(A116, Matches!$A:$A, 0)), INDEX(Matches!$E:$E, MATCH(A116, Matches!$A:$A, 0)))</f>
        <v>6</v>
      </c>
      <c r="G116" t="str">
        <f t="shared" si="6"/>
        <v>Loss</v>
      </c>
      <c r="H116">
        <v>1</v>
      </c>
      <c r="I116">
        <v>0</v>
      </c>
      <c r="J116">
        <v>1</v>
      </c>
      <c r="K116" t="str">
        <f t="shared" si="3"/>
        <v>10_B</v>
      </c>
    </row>
    <row r="117" spans="1:11" x14ac:dyDescent="0.35">
      <c r="A117">
        <v>10</v>
      </c>
      <c r="B117" s="6">
        <v>46051</v>
      </c>
      <c r="C117" t="s">
        <v>25</v>
      </c>
      <c r="D117" t="s">
        <v>23</v>
      </c>
      <c r="E117">
        <f>IF(D117="A", INDEX(Matches!$E:$E, MATCH(A117, Matches!$A:$A, 0)), INDEX(Matches!$F:$F, MATCH(A117, Matches!$A:$A, 0)))</f>
        <v>5</v>
      </c>
      <c r="F117">
        <f>IF(D117="A", INDEX(Matches!$F:$F, MATCH(A117, Matches!$A:$A, 0)), INDEX(Matches!$E:$E, MATCH(A117, Matches!$A:$A, 0)))</f>
        <v>6</v>
      </c>
      <c r="G117" t="str">
        <f t="shared" si="6"/>
        <v>Loss</v>
      </c>
      <c r="H117">
        <v>0</v>
      </c>
      <c r="I117">
        <v>1</v>
      </c>
      <c r="K117" t="str">
        <f t="shared" si="3"/>
        <v>10_B</v>
      </c>
    </row>
    <row r="118" spans="1:11" x14ac:dyDescent="0.35">
      <c r="A118">
        <v>10</v>
      </c>
      <c r="B118" s="6">
        <v>46051</v>
      </c>
      <c r="C118" t="s">
        <v>40</v>
      </c>
      <c r="D118" t="s">
        <v>23</v>
      </c>
      <c r="E118">
        <f>IF(D118="A", INDEX(Matches!$E:$E, MATCH(A118, Matches!$A:$A, 0)), INDEX(Matches!$F:$F, MATCH(A118, Matches!$A:$A, 0)))</f>
        <v>5</v>
      </c>
      <c r="F118">
        <f>IF(D118="A", INDEX(Matches!$F:$F, MATCH(A118, Matches!$A:$A, 0)), INDEX(Matches!$E:$E, MATCH(A118, Matches!$A:$A, 0)))</f>
        <v>6</v>
      </c>
      <c r="G118" t="str">
        <f t="shared" si="6"/>
        <v>Loss</v>
      </c>
      <c r="H118">
        <v>0</v>
      </c>
      <c r="I118">
        <v>0</v>
      </c>
      <c r="K118" t="str">
        <f t="shared" si="3"/>
        <v>10_B</v>
      </c>
    </row>
    <row r="119" spans="1:11" x14ac:dyDescent="0.35">
      <c r="A119">
        <v>10</v>
      </c>
      <c r="B119" s="6">
        <v>46051</v>
      </c>
      <c r="C119" t="s">
        <v>42</v>
      </c>
      <c r="D119" t="s">
        <v>23</v>
      </c>
      <c r="E119">
        <f>IF(D119="A", INDEX(Matches!$E:$E, MATCH(A119, Matches!$A:$A, 0)), INDEX(Matches!$F:$F, MATCH(A119, Matches!$A:$A, 0)))</f>
        <v>5</v>
      </c>
      <c r="F119">
        <f>IF(D119="A", INDEX(Matches!$F:$F, MATCH(A119, Matches!$A:$A, 0)), INDEX(Matches!$E:$E, MATCH(A119, Matches!$A:$A, 0)))</f>
        <v>6</v>
      </c>
      <c r="G119" t="str">
        <f t="shared" si="6"/>
        <v>Loss</v>
      </c>
      <c r="H119">
        <v>0</v>
      </c>
      <c r="I119">
        <v>0</v>
      </c>
      <c r="K119" t="str">
        <f t="shared" si="3"/>
        <v>10_B</v>
      </c>
    </row>
    <row r="120" spans="1:11" x14ac:dyDescent="0.35">
      <c r="A120">
        <v>10</v>
      </c>
      <c r="B120" s="6">
        <v>46051</v>
      </c>
      <c r="C120" t="s">
        <v>54</v>
      </c>
      <c r="D120" t="s">
        <v>23</v>
      </c>
      <c r="E120">
        <f>IF(D120="A", INDEX(Matches!$E:$E, MATCH(A120, Matches!$A:$A, 0)), INDEX(Matches!$F:$F, MATCH(A120, Matches!$A:$A, 0)))</f>
        <v>5</v>
      </c>
      <c r="F120">
        <f>IF(D120="A", INDEX(Matches!$F:$F, MATCH(A120, Matches!$A:$A, 0)), INDEX(Matches!$E:$E, MATCH(A120, Matches!$A:$A, 0)))</f>
        <v>6</v>
      </c>
      <c r="G120" t="str">
        <f>IF(E120&gt;F120,"Win",IF(E120&lt;F120,"Loss","Draw"))</f>
        <v>Loss</v>
      </c>
      <c r="H120">
        <v>0</v>
      </c>
      <c r="I120">
        <v>0</v>
      </c>
      <c r="K120" t="str">
        <f t="shared" si="3"/>
        <v>10_B</v>
      </c>
    </row>
    <row r="121" spans="1:11" x14ac:dyDescent="0.35">
      <c r="A121">
        <v>11</v>
      </c>
      <c r="B121" s="6">
        <v>46058</v>
      </c>
      <c r="C121" t="s">
        <v>54</v>
      </c>
      <c r="D121" t="s">
        <v>17</v>
      </c>
      <c r="E121">
        <f>IF(D121="A", INDEX(Matches!$E:$E, MATCH(A121, Matches!$A:$A, 0)), INDEX(Matches!$F:$F, MATCH(A121, Matches!$A:$A, 0)))</f>
        <v>2</v>
      </c>
      <c r="F121">
        <f>IF(D121="A", INDEX(Matches!$F:$F, MATCH(A121, Matches!$A:$A, 0)), INDEX(Matches!$E:$E, MATCH(A121, Matches!$A:$A, 0)))</f>
        <v>3</v>
      </c>
      <c r="G121" t="str">
        <f t="shared" ref="G121:G136" si="7">IF(E121&gt;F121,"Win",IF(E121&lt;F121,"Loss","Draw"))</f>
        <v>Loss</v>
      </c>
      <c r="H121">
        <v>0</v>
      </c>
      <c r="I121">
        <v>0</v>
      </c>
      <c r="K121" t="str">
        <f t="shared" si="3"/>
        <v>11_A</v>
      </c>
    </row>
    <row r="122" spans="1:11" x14ac:dyDescent="0.35">
      <c r="A122">
        <v>11</v>
      </c>
      <c r="B122" s="6">
        <v>46058</v>
      </c>
      <c r="C122" t="s">
        <v>25</v>
      </c>
      <c r="D122" t="s">
        <v>17</v>
      </c>
      <c r="E122">
        <f>IF(D122="A", INDEX(Matches!$E:$E, MATCH(A122, Matches!$A:$A, 0)), INDEX(Matches!$F:$F, MATCH(A122, Matches!$A:$A, 0)))</f>
        <v>2</v>
      </c>
      <c r="F122">
        <f>IF(D122="A", INDEX(Matches!$F:$F, MATCH(A122, Matches!$A:$A, 0)), INDEX(Matches!$E:$E, MATCH(A122, Matches!$A:$A, 0)))</f>
        <v>3</v>
      </c>
      <c r="G122" t="str">
        <f t="shared" si="7"/>
        <v>Loss</v>
      </c>
      <c r="H122">
        <v>0</v>
      </c>
      <c r="I122">
        <v>0</v>
      </c>
      <c r="K122" t="str">
        <f t="shared" si="3"/>
        <v>11_A</v>
      </c>
    </row>
    <row r="123" spans="1:11" x14ac:dyDescent="0.35">
      <c r="A123">
        <v>11</v>
      </c>
      <c r="B123" s="6">
        <v>46058</v>
      </c>
      <c r="C123" t="s">
        <v>24</v>
      </c>
      <c r="D123" t="s">
        <v>17</v>
      </c>
      <c r="E123">
        <f>IF(D123="A", INDEX(Matches!$E:$E, MATCH(A123, Matches!$A:$A, 0)), INDEX(Matches!$F:$F, MATCH(A123, Matches!$A:$A, 0)))</f>
        <v>2</v>
      </c>
      <c r="F123">
        <f>IF(D123="A", INDEX(Matches!$F:$F, MATCH(A123, Matches!$A:$A, 0)), INDEX(Matches!$E:$E, MATCH(A123, Matches!$A:$A, 0)))</f>
        <v>3</v>
      </c>
      <c r="G123" t="str">
        <f t="shared" si="7"/>
        <v>Loss</v>
      </c>
      <c r="H123">
        <v>0</v>
      </c>
      <c r="I123">
        <v>0</v>
      </c>
      <c r="K123" t="str">
        <f t="shared" si="3"/>
        <v>11_A</v>
      </c>
    </row>
    <row r="124" spans="1:11" x14ac:dyDescent="0.35">
      <c r="A124">
        <v>11</v>
      </c>
      <c r="B124" s="6">
        <v>46058</v>
      </c>
      <c r="C124" t="s">
        <v>18</v>
      </c>
      <c r="D124" t="s">
        <v>17</v>
      </c>
      <c r="E124">
        <f>IF(D124="A", INDEX(Matches!$E:$E, MATCH(A124, Matches!$A:$A, 0)), INDEX(Matches!$F:$F, MATCH(A124, Matches!$A:$A, 0)))</f>
        <v>2</v>
      </c>
      <c r="F124">
        <f>IF(D124="A", INDEX(Matches!$F:$F, MATCH(A124, Matches!$A:$A, 0)), INDEX(Matches!$E:$E, MATCH(A124, Matches!$A:$A, 0)))</f>
        <v>3</v>
      </c>
      <c r="G124" t="str">
        <f t="shared" si="7"/>
        <v>Loss</v>
      </c>
      <c r="H124">
        <v>1</v>
      </c>
      <c r="I124">
        <v>0</v>
      </c>
      <c r="K124" t="str">
        <f t="shared" si="3"/>
        <v>11_A</v>
      </c>
    </row>
    <row r="125" spans="1:11" x14ac:dyDescent="0.35">
      <c r="A125">
        <v>11</v>
      </c>
      <c r="B125" s="6">
        <v>46058</v>
      </c>
      <c r="C125" t="s">
        <v>16</v>
      </c>
      <c r="D125" t="s">
        <v>17</v>
      </c>
      <c r="E125">
        <f>IF(D125="A", INDEX(Matches!$E:$E, MATCH(A125, Matches!$A:$A, 0)), INDEX(Matches!$F:$F, MATCH(A125, Matches!$A:$A, 0)))</f>
        <v>2</v>
      </c>
      <c r="F125">
        <f>IF(D125="A", INDEX(Matches!$F:$F, MATCH(A125, Matches!$A:$A, 0)), INDEX(Matches!$E:$E, MATCH(A125, Matches!$A:$A, 0)))</f>
        <v>3</v>
      </c>
      <c r="G125" t="str">
        <f t="shared" si="7"/>
        <v>Loss</v>
      </c>
      <c r="H125">
        <v>0</v>
      </c>
      <c r="I125">
        <v>0</v>
      </c>
      <c r="K125" t="str">
        <f t="shared" si="3"/>
        <v>11_A</v>
      </c>
    </row>
    <row r="126" spans="1:11" x14ac:dyDescent="0.35">
      <c r="A126">
        <v>11</v>
      </c>
      <c r="B126" s="6">
        <v>46058</v>
      </c>
      <c r="C126" t="s">
        <v>19</v>
      </c>
      <c r="D126" t="s">
        <v>17</v>
      </c>
      <c r="E126">
        <f>IF(D126="A", INDEX(Matches!$E:$E, MATCH(A126, Matches!$A:$A, 0)), INDEX(Matches!$F:$F, MATCH(A126, Matches!$A:$A, 0)))</f>
        <v>2</v>
      </c>
      <c r="F126">
        <f>IF(D126="A", INDEX(Matches!$F:$F, MATCH(A126, Matches!$A:$A, 0)), INDEX(Matches!$E:$E, MATCH(A126, Matches!$A:$A, 0)))</f>
        <v>3</v>
      </c>
      <c r="G126" t="str">
        <f t="shared" si="7"/>
        <v>Loss</v>
      </c>
      <c r="H126">
        <v>1</v>
      </c>
      <c r="I126">
        <v>1</v>
      </c>
      <c r="K126" t="str">
        <f t="shared" si="3"/>
        <v>11_A</v>
      </c>
    </row>
    <row r="127" spans="1:11" x14ac:dyDescent="0.35">
      <c r="A127">
        <v>11</v>
      </c>
      <c r="B127" s="6">
        <v>46058</v>
      </c>
      <c r="C127" t="s">
        <v>46</v>
      </c>
      <c r="D127" t="s">
        <v>17</v>
      </c>
      <c r="E127">
        <f>IF(D127="A", INDEX(Matches!$E:$E, MATCH(A127, Matches!$A:$A, 0)), INDEX(Matches!$F:$F, MATCH(A127, Matches!$A:$A, 0)))</f>
        <v>2</v>
      </c>
      <c r="F127">
        <f>IF(D127="A", INDEX(Matches!$F:$F, MATCH(A127, Matches!$A:$A, 0)), INDEX(Matches!$E:$E, MATCH(A127, Matches!$A:$A, 0)))</f>
        <v>3</v>
      </c>
      <c r="G127" t="str">
        <f t="shared" si="7"/>
        <v>Loss</v>
      </c>
      <c r="H127">
        <v>0</v>
      </c>
      <c r="I127">
        <v>1</v>
      </c>
      <c r="K127" t="str">
        <f t="shared" si="3"/>
        <v>11_A</v>
      </c>
    </row>
    <row r="128" spans="1:11" x14ac:dyDescent="0.35">
      <c r="A128">
        <v>11</v>
      </c>
      <c r="B128" s="6">
        <v>46058</v>
      </c>
      <c r="C128" t="s">
        <v>43</v>
      </c>
      <c r="D128" t="s">
        <v>17</v>
      </c>
      <c r="E128">
        <f>IF(D128="A", INDEX(Matches!$E:$E, MATCH(A128, Matches!$A:$A, 0)), INDEX(Matches!$F:$F, MATCH(A128, Matches!$A:$A, 0)))</f>
        <v>2</v>
      </c>
      <c r="F128">
        <f>IF(D128="A", INDEX(Matches!$F:$F, MATCH(A128, Matches!$A:$A, 0)), INDEX(Matches!$E:$E, MATCH(A128, Matches!$A:$A, 0)))</f>
        <v>3</v>
      </c>
      <c r="G128" t="str">
        <f t="shared" si="7"/>
        <v>Loss</v>
      </c>
      <c r="H128">
        <v>0</v>
      </c>
      <c r="I128">
        <v>0</v>
      </c>
      <c r="K128" t="str">
        <f t="shared" si="3"/>
        <v>11_A</v>
      </c>
    </row>
    <row r="129" spans="1:11" x14ac:dyDescent="0.35">
      <c r="A129">
        <v>11</v>
      </c>
      <c r="B129" s="6">
        <v>46058</v>
      </c>
      <c r="C129" t="s">
        <v>53</v>
      </c>
      <c r="D129" t="s">
        <v>23</v>
      </c>
      <c r="E129">
        <f>IF(D129="A", INDEX(Matches!$E:$E, MATCH(A129, Matches!$A:$A, 0)), INDEX(Matches!$F:$F, MATCH(A129, Matches!$A:$A, 0)))</f>
        <v>3</v>
      </c>
      <c r="F129">
        <f>IF(D129="A", INDEX(Matches!$F:$F, MATCH(A129, Matches!$A:$A, 0)), INDEX(Matches!$E:$E, MATCH(A129, Matches!$A:$A, 0)))</f>
        <v>2</v>
      </c>
      <c r="G129" t="str">
        <f t="shared" si="7"/>
        <v>Win</v>
      </c>
      <c r="H129">
        <v>0</v>
      </c>
      <c r="I129">
        <v>0</v>
      </c>
      <c r="K129" t="str">
        <f t="shared" si="3"/>
        <v>11_B</v>
      </c>
    </row>
    <row r="130" spans="1:11" x14ac:dyDescent="0.35">
      <c r="A130">
        <v>11</v>
      </c>
      <c r="B130" s="6">
        <v>46058</v>
      </c>
      <c r="C130" t="s">
        <v>22</v>
      </c>
      <c r="D130" t="s">
        <v>23</v>
      </c>
      <c r="E130">
        <f>IF(D130="A", INDEX(Matches!$E:$E, MATCH(A130, Matches!$A:$A, 0)), INDEX(Matches!$F:$F, MATCH(A130, Matches!$A:$A, 0)))</f>
        <v>3</v>
      </c>
      <c r="F130">
        <f>IF(D130="A", INDEX(Matches!$F:$F, MATCH(A130, Matches!$A:$A, 0)), INDEX(Matches!$E:$E, MATCH(A130, Matches!$A:$A, 0)))</f>
        <v>2</v>
      </c>
      <c r="G130" t="str">
        <f t="shared" si="7"/>
        <v>Win</v>
      </c>
      <c r="H130">
        <v>0</v>
      </c>
      <c r="I130">
        <v>0</v>
      </c>
      <c r="K130" t="str">
        <f t="shared" si="3"/>
        <v>11_B</v>
      </c>
    </row>
    <row r="131" spans="1:11" x14ac:dyDescent="0.35">
      <c r="A131">
        <v>11</v>
      </c>
      <c r="B131" s="6">
        <v>46058</v>
      </c>
      <c r="C131" t="s">
        <v>20</v>
      </c>
      <c r="D131" t="s">
        <v>23</v>
      </c>
      <c r="E131">
        <f>IF(D131="A", INDEX(Matches!$E:$E, MATCH(A131, Matches!$A:$A, 0)), INDEX(Matches!$F:$F, MATCH(A131, Matches!$A:$A, 0)))</f>
        <v>3</v>
      </c>
      <c r="F131">
        <f>IF(D131="A", INDEX(Matches!$F:$F, MATCH(A131, Matches!$A:$A, 0)), INDEX(Matches!$E:$E, MATCH(A131, Matches!$A:$A, 0)))</f>
        <v>2</v>
      </c>
      <c r="G131" t="str">
        <f t="shared" si="7"/>
        <v>Win</v>
      </c>
      <c r="H131">
        <v>0</v>
      </c>
      <c r="I131">
        <v>1</v>
      </c>
      <c r="K131" t="str">
        <f t="shared" ref="K131:K154" si="8">A131&amp;"_"&amp;D131</f>
        <v>11_B</v>
      </c>
    </row>
    <row r="132" spans="1:11" x14ac:dyDescent="0.35">
      <c r="A132">
        <v>11</v>
      </c>
      <c r="B132" s="6">
        <v>46058</v>
      </c>
      <c r="C132" t="s">
        <v>42</v>
      </c>
      <c r="D132" t="s">
        <v>23</v>
      </c>
      <c r="E132">
        <f>IF(D132="A", INDEX(Matches!$E:$E, MATCH(A132, Matches!$A:$A, 0)), INDEX(Matches!$F:$F, MATCH(A132, Matches!$A:$A, 0)))</f>
        <v>3</v>
      </c>
      <c r="F132">
        <f>IF(D132="A", INDEX(Matches!$F:$F, MATCH(A132, Matches!$A:$A, 0)), INDEX(Matches!$E:$E, MATCH(A132, Matches!$A:$A, 0)))</f>
        <v>2</v>
      </c>
      <c r="G132" t="str">
        <f t="shared" si="7"/>
        <v>Win</v>
      </c>
      <c r="H132">
        <v>1</v>
      </c>
      <c r="I132">
        <v>0</v>
      </c>
      <c r="K132" t="str">
        <f t="shared" si="8"/>
        <v>11_B</v>
      </c>
    </row>
    <row r="133" spans="1:11" x14ac:dyDescent="0.35">
      <c r="A133">
        <v>11</v>
      </c>
      <c r="B133" s="6">
        <v>46058</v>
      </c>
      <c r="C133" t="s">
        <v>21</v>
      </c>
      <c r="D133" t="s">
        <v>23</v>
      </c>
      <c r="E133">
        <f>IF(D133="A", INDEX(Matches!$E:$E, MATCH(A133, Matches!$A:$A, 0)), INDEX(Matches!$F:$F, MATCH(A133, Matches!$A:$A, 0)))</f>
        <v>3</v>
      </c>
      <c r="F133">
        <f>IF(D133="A", INDEX(Matches!$F:$F, MATCH(A133, Matches!$A:$A, 0)), INDEX(Matches!$E:$E, MATCH(A133, Matches!$A:$A, 0)))</f>
        <v>2</v>
      </c>
      <c r="G133" t="str">
        <f t="shared" si="7"/>
        <v>Win</v>
      </c>
      <c r="H133">
        <v>0</v>
      </c>
      <c r="I133">
        <v>0</v>
      </c>
      <c r="K133" t="str">
        <f t="shared" si="8"/>
        <v>11_B</v>
      </c>
    </row>
    <row r="134" spans="1:11" x14ac:dyDescent="0.35">
      <c r="A134">
        <v>11</v>
      </c>
      <c r="B134" s="6">
        <v>46058</v>
      </c>
      <c r="C134" t="s">
        <v>66</v>
      </c>
      <c r="D134" t="s">
        <v>23</v>
      </c>
      <c r="E134">
        <f>IF(D134="A", INDEX(Matches!$E:$E, MATCH(A134, Matches!$A:$A, 0)), INDEX(Matches!$F:$F, MATCH(A134, Matches!$A:$A, 0)))</f>
        <v>3</v>
      </c>
      <c r="F134">
        <f>IF(D134="A", INDEX(Matches!$F:$F, MATCH(A134, Matches!$A:$A, 0)), INDEX(Matches!$E:$E, MATCH(A134, Matches!$A:$A, 0)))</f>
        <v>2</v>
      </c>
      <c r="G134" t="str">
        <f t="shared" si="7"/>
        <v>Win</v>
      </c>
      <c r="H134">
        <v>0</v>
      </c>
      <c r="I134">
        <v>1</v>
      </c>
      <c r="K134" t="str">
        <f t="shared" si="8"/>
        <v>11_B</v>
      </c>
    </row>
    <row r="135" spans="1:11" x14ac:dyDescent="0.35">
      <c r="A135">
        <v>11</v>
      </c>
      <c r="B135" s="6">
        <v>46058</v>
      </c>
      <c r="C135" t="s">
        <v>44</v>
      </c>
      <c r="D135" t="s">
        <v>23</v>
      </c>
      <c r="E135">
        <f>IF(D135="A", INDEX(Matches!$E:$E, MATCH(A135, Matches!$A:$A, 0)), INDEX(Matches!$F:$F, MATCH(A135, Matches!$A:$A, 0)))</f>
        <v>3</v>
      </c>
      <c r="F135">
        <f>IF(D135="A", INDEX(Matches!$F:$F, MATCH(A135, Matches!$A:$A, 0)), INDEX(Matches!$E:$E, MATCH(A135, Matches!$A:$A, 0)))</f>
        <v>2</v>
      </c>
      <c r="G135" t="str">
        <f t="shared" si="7"/>
        <v>Win</v>
      </c>
      <c r="H135">
        <v>2</v>
      </c>
      <c r="I135">
        <v>0</v>
      </c>
      <c r="K135" t="str">
        <f t="shared" si="8"/>
        <v>11_B</v>
      </c>
    </row>
    <row r="136" spans="1:11" x14ac:dyDescent="0.35">
      <c r="A136">
        <v>11</v>
      </c>
      <c r="B136" s="6">
        <v>46058</v>
      </c>
      <c r="C136" t="s">
        <v>40</v>
      </c>
      <c r="D136" t="s">
        <v>23</v>
      </c>
      <c r="E136">
        <f>IF(D136="A", INDEX(Matches!$E:$E, MATCH(A136, Matches!$A:$A, 0)), INDEX(Matches!$F:$F, MATCH(A136, Matches!$A:$A, 0)))</f>
        <v>3</v>
      </c>
      <c r="F136">
        <f>IF(D136="A", INDEX(Matches!$F:$F, MATCH(A136, Matches!$A:$A, 0)), INDEX(Matches!$E:$E, MATCH(A136, Matches!$A:$A, 0)))</f>
        <v>2</v>
      </c>
      <c r="G136" t="str">
        <f t="shared" si="7"/>
        <v>Win</v>
      </c>
      <c r="H136">
        <v>0</v>
      </c>
      <c r="I136">
        <v>0</v>
      </c>
      <c r="K136" t="str">
        <f t="shared" si="8"/>
        <v>11_B</v>
      </c>
    </row>
    <row r="137" spans="1:11" x14ac:dyDescent="0.35">
      <c r="A137">
        <v>12</v>
      </c>
      <c r="B137" s="6">
        <v>46065</v>
      </c>
      <c r="C137" t="s">
        <v>20</v>
      </c>
      <c r="D137" t="s">
        <v>17</v>
      </c>
      <c r="E137">
        <f>IF(D137="A", INDEX(Matches!$E:$E, MATCH(A137, Matches!$A:$A, 0)), INDEX(Matches!$F:$F, MATCH(A137, Matches!$A:$A, 0)))</f>
        <v>5</v>
      </c>
      <c r="F137">
        <f>IF(D137="A", INDEX(Matches!$F:$F, MATCH(A137, Matches!$A:$A, 0)), INDEX(Matches!$E:$E, MATCH(A137, Matches!$A:$A, 0)))</f>
        <v>4</v>
      </c>
      <c r="G137" t="str">
        <f t="shared" ref="G137:G138" si="9">IF(E137&gt;F137,"Win",IF(E137&lt;F137,"Loss","Draw"))</f>
        <v>Win</v>
      </c>
      <c r="K137" t="str">
        <f t="shared" si="8"/>
        <v>12_A</v>
      </c>
    </row>
    <row r="138" spans="1:11" x14ac:dyDescent="0.35">
      <c r="A138">
        <v>12</v>
      </c>
      <c r="B138" s="6">
        <v>46065</v>
      </c>
      <c r="C138" t="s">
        <v>19</v>
      </c>
      <c r="D138" t="s">
        <v>17</v>
      </c>
      <c r="E138">
        <f>IF(D138="A", INDEX(Matches!$E:$E, MATCH(A138, Matches!$A:$A, 0)), INDEX(Matches!$F:$F, MATCH(A138, Matches!$A:$A, 0)))</f>
        <v>5</v>
      </c>
      <c r="F138">
        <f>IF(D138="A", INDEX(Matches!$F:$F, MATCH(A138, Matches!$A:$A, 0)), INDEX(Matches!$E:$E, MATCH(A138, Matches!$A:$A, 0)))</f>
        <v>4</v>
      </c>
      <c r="G138" t="str">
        <f t="shared" si="9"/>
        <v>Win</v>
      </c>
      <c r="H138">
        <v>1</v>
      </c>
      <c r="I138">
        <v>1</v>
      </c>
      <c r="K138" t="str">
        <f t="shared" si="8"/>
        <v>12_A</v>
      </c>
    </row>
    <row r="139" spans="1:11" x14ac:dyDescent="0.35">
      <c r="A139">
        <v>12</v>
      </c>
      <c r="B139" s="6">
        <v>46065</v>
      </c>
      <c r="C139" t="s">
        <v>21</v>
      </c>
      <c r="D139" t="s">
        <v>17</v>
      </c>
      <c r="E139">
        <f>IF(D139="A", INDEX(Matches!$E:$E, MATCH(A139, Matches!$A:$A, 0)), INDEX(Matches!$F:$F, MATCH(A139, Matches!$A:$A, 0)))</f>
        <v>5</v>
      </c>
      <c r="F139">
        <f>IF(D139="A", INDEX(Matches!$F:$F, MATCH(A139, Matches!$A:$A, 0)), INDEX(Matches!$E:$E, MATCH(A139, Matches!$A:$A, 0)))</f>
        <v>4</v>
      </c>
      <c r="G139" t="str">
        <f t="shared" ref="G139:G145" si="10">IF(E139&gt;F139,"Win",IF(E139&lt;F139,"Loss","Draw"))</f>
        <v>Win</v>
      </c>
      <c r="H139">
        <v>1</v>
      </c>
      <c r="K139" t="str">
        <f t="shared" si="8"/>
        <v>12_A</v>
      </c>
    </row>
    <row r="140" spans="1:11" x14ac:dyDescent="0.35">
      <c r="A140">
        <v>12</v>
      </c>
      <c r="B140" s="6">
        <v>46065</v>
      </c>
      <c r="C140" t="s">
        <v>46</v>
      </c>
      <c r="D140" t="s">
        <v>17</v>
      </c>
      <c r="E140">
        <f>IF(D140="A", INDEX(Matches!$E:$E, MATCH(A140, Matches!$A:$A, 0)), INDEX(Matches!$F:$F, MATCH(A140, Matches!$A:$A, 0)))</f>
        <v>5</v>
      </c>
      <c r="F140">
        <f>IF(D140="A", INDEX(Matches!$F:$F, MATCH(A140, Matches!$A:$A, 0)), INDEX(Matches!$E:$E, MATCH(A140, Matches!$A:$A, 0)))</f>
        <v>4</v>
      </c>
      <c r="G140" t="str">
        <f t="shared" si="10"/>
        <v>Win</v>
      </c>
      <c r="H140">
        <v>1</v>
      </c>
      <c r="I140">
        <v>1</v>
      </c>
      <c r="K140" t="str">
        <f t="shared" si="8"/>
        <v>12_A</v>
      </c>
    </row>
    <row r="141" spans="1:11" x14ac:dyDescent="0.35">
      <c r="A141">
        <v>12</v>
      </c>
      <c r="B141" s="6">
        <v>46065</v>
      </c>
      <c r="C141" t="s">
        <v>50</v>
      </c>
      <c r="D141" t="s">
        <v>17</v>
      </c>
      <c r="E141">
        <f>IF(D141="A", INDEX(Matches!$E:$E, MATCH(A141, Matches!$A:$A, 0)), INDEX(Matches!$F:$F, MATCH(A141, Matches!$A:$A, 0)))</f>
        <v>5</v>
      </c>
      <c r="F141">
        <f>IF(D141="A", INDEX(Matches!$F:$F, MATCH(A141, Matches!$A:$A, 0)), INDEX(Matches!$E:$E, MATCH(A141, Matches!$A:$A, 0)))</f>
        <v>4</v>
      </c>
      <c r="G141" t="str">
        <f t="shared" si="10"/>
        <v>Win</v>
      </c>
      <c r="K141" t="str">
        <f t="shared" si="8"/>
        <v>12_A</v>
      </c>
    </row>
    <row r="142" spans="1:11" x14ac:dyDescent="0.35">
      <c r="A142">
        <v>12</v>
      </c>
      <c r="B142" s="6">
        <v>46065</v>
      </c>
      <c r="C142" t="s">
        <v>53</v>
      </c>
      <c r="D142" t="s">
        <v>17</v>
      </c>
      <c r="E142">
        <f>IF(D142="A", INDEX(Matches!$E:$E, MATCH(A142, Matches!$A:$A, 0)), INDEX(Matches!$F:$F, MATCH(A142, Matches!$A:$A, 0)))</f>
        <v>5</v>
      </c>
      <c r="F142">
        <f>IF(D142="A", INDEX(Matches!$F:$F, MATCH(A142, Matches!$A:$A, 0)), INDEX(Matches!$E:$E, MATCH(A142, Matches!$A:$A, 0)))</f>
        <v>4</v>
      </c>
      <c r="G142" t="str">
        <f t="shared" si="10"/>
        <v>Win</v>
      </c>
      <c r="K142" t="str">
        <f t="shared" si="8"/>
        <v>12_A</v>
      </c>
    </row>
    <row r="143" spans="1:11" x14ac:dyDescent="0.35">
      <c r="A143">
        <v>12</v>
      </c>
      <c r="B143" s="6">
        <v>46065</v>
      </c>
      <c r="C143" t="s">
        <v>66</v>
      </c>
      <c r="D143" t="s">
        <v>17</v>
      </c>
      <c r="E143">
        <f>IF(D143="A", INDEX(Matches!$E:$E, MATCH(A143, Matches!$A:$A, 0)), INDEX(Matches!$F:$F, MATCH(A143, Matches!$A:$A, 0)))</f>
        <v>5</v>
      </c>
      <c r="F143">
        <f>IF(D143="A", INDEX(Matches!$F:$F, MATCH(A143, Matches!$A:$A, 0)), INDEX(Matches!$E:$E, MATCH(A143, Matches!$A:$A, 0)))</f>
        <v>4</v>
      </c>
      <c r="G143" t="str">
        <f t="shared" si="10"/>
        <v>Win</v>
      </c>
      <c r="H143">
        <v>2</v>
      </c>
      <c r="I143">
        <v>1</v>
      </c>
      <c r="K143" t="str">
        <f t="shared" si="8"/>
        <v>12_A</v>
      </c>
    </row>
    <row r="144" spans="1:11" x14ac:dyDescent="0.35">
      <c r="A144">
        <v>12</v>
      </c>
      <c r="B144" s="6">
        <v>46065</v>
      </c>
      <c r="C144" t="s">
        <v>18</v>
      </c>
      <c r="D144" t="s">
        <v>17</v>
      </c>
      <c r="E144">
        <f>IF(D144="A", INDEX(Matches!$E:$E, MATCH(A144, Matches!$A:$A, 0)), INDEX(Matches!$F:$F, MATCH(A144, Matches!$A:$A, 0)))</f>
        <v>5</v>
      </c>
      <c r="F144">
        <f>IF(D144="A", INDEX(Matches!$F:$F, MATCH(A144, Matches!$A:$A, 0)), INDEX(Matches!$E:$E, MATCH(A144, Matches!$A:$A, 0)))</f>
        <v>4</v>
      </c>
      <c r="G144" t="str">
        <f t="shared" si="10"/>
        <v>Win</v>
      </c>
      <c r="K144" t="str">
        <f t="shared" si="8"/>
        <v>12_A</v>
      </c>
    </row>
    <row r="145" spans="1:11" x14ac:dyDescent="0.35">
      <c r="A145">
        <v>12</v>
      </c>
      <c r="B145" s="6">
        <v>46065</v>
      </c>
      <c r="C145" t="s">
        <v>54</v>
      </c>
      <c r="D145" t="s">
        <v>17</v>
      </c>
      <c r="E145">
        <f>IF(D145="A", INDEX(Matches!$E:$E, MATCH(A145, Matches!$A:$A, 0)), INDEX(Matches!$F:$F, MATCH(A145, Matches!$A:$A, 0)))</f>
        <v>5</v>
      </c>
      <c r="F145">
        <f>IF(D145="A", INDEX(Matches!$F:$F, MATCH(A145, Matches!$A:$A, 0)), INDEX(Matches!$E:$E, MATCH(A145, Matches!$A:$A, 0)))</f>
        <v>4</v>
      </c>
      <c r="G145" t="str">
        <f t="shared" si="10"/>
        <v>Win</v>
      </c>
      <c r="K145" t="str">
        <f t="shared" si="8"/>
        <v>12_A</v>
      </c>
    </row>
    <row r="146" spans="1:11" x14ac:dyDescent="0.35">
      <c r="A146">
        <v>12</v>
      </c>
      <c r="B146" s="6">
        <v>46065</v>
      </c>
      <c r="C146" t="s">
        <v>24</v>
      </c>
      <c r="D146" t="s">
        <v>23</v>
      </c>
      <c r="E146">
        <f>IF(D146="A", INDEX(Matches!$E:$E, MATCH(A146, Matches!$A:$A, 0)), INDEX(Matches!$F:$F, MATCH(A146, Matches!$A:$A, 0)))</f>
        <v>4</v>
      </c>
      <c r="F146">
        <f>IF(D146="A", INDEX(Matches!$F:$F, MATCH(A146, Matches!$A:$A, 0)), INDEX(Matches!$E:$E, MATCH(A146, Matches!$A:$A, 0)))</f>
        <v>5</v>
      </c>
      <c r="G146" t="str">
        <f t="shared" ref="G146:G154" si="11">IF(E146&gt;F146,"Win",IF(E146&lt;F146,"Loss","Draw"))</f>
        <v>Loss</v>
      </c>
      <c r="K146" t="str">
        <f t="shared" si="8"/>
        <v>12_B</v>
      </c>
    </row>
    <row r="147" spans="1:11" x14ac:dyDescent="0.35">
      <c r="A147">
        <v>12</v>
      </c>
      <c r="B147" s="6">
        <v>46065</v>
      </c>
      <c r="C147" t="s">
        <v>42</v>
      </c>
      <c r="D147" t="s">
        <v>23</v>
      </c>
      <c r="E147">
        <f>IF(D147="A", INDEX(Matches!$E:$E, MATCH(A147, Matches!$A:$A, 0)), INDEX(Matches!$F:$F, MATCH(A147, Matches!$A:$A, 0)))</f>
        <v>4</v>
      </c>
      <c r="F147">
        <f>IF(D147="A", INDEX(Matches!$F:$F, MATCH(A147, Matches!$A:$A, 0)), INDEX(Matches!$E:$E, MATCH(A147, Matches!$A:$A, 0)))</f>
        <v>5</v>
      </c>
      <c r="G147" t="str">
        <f t="shared" si="11"/>
        <v>Loss</v>
      </c>
      <c r="H147">
        <v>1</v>
      </c>
      <c r="K147" t="str">
        <f t="shared" si="8"/>
        <v>12_B</v>
      </c>
    </row>
    <row r="148" spans="1:11" x14ac:dyDescent="0.35">
      <c r="A148">
        <v>12</v>
      </c>
      <c r="B148" s="6">
        <v>46065</v>
      </c>
      <c r="C148" t="s">
        <v>44</v>
      </c>
      <c r="D148" t="s">
        <v>23</v>
      </c>
      <c r="E148">
        <f>IF(D148="A", INDEX(Matches!$E:$E, MATCH(A148, Matches!$A:$A, 0)), INDEX(Matches!$F:$F, MATCH(A148, Matches!$A:$A, 0)))</f>
        <v>4</v>
      </c>
      <c r="F148">
        <f>IF(D148="A", INDEX(Matches!$F:$F, MATCH(A148, Matches!$A:$A, 0)), INDEX(Matches!$E:$E, MATCH(A148, Matches!$A:$A, 0)))</f>
        <v>5</v>
      </c>
      <c r="G148" t="str">
        <f t="shared" si="11"/>
        <v>Loss</v>
      </c>
      <c r="I148">
        <v>3</v>
      </c>
      <c r="K148" t="str">
        <f t="shared" si="8"/>
        <v>12_B</v>
      </c>
    </row>
    <row r="149" spans="1:11" x14ac:dyDescent="0.35">
      <c r="A149">
        <v>12</v>
      </c>
      <c r="B149" s="6">
        <v>46065</v>
      </c>
      <c r="C149" t="s">
        <v>75</v>
      </c>
      <c r="D149" t="s">
        <v>23</v>
      </c>
      <c r="E149">
        <f>IF(D149="A", INDEX(Matches!$E:$E, MATCH(A149, Matches!$A:$A, 0)), INDEX(Matches!$F:$F, MATCH(A149, Matches!$A:$A, 0)))</f>
        <v>4</v>
      </c>
      <c r="F149">
        <f>IF(D149="A", INDEX(Matches!$F:$F, MATCH(A149, Matches!$A:$A, 0)), INDEX(Matches!$E:$E, MATCH(A149, Matches!$A:$A, 0)))</f>
        <v>5</v>
      </c>
      <c r="G149" t="str">
        <f t="shared" si="11"/>
        <v>Loss</v>
      </c>
      <c r="K149" t="str">
        <f t="shared" si="8"/>
        <v>12_B</v>
      </c>
    </row>
    <row r="150" spans="1:11" x14ac:dyDescent="0.35">
      <c r="A150">
        <v>12</v>
      </c>
      <c r="B150" s="6">
        <v>46065</v>
      </c>
      <c r="C150" t="s">
        <v>16</v>
      </c>
      <c r="D150" t="s">
        <v>23</v>
      </c>
      <c r="E150">
        <f>IF(D150="A", INDEX(Matches!$E:$E, MATCH(A150, Matches!$A:$A, 0)), INDEX(Matches!$F:$F, MATCH(A150, Matches!$A:$A, 0)))</f>
        <v>4</v>
      </c>
      <c r="F150">
        <f>IF(D150="A", INDEX(Matches!$F:$F, MATCH(A150, Matches!$A:$A, 0)), INDEX(Matches!$E:$E, MATCH(A150, Matches!$A:$A, 0)))</f>
        <v>5</v>
      </c>
      <c r="G150" t="str">
        <f t="shared" si="11"/>
        <v>Loss</v>
      </c>
      <c r="K150" t="str">
        <f t="shared" si="8"/>
        <v>12_B</v>
      </c>
    </row>
    <row r="151" spans="1:11" x14ac:dyDescent="0.35">
      <c r="A151">
        <v>12</v>
      </c>
      <c r="B151" s="6">
        <v>46065</v>
      </c>
      <c r="C151" t="s">
        <v>25</v>
      </c>
      <c r="D151" t="s">
        <v>23</v>
      </c>
      <c r="E151">
        <f>IF(D151="A", INDEX(Matches!$E:$E, MATCH(A151, Matches!$A:$A, 0)), INDEX(Matches!$F:$F, MATCH(A151, Matches!$A:$A, 0)))</f>
        <v>4</v>
      </c>
      <c r="F151">
        <f>IF(D151="A", INDEX(Matches!$F:$F, MATCH(A151, Matches!$A:$A, 0)), INDEX(Matches!$E:$E, MATCH(A151, Matches!$A:$A, 0)))</f>
        <v>5</v>
      </c>
      <c r="G151" t="str">
        <f t="shared" si="11"/>
        <v>Loss</v>
      </c>
      <c r="K151" t="str">
        <f t="shared" si="8"/>
        <v>12_B</v>
      </c>
    </row>
    <row r="152" spans="1:11" x14ac:dyDescent="0.35">
      <c r="A152">
        <v>12</v>
      </c>
      <c r="B152" s="6">
        <v>46065</v>
      </c>
      <c r="C152" t="s">
        <v>22</v>
      </c>
      <c r="D152" t="s">
        <v>23</v>
      </c>
      <c r="E152">
        <f>IF(D152="A", INDEX(Matches!$E:$E, MATCH(A152, Matches!$A:$A, 0)), INDEX(Matches!$F:$F, MATCH(A152, Matches!$A:$A, 0)))</f>
        <v>4</v>
      </c>
      <c r="F152">
        <f>IF(D152="A", INDEX(Matches!$F:$F, MATCH(A152, Matches!$A:$A, 0)), INDEX(Matches!$E:$E, MATCH(A152, Matches!$A:$A, 0)))</f>
        <v>5</v>
      </c>
      <c r="G152" t="str">
        <f t="shared" si="11"/>
        <v>Loss</v>
      </c>
      <c r="K152" t="str">
        <f t="shared" si="8"/>
        <v>12_B</v>
      </c>
    </row>
    <row r="153" spans="1:11" x14ac:dyDescent="0.35">
      <c r="A153">
        <v>12</v>
      </c>
      <c r="B153" s="6">
        <v>46065</v>
      </c>
      <c r="C153" t="s">
        <v>51</v>
      </c>
      <c r="D153" t="s">
        <v>23</v>
      </c>
      <c r="E153">
        <f>IF(D153="A", INDEX(Matches!$E:$E, MATCH(A153, Matches!$A:$A, 0)), INDEX(Matches!$F:$F, MATCH(A153, Matches!$A:$A, 0)))</f>
        <v>4</v>
      </c>
      <c r="F153">
        <f>IF(D153="A", INDEX(Matches!$F:$F, MATCH(A153, Matches!$A:$A, 0)), INDEX(Matches!$E:$E, MATCH(A153, Matches!$A:$A, 0)))</f>
        <v>5</v>
      </c>
      <c r="G153" t="str">
        <f t="shared" si="11"/>
        <v>Loss</v>
      </c>
      <c r="K153" t="str">
        <f t="shared" si="8"/>
        <v>12_B</v>
      </c>
    </row>
    <row r="154" spans="1:11" x14ac:dyDescent="0.35">
      <c r="A154">
        <v>12</v>
      </c>
      <c r="B154" s="6">
        <v>46065</v>
      </c>
      <c r="C154" t="s">
        <v>43</v>
      </c>
      <c r="D154" t="s">
        <v>23</v>
      </c>
      <c r="E154">
        <f>IF(D154="A", INDEX(Matches!$E:$E, MATCH(A154, Matches!$A:$A, 0)), INDEX(Matches!$F:$F, MATCH(A154, Matches!$A:$A, 0)))</f>
        <v>4</v>
      </c>
      <c r="F154">
        <f>IF(D154="A", INDEX(Matches!$F:$F, MATCH(A154, Matches!$A:$A, 0)), INDEX(Matches!$E:$E, MATCH(A154, Matches!$A:$A, 0)))</f>
        <v>5</v>
      </c>
      <c r="G154" t="str">
        <f t="shared" si="11"/>
        <v>Loss</v>
      </c>
      <c r="H154">
        <v>3</v>
      </c>
      <c r="K154" t="str">
        <f t="shared" si="8"/>
        <v>12_B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workbookViewId="0">
      <selection activeCell="A2" sqref="A2:A34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0" width="18" style="3" customWidth="1"/>
    <col min="11" max="12" width="13" customWidth="1"/>
    <col min="16" max="16" width="13" customWidth="1"/>
  </cols>
  <sheetData>
    <row r="1" spans="1:16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4" t="s">
        <v>37</v>
      </c>
      <c r="L1" s="4" t="s">
        <v>38</v>
      </c>
      <c r="M1" s="4" t="s">
        <v>15</v>
      </c>
      <c r="N1" s="4" t="s">
        <v>6</v>
      </c>
      <c r="O1" s="4" t="s">
        <v>39</v>
      </c>
      <c r="P1" s="4" t="s">
        <v>71</v>
      </c>
    </row>
    <row r="2" spans="1:16" x14ac:dyDescent="0.35">
      <c r="A2" t="s">
        <v>26</v>
      </c>
      <c r="C2">
        <f>COUNTIF('Team Lineups'!C:C,A2)</f>
        <v>2</v>
      </c>
      <c r="D2">
        <f>SUMIF('Team Lineups'!C:C,A2,'Team Lineups'!E:E)</f>
        <v>14</v>
      </c>
      <c r="E2">
        <f>SUMIF('Team Lineups'!C:C,A2,'Team Lineups'!F:F)</f>
        <v>12</v>
      </c>
      <c r="F2">
        <f t="shared" ref="F2:F27" si="0">D2-E2</f>
        <v>2</v>
      </c>
      <c r="G2">
        <f>COUNTIFS('Team Lineups'!C:C,A2,'Team Lineups'!G:G,"Win")</f>
        <v>1</v>
      </c>
      <c r="H2">
        <f>COUNTIFS('Team Lineups'!C:C,A2,'Team Lineups'!G:G,"Draw")</f>
        <v>1</v>
      </c>
      <c r="I2">
        <f>COUNTIFS('Team Lineups'!C:C,A2,'Team Lineups'!G:G,"Loss")</f>
        <v>0</v>
      </c>
      <c r="J2" s="3">
        <f t="shared" ref="J2:J27" si="1">G2/C2</f>
        <v>0.5</v>
      </c>
      <c r="K2">
        <f>SUMIF('Team Lineups'!C:C,A2,'Team Lineups'!H:H)</f>
        <v>5</v>
      </c>
      <c r="L2">
        <f t="shared" ref="L2:L27" si="2">K2/C2</f>
        <v>2.5</v>
      </c>
      <c r="M2">
        <f>SUMIF('Team Lineups'!C:C,A2,'Team Lineups'!I:I)</f>
        <v>2</v>
      </c>
      <c r="N2">
        <f>COUNTIF(Matches!G:G,A2)</f>
        <v>2</v>
      </c>
      <c r="O2">
        <f t="shared" ref="O2:O27" si="3">N2/C2</f>
        <v>1</v>
      </c>
      <c r="P2">
        <f>SUMIF('Team Lineups'!C:C,A2,'Team Lineups'!J:J)</f>
        <v>0</v>
      </c>
    </row>
    <row r="3" spans="1:16" x14ac:dyDescent="0.35">
      <c r="A3" t="s">
        <v>18</v>
      </c>
      <c r="C3">
        <f>COUNTIF('Team Lineups'!C:C,A3)</f>
        <v>6</v>
      </c>
      <c r="D3">
        <f>SUMIF('Team Lineups'!C:C,A3,'Team Lineups'!E:E)</f>
        <v>28</v>
      </c>
      <c r="E3">
        <f>SUMIF('Team Lineups'!C:C,A3,'Team Lineups'!F:F)</f>
        <v>30</v>
      </c>
      <c r="F3">
        <f t="shared" si="0"/>
        <v>-2</v>
      </c>
      <c r="G3">
        <f>COUNTIFS('Team Lineups'!C:C,A3,'Team Lineups'!G:G,"Win")</f>
        <v>2</v>
      </c>
      <c r="H3">
        <f>COUNTIFS('Team Lineups'!C:C,A3,'Team Lineups'!G:G,"Draw")</f>
        <v>2</v>
      </c>
      <c r="I3">
        <f>COUNTIFS('Team Lineups'!C:C,A3,'Team Lineups'!G:G,"Loss")</f>
        <v>2</v>
      </c>
      <c r="J3" s="3">
        <f t="shared" si="1"/>
        <v>0.33333333333333331</v>
      </c>
      <c r="K3">
        <f>SUMIF('Team Lineups'!C:C,A3,'Team Lineups'!H:H)</f>
        <v>3</v>
      </c>
      <c r="L3">
        <f t="shared" si="2"/>
        <v>0.5</v>
      </c>
      <c r="M3">
        <f>SUMIF('Team Lineups'!C:C,A3,'Team Lineups'!I:I)</f>
        <v>3</v>
      </c>
      <c r="N3">
        <f>COUNTIF(Matches!G:G,A3)</f>
        <v>0</v>
      </c>
      <c r="O3">
        <f t="shared" si="3"/>
        <v>0</v>
      </c>
      <c r="P3">
        <f>SUMIF('Team Lineups'!C:C,A3,'Team Lineups'!J:J)</f>
        <v>0</v>
      </c>
    </row>
    <row r="4" spans="1:16" x14ac:dyDescent="0.35">
      <c r="A4" t="s">
        <v>40</v>
      </c>
      <c r="C4">
        <f>COUNTIF('Team Lineups'!C:C,A4)</f>
        <v>6</v>
      </c>
      <c r="D4">
        <f>SUMIF('Team Lineups'!C:C,A4,'Team Lineups'!E:E)</f>
        <v>46</v>
      </c>
      <c r="E4">
        <f>SUMIF('Team Lineups'!C:C,A4,'Team Lineups'!F:F)</f>
        <v>42</v>
      </c>
      <c r="F4">
        <f t="shared" si="0"/>
        <v>4</v>
      </c>
      <c r="G4">
        <f>COUNTIFS('Team Lineups'!C:C,A4,'Team Lineups'!G:G,"Win")</f>
        <v>4</v>
      </c>
      <c r="H4">
        <f>COUNTIFS('Team Lineups'!C:C,A4,'Team Lineups'!G:G,"Draw")</f>
        <v>0</v>
      </c>
      <c r="I4">
        <f>COUNTIFS('Team Lineups'!C:C,A4,'Team Lineups'!G:G,"Loss")</f>
        <v>2</v>
      </c>
      <c r="J4" s="3">
        <f t="shared" si="1"/>
        <v>0.66666666666666663</v>
      </c>
      <c r="K4">
        <f>SUMIF('Team Lineups'!C:C,A4,'Team Lineups'!H:H)</f>
        <v>1</v>
      </c>
      <c r="L4">
        <f t="shared" si="2"/>
        <v>0.16666666666666666</v>
      </c>
      <c r="M4">
        <f>SUMIF('Team Lineups'!C:C,A4,'Team Lineups'!I:I)</f>
        <v>1</v>
      </c>
      <c r="N4">
        <f>COUNTIF(Matches!G:G,A4)</f>
        <v>0</v>
      </c>
      <c r="O4">
        <f t="shared" si="3"/>
        <v>0</v>
      </c>
      <c r="P4">
        <f>SUMIF('Team Lineups'!C:C,A4,'Team Lineups'!J:J)</f>
        <v>0</v>
      </c>
    </row>
    <row r="5" spans="1:16" x14ac:dyDescent="0.35">
      <c r="A5" t="s">
        <v>16</v>
      </c>
      <c r="C5">
        <f>COUNTIF('Team Lineups'!C:C,A5)</f>
        <v>7</v>
      </c>
      <c r="D5">
        <f>SUMIF('Team Lineups'!C:C,A5,'Team Lineups'!E:E)</f>
        <v>35</v>
      </c>
      <c r="E5">
        <f>SUMIF('Team Lineups'!C:C,A5,'Team Lineups'!F:F)</f>
        <v>50</v>
      </c>
      <c r="F5">
        <f t="shared" si="0"/>
        <v>-15</v>
      </c>
      <c r="G5">
        <f>COUNTIFS('Team Lineups'!C:C,A5,'Team Lineups'!G:G,"Win")</f>
        <v>0</v>
      </c>
      <c r="H5">
        <f>COUNTIFS('Team Lineups'!C:C,A5,'Team Lineups'!G:G,"Draw")</f>
        <v>2</v>
      </c>
      <c r="I5">
        <f>COUNTIFS('Team Lineups'!C:C,A5,'Team Lineups'!G:G,"Loss")</f>
        <v>5</v>
      </c>
      <c r="J5" s="3">
        <f t="shared" si="1"/>
        <v>0</v>
      </c>
      <c r="K5">
        <f>SUMIF('Team Lineups'!C:C,A5,'Team Lineups'!H:H)</f>
        <v>9</v>
      </c>
      <c r="L5">
        <f t="shared" si="2"/>
        <v>1.2857142857142858</v>
      </c>
      <c r="M5">
        <f>SUMIF('Team Lineups'!C:C,A5,'Team Lineups'!I:I)</f>
        <v>7</v>
      </c>
      <c r="N5">
        <f>COUNTIF(Matches!G:G,A5)</f>
        <v>0</v>
      </c>
      <c r="O5">
        <f t="shared" si="3"/>
        <v>0</v>
      </c>
      <c r="P5">
        <f>SUMIF('Team Lineups'!C:C,A5,'Team Lineups'!J:J)</f>
        <v>0</v>
      </c>
    </row>
    <row r="6" spans="1:16" x14ac:dyDescent="0.35">
      <c r="A6" t="s">
        <v>41</v>
      </c>
      <c r="C6">
        <f>COUNTIF('Team Lineups'!C:C,A6)</f>
        <v>3</v>
      </c>
      <c r="D6">
        <f>SUMIF('Team Lineups'!C:C,A6,'Team Lineups'!E:E)</f>
        <v>17</v>
      </c>
      <c r="E6">
        <f>SUMIF('Team Lineups'!C:C,A6,'Team Lineups'!F:F)</f>
        <v>13</v>
      </c>
      <c r="F6">
        <f t="shared" si="0"/>
        <v>4</v>
      </c>
      <c r="G6">
        <f>COUNTIFS('Team Lineups'!C:C,A6,'Team Lineups'!G:G,"Win")</f>
        <v>2</v>
      </c>
      <c r="H6">
        <f>COUNTIFS('Team Lineups'!C:C,A6,'Team Lineups'!G:G,"Draw")</f>
        <v>1</v>
      </c>
      <c r="I6">
        <f>COUNTIFS('Team Lineups'!C:C,A6,'Team Lineups'!G:G,"Loss")</f>
        <v>0</v>
      </c>
      <c r="J6" s="3">
        <f t="shared" si="1"/>
        <v>0.66666666666666663</v>
      </c>
      <c r="K6">
        <f>SUMIF('Team Lineups'!C:C,A6,'Team Lineups'!H:H)</f>
        <v>0</v>
      </c>
      <c r="L6">
        <f t="shared" si="2"/>
        <v>0</v>
      </c>
      <c r="M6">
        <f>SUMIF('Team Lineups'!C:C,A6,'Team Lineups'!I:I)</f>
        <v>2</v>
      </c>
      <c r="N6">
        <f>COUNTIF(Matches!G:G,A6)</f>
        <v>0</v>
      </c>
      <c r="O6">
        <f t="shared" si="3"/>
        <v>0</v>
      </c>
      <c r="P6">
        <f>SUMIF('Team Lineups'!C:C,A6,'Team Lineups'!J:J)</f>
        <v>2</v>
      </c>
    </row>
    <row r="7" spans="1:16" x14ac:dyDescent="0.35">
      <c r="A7" t="s">
        <v>42</v>
      </c>
      <c r="C7">
        <f>COUNTIF('Team Lineups'!C:C,A7)</f>
        <v>11</v>
      </c>
      <c r="D7">
        <f>SUMIF('Team Lineups'!C:C,A7,'Team Lineups'!E:E)</f>
        <v>86</v>
      </c>
      <c r="E7">
        <f>SUMIF('Team Lineups'!C:C,A7,'Team Lineups'!F:F)</f>
        <v>99</v>
      </c>
      <c r="F7">
        <f t="shared" si="0"/>
        <v>-13</v>
      </c>
      <c r="G7">
        <f>COUNTIFS('Team Lineups'!C:C,A7,'Team Lineups'!G:G,"Win")</f>
        <v>3</v>
      </c>
      <c r="H7">
        <f>COUNTIFS('Team Lineups'!C:C,A7,'Team Lineups'!G:G,"Draw")</f>
        <v>1</v>
      </c>
      <c r="I7">
        <f>COUNTIFS('Team Lineups'!C:C,A7,'Team Lineups'!G:G,"Loss")</f>
        <v>6</v>
      </c>
      <c r="J7" s="3">
        <f t="shared" si="1"/>
        <v>0.27272727272727271</v>
      </c>
      <c r="K7">
        <f>SUMIF('Team Lineups'!C:C,A7,'Team Lineups'!H:H)</f>
        <v>17</v>
      </c>
      <c r="L7">
        <f t="shared" si="2"/>
        <v>1.5454545454545454</v>
      </c>
      <c r="M7">
        <f>SUMIF('Team Lineups'!C:C,A7,'Team Lineups'!I:I)</f>
        <v>9</v>
      </c>
      <c r="N7">
        <f>COUNTIF(Matches!G:G,A7)</f>
        <v>0</v>
      </c>
      <c r="O7">
        <f t="shared" si="3"/>
        <v>0</v>
      </c>
      <c r="P7">
        <f>SUMIF('Team Lineups'!C:C,A7,'Team Lineups'!J:J)</f>
        <v>0</v>
      </c>
    </row>
    <row r="8" spans="1:16" x14ac:dyDescent="0.35">
      <c r="A8" t="s">
        <v>19</v>
      </c>
      <c r="C8">
        <f>COUNTIF('Team Lineups'!C:C,A8)</f>
        <v>10</v>
      </c>
      <c r="D8">
        <f>SUMIF('Team Lineups'!C:C,A8,'Team Lineups'!E:E)</f>
        <v>80</v>
      </c>
      <c r="E8">
        <f>SUMIF('Team Lineups'!C:C,A8,'Team Lineups'!F:F)</f>
        <v>66</v>
      </c>
      <c r="F8">
        <f t="shared" si="0"/>
        <v>14</v>
      </c>
      <c r="G8">
        <f>COUNTIFS('Team Lineups'!C:C,A8,'Team Lineups'!G:G,"Win")</f>
        <v>6</v>
      </c>
      <c r="H8">
        <f>COUNTIFS('Team Lineups'!C:C,A8,'Team Lineups'!G:G,"Draw")</f>
        <v>2</v>
      </c>
      <c r="I8">
        <f>COUNTIFS('Team Lineups'!C:C,A8,'Team Lineups'!G:G,"Loss")</f>
        <v>2</v>
      </c>
      <c r="J8" s="3">
        <f t="shared" si="1"/>
        <v>0.6</v>
      </c>
      <c r="K8">
        <f>SUMIF('Team Lineups'!C:C,A8,'Team Lineups'!H:H)</f>
        <v>24</v>
      </c>
      <c r="L8">
        <f t="shared" si="2"/>
        <v>2.4</v>
      </c>
      <c r="M8">
        <f>SUMIF('Team Lineups'!C:C,A8,'Team Lineups'!I:I)</f>
        <v>13</v>
      </c>
      <c r="N8">
        <f>COUNTIF(Matches!G:G,A8)</f>
        <v>2</v>
      </c>
      <c r="O8">
        <f t="shared" si="3"/>
        <v>0.2</v>
      </c>
      <c r="P8">
        <f>SUMIF('Team Lineups'!C:C,A8,'Team Lineups'!J:J)</f>
        <v>0</v>
      </c>
    </row>
    <row r="9" spans="1:16" x14ac:dyDescent="0.35">
      <c r="A9" t="s">
        <v>43</v>
      </c>
      <c r="C9">
        <f>COUNTIF('Team Lineups'!C:C,A9)</f>
        <v>7</v>
      </c>
      <c r="D9">
        <f>SUMIF('Team Lineups'!C:C,A9,'Team Lineups'!E:E)</f>
        <v>37</v>
      </c>
      <c r="E9">
        <f>SUMIF('Team Lineups'!C:C,A9,'Team Lineups'!F:F)</f>
        <v>43</v>
      </c>
      <c r="F9">
        <f t="shared" si="0"/>
        <v>-6</v>
      </c>
      <c r="G9">
        <f>COUNTIFS('Team Lineups'!C:C,A9,'Team Lineups'!G:G,"Win")</f>
        <v>2</v>
      </c>
      <c r="H9">
        <f>COUNTIFS('Team Lineups'!C:C,A9,'Team Lineups'!G:G,"Draw")</f>
        <v>1</v>
      </c>
      <c r="I9">
        <f>COUNTIFS('Team Lineups'!C:C,A9,'Team Lineups'!G:G,"Loss")</f>
        <v>4</v>
      </c>
      <c r="J9" s="3">
        <f t="shared" si="1"/>
        <v>0.2857142857142857</v>
      </c>
      <c r="K9">
        <f>SUMIF('Team Lineups'!C:C,A9,'Team Lineups'!H:H)</f>
        <v>4</v>
      </c>
      <c r="L9">
        <f t="shared" si="2"/>
        <v>0.5714285714285714</v>
      </c>
      <c r="M9">
        <f>SUMIF('Team Lineups'!C:C,A9,'Team Lineups'!I:I)</f>
        <v>3</v>
      </c>
      <c r="N9">
        <f>COUNTIF(Matches!G:G,A9)</f>
        <v>1</v>
      </c>
      <c r="O9">
        <f t="shared" si="3"/>
        <v>0.14285714285714285</v>
      </c>
      <c r="P9">
        <f>SUMIF('Team Lineups'!C:C,A9,'Team Lineups'!J:J)</f>
        <v>0</v>
      </c>
    </row>
    <row r="10" spans="1:16" x14ac:dyDescent="0.35">
      <c r="A10" t="s">
        <v>44</v>
      </c>
      <c r="C10">
        <f>COUNTIF('Team Lineups'!C:C,A10)</f>
        <v>6</v>
      </c>
      <c r="D10">
        <f>SUMIF('Team Lineups'!C:C,A10,'Team Lineups'!E:E)</f>
        <v>35</v>
      </c>
      <c r="E10">
        <f>SUMIF('Team Lineups'!C:C,A10,'Team Lineups'!F:F)</f>
        <v>32</v>
      </c>
      <c r="F10">
        <f t="shared" si="0"/>
        <v>3</v>
      </c>
      <c r="G10">
        <f>COUNTIFS('Team Lineups'!C:C,A10,'Team Lineups'!G:G,"Win")</f>
        <v>3</v>
      </c>
      <c r="H10">
        <f>COUNTIFS('Team Lineups'!C:C,A10,'Team Lineups'!G:G,"Draw")</f>
        <v>1</v>
      </c>
      <c r="I10">
        <f>COUNTIFS('Team Lineups'!C:C,A10,'Team Lineups'!G:G,"Loss")</f>
        <v>2</v>
      </c>
      <c r="J10" s="3">
        <f t="shared" si="1"/>
        <v>0.5</v>
      </c>
      <c r="K10">
        <f>SUMIF('Team Lineups'!C:C,A10,'Team Lineups'!H:H)</f>
        <v>7</v>
      </c>
      <c r="L10">
        <f t="shared" si="2"/>
        <v>1.1666666666666667</v>
      </c>
      <c r="M10">
        <f>SUMIF('Team Lineups'!C:C,A10,'Team Lineups'!I:I)</f>
        <v>7</v>
      </c>
      <c r="N10">
        <f>COUNTIF(Matches!G:G,A10)</f>
        <v>1</v>
      </c>
      <c r="O10">
        <f t="shared" si="3"/>
        <v>0.16666666666666666</v>
      </c>
      <c r="P10">
        <f>SUMIF('Team Lineups'!C:C,A10,'Team Lineups'!J:J)</f>
        <v>0</v>
      </c>
    </row>
    <row r="11" spans="1:16" x14ac:dyDescent="0.35">
      <c r="A11" t="s">
        <v>45</v>
      </c>
      <c r="C11">
        <f>COUNTIF('Team Lineups'!C:C,A11)</f>
        <v>0</v>
      </c>
      <c r="D11">
        <f>SUMIF('Team Lineups'!C:C,A11,'Team Lineups'!E:E)</f>
        <v>0</v>
      </c>
      <c r="E11">
        <f>SUMIF('Team Lineups'!C:C,A11,'Team Lineups'!F:F)</f>
        <v>0</v>
      </c>
      <c r="F11">
        <f t="shared" si="0"/>
        <v>0</v>
      </c>
      <c r="G11">
        <f>COUNTIFS('Team Lineups'!C:C,A11,'Team Lineups'!G:G,"Win")</f>
        <v>0</v>
      </c>
      <c r="H11">
        <f>COUNTIFS('Team Lineups'!C:C,A11,'Team Lineups'!G:G,"Draw")</f>
        <v>0</v>
      </c>
      <c r="I11">
        <f>COUNTIFS('Team Lineups'!C:C,A11,'Team Lineups'!G:G,"Loss")</f>
        <v>0</v>
      </c>
      <c r="J11" s="3" t="e">
        <f t="shared" si="1"/>
        <v>#DIV/0!</v>
      </c>
      <c r="K11">
        <f>SUMIF('Team Lineups'!C:C,A11,'Team Lineups'!H:H)</f>
        <v>0</v>
      </c>
      <c r="L11" t="e">
        <f t="shared" si="2"/>
        <v>#DIV/0!</v>
      </c>
      <c r="M11">
        <f>SUMIF('Team Lineups'!C:C,A11,'Team Lineups'!I:I)</f>
        <v>0</v>
      </c>
      <c r="N11">
        <f>COUNTIF(Matches!G:G,A11)</f>
        <v>0</v>
      </c>
      <c r="O11" t="e">
        <f t="shared" si="3"/>
        <v>#DIV/0!</v>
      </c>
      <c r="P11">
        <f>SUMIF('Team Lineups'!C:C,A11,'Team Lineups'!J:J)</f>
        <v>0</v>
      </c>
    </row>
    <row r="12" spans="1:16" x14ac:dyDescent="0.35">
      <c r="A12" t="s">
        <v>46</v>
      </c>
      <c r="C12">
        <f>COUNTIF('Team Lineups'!C:C,A12)</f>
        <v>8</v>
      </c>
      <c r="D12">
        <f>SUMIF('Team Lineups'!C:C,A12,'Team Lineups'!E:E)</f>
        <v>58</v>
      </c>
      <c r="E12">
        <f>SUMIF('Team Lineups'!C:C,A12,'Team Lineups'!F:F)</f>
        <v>63</v>
      </c>
      <c r="F12">
        <f t="shared" si="0"/>
        <v>-5</v>
      </c>
      <c r="G12">
        <f>COUNTIFS('Team Lineups'!C:C,A12,'Team Lineups'!G:G,"Win")</f>
        <v>3</v>
      </c>
      <c r="H12">
        <f>COUNTIFS('Team Lineups'!C:C,A12,'Team Lineups'!G:G,"Draw")</f>
        <v>0</v>
      </c>
      <c r="I12">
        <f>COUNTIFS('Team Lineups'!C:C,A12,'Team Lineups'!G:G,"Loss")</f>
        <v>5</v>
      </c>
      <c r="J12" s="3">
        <f t="shared" si="1"/>
        <v>0.375</v>
      </c>
      <c r="K12">
        <f>SUMIF('Team Lineups'!C:C,A12,'Team Lineups'!H:H)</f>
        <v>15</v>
      </c>
      <c r="L12">
        <f t="shared" si="2"/>
        <v>1.875</v>
      </c>
      <c r="M12">
        <f>SUMIF('Team Lineups'!C:C,A12,'Team Lineups'!I:I)</f>
        <v>6</v>
      </c>
      <c r="N12">
        <f>COUNTIF(Matches!G:G,A12)</f>
        <v>1</v>
      </c>
      <c r="O12">
        <f t="shared" si="3"/>
        <v>0.125</v>
      </c>
      <c r="P12">
        <f>SUMIF('Team Lineups'!C:C,A12,'Team Lineups'!J:J)</f>
        <v>0</v>
      </c>
    </row>
    <row r="13" spans="1:16" x14ac:dyDescent="0.35">
      <c r="A13" t="s">
        <v>47</v>
      </c>
      <c r="C13">
        <f>COUNTIF('Team Lineups'!C:C,A13)</f>
        <v>0</v>
      </c>
      <c r="D13">
        <f>SUMIF('Team Lineups'!C:C,A13,'Team Lineups'!E:E)</f>
        <v>0</v>
      </c>
      <c r="E13">
        <f>SUMIF('Team Lineups'!C:C,A13,'Team Lineups'!F:F)</f>
        <v>0</v>
      </c>
      <c r="F13">
        <f t="shared" si="0"/>
        <v>0</v>
      </c>
      <c r="G13">
        <f>COUNTIFS('Team Lineups'!C:C,A13,'Team Lineups'!G:G,"Win")</f>
        <v>0</v>
      </c>
      <c r="H13">
        <f>COUNTIFS('Team Lineups'!C:C,A13,'Team Lineups'!G:G,"Draw")</f>
        <v>0</v>
      </c>
      <c r="I13">
        <f>COUNTIFS('Team Lineups'!C:C,A13,'Team Lineups'!G:G,"Loss")</f>
        <v>0</v>
      </c>
      <c r="J13" s="3" t="e">
        <f t="shared" si="1"/>
        <v>#DIV/0!</v>
      </c>
      <c r="K13">
        <f>SUMIF('Team Lineups'!C:C,A13,'Team Lineups'!H:H)</f>
        <v>0</v>
      </c>
      <c r="L13" t="e">
        <f t="shared" si="2"/>
        <v>#DIV/0!</v>
      </c>
      <c r="M13">
        <f>SUMIF('Team Lineups'!C:C,A13,'Team Lineups'!I:I)</f>
        <v>0</v>
      </c>
      <c r="N13">
        <f>COUNTIF(Matches!G:G,A13)</f>
        <v>0</v>
      </c>
      <c r="O13" t="e">
        <f t="shared" si="3"/>
        <v>#DIV/0!</v>
      </c>
      <c r="P13">
        <f>SUMIF('Team Lineups'!C:C,A13,'Team Lineups'!J:J)</f>
        <v>0</v>
      </c>
    </row>
    <row r="14" spans="1:16" x14ac:dyDescent="0.35">
      <c r="A14" t="s">
        <v>48</v>
      </c>
      <c r="C14">
        <f>COUNTIF('Team Lineups'!C:C,A14)</f>
        <v>0</v>
      </c>
      <c r="D14">
        <f>SUMIF('Team Lineups'!C:C,A14,'Team Lineups'!E:E)</f>
        <v>0</v>
      </c>
      <c r="E14">
        <f>SUMIF('Team Lineups'!C:C,A14,'Team Lineups'!F:F)</f>
        <v>0</v>
      </c>
      <c r="F14">
        <f t="shared" si="0"/>
        <v>0</v>
      </c>
      <c r="G14">
        <f>COUNTIFS('Team Lineups'!C:C,A14,'Team Lineups'!G:G,"Win")</f>
        <v>0</v>
      </c>
      <c r="H14">
        <f>COUNTIFS('Team Lineups'!C:C,A14,'Team Lineups'!G:G,"Draw")</f>
        <v>0</v>
      </c>
      <c r="I14">
        <f>COUNTIFS('Team Lineups'!C:C,A14,'Team Lineups'!G:G,"Loss")</f>
        <v>0</v>
      </c>
      <c r="J14" s="3" t="e">
        <f t="shared" si="1"/>
        <v>#DIV/0!</v>
      </c>
      <c r="K14">
        <f>SUMIF('Team Lineups'!C:C,A14,'Team Lineups'!H:H)</f>
        <v>0</v>
      </c>
      <c r="L14" t="e">
        <f t="shared" si="2"/>
        <v>#DIV/0!</v>
      </c>
      <c r="M14">
        <f>SUMIF('Team Lineups'!C:C,A14,'Team Lineups'!I:I)</f>
        <v>0</v>
      </c>
      <c r="N14">
        <f>COUNTIF(Matches!G:G,A14)</f>
        <v>0</v>
      </c>
      <c r="O14" t="e">
        <f t="shared" si="3"/>
        <v>#DIV/0!</v>
      </c>
      <c r="P14">
        <f>SUMIF('Team Lineups'!C:C,A14,'Team Lineups'!J:J)</f>
        <v>0</v>
      </c>
    </row>
    <row r="15" spans="1:16" x14ac:dyDescent="0.35">
      <c r="A15" t="s">
        <v>49</v>
      </c>
      <c r="C15">
        <f>COUNTIF('Team Lineups'!C:C,A15)</f>
        <v>1</v>
      </c>
      <c r="D15">
        <f>SUMIF('Team Lineups'!C:C,A15,'Team Lineups'!E:E)</f>
        <v>9</v>
      </c>
      <c r="E15">
        <f>SUMIF('Team Lineups'!C:C,A15,'Team Lineups'!F:F)</f>
        <v>7</v>
      </c>
      <c r="F15">
        <f t="shared" si="0"/>
        <v>2</v>
      </c>
      <c r="G15">
        <f>COUNTIFS('Team Lineups'!C:C,A15,'Team Lineups'!G:G,"Win")</f>
        <v>1</v>
      </c>
      <c r="H15">
        <f>COUNTIFS('Team Lineups'!C:C,A15,'Team Lineups'!G:G,"Draw")</f>
        <v>0</v>
      </c>
      <c r="I15">
        <f>COUNTIFS('Team Lineups'!C:C,A15,'Team Lineups'!G:G,"Loss")</f>
        <v>0</v>
      </c>
      <c r="J15" s="3">
        <f t="shared" si="1"/>
        <v>1</v>
      </c>
      <c r="K15">
        <f>SUMIF('Team Lineups'!C:C,A15,'Team Lineups'!H:H)</f>
        <v>1</v>
      </c>
      <c r="L15">
        <f t="shared" si="2"/>
        <v>1</v>
      </c>
      <c r="M15">
        <f>SUMIF('Team Lineups'!C:C,A15,'Team Lineups'!I:I)</f>
        <v>1</v>
      </c>
      <c r="N15">
        <f>COUNTIF(Matches!G:G,A15)</f>
        <v>0</v>
      </c>
      <c r="O15">
        <f t="shared" si="3"/>
        <v>0</v>
      </c>
      <c r="P15">
        <f>SUMIF('Team Lineups'!C:C,A15,'Team Lineups'!J:J)</f>
        <v>0</v>
      </c>
    </row>
    <row r="16" spans="1:16" x14ac:dyDescent="0.35">
      <c r="A16" t="s">
        <v>24</v>
      </c>
      <c r="C16">
        <f>COUNTIF('Team Lineups'!C:C,A16)</f>
        <v>8</v>
      </c>
      <c r="D16">
        <f>SUMIF('Team Lineups'!C:C,A16,'Team Lineups'!E:E)</f>
        <v>42</v>
      </c>
      <c r="E16">
        <f>SUMIF('Team Lineups'!C:C,A16,'Team Lineups'!F:F)</f>
        <v>45</v>
      </c>
      <c r="F16">
        <f t="shared" si="0"/>
        <v>-3</v>
      </c>
      <c r="G16">
        <f>COUNTIFS('Team Lineups'!C:C,A16,'Team Lineups'!G:G,"Win")</f>
        <v>2</v>
      </c>
      <c r="H16">
        <f>COUNTIFS('Team Lineups'!C:C,A16,'Team Lineups'!G:G,"Draw")</f>
        <v>2</v>
      </c>
      <c r="I16">
        <f>COUNTIFS('Team Lineups'!C:C,A16,'Team Lineups'!G:G,"Loss")</f>
        <v>4</v>
      </c>
      <c r="J16" s="3">
        <f t="shared" si="1"/>
        <v>0.25</v>
      </c>
      <c r="K16">
        <f>SUMIF('Team Lineups'!C:C,A16,'Team Lineups'!H:H)</f>
        <v>3</v>
      </c>
      <c r="L16">
        <f t="shared" si="2"/>
        <v>0.375</v>
      </c>
      <c r="M16">
        <f>SUMIF('Team Lineups'!C:C,A16,'Team Lineups'!I:I)</f>
        <v>1</v>
      </c>
      <c r="N16">
        <f>COUNTIF(Matches!G:G,A16)</f>
        <v>0</v>
      </c>
      <c r="O16">
        <f t="shared" si="3"/>
        <v>0</v>
      </c>
      <c r="P16">
        <f>SUMIF('Team Lineups'!C:C,A16,'Team Lineups'!J:J)</f>
        <v>0</v>
      </c>
    </row>
    <row r="17" spans="1:16" x14ac:dyDescent="0.35">
      <c r="A17" t="s">
        <v>20</v>
      </c>
      <c r="C17">
        <f>COUNTIF('Team Lineups'!C:C,A17)</f>
        <v>8</v>
      </c>
      <c r="D17">
        <f>SUMIF('Team Lineups'!C:C,A17,'Team Lineups'!E:E)</f>
        <v>45</v>
      </c>
      <c r="E17">
        <f>SUMIF('Team Lineups'!C:C,A17,'Team Lineups'!F:F)</f>
        <v>42</v>
      </c>
      <c r="F17">
        <f t="shared" si="0"/>
        <v>3</v>
      </c>
      <c r="G17">
        <f>COUNTIFS('Team Lineups'!C:C,A17,'Team Lineups'!G:G,"Win")</f>
        <v>4</v>
      </c>
      <c r="H17">
        <f>COUNTIFS('Team Lineups'!C:C,A17,'Team Lineups'!G:G,"Draw")</f>
        <v>2</v>
      </c>
      <c r="I17">
        <f>COUNTIFS('Team Lineups'!C:C,A17,'Team Lineups'!G:G,"Loss")</f>
        <v>2</v>
      </c>
      <c r="J17" s="3">
        <f t="shared" si="1"/>
        <v>0.5</v>
      </c>
      <c r="K17">
        <f>SUMIF('Team Lineups'!C:C,A17,'Team Lineups'!H:H)</f>
        <v>1</v>
      </c>
      <c r="L17">
        <f t="shared" si="2"/>
        <v>0.125</v>
      </c>
      <c r="M17">
        <f>SUMIF('Team Lineups'!C:C,A17,'Team Lineups'!I:I)</f>
        <v>3</v>
      </c>
      <c r="N17">
        <f>COUNTIF(Matches!G:G,A17)</f>
        <v>0</v>
      </c>
      <c r="O17">
        <f t="shared" si="3"/>
        <v>0</v>
      </c>
      <c r="P17">
        <f>SUMIF('Team Lineups'!C:C,A17,'Team Lineups'!J:J)</f>
        <v>0</v>
      </c>
    </row>
    <row r="18" spans="1:16" x14ac:dyDescent="0.35">
      <c r="A18" t="s">
        <v>21</v>
      </c>
      <c r="C18">
        <f>COUNTIF('Team Lineups'!C:C,A18)</f>
        <v>11</v>
      </c>
      <c r="D18">
        <f>SUMIF('Team Lineups'!C:C,A18,'Team Lineups'!E:E)</f>
        <v>82</v>
      </c>
      <c r="E18">
        <f>SUMIF('Team Lineups'!C:C,A18,'Team Lineups'!F:F)</f>
        <v>83</v>
      </c>
      <c r="F18">
        <f t="shared" si="0"/>
        <v>-1</v>
      </c>
      <c r="G18">
        <f>COUNTIFS('Team Lineups'!C:C,A18,'Team Lineups'!G:G,"Win")</f>
        <v>5</v>
      </c>
      <c r="H18">
        <f>COUNTIFS('Team Lineups'!C:C,A18,'Team Lineups'!G:G,"Draw")</f>
        <v>1</v>
      </c>
      <c r="I18">
        <f>COUNTIFS('Team Lineups'!C:C,A18,'Team Lineups'!G:G,"Loss")</f>
        <v>5</v>
      </c>
      <c r="J18" s="3">
        <f t="shared" si="1"/>
        <v>0.45454545454545453</v>
      </c>
      <c r="K18">
        <f>SUMIF('Team Lineups'!C:C,A18,'Team Lineups'!H:H)</f>
        <v>8</v>
      </c>
      <c r="L18">
        <f t="shared" si="2"/>
        <v>0.72727272727272729</v>
      </c>
      <c r="M18">
        <f>SUMIF('Team Lineups'!C:C,A18,'Team Lineups'!I:I)</f>
        <v>4</v>
      </c>
      <c r="N18">
        <f>COUNTIF(Matches!G:G,A18)</f>
        <v>1</v>
      </c>
      <c r="O18">
        <f t="shared" si="3"/>
        <v>9.0909090909090912E-2</v>
      </c>
      <c r="P18">
        <f>SUMIF('Team Lineups'!C:C,A18,'Team Lineups'!J:J)</f>
        <v>0</v>
      </c>
    </row>
    <row r="19" spans="1:16" x14ac:dyDescent="0.35">
      <c r="A19" t="s">
        <v>50</v>
      </c>
      <c r="C19">
        <f>COUNTIF('Team Lineups'!C:C,A19)</f>
        <v>3</v>
      </c>
      <c r="D19">
        <f>SUMIF('Team Lineups'!C:C,A19,'Team Lineups'!E:E)</f>
        <v>29</v>
      </c>
      <c r="E19">
        <f>SUMIF('Team Lineups'!C:C,A19,'Team Lineups'!F:F)</f>
        <v>25</v>
      </c>
      <c r="F19">
        <f t="shared" si="0"/>
        <v>4</v>
      </c>
      <c r="G19">
        <f>COUNTIFS('Team Lineups'!C:C,A19,'Team Lineups'!G:G,"Win")</f>
        <v>3</v>
      </c>
      <c r="H19">
        <f>COUNTIFS('Team Lineups'!C:C,A19,'Team Lineups'!G:G,"Draw")</f>
        <v>0</v>
      </c>
      <c r="I19">
        <f>COUNTIFS('Team Lineups'!C:C,A19,'Team Lineups'!G:G,"Loss")</f>
        <v>0</v>
      </c>
      <c r="J19" s="3">
        <f t="shared" si="1"/>
        <v>1</v>
      </c>
      <c r="K19">
        <f>SUMIF('Team Lineups'!C:C,A19,'Team Lineups'!H:H)</f>
        <v>7</v>
      </c>
      <c r="L19">
        <f t="shared" si="2"/>
        <v>2.3333333333333335</v>
      </c>
      <c r="M19">
        <f>SUMIF('Team Lineups'!C:C,A19,'Team Lineups'!I:I)</f>
        <v>1</v>
      </c>
      <c r="N19">
        <f>COUNTIF(Matches!G:G,A19)</f>
        <v>0</v>
      </c>
      <c r="O19">
        <f t="shared" si="3"/>
        <v>0</v>
      </c>
      <c r="P19">
        <f>SUMIF('Team Lineups'!C:C,A19,'Team Lineups'!J:J)</f>
        <v>0</v>
      </c>
    </row>
    <row r="20" spans="1:16" x14ac:dyDescent="0.35">
      <c r="A20" t="s">
        <v>27</v>
      </c>
      <c r="C20">
        <f>COUNTIF('Team Lineups'!C:C,A20)</f>
        <v>1</v>
      </c>
      <c r="D20">
        <f>SUMIF('Team Lineups'!C:C,A20,'Team Lineups'!E:E)</f>
        <v>7</v>
      </c>
      <c r="E20">
        <f>SUMIF('Team Lineups'!C:C,A20,'Team Lineups'!F:F)</f>
        <v>7</v>
      </c>
      <c r="F20">
        <f t="shared" si="0"/>
        <v>0</v>
      </c>
      <c r="G20">
        <f>COUNTIFS('Team Lineups'!C:C,A20,'Team Lineups'!G:G,"Win")</f>
        <v>0</v>
      </c>
      <c r="H20">
        <f>COUNTIFS('Team Lineups'!C:C,A20,'Team Lineups'!G:G,"Draw")</f>
        <v>1</v>
      </c>
      <c r="I20">
        <f>COUNTIFS('Team Lineups'!C:C,A20,'Team Lineups'!G:G,"Loss")</f>
        <v>0</v>
      </c>
      <c r="J20" s="3">
        <f t="shared" si="1"/>
        <v>0</v>
      </c>
      <c r="K20">
        <f>SUMIF('Team Lineups'!C:C,A20,'Team Lineups'!H:H)</f>
        <v>0</v>
      </c>
      <c r="L20">
        <f t="shared" si="2"/>
        <v>0</v>
      </c>
      <c r="M20">
        <f>SUMIF('Team Lineups'!C:C,A20,'Team Lineups'!I:I)</f>
        <v>0</v>
      </c>
      <c r="N20">
        <f>COUNTIF(Matches!G:G,A20)</f>
        <v>0</v>
      </c>
      <c r="O20">
        <f t="shared" si="3"/>
        <v>0</v>
      </c>
      <c r="P20">
        <f>SUMIF('Team Lineups'!C:C,A20,'Team Lineups'!J:J)</f>
        <v>0</v>
      </c>
    </row>
    <row r="21" spans="1:16" x14ac:dyDescent="0.35">
      <c r="A21" t="s">
        <v>51</v>
      </c>
      <c r="C21">
        <f>COUNTIF('Team Lineups'!C:C,A21)</f>
        <v>3</v>
      </c>
      <c r="D21">
        <f>SUMIF('Team Lineups'!C:C,A21,'Team Lineups'!E:E)</f>
        <v>17</v>
      </c>
      <c r="E21">
        <f>SUMIF('Team Lineups'!C:C,A21,'Team Lineups'!F:F)</f>
        <v>21</v>
      </c>
      <c r="F21">
        <f t="shared" si="0"/>
        <v>-4</v>
      </c>
      <c r="G21">
        <f>COUNTIFS('Team Lineups'!C:C,A21,'Team Lineups'!G:G,"Win")</f>
        <v>0</v>
      </c>
      <c r="H21">
        <f>COUNTIFS('Team Lineups'!C:C,A21,'Team Lineups'!G:G,"Draw")</f>
        <v>0</v>
      </c>
      <c r="I21">
        <f>COUNTIFS('Team Lineups'!C:C,A21,'Team Lineups'!G:G,"Loss")</f>
        <v>3</v>
      </c>
      <c r="J21" s="3">
        <f t="shared" si="1"/>
        <v>0</v>
      </c>
      <c r="K21">
        <f>SUMIF('Team Lineups'!C:C,A21,'Team Lineups'!H:H)</f>
        <v>2</v>
      </c>
      <c r="L21">
        <f t="shared" si="2"/>
        <v>0.66666666666666663</v>
      </c>
      <c r="M21">
        <f>SUMIF('Team Lineups'!C:C,A21,'Team Lineups'!I:I)</f>
        <v>2</v>
      </c>
      <c r="N21">
        <f>COUNTIF(Matches!G:G,A21)</f>
        <v>0</v>
      </c>
      <c r="O21">
        <f t="shared" si="3"/>
        <v>0</v>
      </c>
      <c r="P21">
        <f>SUMIF('Team Lineups'!C:C,A21,'Team Lineups'!J:J)</f>
        <v>1</v>
      </c>
    </row>
    <row r="22" spans="1:16" x14ac:dyDescent="0.35">
      <c r="A22" t="s">
        <v>52</v>
      </c>
      <c r="C22">
        <f>COUNTIF('Team Lineups'!C:C,A22)</f>
        <v>0</v>
      </c>
      <c r="D22">
        <f>SUMIF('Team Lineups'!C:C,A22,'Team Lineups'!E:E)</f>
        <v>0</v>
      </c>
      <c r="E22">
        <f>SUMIF('Team Lineups'!C:C,A22,'Team Lineups'!F:F)</f>
        <v>0</v>
      </c>
      <c r="F22">
        <f t="shared" si="0"/>
        <v>0</v>
      </c>
      <c r="G22">
        <f>COUNTIFS('Team Lineups'!C:C,A22,'Team Lineups'!G:G,"Win")</f>
        <v>0</v>
      </c>
      <c r="H22">
        <f>COUNTIFS('Team Lineups'!C:C,A22,'Team Lineups'!G:G,"Draw")</f>
        <v>0</v>
      </c>
      <c r="I22">
        <f>COUNTIFS('Team Lineups'!C:C,A22,'Team Lineups'!G:G,"Loss")</f>
        <v>0</v>
      </c>
      <c r="J22" s="3" t="e">
        <f t="shared" si="1"/>
        <v>#DIV/0!</v>
      </c>
      <c r="K22">
        <f>SUMIF('Team Lineups'!C:C,A22,'Team Lineups'!H:H)</f>
        <v>0</v>
      </c>
      <c r="L22" t="e">
        <f t="shared" si="2"/>
        <v>#DIV/0!</v>
      </c>
      <c r="M22">
        <f>SUMIF('Team Lineups'!C:C,A22,'Team Lineups'!I:I)</f>
        <v>0</v>
      </c>
      <c r="N22">
        <f>COUNTIF(Matches!G:G,A22)</f>
        <v>0</v>
      </c>
      <c r="O22" t="e">
        <f t="shared" si="3"/>
        <v>#DIV/0!</v>
      </c>
      <c r="P22">
        <f>SUMIF('Team Lineups'!C:C,A22,'Team Lineups'!J:J)</f>
        <v>0</v>
      </c>
    </row>
    <row r="23" spans="1:16" x14ac:dyDescent="0.35">
      <c r="A23" t="s">
        <v>22</v>
      </c>
      <c r="C23">
        <f>COUNTIF('Team Lineups'!C:C,A23)</f>
        <v>9</v>
      </c>
      <c r="D23">
        <f>SUMIF('Team Lineups'!C:C,A23,'Team Lineups'!E:E)</f>
        <v>60</v>
      </c>
      <c r="E23">
        <f>SUMIF('Team Lineups'!C:C,A23,'Team Lineups'!F:F)</f>
        <v>59</v>
      </c>
      <c r="F23">
        <f t="shared" si="0"/>
        <v>1</v>
      </c>
      <c r="G23">
        <f>COUNTIFS('Team Lineups'!C:C,A23,'Team Lineups'!G:G,"Win")</f>
        <v>4</v>
      </c>
      <c r="H23">
        <f>COUNTIFS('Team Lineups'!C:C,A23,'Team Lineups'!G:G,"Draw")</f>
        <v>2</v>
      </c>
      <c r="I23">
        <f>COUNTIFS('Team Lineups'!C:C,A23,'Team Lineups'!G:G,"Loss")</f>
        <v>3</v>
      </c>
      <c r="J23" s="3">
        <f t="shared" si="1"/>
        <v>0.44444444444444442</v>
      </c>
      <c r="K23">
        <f>SUMIF('Team Lineups'!C:C,A23,'Team Lineups'!H:H)</f>
        <v>10</v>
      </c>
      <c r="L23">
        <f t="shared" si="2"/>
        <v>1.1111111111111112</v>
      </c>
      <c r="M23">
        <f>SUMIF('Team Lineups'!C:C,A23,'Team Lineups'!I:I)</f>
        <v>2</v>
      </c>
      <c r="N23">
        <f>COUNTIF(Matches!G:G,A23)</f>
        <v>2</v>
      </c>
      <c r="O23">
        <f t="shared" si="3"/>
        <v>0.22222222222222221</v>
      </c>
      <c r="P23">
        <f>SUMIF('Team Lineups'!C:C,A23,'Team Lineups'!J:J)</f>
        <v>0</v>
      </c>
    </row>
    <row r="24" spans="1:16" x14ac:dyDescent="0.35">
      <c r="A24" t="s">
        <v>25</v>
      </c>
      <c r="C24">
        <f>COUNTIF('Team Lineups'!C:C,A24)</f>
        <v>11</v>
      </c>
      <c r="D24">
        <f>SUMIF('Team Lineups'!C:C,A24,'Team Lineups'!E:E)</f>
        <v>72</v>
      </c>
      <c r="E24">
        <f>SUMIF('Team Lineups'!C:C,A24,'Team Lineups'!F:F)</f>
        <v>70</v>
      </c>
      <c r="F24">
        <f t="shared" si="0"/>
        <v>2</v>
      </c>
      <c r="G24">
        <f>COUNTIFS('Team Lineups'!C:C,A24,'Team Lineups'!G:G,"Win")</f>
        <v>3</v>
      </c>
      <c r="H24">
        <f>COUNTIFS('Team Lineups'!C:C,A24,'Team Lineups'!G:G,"Draw")</f>
        <v>2</v>
      </c>
      <c r="I24">
        <f>COUNTIFS('Team Lineups'!C:C,A24,'Team Lineups'!G:G,"Loss")</f>
        <v>6</v>
      </c>
      <c r="J24" s="3">
        <f t="shared" si="1"/>
        <v>0.27272727272727271</v>
      </c>
      <c r="K24">
        <f>SUMIF('Team Lineups'!C:C,A24,'Team Lineups'!H:H)</f>
        <v>5</v>
      </c>
      <c r="L24">
        <f t="shared" si="2"/>
        <v>0.45454545454545453</v>
      </c>
      <c r="M24">
        <f>SUMIF('Team Lineups'!C:C,A24,'Team Lineups'!I:I)</f>
        <v>6</v>
      </c>
      <c r="N24">
        <f>COUNTIF(Matches!G:G,A24)</f>
        <v>0</v>
      </c>
      <c r="O24">
        <f t="shared" si="3"/>
        <v>0</v>
      </c>
      <c r="P24">
        <f>SUMIF('Team Lineups'!C:C,A24,'Team Lineups'!J:J)</f>
        <v>0</v>
      </c>
    </row>
    <row r="25" spans="1:16" x14ac:dyDescent="0.35">
      <c r="A25" t="s">
        <v>53</v>
      </c>
      <c r="C25">
        <f>COUNTIF('Team Lineups'!C:C,A25)</f>
        <v>10</v>
      </c>
      <c r="D25">
        <f>SUMIF('Team Lineups'!C:C,A25,'Team Lineups'!E:E)</f>
        <v>76</v>
      </c>
      <c r="E25">
        <f>SUMIF('Team Lineups'!C:C,A25,'Team Lineups'!F:F)</f>
        <v>68</v>
      </c>
      <c r="F25">
        <f t="shared" si="0"/>
        <v>8</v>
      </c>
      <c r="G25">
        <f>COUNTIFS('Team Lineups'!C:C,A25,'Team Lineups'!G:G,"Win")</f>
        <v>6</v>
      </c>
      <c r="H25">
        <f>COUNTIFS('Team Lineups'!C:C,A25,'Team Lineups'!G:G,"Draw")</f>
        <v>1</v>
      </c>
      <c r="I25">
        <f>COUNTIFS('Team Lineups'!C:C,A25,'Team Lineups'!G:G,"Loss")</f>
        <v>3</v>
      </c>
      <c r="J25" s="3">
        <f t="shared" si="1"/>
        <v>0.6</v>
      </c>
      <c r="K25">
        <f>SUMIF('Team Lineups'!C:C,A25,'Team Lineups'!H:H)</f>
        <v>14</v>
      </c>
      <c r="L25">
        <f t="shared" si="2"/>
        <v>1.4</v>
      </c>
      <c r="M25">
        <f>SUMIF('Team Lineups'!C:C,A25,'Team Lineups'!I:I)</f>
        <v>6</v>
      </c>
      <c r="N25">
        <f>COUNTIF(Matches!G:G,A25)</f>
        <v>0</v>
      </c>
      <c r="O25">
        <f t="shared" si="3"/>
        <v>0</v>
      </c>
      <c r="P25">
        <f>SUMIF('Team Lineups'!C:C,A25,'Team Lineups'!J:J)</f>
        <v>1</v>
      </c>
    </row>
    <row r="26" spans="1:16" x14ac:dyDescent="0.35">
      <c r="A26" t="s">
        <v>54</v>
      </c>
      <c r="C26">
        <f>COUNTIF('Team Lineups'!C:C,A26)</f>
        <v>4</v>
      </c>
      <c r="D26">
        <f>SUMIF('Team Lineups'!C:C,A26,'Team Lineups'!E:E)</f>
        <v>17</v>
      </c>
      <c r="E26">
        <f>SUMIF('Team Lineups'!C:C,A26,'Team Lineups'!F:F)</f>
        <v>20</v>
      </c>
      <c r="F26">
        <f t="shared" si="0"/>
        <v>-3</v>
      </c>
      <c r="G26">
        <f>COUNTIFS('Team Lineups'!C:C,A26,'Team Lineups'!G:G,"Win")</f>
        <v>1</v>
      </c>
      <c r="H26">
        <f>COUNTIFS('Team Lineups'!C:C,A26,'Team Lineups'!G:G,"Draw")</f>
        <v>0</v>
      </c>
      <c r="I26">
        <f>COUNTIFS('Team Lineups'!C:C,A26,'Team Lineups'!G:G,"Loss")</f>
        <v>3</v>
      </c>
      <c r="J26" s="3">
        <f t="shared" si="1"/>
        <v>0.25</v>
      </c>
      <c r="K26">
        <f>SUMIF('Team Lineups'!C:C,A26,'Team Lineups'!H:H)</f>
        <v>0</v>
      </c>
      <c r="L26">
        <f t="shared" si="2"/>
        <v>0</v>
      </c>
      <c r="M26">
        <f>SUMIF('Team Lineups'!C:C,A26,'Team Lineups'!I:I)</f>
        <v>0</v>
      </c>
      <c r="N26">
        <f>COUNTIF(Matches!G:G,A26)</f>
        <v>1</v>
      </c>
      <c r="O26">
        <f t="shared" si="3"/>
        <v>0.25</v>
      </c>
      <c r="P26">
        <f>SUMIF('Team Lineups'!C:C,A26,'Team Lineups'!J:J)</f>
        <v>0</v>
      </c>
    </row>
    <row r="27" spans="1:16" x14ac:dyDescent="0.35">
      <c r="A27" t="s">
        <v>55</v>
      </c>
      <c r="C27">
        <f>COUNTIF('Team Lineups'!C:C,A27)</f>
        <v>1</v>
      </c>
      <c r="D27">
        <f>SUMIF('Team Lineups'!C:C,A27,'Team Lineups'!E:E)</f>
        <v>3</v>
      </c>
      <c r="E27">
        <f>SUMIF('Team Lineups'!C:C,A27,'Team Lineups'!F:F)</f>
        <v>6</v>
      </c>
      <c r="F27">
        <f t="shared" si="0"/>
        <v>-3</v>
      </c>
      <c r="G27">
        <f>COUNTIFS('Team Lineups'!C:C,A27,'Team Lineups'!G:G,"Win")</f>
        <v>0</v>
      </c>
      <c r="H27">
        <f>COUNTIFS('Team Lineups'!C:C,A27,'Team Lineups'!G:G,"Draw")</f>
        <v>0</v>
      </c>
      <c r="I27">
        <f>COUNTIFS('Team Lineups'!C:C,A27,'Team Lineups'!G:G,"Loss")</f>
        <v>1</v>
      </c>
      <c r="J27" s="3">
        <f t="shared" si="1"/>
        <v>0</v>
      </c>
      <c r="K27">
        <f>SUMIF('Team Lineups'!C:C,A27,'Team Lineups'!H:H)</f>
        <v>0</v>
      </c>
      <c r="L27">
        <f t="shared" si="2"/>
        <v>0</v>
      </c>
      <c r="M27">
        <f>SUMIF('Team Lineups'!C:C,A27,'Team Lineups'!I:I)</f>
        <v>0</v>
      </c>
      <c r="N27">
        <f>COUNTIF(Matches!G:G,A27)</f>
        <v>0</v>
      </c>
      <c r="O27">
        <f t="shared" si="3"/>
        <v>0</v>
      </c>
      <c r="P27">
        <f>SUMIF('Team Lineups'!C:C,A27,'Team Lineups'!J:J)</f>
        <v>0</v>
      </c>
    </row>
    <row r="28" spans="1:16" x14ac:dyDescent="0.35">
      <c r="A28" t="s">
        <v>59</v>
      </c>
      <c r="C28">
        <f>COUNTIF('Team Lineups'!C:C,A28)</f>
        <v>1</v>
      </c>
      <c r="D28">
        <f>SUMIF('Team Lineups'!C:C,A28,'Team Lineups'!E:E)</f>
        <v>13</v>
      </c>
      <c r="E28">
        <f>SUMIF('Team Lineups'!C:C,A28,'Team Lineups'!F:F)</f>
        <v>8</v>
      </c>
      <c r="F28">
        <f t="shared" ref="F28:F34" si="4">D28-E28</f>
        <v>5</v>
      </c>
      <c r="G28">
        <f>COUNTIFS('Team Lineups'!C:C,A28,'Team Lineups'!G:G,"Win")</f>
        <v>1</v>
      </c>
      <c r="H28">
        <f>COUNTIFS('Team Lineups'!C:C,A28,'Team Lineups'!G:G,"Draw")</f>
        <v>0</v>
      </c>
      <c r="I28">
        <f>COUNTIFS('Team Lineups'!C:C,A28,'Team Lineups'!G:G,"Loss")</f>
        <v>0</v>
      </c>
      <c r="J28" s="3">
        <f t="shared" ref="J28:J34" si="5">G28/C28</f>
        <v>1</v>
      </c>
      <c r="K28">
        <f>SUMIF('Team Lineups'!C:C,A28,'Team Lineups'!H:H)</f>
        <v>2</v>
      </c>
      <c r="L28">
        <f t="shared" ref="L28:L34" si="6">K28/C28</f>
        <v>2</v>
      </c>
      <c r="M28">
        <f>SUMIF('Team Lineups'!C:C,A28,'Team Lineups'!I:I)</f>
        <v>2</v>
      </c>
      <c r="N28">
        <f>COUNTIF(Matches!G:G,A28)</f>
        <v>0</v>
      </c>
      <c r="O28">
        <f t="shared" ref="O28:O34" si="7">N28/C28</f>
        <v>0</v>
      </c>
      <c r="P28">
        <f>SUMIF('Team Lineups'!C:C,A28,'Team Lineups'!J:J)</f>
        <v>0</v>
      </c>
    </row>
    <row r="29" spans="1:16" x14ac:dyDescent="0.35">
      <c r="A29" t="s">
        <v>60</v>
      </c>
      <c r="C29">
        <f>COUNTIF('Team Lineups'!C:C,A29)</f>
        <v>5</v>
      </c>
      <c r="D29">
        <f>SUMIF('Team Lineups'!C:C,A29,'Team Lineups'!E:E)</f>
        <v>50</v>
      </c>
      <c r="E29">
        <f>SUMIF('Team Lineups'!C:C,A29,'Team Lineups'!F:F)</f>
        <v>43</v>
      </c>
      <c r="F29">
        <f t="shared" si="4"/>
        <v>7</v>
      </c>
      <c r="G29">
        <f>COUNTIFS('Team Lineups'!C:C,A29,'Team Lineups'!G:G,"Win")</f>
        <v>3</v>
      </c>
      <c r="H29">
        <f>COUNTIFS('Team Lineups'!C:C,A29,'Team Lineups'!G:G,"Draw")</f>
        <v>1</v>
      </c>
      <c r="I29">
        <f>COUNTIFS('Team Lineups'!C:C,A29,'Team Lineups'!G:G,"Loss")</f>
        <v>1</v>
      </c>
      <c r="J29" s="3">
        <f t="shared" si="5"/>
        <v>0.6</v>
      </c>
      <c r="K29">
        <f>SUMIF('Team Lineups'!C:C,A29,'Team Lineups'!H:H)</f>
        <v>4</v>
      </c>
      <c r="L29">
        <f t="shared" si="6"/>
        <v>0.8</v>
      </c>
      <c r="M29">
        <f>SUMIF('Team Lineups'!C:C,A29,'Team Lineups'!I:I)</f>
        <v>1</v>
      </c>
      <c r="N29">
        <f>COUNTIF(Matches!G:G,A29)</f>
        <v>0</v>
      </c>
      <c r="O29">
        <f t="shared" si="7"/>
        <v>0</v>
      </c>
      <c r="P29">
        <f>SUMIF('Team Lineups'!C:C,A29,'Team Lineups'!J:J)</f>
        <v>0</v>
      </c>
    </row>
    <row r="30" spans="1:16" x14ac:dyDescent="0.35">
      <c r="A30" t="s">
        <v>61</v>
      </c>
      <c r="C30">
        <f>COUNTIF('Team Lineups'!C:C,A30)</f>
        <v>1</v>
      </c>
      <c r="D30">
        <f>SUMIF('Team Lineups'!C:C,A30,'Team Lineups'!E:E)</f>
        <v>8</v>
      </c>
      <c r="E30">
        <f>SUMIF('Team Lineups'!C:C,A30,'Team Lineups'!F:F)</f>
        <v>13</v>
      </c>
      <c r="F30">
        <f t="shared" si="4"/>
        <v>-5</v>
      </c>
      <c r="G30">
        <f>COUNTIFS('Team Lineups'!C:C,A30,'Team Lineups'!G:G,"Win")</f>
        <v>0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5"/>
        <v>0</v>
      </c>
      <c r="K30">
        <f>SUMIF('Team Lineups'!C:C,A30,'Team Lineups'!H:H)</f>
        <v>0</v>
      </c>
      <c r="L30">
        <f t="shared" si="6"/>
        <v>0</v>
      </c>
      <c r="M30">
        <f>SUMIF('Team Lineups'!C:C,A30,'Team Lineups'!I:I)</f>
        <v>0</v>
      </c>
      <c r="N30">
        <f>COUNTIF(Matches!G:G,A30)</f>
        <v>0</v>
      </c>
      <c r="O30">
        <f t="shared" si="7"/>
        <v>0</v>
      </c>
      <c r="P30">
        <f>SUMIF('Team Lineups'!C:C,A30,'Team Lineups'!J:J)</f>
        <v>0</v>
      </c>
    </row>
    <row r="31" spans="1:16" x14ac:dyDescent="0.35">
      <c r="A31" t="s">
        <v>62</v>
      </c>
      <c r="C31">
        <f>COUNTIF('Team Lineups'!C:C,A31)</f>
        <v>1</v>
      </c>
      <c r="D31">
        <f>SUMIF('Team Lineups'!C:C,A31,'Team Lineups'!E:E)</f>
        <v>8</v>
      </c>
      <c r="E31">
        <f>SUMIF('Team Lineups'!C:C,A31,'Team Lineups'!F:F)</f>
        <v>13</v>
      </c>
      <c r="F31">
        <f t="shared" si="4"/>
        <v>-5</v>
      </c>
      <c r="G31">
        <f>COUNTIFS('Team Lineups'!C:C,A31,'Team Lineups'!G:G,"Win")</f>
        <v>0</v>
      </c>
      <c r="H31">
        <f>COUNTIFS('Team Lineups'!C:C,A31,'Team Lineups'!G:G,"Draw")</f>
        <v>0</v>
      </c>
      <c r="I31">
        <f>COUNTIFS('Team Lineups'!C:C,A31,'Team Lineups'!G:G,"Loss")</f>
        <v>1</v>
      </c>
      <c r="J31" s="3">
        <f t="shared" si="5"/>
        <v>0</v>
      </c>
      <c r="K31">
        <f>SUMIF('Team Lineups'!C:C,A31,'Team Lineups'!H:H)</f>
        <v>1</v>
      </c>
      <c r="L31">
        <f t="shared" si="6"/>
        <v>1</v>
      </c>
      <c r="M31">
        <f>SUMIF('Team Lineups'!C:C,A31,'Team Lineups'!I:I)</f>
        <v>3</v>
      </c>
      <c r="N31">
        <f>COUNTIF(Matches!G:G,A31)</f>
        <v>0</v>
      </c>
      <c r="O31">
        <f t="shared" si="7"/>
        <v>0</v>
      </c>
      <c r="P31">
        <f>SUMIF('Team Lineups'!C:C,A31,'Team Lineups'!J:J)</f>
        <v>0</v>
      </c>
    </row>
    <row r="32" spans="1:16" x14ac:dyDescent="0.35">
      <c r="A32" t="s">
        <v>64</v>
      </c>
      <c r="C32">
        <f>COUNTIF('Team Lineups'!C:C,A32)</f>
        <v>1</v>
      </c>
      <c r="D32">
        <f>SUMIF('Team Lineups'!C:C,A32,'Team Lineups'!E:E)</f>
        <v>10</v>
      </c>
      <c r="E32">
        <f>SUMIF('Team Lineups'!C:C,A32,'Team Lineups'!F:F)</f>
        <v>8</v>
      </c>
      <c r="F32">
        <f t="shared" si="4"/>
        <v>2</v>
      </c>
      <c r="G32">
        <f>COUNTIFS('Team Lineups'!C:C,A32,'Team Lineups'!G:G,"Win")</f>
        <v>1</v>
      </c>
      <c r="H32">
        <f>COUNTIFS('Team Lineups'!C:C,A32,'Team Lineups'!G:G,"Draw")</f>
        <v>0</v>
      </c>
      <c r="I32">
        <f>COUNTIFS('Team Lineups'!C:C,A32,'Team Lineups'!G:G,"Loss")</f>
        <v>0</v>
      </c>
      <c r="J32" s="3">
        <f t="shared" si="5"/>
        <v>1</v>
      </c>
      <c r="K32">
        <f>SUMIF('Team Lineups'!C:C,A32,'Team Lineups'!H:H)</f>
        <v>2</v>
      </c>
      <c r="L32">
        <f t="shared" si="6"/>
        <v>2</v>
      </c>
      <c r="M32">
        <f>SUMIF('Team Lineups'!C:C,A32,'Team Lineups'!I:I)</f>
        <v>3</v>
      </c>
      <c r="N32">
        <f>COUNTIF(Matches!G:G,A32)</f>
        <v>0</v>
      </c>
      <c r="O32">
        <f t="shared" si="7"/>
        <v>0</v>
      </c>
      <c r="P32">
        <f>SUMIF('Team Lineups'!C:C,A32,'Team Lineups'!J:J)</f>
        <v>0</v>
      </c>
    </row>
    <row r="33" spans="1:16" x14ac:dyDescent="0.35">
      <c r="A33" t="s">
        <v>66</v>
      </c>
      <c r="C33">
        <f>COUNTIF('Team Lineups'!C:C,A33)</f>
        <v>7</v>
      </c>
      <c r="D33">
        <f>SUMIF('Team Lineups'!C:C,A33,'Team Lineups'!E:E)</f>
        <v>50</v>
      </c>
      <c r="E33">
        <f>SUMIF('Team Lineups'!C:C,A33,'Team Lineups'!F:F)</f>
        <v>44</v>
      </c>
      <c r="F33">
        <f t="shared" si="4"/>
        <v>6</v>
      </c>
      <c r="G33">
        <f>COUNTIFS('Team Lineups'!C:C,A33,'Team Lineups'!G:G,"Win")</f>
        <v>5</v>
      </c>
      <c r="H33">
        <f>COUNTIFS('Team Lineups'!C:C,A33,'Team Lineups'!G:G,"Draw")</f>
        <v>1</v>
      </c>
      <c r="I33">
        <f>COUNTIFS('Team Lineups'!C:C,A33,'Team Lineups'!G:G,"Loss")</f>
        <v>1</v>
      </c>
      <c r="J33" s="3">
        <f t="shared" si="5"/>
        <v>0.7142857142857143</v>
      </c>
      <c r="K33">
        <f>SUMIF('Team Lineups'!C:C,A33,'Team Lineups'!H:H)</f>
        <v>24</v>
      </c>
      <c r="L33">
        <f t="shared" si="6"/>
        <v>3.4285714285714284</v>
      </c>
      <c r="M33">
        <f>SUMIF('Team Lineups'!C:C,A33,'Team Lineups'!I:I)</f>
        <v>9</v>
      </c>
      <c r="N33">
        <f>COUNTIF(Matches!G:G,A33)</f>
        <v>1</v>
      </c>
      <c r="O33">
        <f t="shared" si="7"/>
        <v>0.14285714285714285</v>
      </c>
      <c r="P33">
        <f>SUMIF('Team Lineups'!C:C,A33,'Team Lineups'!J:J)</f>
        <v>0</v>
      </c>
    </row>
    <row r="34" spans="1:16" x14ac:dyDescent="0.35">
      <c r="A34" t="s">
        <v>75</v>
      </c>
      <c r="C34">
        <f>COUNTIF('Team Lineups'!C:C,A34)</f>
        <v>1</v>
      </c>
      <c r="D34">
        <f>SUMIF('Team Lineups'!C:C,A34,'Team Lineups'!E:E)</f>
        <v>4</v>
      </c>
      <c r="E34">
        <f>SUMIF('Team Lineups'!C:C,A34,'Team Lineups'!F:F)</f>
        <v>5</v>
      </c>
      <c r="F34">
        <f t="shared" si="4"/>
        <v>-1</v>
      </c>
      <c r="G34">
        <f>COUNTIFS('Team Lineups'!C:C,A34,'Team Lineups'!G:G,"Win")</f>
        <v>0</v>
      </c>
      <c r="H34">
        <f>COUNTIFS('Team Lineups'!C:C,A34,'Team Lineups'!G:G,"Draw")</f>
        <v>0</v>
      </c>
      <c r="I34">
        <f>COUNTIFS('Team Lineups'!C:C,A34,'Team Lineups'!G:G,"Loss")</f>
        <v>1</v>
      </c>
      <c r="J34" s="3">
        <f t="shared" si="5"/>
        <v>0</v>
      </c>
      <c r="K34">
        <f>SUMIF('Team Lineups'!C:C,A34,'Team Lineups'!H:H)</f>
        <v>0</v>
      </c>
      <c r="L34">
        <f t="shared" si="6"/>
        <v>0</v>
      </c>
      <c r="M34">
        <f>SUMIF('Team Lineups'!C:C,A34,'Team Lineups'!I:I)</f>
        <v>0</v>
      </c>
      <c r="N34">
        <f>COUNTIF(Matches!G:G,A34)</f>
        <v>0</v>
      </c>
      <c r="O34">
        <f t="shared" si="7"/>
        <v>0</v>
      </c>
      <c r="P34">
        <f>SUMIF('Team Lineups'!C:C,A34,'Team Lineups'!J:J)</f>
        <v>0</v>
      </c>
    </row>
  </sheetData>
  <autoFilter ref="A1:O27" xr:uid="{00000000-0001-0000-0200-000000000000}">
    <sortState xmlns:xlrd2="http://schemas.microsoft.com/office/spreadsheetml/2017/richdata2" ref="A2:O27">
      <sortCondition descending="1" ref="G2:G27"/>
      <sortCondition descending="1" ref="H2:H27"/>
      <sortCondition descending="1" ref="J2:J27"/>
      <sortCondition descending="1" ref="N2:N27"/>
      <sortCondition descending="1" ref="K2:K27"/>
      <sortCondition descending="1" ref="F2:F27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7039-1183-4ACE-B512-2955D12361F3}">
  <dimension ref="A1:CV31"/>
  <sheetViews>
    <sheetView workbookViewId="0">
      <selection activeCell="C2" sqref="C2"/>
    </sheetView>
  </sheetViews>
  <sheetFormatPr defaultRowHeight="14.5" x14ac:dyDescent="0.35"/>
  <sheetData>
    <row r="1" spans="1:100" x14ac:dyDescent="0.35">
      <c r="B1" t="str" cm="1">
        <f t="array" ref="B1:CV1">TRANSPOSE(A2:A100)</f>
        <v>Gioele</v>
      </c>
      <c r="C1" t="str">
        <v>Gianmarco</v>
      </c>
      <c r="D1" t="str">
        <v>Musta</v>
      </c>
      <c r="E1" t="str">
        <v>Alessandro D</v>
      </c>
      <c r="F1" t="str">
        <v>Andreadb</v>
      </c>
      <c r="G1" t="str">
        <v>Jose</v>
      </c>
      <c r="H1" t="str">
        <v>Alessandro C</v>
      </c>
      <c r="I1" t="str">
        <v>Lorenzo</v>
      </c>
      <c r="J1" t="str">
        <v>Pranav</v>
      </c>
      <c r="K1" t="str">
        <v>Damian</v>
      </c>
      <c r="L1" t="str">
        <v>Sergio</v>
      </c>
      <c r="M1" t="str">
        <v>Barroso</v>
      </c>
      <c r="N1" t="str">
        <v>Dario</v>
      </c>
      <c r="O1" t="str">
        <v>Tano</v>
      </c>
      <c r="P1" t="str">
        <v>Julio</v>
      </c>
      <c r="Q1" t="str">
        <v>Enrico</v>
      </c>
      <c r="R1" t="str">
        <v>Alirio</v>
      </c>
      <c r="S1" t="str">
        <v>Diego</v>
      </c>
      <c r="T1" t="str">
        <v>Giacomo</v>
      </c>
      <c r="U1" t="str">
        <v>Christian</v>
      </c>
      <c r="V1" t="str">
        <v>Karl</v>
      </c>
      <c r="W1" t="str">
        <v>Alberto</v>
      </c>
      <c r="X1" t="str">
        <v>Noah</v>
      </c>
      <c r="Y1" t="str">
        <v>TK</v>
      </c>
      <c r="Z1" t="str">
        <v>Manfredi</v>
      </c>
      <c r="AA1" t="str">
        <v>Stefano</v>
      </c>
      <c r="AB1" t="str">
        <v>Angelo</v>
      </c>
      <c r="AC1" t="str">
        <v>Tiago</v>
      </c>
      <c r="AD1" t="str">
        <v>Andrea M</v>
      </c>
      <c r="AE1">
        <v>0</v>
      </c>
      <c r="AF1">
        <v>0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0</v>
      </c>
      <c r="AR1">
        <v>0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</row>
    <row r="2" spans="1:100" x14ac:dyDescent="0.35">
      <c r="A2" t="str" cm="1">
        <f t="array" ref="A2:A31">_xlfn.UNIQUE('Team Lineups'!C2:C500)</f>
        <v>Gioele</v>
      </c>
      <c r="B2" t="s">
        <v>77</v>
      </c>
      <c r="C2" cm="1">
        <f t="array" ref="C2">SUMPRODUCT(('Team Lineups'!$K$2:$K$154&lt;&gt;"")*('Team Lineups'!$C$2:$C$154=$A2)*COUNTIFS('Team Lineups'!$K$2:$K$154,'Team Lineups'!$K$2:$K$154,'Team Lineups'!$C$2:$C$154,C$1))</f>
        <v>4</v>
      </c>
      <c r="D2" cm="1">
        <f t="array" ref="D2">SUMPRODUCT(('Team Lineups'!$K$2:$K$154&lt;&gt;"")*('Team Lineups'!$C$2:$C$154=$A2)*COUNTIFS('Team Lineups'!$K$2:$K$154,'Team Lineups'!$K$2:$K$154,'Team Lineups'!$C$2:$C$154,D$1))</f>
        <v>3</v>
      </c>
      <c r="E2" cm="1">
        <f t="array" ref="E2">SUMPRODUCT(('Team Lineups'!$K$2:$K$154&lt;&gt;"")*('Team Lineups'!$C$2:$C$154=$A2)*COUNTIFS('Team Lineups'!$K$2:$K$154,'Team Lineups'!$K$2:$K$154,'Team Lineups'!$C$2:$C$154,E$1))</f>
        <v>3</v>
      </c>
      <c r="F2" cm="1">
        <f t="array" ref="F2">SUMPRODUCT(('Team Lineups'!$K$2:$K$154&lt;&gt;"")*('Team Lineups'!$C$2:$C$154=$A2)*COUNTIFS('Team Lineups'!$K$2:$K$154,'Team Lineups'!$K$2:$K$154,'Team Lineups'!$C$2:$C$154,F$1))</f>
        <v>2</v>
      </c>
      <c r="G2" cm="1">
        <f t="array" ref="G2">SUMPRODUCT(('Team Lineups'!$K$2:$K$154&lt;&gt;"")*('Team Lineups'!$C$2:$C$154=$A2)*COUNTIFS('Team Lineups'!$K$2:$K$154,'Team Lineups'!$K$2:$K$154,'Team Lineups'!$C$2:$C$154,G$1))</f>
        <v>2</v>
      </c>
      <c r="H2" cm="1">
        <f t="array" ref="H2">SUMPRODUCT(('Team Lineups'!$K$2:$K$154&lt;&gt;"")*('Team Lineups'!$C$2:$C$154=$A2)*COUNTIFS('Team Lineups'!$K$2:$K$154,'Team Lineups'!$K$2:$K$154,'Team Lineups'!$C$2:$C$154,H$1))</f>
        <v>3</v>
      </c>
      <c r="I2" cm="1">
        <f t="array" ref="I2">SUMPRODUCT(('Team Lineups'!$K$2:$K$154&lt;&gt;"")*('Team Lineups'!$C$2:$C$154=$A2)*COUNTIFS('Team Lineups'!$K$2:$K$154,'Team Lineups'!$K$2:$K$154,'Team Lineups'!$C$2:$C$154,I$1))</f>
        <v>3</v>
      </c>
      <c r="J2" cm="1">
        <f t="array" ref="J2">SUMPRODUCT(('Team Lineups'!$K$2:$K$154&lt;&gt;"")*('Team Lineups'!$C$2:$C$154=$A2)*COUNTIFS('Team Lineups'!$K$2:$K$154,'Team Lineups'!$K$2:$K$154,'Team Lineups'!$C$2:$C$154,J$1))</f>
        <v>0</v>
      </c>
      <c r="K2" cm="1">
        <f t="array" ref="K2">SUMPRODUCT(('Team Lineups'!$K$2:$K$154&lt;&gt;"")*('Team Lineups'!$C$2:$C$154=$A2)*COUNTIFS('Team Lineups'!$K$2:$K$154,'Team Lineups'!$K$2:$K$154,'Team Lineups'!$C$2:$C$154,K$1))</f>
        <v>0</v>
      </c>
      <c r="L2" cm="1">
        <f t="array" ref="L2">SUMPRODUCT(('Team Lineups'!$K$2:$K$154&lt;&gt;"")*('Team Lineups'!$C$2:$C$154=$A2)*COUNTIFS('Team Lineups'!$K$2:$K$154,'Team Lineups'!$K$2:$K$154,'Team Lineups'!$C$2:$C$154,L$1))</f>
        <v>1</v>
      </c>
      <c r="M2" cm="1">
        <f t="array" ref="M2">SUMPRODUCT(('Team Lineups'!$K$2:$K$154&lt;&gt;"")*('Team Lineups'!$C$2:$C$154=$A2)*COUNTIFS('Team Lineups'!$K$2:$K$154,'Team Lineups'!$K$2:$K$154,'Team Lineups'!$C$2:$C$154,M$1))</f>
        <v>3</v>
      </c>
      <c r="N2" cm="1">
        <f t="array" ref="N2">SUMPRODUCT(('Team Lineups'!$K$2:$K$154&lt;&gt;"")*('Team Lineups'!$C$2:$C$154=$A2)*COUNTIFS('Team Lineups'!$K$2:$K$154,'Team Lineups'!$K$2:$K$154,'Team Lineups'!$C$2:$C$154,N$1))</f>
        <v>4</v>
      </c>
      <c r="O2" cm="1">
        <f t="array" ref="O2">SUMPRODUCT(('Team Lineups'!$K$2:$K$154&lt;&gt;"")*('Team Lineups'!$C$2:$C$154=$A2)*COUNTIFS('Team Lineups'!$K$2:$K$154,'Team Lineups'!$K$2:$K$154,'Team Lineups'!$C$2:$C$154,O$1))</f>
        <v>1</v>
      </c>
      <c r="P2" cm="1">
        <f t="array" ref="P2">SUMPRODUCT(('Team Lineups'!$K$2:$K$154&lt;&gt;"")*('Team Lineups'!$C$2:$C$154=$A2)*COUNTIFS('Team Lineups'!$K$2:$K$154,'Team Lineups'!$K$2:$K$154,'Team Lineups'!$C$2:$C$154,P$1))</f>
        <v>0</v>
      </c>
      <c r="Q2" cm="1">
        <f t="array" ref="Q2">SUMPRODUCT(('Team Lineups'!$K$2:$K$154&lt;&gt;"")*('Team Lineups'!$C$2:$C$154=$A2)*COUNTIFS('Team Lineups'!$K$2:$K$154,'Team Lineups'!$K$2:$K$154,'Team Lineups'!$C$2:$C$154,Q$1))</f>
        <v>2</v>
      </c>
      <c r="R2" cm="1">
        <f t="array" ref="R2">SUMPRODUCT(('Team Lineups'!$K$2:$K$154&lt;&gt;"")*('Team Lineups'!$C$2:$C$154=$A2)*COUNTIFS('Team Lineups'!$K$2:$K$154,'Team Lineups'!$K$2:$K$154,'Team Lineups'!$C$2:$C$154,R$1))</f>
        <v>0</v>
      </c>
      <c r="S2" cm="1">
        <f t="array" ref="S2">SUMPRODUCT(('Team Lineups'!$K$2:$K$154&lt;&gt;"")*('Team Lineups'!$C$2:$C$154=$A2)*COUNTIFS('Team Lineups'!$K$2:$K$154,'Team Lineups'!$K$2:$K$154,'Team Lineups'!$C$2:$C$154,S$1))</f>
        <v>1</v>
      </c>
      <c r="T2" cm="1">
        <f t="array" ref="T2">SUMPRODUCT(('Team Lineups'!$K$2:$K$154&lt;&gt;"")*('Team Lineups'!$C$2:$C$154=$A2)*COUNTIFS('Team Lineups'!$K$2:$K$154,'Team Lineups'!$K$2:$K$154,'Team Lineups'!$C$2:$C$154,T$1))</f>
        <v>0</v>
      </c>
      <c r="U2" cm="1">
        <f t="array" ref="U2">SUMPRODUCT(('Team Lineups'!$K$2:$K$154&lt;&gt;"")*('Team Lineups'!$C$2:$C$154=$A2)*COUNTIFS('Team Lineups'!$K$2:$K$154,'Team Lineups'!$K$2:$K$154,'Team Lineups'!$C$2:$C$154,U$1))</f>
        <v>0</v>
      </c>
      <c r="V2" cm="1">
        <f t="array" ref="V2">SUMPRODUCT(('Team Lineups'!$K$2:$K$154&lt;&gt;"")*('Team Lineups'!$C$2:$C$154=$A2)*COUNTIFS('Team Lineups'!$K$2:$K$154,'Team Lineups'!$K$2:$K$154,'Team Lineups'!$C$2:$C$154,V$1))</f>
        <v>1</v>
      </c>
      <c r="W2" cm="1">
        <f t="array" ref="W2">SUMPRODUCT(('Team Lineups'!$K$2:$K$154&lt;&gt;"")*('Team Lineups'!$C$2:$C$154=$A2)*COUNTIFS('Team Lineups'!$K$2:$K$154,'Team Lineups'!$K$2:$K$154,'Team Lineups'!$C$2:$C$154,W$1))</f>
        <v>1</v>
      </c>
      <c r="X2" cm="1">
        <f t="array" ref="X2">SUMPRODUCT(('Team Lineups'!$K$2:$K$154&lt;&gt;"")*('Team Lineups'!$C$2:$C$154=$A2)*COUNTIFS('Team Lineups'!$K$2:$K$154,'Team Lineups'!$K$2:$K$154,'Team Lineups'!$C$2:$C$154,X$1))</f>
        <v>1</v>
      </c>
      <c r="Y2" cm="1">
        <f t="array" ref="Y2">SUMPRODUCT(('Team Lineups'!$K$2:$K$154&lt;&gt;"")*('Team Lineups'!$C$2:$C$154=$A2)*COUNTIFS('Team Lineups'!$K$2:$K$154,'Team Lineups'!$K$2:$K$154,'Team Lineups'!$C$2:$C$154,Y$1))</f>
        <v>0</v>
      </c>
      <c r="Z2" cm="1">
        <f t="array" ref="Z2">SUMPRODUCT(('Team Lineups'!$K$2:$K$154&lt;&gt;"")*('Team Lineups'!$C$2:$C$154=$A2)*COUNTIFS('Team Lineups'!$K$2:$K$154,'Team Lineups'!$K$2:$K$154,'Team Lineups'!$C$2:$C$154,Z$1))</f>
        <v>1</v>
      </c>
      <c r="AA2" cm="1">
        <f t="array" ref="AA2">SUMPRODUCT(('Team Lineups'!$K$2:$K$154&lt;&gt;"")*('Team Lineups'!$C$2:$C$154=$A2)*COUNTIFS('Team Lineups'!$K$2:$K$154,'Team Lineups'!$K$2:$K$154,'Team Lineups'!$C$2:$C$154,AA$1))</f>
        <v>1</v>
      </c>
      <c r="AB2" cm="1">
        <f t="array" ref="AB2">SUMPRODUCT(('Team Lineups'!$K$2:$K$154&lt;&gt;"")*('Team Lineups'!$C$2:$C$154=$A2)*COUNTIFS('Team Lineups'!$K$2:$K$154,'Team Lineups'!$K$2:$K$154,'Team Lineups'!$C$2:$C$154,AB$1))</f>
        <v>0</v>
      </c>
      <c r="AC2" cm="1">
        <f t="array" ref="AC2">SUMPRODUCT(('Team Lineups'!$K$2:$K$154&lt;&gt;"")*('Team Lineups'!$C$2:$C$154=$A2)*COUNTIFS('Team Lineups'!$K$2:$K$154,'Team Lineups'!$K$2:$K$154,'Team Lineups'!$C$2:$C$154,AC$1))</f>
        <v>1</v>
      </c>
      <c r="AD2" cm="1">
        <f t="array" ref="AD2">SUMPRODUCT(('Team Lineups'!$K$2:$K$154&lt;&gt;"")*('Team Lineups'!$C$2:$C$154=$A2)*COUNTIFS('Team Lineups'!$K$2:$K$154,'Team Lineups'!$K$2:$K$154,'Team Lineups'!$C$2:$C$154,AD$1))</f>
        <v>1</v>
      </c>
    </row>
    <row r="3" spans="1:100" x14ac:dyDescent="0.35">
      <c r="A3" t="str">
        <v>Gianmarco</v>
      </c>
      <c r="B3" cm="1">
        <f t="array" ref="B3">SUMPRODUCT(('Team Lineups'!$K$2:$K$154&lt;&gt;"")*('Team Lineups'!$C$2:$C$154=$A3)*COUNTIFS('Team Lineups'!$K$2:$K$154,'Team Lineups'!$K$2:$K$154,'Team Lineups'!$C$2:$C$154,B$1))</f>
        <v>4</v>
      </c>
      <c r="C3" t="s">
        <v>77</v>
      </c>
      <c r="D3" cm="1">
        <f t="array" ref="D3">SUMPRODUCT(('Team Lineups'!$K$2:$K$154&lt;&gt;"")*('Team Lineups'!$C$2:$C$154=$A3)*COUNTIFS('Team Lineups'!$K$2:$K$154,'Team Lineups'!$K$2:$K$154,'Team Lineups'!$C$2:$C$154,D$1))</f>
        <v>4</v>
      </c>
      <c r="E3" cm="1">
        <f t="array" ref="E3">SUMPRODUCT(('Team Lineups'!$K$2:$K$154&lt;&gt;"")*('Team Lineups'!$C$2:$C$154=$A3)*COUNTIFS('Team Lineups'!$K$2:$K$154,'Team Lineups'!$K$2:$K$154,'Team Lineups'!$C$2:$C$154,E$1))</f>
        <v>5</v>
      </c>
      <c r="F3" cm="1">
        <f t="array" ref="F3">SUMPRODUCT(('Team Lineups'!$K$2:$K$154&lt;&gt;"")*('Team Lineups'!$C$2:$C$154=$A3)*COUNTIFS('Team Lineups'!$K$2:$K$154,'Team Lineups'!$K$2:$K$154,'Team Lineups'!$C$2:$C$154,F$1))</f>
        <v>2</v>
      </c>
      <c r="G3" cm="1">
        <f t="array" ref="G3">SUMPRODUCT(('Team Lineups'!$K$2:$K$154&lt;&gt;"")*('Team Lineups'!$C$2:$C$154=$A3)*COUNTIFS('Team Lineups'!$K$2:$K$154,'Team Lineups'!$K$2:$K$154,'Team Lineups'!$C$2:$C$154,G$1))</f>
        <v>2</v>
      </c>
      <c r="H3" cm="1">
        <f t="array" ref="H3">SUMPRODUCT(('Team Lineups'!$K$2:$K$154&lt;&gt;"")*('Team Lineups'!$C$2:$C$154=$A3)*COUNTIFS('Team Lineups'!$K$2:$K$154,'Team Lineups'!$K$2:$K$154,'Team Lineups'!$C$2:$C$154,H$1))</f>
        <v>1</v>
      </c>
      <c r="I3" cm="1">
        <f t="array" ref="I3">SUMPRODUCT(('Team Lineups'!$K$2:$K$154&lt;&gt;"")*('Team Lineups'!$C$2:$C$154=$A3)*COUNTIFS('Team Lineups'!$K$2:$K$154,'Team Lineups'!$K$2:$K$154,'Team Lineups'!$C$2:$C$154,I$1))</f>
        <v>2</v>
      </c>
      <c r="J3" cm="1">
        <f t="array" ref="J3">SUMPRODUCT(('Team Lineups'!$K$2:$K$154&lt;&gt;"")*('Team Lineups'!$C$2:$C$154=$A3)*COUNTIFS('Team Lineups'!$K$2:$K$154,'Team Lineups'!$K$2:$K$154,'Team Lineups'!$C$2:$C$154,J$1))</f>
        <v>0</v>
      </c>
      <c r="K3" cm="1">
        <f t="array" ref="K3">SUMPRODUCT(('Team Lineups'!$K$2:$K$154&lt;&gt;"")*('Team Lineups'!$C$2:$C$154=$A3)*COUNTIFS('Team Lineups'!$K$2:$K$154,'Team Lineups'!$K$2:$K$154,'Team Lineups'!$C$2:$C$154,K$1))</f>
        <v>0</v>
      </c>
      <c r="L3" cm="1">
        <f t="array" ref="L3">SUMPRODUCT(('Team Lineups'!$K$2:$K$154&lt;&gt;"")*('Team Lineups'!$C$2:$C$154=$A3)*COUNTIFS('Team Lineups'!$K$2:$K$154,'Team Lineups'!$K$2:$K$154,'Team Lineups'!$C$2:$C$154,L$1))</f>
        <v>3</v>
      </c>
      <c r="M3" cm="1">
        <f t="array" ref="M3">SUMPRODUCT(('Team Lineups'!$K$2:$K$154&lt;&gt;"")*('Team Lineups'!$C$2:$C$154=$A3)*COUNTIFS('Team Lineups'!$K$2:$K$154,'Team Lineups'!$K$2:$K$154,'Team Lineups'!$C$2:$C$154,M$1))</f>
        <v>0</v>
      </c>
      <c r="N3" cm="1">
        <f t="array" ref="N3">SUMPRODUCT(('Team Lineups'!$K$2:$K$154&lt;&gt;"")*('Team Lineups'!$C$2:$C$154=$A3)*COUNTIFS('Team Lineups'!$K$2:$K$154,'Team Lineups'!$K$2:$K$154,'Team Lineups'!$C$2:$C$154,N$1))</f>
        <v>3</v>
      </c>
      <c r="O3" cm="1">
        <f t="array" ref="O3">SUMPRODUCT(('Team Lineups'!$K$2:$K$154&lt;&gt;"")*('Team Lineups'!$C$2:$C$154=$A3)*COUNTIFS('Team Lineups'!$K$2:$K$154,'Team Lineups'!$K$2:$K$154,'Team Lineups'!$C$2:$C$154,O$1))</f>
        <v>2</v>
      </c>
      <c r="P3" cm="1">
        <f t="array" ref="P3">SUMPRODUCT(('Team Lineups'!$K$2:$K$154&lt;&gt;"")*('Team Lineups'!$C$2:$C$154=$A3)*COUNTIFS('Team Lineups'!$K$2:$K$154,'Team Lineups'!$K$2:$K$154,'Team Lineups'!$C$2:$C$154,P$1))</f>
        <v>1</v>
      </c>
      <c r="Q3" cm="1">
        <f t="array" ref="Q3">SUMPRODUCT(('Team Lineups'!$K$2:$K$154&lt;&gt;"")*('Team Lineups'!$C$2:$C$154=$A3)*COUNTIFS('Team Lineups'!$K$2:$K$154,'Team Lineups'!$K$2:$K$154,'Team Lineups'!$C$2:$C$154,Q$1))</f>
        <v>2</v>
      </c>
      <c r="R3" cm="1">
        <f t="array" ref="R3">SUMPRODUCT(('Team Lineups'!$K$2:$K$154&lt;&gt;"")*('Team Lineups'!$C$2:$C$154=$A3)*COUNTIFS('Team Lineups'!$K$2:$K$154,'Team Lineups'!$K$2:$K$154,'Team Lineups'!$C$2:$C$154,R$1))</f>
        <v>0</v>
      </c>
      <c r="S3" cm="1">
        <f t="array" ref="S3">SUMPRODUCT(('Team Lineups'!$K$2:$K$154&lt;&gt;"")*('Team Lineups'!$C$2:$C$154=$A3)*COUNTIFS('Team Lineups'!$K$2:$K$154,'Team Lineups'!$K$2:$K$154,'Team Lineups'!$C$2:$C$154,S$1))</f>
        <v>0</v>
      </c>
      <c r="T3" cm="1">
        <f t="array" ref="T3">SUMPRODUCT(('Team Lineups'!$K$2:$K$154&lt;&gt;"")*('Team Lineups'!$C$2:$C$154=$A3)*COUNTIFS('Team Lineups'!$K$2:$K$154,'Team Lineups'!$K$2:$K$154,'Team Lineups'!$C$2:$C$154,T$1))</f>
        <v>0</v>
      </c>
      <c r="U3" cm="1">
        <f t="array" ref="U3">SUMPRODUCT(('Team Lineups'!$K$2:$K$154&lt;&gt;"")*('Team Lineups'!$C$2:$C$154=$A3)*COUNTIFS('Team Lineups'!$K$2:$K$154,'Team Lineups'!$K$2:$K$154,'Team Lineups'!$C$2:$C$154,U$1))</f>
        <v>0</v>
      </c>
      <c r="V3" cm="1">
        <f t="array" ref="V3">SUMPRODUCT(('Team Lineups'!$K$2:$K$154&lt;&gt;"")*('Team Lineups'!$C$2:$C$154=$A3)*COUNTIFS('Team Lineups'!$K$2:$K$154,'Team Lineups'!$K$2:$K$154,'Team Lineups'!$C$2:$C$154,V$1))</f>
        <v>2</v>
      </c>
      <c r="W3" cm="1">
        <f t="array" ref="W3">SUMPRODUCT(('Team Lineups'!$K$2:$K$154&lt;&gt;"")*('Team Lineups'!$C$2:$C$154=$A3)*COUNTIFS('Team Lineups'!$K$2:$K$154,'Team Lineups'!$K$2:$K$154,'Team Lineups'!$C$2:$C$154,W$1))</f>
        <v>0</v>
      </c>
      <c r="X3" cm="1">
        <f t="array" ref="X3">SUMPRODUCT(('Team Lineups'!$K$2:$K$154&lt;&gt;"")*('Team Lineups'!$C$2:$C$154=$A3)*COUNTIFS('Team Lineups'!$K$2:$K$154,'Team Lineups'!$K$2:$K$154,'Team Lineups'!$C$2:$C$154,X$1))</f>
        <v>0</v>
      </c>
      <c r="Y3" cm="1">
        <f t="array" ref="Y3">SUMPRODUCT(('Team Lineups'!$K$2:$K$154&lt;&gt;"")*('Team Lineups'!$C$2:$C$154=$A3)*COUNTIFS('Team Lineups'!$K$2:$K$154,'Team Lineups'!$K$2:$K$154,'Team Lineups'!$C$2:$C$154,Y$1))</f>
        <v>0</v>
      </c>
      <c r="Z3" cm="1">
        <f t="array" ref="Z3">SUMPRODUCT(('Team Lineups'!$K$2:$K$154&lt;&gt;"")*('Team Lineups'!$C$2:$C$154=$A3)*COUNTIFS('Team Lineups'!$K$2:$K$154,'Team Lineups'!$K$2:$K$154,'Team Lineups'!$C$2:$C$154,Z$1))</f>
        <v>0</v>
      </c>
      <c r="AA3" cm="1">
        <f t="array" ref="AA3">SUMPRODUCT(('Team Lineups'!$K$2:$K$154&lt;&gt;"")*('Team Lineups'!$C$2:$C$154=$A3)*COUNTIFS('Team Lineups'!$K$2:$K$154,'Team Lineups'!$K$2:$K$154,'Team Lineups'!$C$2:$C$154,AA$1))</f>
        <v>3</v>
      </c>
      <c r="AB3" cm="1">
        <f t="array" ref="AB3">SUMPRODUCT(('Team Lineups'!$K$2:$K$154&lt;&gt;"")*('Team Lineups'!$C$2:$C$154=$A3)*COUNTIFS('Team Lineups'!$K$2:$K$154,'Team Lineups'!$K$2:$K$154,'Team Lineups'!$C$2:$C$154,AB$1))</f>
        <v>1</v>
      </c>
      <c r="AC3" cm="1">
        <f t="array" ref="AC3">SUMPRODUCT(('Team Lineups'!$K$2:$K$154&lt;&gt;"")*('Team Lineups'!$C$2:$C$154=$A3)*COUNTIFS('Team Lineups'!$K$2:$K$154,'Team Lineups'!$K$2:$K$154,'Team Lineups'!$C$2:$C$154,AC$1))</f>
        <v>1</v>
      </c>
      <c r="AD3" cm="1">
        <f t="array" ref="AD3">SUMPRODUCT(('Team Lineups'!$K$2:$K$154&lt;&gt;"")*('Team Lineups'!$C$2:$C$154=$A3)*COUNTIFS('Team Lineups'!$K$2:$K$154,'Team Lineups'!$K$2:$K$154,'Team Lineups'!$C$2:$C$154,AD$1))</f>
        <v>0</v>
      </c>
    </row>
    <row r="4" spans="1:100" x14ac:dyDescent="0.35">
      <c r="A4" t="str">
        <v>Musta</v>
      </c>
      <c r="B4" cm="1">
        <f t="array" ref="B4">SUMPRODUCT(('Team Lineups'!$K$2:$K$154&lt;&gt;"")*('Team Lineups'!$C$2:$C$154=$A4)*COUNTIFS('Team Lineups'!$K$2:$K$154,'Team Lineups'!$K$2:$K$154,'Team Lineups'!$C$2:$C$154,B$1))</f>
        <v>3</v>
      </c>
      <c r="C4" cm="1">
        <f t="array" ref="C4">SUMPRODUCT(('Team Lineups'!$K$2:$K$154&lt;&gt;"")*('Team Lineups'!$C$2:$C$154=$A4)*COUNTIFS('Team Lineups'!$K$2:$K$154,'Team Lineups'!$K$2:$K$154,'Team Lineups'!$C$2:$C$154,C$1))</f>
        <v>4</v>
      </c>
      <c r="D4" t="s">
        <v>77</v>
      </c>
      <c r="E4" cm="1">
        <f t="array" ref="E4">SUMPRODUCT(('Team Lineups'!$K$2:$K$154&lt;&gt;"")*('Team Lineups'!$C$2:$C$154=$A4)*COUNTIFS('Team Lineups'!$K$2:$K$154,'Team Lineups'!$K$2:$K$154,'Team Lineups'!$C$2:$C$154,E$1))</f>
        <v>5</v>
      </c>
      <c r="F4" cm="1">
        <f t="array" ref="F4">SUMPRODUCT(('Team Lineups'!$K$2:$K$154&lt;&gt;"")*('Team Lineups'!$C$2:$C$154=$A4)*COUNTIFS('Team Lineups'!$K$2:$K$154,'Team Lineups'!$K$2:$K$154,'Team Lineups'!$C$2:$C$154,F$1))</f>
        <v>6</v>
      </c>
      <c r="G4" cm="1">
        <f t="array" ref="G4">SUMPRODUCT(('Team Lineups'!$K$2:$K$154&lt;&gt;"")*('Team Lineups'!$C$2:$C$154=$A4)*COUNTIFS('Team Lineups'!$K$2:$K$154,'Team Lineups'!$K$2:$K$154,'Team Lineups'!$C$2:$C$154,G$1))</f>
        <v>1</v>
      </c>
      <c r="H4" cm="1">
        <f t="array" ref="H4">SUMPRODUCT(('Team Lineups'!$K$2:$K$154&lt;&gt;"")*('Team Lineups'!$C$2:$C$154=$A4)*COUNTIFS('Team Lineups'!$K$2:$K$154,'Team Lineups'!$K$2:$K$154,'Team Lineups'!$C$2:$C$154,H$1))</f>
        <v>2</v>
      </c>
      <c r="I4" cm="1">
        <f t="array" ref="I4">SUMPRODUCT(('Team Lineups'!$K$2:$K$154&lt;&gt;"")*('Team Lineups'!$C$2:$C$154=$A4)*COUNTIFS('Team Lineups'!$K$2:$K$154,'Team Lineups'!$K$2:$K$154,'Team Lineups'!$C$2:$C$154,I$1))</f>
        <v>3</v>
      </c>
      <c r="J4" cm="1">
        <f t="array" ref="J4">SUMPRODUCT(('Team Lineups'!$K$2:$K$154&lt;&gt;"")*('Team Lineups'!$C$2:$C$154=$A4)*COUNTIFS('Team Lineups'!$K$2:$K$154,'Team Lineups'!$K$2:$K$154,'Team Lineups'!$C$2:$C$154,J$1))</f>
        <v>0</v>
      </c>
      <c r="K4" cm="1">
        <f t="array" ref="K4">SUMPRODUCT(('Team Lineups'!$K$2:$K$154&lt;&gt;"")*('Team Lineups'!$C$2:$C$154=$A4)*COUNTIFS('Team Lineups'!$K$2:$K$154,'Team Lineups'!$K$2:$K$154,'Team Lineups'!$C$2:$C$154,K$1))</f>
        <v>0</v>
      </c>
      <c r="L4" cm="1">
        <f t="array" ref="L4">SUMPRODUCT(('Team Lineups'!$K$2:$K$154&lt;&gt;"")*('Team Lineups'!$C$2:$C$154=$A4)*COUNTIFS('Team Lineups'!$K$2:$K$154,'Team Lineups'!$K$2:$K$154,'Team Lineups'!$C$2:$C$154,L$1))</f>
        <v>5</v>
      </c>
      <c r="M4" cm="1">
        <f t="array" ref="M4">SUMPRODUCT(('Team Lineups'!$K$2:$K$154&lt;&gt;"")*('Team Lineups'!$C$2:$C$154=$A4)*COUNTIFS('Team Lineups'!$K$2:$K$154,'Team Lineups'!$K$2:$K$154,'Team Lineups'!$C$2:$C$154,M$1))</f>
        <v>3</v>
      </c>
      <c r="N4" cm="1">
        <f t="array" ref="N4">SUMPRODUCT(('Team Lineups'!$K$2:$K$154&lt;&gt;"")*('Team Lineups'!$C$2:$C$154=$A4)*COUNTIFS('Team Lineups'!$K$2:$K$154,'Team Lineups'!$K$2:$K$154,'Team Lineups'!$C$2:$C$154,N$1))</f>
        <v>4</v>
      </c>
      <c r="O4" cm="1">
        <f t="array" ref="O4">SUMPRODUCT(('Team Lineups'!$K$2:$K$154&lt;&gt;"")*('Team Lineups'!$C$2:$C$154=$A4)*COUNTIFS('Team Lineups'!$K$2:$K$154,'Team Lineups'!$K$2:$K$154,'Team Lineups'!$C$2:$C$154,O$1))</f>
        <v>3</v>
      </c>
      <c r="P4" cm="1">
        <f t="array" ref="P4">SUMPRODUCT(('Team Lineups'!$K$2:$K$154&lt;&gt;"")*('Team Lineups'!$C$2:$C$154=$A4)*COUNTIFS('Team Lineups'!$K$2:$K$154,'Team Lineups'!$K$2:$K$154,'Team Lineups'!$C$2:$C$154,P$1))</f>
        <v>2</v>
      </c>
      <c r="Q4" cm="1">
        <f t="array" ref="Q4">SUMPRODUCT(('Team Lineups'!$K$2:$K$154&lt;&gt;"")*('Team Lineups'!$C$2:$C$154=$A4)*COUNTIFS('Team Lineups'!$K$2:$K$154,'Team Lineups'!$K$2:$K$154,'Team Lineups'!$C$2:$C$154,Q$1))</f>
        <v>2</v>
      </c>
      <c r="R4" cm="1">
        <f t="array" ref="R4">SUMPRODUCT(('Team Lineups'!$K$2:$K$154&lt;&gt;"")*('Team Lineups'!$C$2:$C$154=$A4)*COUNTIFS('Team Lineups'!$K$2:$K$154,'Team Lineups'!$K$2:$K$154,'Team Lineups'!$C$2:$C$154,R$1))</f>
        <v>2</v>
      </c>
      <c r="S4" cm="1">
        <f t="array" ref="S4">SUMPRODUCT(('Team Lineups'!$K$2:$K$154&lt;&gt;"")*('Team Lineups'!$C$2:$C$154=$A4)*COUNTIFS('Team Lineups'!$K$2:$K$154,'Team Lineups'!$K$2:$K$154,'Team Lineups'!$C$2:$C$154,S$1))</f>
        <v>1</v>
      </c>
      <c r="T4" cm="1">
        <f t="array" ref="T4">SUMPRODUCT(('Team Lineups'!$K$2:$K$154&lt;&gt;"")*('Team Lineups'!$C$2:$C$154=$A4)*COUNTIFS('Team Lineups'!$K$2:$K$154,'Team Lineups'!$K$2:$K$154,'Team Lineups'!$C$2:$C$154,T$1))</f>
        <v>1</v>
      </c>
      <c r="U4" cm="1">
        <f t="array" ref="U4">SUMPRODUCT(('Team Lineups'!$K$2:$K$154&lt;&gt;"")*('Team Lineups'!$C$2:$C$154=$A4)*COUNTIFS('Team Lineups'!$K$2:$K$154,'Team Lineups'!$K$2:$K$154,'Team Lineups'!$C$2:$C$154,U$1))</f>
        <v>1</v>
      </c>
      <c r="V4" cm="1">
        <f t="array" ref="V4">SUMPRODUCT(('Team Lineups'!$K$2:$K$154&lt;&gt;"")*('Team Lineups'!$C$2:$C$154=$A4)*COUNTIFS('Team Lineups'!$K$2:$K$154,'Team Lineups'!$K$2:$K$154,'Team Lineups'!$C$2:$C$154,V$1))</f>
        <v>2</v>
      </c>
      <c r="W4" cm="1">
        <f t="array" ref="W4">SUMPRODUCT(('Team Lineups'!$K$2:$K$154&lt;&gt;"")*('Team Lineups'!$C$2:$C$154=$A4)*COUNTIFS('Team Lineups'!$K$2:$K$154,'Team Lineups'!$K$2:$K$154,'Team Lineups'!$C$2:$C$154,W$1))</f>
        <v>0</v>
      </c>
      <c r="X4" cm="1">
        <f t="array" ref="X4">SUMPRODUCT(('Team Lineups'!$K$2:$K$154&lt;&gt;"")*('Team Lineups'!$C$2:$C$154=$A4)*COUNTIFS('Team Lineups'!$K$2:$K$154,'Team Lineups'!$K$2:$K$154,'Team Lineups'!$C$2:$C$154,X$1))</f>
        <v>0</v>
      </c>
      <c r="Y4" cm="1">
        <f t="array" ref="Y4">SUMPRODUCT(('Team Lineups'!$K$2:$K$154&lt;&gt;"")*('Team Lineups'!$C$2:$C$154=$A4)*COUNTIFS('Team Lineups'!$K$2:$K$154,'Team Lineups'!$K$2:$K$154,'Team Lineups'!$C$2:$C$154,Y$1))</f>
        <v>0</v>
      </c>
      <c r="Z4" cm="1">
        <f t="array" ref="Z4">SUMPRODUCT(('Team Lineups'!$K$2:$K$154&lt;&gt;"")*('Team Lineups'!$C$2:$C$154=$A4)*COUNTIFS('Team Lineups'!$K$2:$K$154,'Team Lineups'!$K$2:$K$154,'Team Lineups'!$C$2:$C$154,Z$1))</f>
        <v>0</v>
      </c>
      <c r="AA4" cm="1">
        <f t="array" ref="AA4">SUMPRODUCT(('Team Lineups'!$K$2:$K$154&lt;&gt;"")*('Team Lineups'!$C$2:$C$154=$A4)*COUNTIFS('Team Lineups'!$K$2:$K$154,'Team Lineups'!$K$2:$K$154,'Team Lineups'!$C$2:$C$154,AA$1))</f>
        <v>3</v>
      </c>
      <c r="AB4" cm="1">
        <f t="array" ref="AB4">SUMPRODUCT(('Team Lineups'!$K$2:$K$154&lt;&gt;"")*('Team Lineups'!$C$2:$C$154=$A4)*COUNTIFS('Team Lineups'!$K$2:$K$154,'Team Lineups'!$K$2:$K$154,'Team Lineups'!$C$2:$C$154,AB$1))</f>
        <v>1</v>
      </c>
      <c r="AC4" cm="1">
        <f t="array" ref="AC4">SUMPRODUCT(('Team Lineups'!$K$2:$K$154&lt;&gt;"")*('Team Lineups'!$C$2:$C$154=$A4)*COUNTIFS('Team Lineups'!$K$2:$K$154,'Team Lineups'!$K$2:$K$154,'Team Lineups'!$C$2:$C$154,AC$1))</f>
        <v>0</v>
      </c>
      <c r="AD4" cm="1">
        <f t="array" ref="AD4">SUMPRODUCT(('Team Lineups'!$K$2:$K$154&lt;&gt;"")*('Team Lineups'!$C$2:$C$154=$A4)*COUNTIFS('Team Lineups'!$K$2:$K$154,'Team Lineups'!$K$2:$K$154,'Team Lineups'!$C$2:$C$154,AD$1))</f>
        <v>0</v>
      </c>
    </row>
    <row r="5" spans="1:100" x14ac:dyDescent="0.35">
      <c r="A5" t="str">
        <v>Alessandro D</v>
      </c>
      <c r="B5" cm="1">
        <f t="array" ref="B5">SUMPRODUCT(('Team Lineups'!$K$2:$K$154&lt;&gt;"")*('Team Lineups'!$C$2:$C$154=$A5)*COUNTIFS('Team Lineups'!$K$2:$K$154,'Team Lineups'!$K$2:$K$154,'Team Lineups'!$C$2:$C$154,B$1))</f>
        <v>3</v>
      </c>
      <c r="C5" cm="1">
        <f t="array" ref="C5">SUMPRODUCT(('Team Lineups'!$K$2:$K$154&lt;&gt;"")*('Team Lineups'!$C$2:$C$154=$A5)*COUNTIFS('Team Lineups'!$K$2:$K$154,'Team Lineups'!$K$2:$K$154,'Team Lineups'!$C$2:$C$154,C$1))</f>
        <v>5</v>
      </c>
      <c r="D5" cm="1">
        <f t="array" ref="D5">SUMPRODUCT(('Team Lineups'!$K$2:$K$154&lt;&gt;"")*('Team Lineups'!$C$2:$C$154=$A5)*COUNTIFS('Team Lineups'!$K$2:$K$154,'Team Lineups'!$K$2:$K$154,'Team Lineups'!$C$2:$C$154,D$1))</f>
        <v>5</v>
      </c>
      <c r="E5" t="s">
        <v>77</v>
      </c>
      <c r="F5" cm="1">
        <f t="array" ref="F5">SUMPRODUCT(('Team Lineups'!$K$2:$K$154&lt;&gt;"")*('Team Lineups'!$C$2:$C$154=$A5)*COUNTIFS('Team Lineups'!$K$2:$K$154,'Team Lineups'!$K$2:$K$154,'Team Lineups'!$C$2:$C$154,F$1))</f>
        <v>5</v>
      </c>
      <c r="G5" cm="1">
        <f t="array" ref="G5">SUMPRODUCT(('Team Lineups'!$K$2:$K$154&lt;&gt;"")*('Team Lineups'!$C$2:$C$154=$A5)*COUNTIFS('Team Lineups'!$K$2:$K$154,'Team Lineups'!$K$2:$K$154,'Team Lineups'!$C$2:$C$154,G$1))</f>
        <v>3</v>
      </c>
      <c r="H5" cm="1">
        <f t="array" ref="H5">SUMPRODUCT(('Team Lineups'!$K$2:$K$154&lt;&gt;"")*('Team Lineups'!$C$2:$C$154=$A5)*COUNTIFS('Team Lineups'!$K$2:$K$154,'Team Lineups'!$K$2:$K$154,'Team Lineups'!$C$2:$C$154,H$1))</f>
        <v>0</v>
      </c>
      <c r="I5" cm="1">
        <f t="array" ref="I5">SUMPRODUCT(('Team Lineups'!$K$2:$K$154&lt;&gt;"")*('Team Lineups'!$C$2:$C$154=$A5)*COUNTIFS('Team Lineups'!$K$2:$K$154,'Team Lineups'!$K$2:$K$154,'Team Lineups'!$C$2:$C$154,I$1))</f>
        <v>2</v>
      </c>
      <c r="J5" cm="1">
        <f t="array" ref="J5">SUMPRODUCT(('Team Lineups'!$K$2:$K$154&lt;&gt;"")*('Team Lineups'!$C$2:$C$154=$A5)*COUNTIFS('Team Lineups'!$K$2:$K$154,'Team Lineups'!$K$2:$K$154,'Team Lineups'!$C$2:$C$154,J$1))</f>
        <v>0</v>
      </c>
      <c r="K5" cm="1">
        <f t="array" ref="K5">SUMPRODUCT(('Team Lineups'!$K$2:$K$154&lt;&gt;"")*('Team Lineups'!$C$2:$C$154=$A5)*COUNTIFS('Team Lineups'!$K$2:$K$154,'Team Lineups'!$K$2:$K$154,'Team Lineups'!$C$2:$C$154,K$1))</f>
        <v>0</v>
      </c>
      <c r="L5" cm="1">
        <f t="array" ref="L5">SUMPRODUCT(('Team Lineups'!$K$2:$K$154&lt;&gt;"")*('Team Lineups'!$C$2:$C$154=$A5)*COUNTIFS('Team Lineups'!$K$2:$K$154,'Team Lineups'!$K$2:$K$154,'Team Lineups'!$C$2:$C$154,L$1))</f>
        <v>5</v>
      </c>
      <c r="M5" cm="1">
        <f t="array" ref="M5">SUMPRODUCT(('Team Lineups'!$K$2:$K$154&lt;&gt;"")*('Team Lineups'!$C$2:$C$154=$A5)*COUNTIFS('Team Lineups'!$K$2:$K$154,'Team Lineups'!$K$2:$K$154,'Team Lineups'!$C$2:$C$154,M$1))</f>
        <v>2</v>
      </c>
      <c r="N5" cm="1">
        <f t="array" ref="N5">SUMPRODUCT(('Team Lineups'!$K$2:$K$154&lt;&gt;"")*('Team Lineups'!$C$2:$C$154=$A5)*COUNTIFS('Team Lineups'!$K$2:$K$154,'Team Lineups'!$K$2:$K$154,'Team Lineups'!$C$2:$C$154,N$1))</f>
        <v>3</v>
      </c>
      <c r="O5" cm="1">
        <f t="array" ref="O5">SUMPRODUCT(('Team Lineups'!$K$2:$K$154&lt;&gt;"")*('Team Lineups'!$C$2:$C$154=$A5)*COUNTIFS('Team Lineups'!$K$2:$K$154,'Team Lineups'!$K$2:$K$154,'Team Lineups'!$C$2:$C$154,O$1))</f>
        <v>2</v>
      </c>
      <c r="P5" cm="1">
        <f t="array" ref="P5">SUMPRODUCT(('Team Lineups'!$K$2:$K$154&lt;&gt;"")*('Team Lineups'!$C$2:$C$154=$A5)*COUNTIFS('Team Lineups'!$K$2:$K$154,'Team Lineups'!$K$2:$K$154,'Team Lineups'!$C$2:$C$154,P$1))</f>
        <v>1</v>
      </c>
      <c r="Q5" cm="1">
        <f t="array" ref="Q5">SUMPRODUCT(('Team Lineups'!$K$2:$K$154&lt;&gt;"")*('Team Lineups'!$C$2:$C$154=$A5)*COUNTIFS('Team Lineups'!$K$2:$K$154,'Team Lineups'!$K$2:$K$154,'Team Lineups'!$C$2:$C$154,Q$1))</f>
        <v>1</v>
      </c>
      <c r="R5" cm="1">
        <f t="array" ref="R5">SUMPRODUCT(('Team Lineups'!$K$2:$K$154&lt;&gt;"")*('Team Lineups'!$C$2:$C$154=$A5)*COUNTIFS('Team Lineups'!$K$2:$K$154,'Team Lineups'!$K$2:$K$154,'Team Lineups'!$C$2:$C$154,R$1))</f>
        <v>1</v>
      </c>
      <c r="S5" cm="1">
        <f t="array" ref="S5">SUMPRODUCT(('Team Lineups'!$K$2:$K$154&lt;&gt;"")*('Team Lineups'!$C$2:$C$154=$A5)*COUNTIFS('Team Lineups'!$K$2:$K$154,'Team Lineups'!$K$2:$K$154,'Team Lineups'!$C$2:$C$154,S$1))</f>
        <v>1</v>
      </c>
      <c r="T5" cm="1">
        <f t="array" ref="T5">SUMPRODUCT(('Team Lineups'!$K$2:$K$154&lt;&gt;"")*('Team Lineups'!$C$2:$C$154=$A5)*COUNTIFS('Team Lineups'!$K$2:$K$154,'Team Lineups'!$K$2:$K$154,'Team Lineups'!$C$2:$C$154,T$1))</f>
        <v>0</v>
      </c>
      <c r="U5" cm="1">
        <f t="array" ref="U5">SUMPRODUCT(('Team Lineups'!$K$2:$K$154&lt;&gt;"")*('Team Lineups'!$C$2:$C$154=$A5)*COUNTIFS('Team Lineups'!$K$2:$K$154,'Team Lineups'!$K$2:$K$154,'Team Lineups'!$C$2:$C$154,U$1))</f>
        <v>0</v>
      </c>
      <c r="V5" cm="1">
        <f t="array" ref="V5">SUMPRODUCT(('Team Lineups'!$K$2:$K$154&lt;&gt;"")*('Team Lineups'!$C$2:$C$154=$A5)*COUNTIFS('Team Lineups'!$K$2:$K$154,'Team Lineups'!$K$2:$K$154,'Team Lineups'!$C$2:$C$154,V$1))</f>
        <v>2</v>
      </c>
      <c r="W5" cm="1">
        <f t="array" ref="W5">SUMPRODUCT(('Team Lineups'!$K$2:$K$154&lt;&gt;"")*('Team Lineups'!$C$2:$C$154=$A5)*COUNTIFS('Team Lineups'!$K$2:$K$154,'Team Lineups'!$K$2:$K$154,'Team Lineups'!$C$2:$C$154,W$1))</f>
        <v>0</v>
      </c>
      <c r="X5" cm="1">
        <f t="array" ref="X5">SUMPRODUCT(('Team Lineups'!$K$2:$K$154&lt;&gt;"")*('Team Lineups'!$C$2:$C$154=$A5)*COUNTIFS('Team Lineups'!$K$2:$K$154,'Team Lineups'!$K$2:$K$154,'Team Lineups'!$C$2:$C$154,X$1))</f>
        <v>0</v>
      </c>
      <c r="Y5" cm="1">
        <f t="array" ref="Y5">SUMPRODUCT(('Team Lineups'!$K$2:$K$154&lt;&gt;"")*('Team Lineups'!$C$2:$C$154=$A5)*COUNTIFS('Team Lineups'!$K$2:$K$154,'Team Lineups'!$K$2:$K$154,'Team Lineups'!$C$2:$C$154,Y$1))</f>
        <v>0</v>
      </c>
      <c r="Z5" cm="1">
        <f t="array" ref="Z5">SUMPRODUCT(('Team Lineups'!$K$2:$K$154&lt;&gt;"")*('Team Lineups'!$C$2:$C$154=$A5)*COUNTIFS('Team Lineups'!$K$2:$K$154,'Team Lineups'!$K$2:$K$154,'Team Lineups'!$C$2:$C$154,Z$1))</f>
        <v>0</v>
      </c>
      <c r="AA5" cm="1">
        <f t="array" ref="AA5">SUMPRODUCT(('Team Lineups'!$K$2:$K$154&lt;&gt;"")*('Team Lineups'!$C$2:$C$154=$A5)*COUNTIFS('Team Lineups'!$K$2:$K$154,'Team Lineups'!$K$2:$K$154,'Team Lineups'!$C$2:$C$154,AA$1))</f>
        <v>5</v>
      </c>
      <c r="AB5" cm="1">
        <f t="array" ref="AB5">SUMPRODUCT(('Team Lineups'!$K$2:$K$154&lt;&gt;"")*('Team Lineups'!$C$2:$C$154=$A5)*COUNTIFS('Team Lineups'!$K$2:$K$154,'Team Lineups'!$K$2:$K$154,'Team Lineups'!$C$2:$C$154,AB$1))</f>
        <v>1</v>
      </c>
      <c r="AC5" cm="1">
        <f t="array" ref="AC5">SUMPRODUCT(('Team Lineups'!$K$2:$K$154&lt;&gt;"")*('Team Lineups'!$C$2:$C$154=$A5)*COUNTIFS('Team Lineups'!$K$2:$K$154,'Team Lineups'!$K$2:$K$154,'Team Lineups'!$C$2:$C$154,AC$1))</f>
        <v>1</v>
      </c>
      <c r="AD5" cm="1">
        <f t="array" ref="AD5">SUMPRODUCT(('Team Lineups'!$K$2:$K$154&lt;&gt;"")*('Team Lineups'!$C$2:$C$154=$A5)*COUNTIFS('Team Lineups'!$K$2:$K$154,'Team Lineups'!$K$2:$K$154,'Team Lineups'!$C$2:$C$154,AD$1))</f>
        <v>0</v>
      </c>
    </row>
    <row r="6" spans="1:100" x14ac:dyDescent="0.35">
      <c r="A6" t="str">
        <v>Andreadb</v>
      </c>
      <c r="B6" cm="1">
        <f t="array" ref="B6">SUMPRODUCT(('Team Lineups'!$K$2:$K$154&lt;&gt;"")*('Team Lineups'!$C$2:$C$154=$A6)*COUNTIFS('Team Lineups'!$K$2:$K$154,'Team Lineups'!$K$2:$K$154,'Team Lineups'!$C$2:$C$154,B$1))</f>
        <v>2</v>
      </c>
      <c r="C6" cm="1">
        <f t="array" ref="C6">SUMPRODUCT(('Team Lineups'!$K$2:$K$154&lt;&gt;"")*('Team Lineups'!$C$2:$C$154=$A6)*COUNTIFS('Team Lineups'!$K$2:$K$154,'Team Lineups'!$K$2:$K$154,'Team Lineups'!$C$2:$C$154,C$1))</f>
        <v>2</v>
      </c>
      <c r="D6" cm="1">
        <f t="array" ref="D6">SUMPRODUCT(('Team Lineups'!$K$2:$K$154&lt;&gt;"")*('Team Lineups'!$C$2:$C$154=$A6)*COUNTIFS('Team Lineups'!$K$2:$K$154,'Team Lineups'!$K$2:$K$154,'Team Lineups'!$C$2:$C$154,D$1))</f>
        <v>6</v>
      </c>
      <c r="E6" cm="1">
        <f t="array" ref="E6">SUMPRODUCT(('Team Lineups'!$K$2:$K$154&lt;&gt;"")*('Team Lineups'!$C$2:$C$154=$A6)*COUNTIFS('Team Lineups'!$K$2:$K$154,'Team Lineups'!$K$2:$K$154,'Team Lineups'!$C$2:$C$154,E$1))</f>
        <v>5</v>
      </c>
      <c r="F6" t="s">
        <v>77</v>
      </c>
      <c r="G6" cm="1">
        <f t="array" ref="G6">SUMPRODUCT(('Team Lineups'!$K$2:$K$154&lt;&gt;"")*('Team Lineups'!$C$2:$C$154=$A6)*COUNTIFS('Team Lineups'!$K$2:$K$154,'Team Lineups'!$K$2:$K$154,'Team Lineups'!$C$2:$C$154,G$1))</f>
        <v>1</v>
      </c>
      <c r="H6" cm="1">
        <f t="array" ref="H6">SUMPRODUCT(('Team Lineups'!$K$2:$K$154&lt;&gt;"")*('Team Lineups'!$C$2:$C$154=$A6)*COUNTIFS('Team Lineups'!$K$2:$K$154,'Team Lineups'!$K$2:$K$154,'Team Lineups'!$C$2:$C$154,H$1))</f>
        <v>2</v>
      </c>
      <c r="I6" cm="1">
        <f t="array" ref="I6">SUMPRODUCT(('Team Lineups'!$K$2:$K$154&lt;&gt;"")*('Team Lineups'!$C$2:$C$154=$A6)*COUNTIFS('Team Lineups'!$K$2:$K$154,'Team Lineups'!$K$2:$K$154,'Team Lineups'!$C$2:$C$154,I$1))</f>
        <v>4</v>
      </c>
      <c r="J6" cm="1">
        <f t="array" ref="J6">SUMPRODUCT(('Team Lineups'!$K$2:$K$154&lt;&gt;"")*('Team Lineups'!$C$2:$C$154=$A6)*COUNTIFS('Team Lineups'!$K$2:$K$154,'Team Lineups'!$K$2:$K$154,'Team Lineups'!$C$2:$C$154,J$1))</f>
        <v>0</v>
      </c>
      <c r="K6" cm="1">
        <f t="array" ref="K6">SUMPRODUCT(('Team Lineups'!$K$2:$K$154&lt;&gt;"")*('Team Lineups'!$C$2:$C$154=$A6)*COUNTIFS('Team Lineups'!$K$2:$K$154,'Team Lineups'!$K$2:$K$154,'Team Lineups'!$C$2:$C$154,K$1))</f>
        <v>0</v>
      </c>
      <c r="L6" cm="1">
        <f t="array" ref="L6">SUMPRODUCT(('Team Lineups'!$K$2:$K$154&lt;&gt;"")*('Team Lineups'!$C$2:$C$154=$A6)*COUNTIFS('Team Lineups'!$K$2:$K$154,'Team Lineups'!$K$2:$K$154,'Team Lineups'!$C$2:$C$154,L$1))</f>
        <v>5</v>
      </c>
      <c r="M6" cm="1">
        <f t="array" ref="M6">SUMPRODUCT(('Team Lineups'!$K$2:$K$154&lt;&gt;"")*('Team Lineups'!$C$2:$C$154=$A6)*COUNTIFS('Team Lineups'!$K$2:$K$154,'Team Lineups'!$K$2:$K$154,'Team Lineups'!$C$2:$C$154,M$1))</f>
        <v>6</v>
      </c>
      <c r="N6" cm="1">
        <f t="array" ref="N6">SUMPRODUCT(('Team Lineups'!$K$2:$K$154&lt;&gt;"")*('Team Lineups'!$C$2:$C$154=$A6)*COUNTIFS('Team Lineups'!$K$2:$K$154,'Team Lineups'!$K$2:$K$154,'Team Lineups'!$C$2:$C$154,N$1))</f>
        <v>1</v>
      </c>
      <c r="O6" cm="1">
        <f t="array" ref="O6">SUMPRODUCT(('Team Lineups'!$K$2:$K$154&lt;&gt;"")*('Team Lineups'!$C$2:$C$154=$A6)*COUNTIFS('Team Lineups'!$K$2:$K$154,'Team Lineups'!$K$2:$K$154,'Team Lineups'!$C$2:$C$154,O$1))</f>
        <v>3</v>
      </c>
      <c r="P6" cm="1">
        <f t="array" ref="P6">SUMPRODUCT(('Team Lineups'!$K$2:$K$154&lt;&gt;"")*('Team Lineups'!$C$2:$C$154=$A6)*COUNTIFS('Team Lineups'!$K$2:$K$154,'Team Lineups'!$K$2:$K$154,'Team Lineups'!$C$2:$C$154,P$1))</f>
        <v>2</v>
      </c>
      <c r="Q6" cm="1">
        <f t="array" ref="Q6">SUMPRODUCT(('Team Lineups'!$K$2:$K$154&lt;&gt;"")*('Team Lineups'!$C$2:$C$154=$A6)*COUNTIFS('Team Lineups'!$K$2:$K$154,'Team Lineups'!$K$2:$K$154,'Team Lineups'!$C$2:$C$154,Q$1))</f>
        <v>3</v>
      </c>
      <c r="R6" cm="1">
        <f t="array" ref="R6">SUMPRODUCT(('Team Lineups'!$K$2:$K$154&lt;&gt;"")*('Team Lineups'!$C$2:$C$154=$A6)*COUNTIFS('Team Lineups'!$K$2:$K$154,'Team Lineups'!$K$2:$K$154,'Team Lineups'!$C$2:$C$154,R$1))</f>
        <v>5</v>
      </c>
      <c r="S6" cm="1">
        <f t="array" ref="S6">SUMPRODUCT(('Team Lineups'!$K$2:$K$154&lt;&gt;"")*('Team Lineups'!$C$2:$C$154=$A6)*COUNTIFS('Team Lineups'!$K$2:$K$154,'Team Lineups'!$K$2:$K$154,'Team Lineups'!$C$2:$C$154,S$1))</f>
        <v>3</v>
      </c>
      <c r="T6" cm="1">
        <f t="array" ref="T6">SUMPRODUCT(('Team Lineups'!$K$2:$K$154&lt;&gt;"")*('Team Lineups'!$C$2:$C$154=$A6)*COUNTIFS('Team Lineups'!$K$2:$K$154,'Team Lineups'!$K$2:$K$154,'Team Lineups'!$C$2:$C$154,T$1))</f>
        <v>0</v>
      </c>
      <c r="U6" cm="1">
        <f t="array" ref="U6">SUMPRODUCT(('Team Lineups'!$K$2:$K$154&lt;&gt;"")*('Team Lineups'!$C$2:$C$154=$A6)*COUNTIFS('Team Lineups'!$K$2:$K$154,'Team Lineups'!$K$2:$K$154,'Team Lineups'!$C$2:$C$154,U$1))</f>
        <v>0</v>
      </c>
      <c r="V6" cm="1">
        <f t="array" ref="V6">SUMPRODUCT(('Team Lineups'!$K$2:$K$154&lt;&gt;"")*('Team Lineups'!$C$2:$C$154=$A6)*COUNTIFS('Team Lineups'!$K$2:$K$154,'Team Lineups'!$K$2:$K$154,'Team Lineups'!$C$2:$C$154,V$1))</f>
        <v>0</v>
      </c>
      <c r="W6" cm="1">
        <f t="array" ref="W6">SUMPRODUCT(('Team Lineups'!$K$2:$K$154&lt;&gt;"")*('Team Lineups'!$C$2:$C$154=$A6)*COUNTIFS('Team Lineups'!$K$2:$K$154,'Team Lineups'!$K$2:$K$154,'Team Lineups'!$C$2:$C$154,W$1))</f>
        <v>1</v>
      </c>
      <c r="X6" cm="1">
        <f t="array" ref="X6">SUMPRODUCT(('Team Lineups'!$K$2:$K$154&lt;&gt;"")*('Team Lineups'!$C$2:$C$154=$A6)*COUNTIFS('Team Lineups'!$K$2:$K$154,'Team Lineups'!$K$2:$K$154,'Team Lineups'!$C$2:$C$154,X$1))</f>
        <v>1</v>
      </c>
      <c r="Y6" cm="1">
        <f t="array" ref="Y6">SUMPRODUCT(('Team Lineups'!$K$2:$K$154&lt;&gt;"")*('Team Lineups'!$C$2:$C$154=$A6)*COUNTIFS('Team Lineups'!$K$2:$K$154,'Team Lineups'!$K$2:$K$154,'Team Lineups'!$C$2:$C$154,Y$1))</f>
        <v>0</v>
      </c>
      <c r="Z6" cm="1">
        <f t="array" ref="Z6">SUMPRODUCT(('Team Lineups'!$K$2:$K$154&lt;&gt;"")*('Team Lineups'!$C$2:$C$154=$A6)*COUNTIFS('Team Lineups'!$K$2:$K$154,'Team Lineups'!$K$2:$K$154,'Team Lineups'!$C$2:$C$154,Z$1))</f>
        <v>2</v>
      </c>
      <c r="AA6" cm="1">
        <f t="array" ref="AA6">SUMPRODUCT(('Team Lineups'!$K$2:$K$154&lt;&gt;"")*('Team Lineups'!$C$2:$C$154=$A6)*COUNTIFS('Team Lineups'!$K$2:$K$154,'Team Lineups'!$K$2:$K$154,'Team Lineups'!$C$2:$C$154,AA$1))</f>
        <v>4</v>
      </c>
      <c r="AB6" cm="1">
        <f t="array" ref="AB6">SUMPRODUCT(('Team Lineups'!$K$2:$K$154&lt;&gt;"")*('Team Lineups'!$C$2:$C$154=$A6)*COUNTIFS('Team Lineups'!$K$2:$K$154,'Team Lineups'!$K$2:$K$154,'Team Lineups'!$C$2:$C$154,AB$1))</f>
        <v>1</v>
      </c>
      <c r="AC6" cm="1">
        <f t="array" ref="AC6">SUMPRODUCT(('Team Lineups'!$K$2:$K$154&lt;&gt;"")*('Team Lineups'!$C$2:$C$154=$A6)*COUNTIFS('Team Lineups'!$K$2:$K$154,'Team Lineups'!$K$2:$K$154,'Team Lineups'!$C$2:$C$154,AC$1))</f>
        <v>0</v>
      </c>
      <c r="AD6" cm="1">
        <f t="array" ref="AD6">SUMPRODUCT(('Team Lineups'!$K$2:$K$154&lt;&gt;"")*('Team Lineups'!$C$2:$C$154=$A6)*COUNTIFS('Team Lineups'!$K$2:$K$154,'Team Lineups'!$K$2:$K$154,'Team Lineups'!$C$2:$C$154,AD$1))</f>
        <v>0</v>
      </c>
    </row>
    <row r="7" spans="1:100" x14ac:dyDescent="0.35">
      <c r="A7" t="str">
        <v>Jose</v>
      </c>
      <c r="B7" cm="1">
        <f t="array" ref="B7">SUMPRODUCT(('Team Lineups'!$K$2:$K$154&lt;&gt;"")*('Team Lineups'!$C$2:$C$154=$A7)*COUNTIFS('Team Lineups'!$K$2:$K$154,'Team Lineups'!$K$2:$K$154,'Team Lineups'!$C$2:$C$154,B$1))</f>
        <v>2</v>
      </c>
      <c r="C7" cm="1">
        <f t="array" ref="C7">SUMPRODUCT(('Team Lineups'!$K$2:$K$154&lt;&gt;"")*('Team Lineups'!$C$2:$C$154=$A7)*COUNTIFS('Team Lineups'!$K$2:$K$154,'Team Lineups'!$K$2:$K$154,'Team Lineups'!$C$2:$C$154,C$1))</f>
        <v>2</v>
      </c>
      <c r="D7" cm="1">
        <f t="array" ref="D7">SUMPRODUCT(('Team Lineups'!$K$2:$K$154&lt;&gt;"")*('Team Lineups'!$C$2:$C$154=$A7)*COUNTIFS('Team Lineups'!$K$2:$K$154,'Team Lineups'!$K$2:$K$154,'Team Lineups'!$C$2:$C$154,D$1))</f>
        <v>1</v>
      </c>
      <c r="E7" cm="1">
        <f t="array" ref="E7">SUMPRODUCT(('Team Lineups'!$K$2:$K$154&lt;&gt;"")*('Team Lineups'!$C$2:$C$154=$A7)*COUNTIFS('Team Lineups'!$K$2:$K$154,'Team Lineups'!$K$2:$K$154,'Team Lineups'!$C$2:$C$154,E$1))</f>
        <v>3</v>
      </c>
      <c r="F7" cm="1">
        <f t="array" ref="F7">SUMPRODUCT(('Team Lineups'!$K$2:$K$154&lt;&gt;"")*('Team Lineups'!$C$2:$C$154=$A7)*COUNTIFS('Team Lineups'!$K$2:$K$154,'Team Lineups'!$K$2:$K$154,'Team Lineups'!$C$2:$C$154,F$1))</f>
        <v>1</v>
      </c>
      <c r="G7" t="s">
        <v>77</v>
      </c>
      <c r="H7" cm="1">
        <f t="array" ref="H7">SUMPRODUCT(('Team Lineups'!$K$2:$K$154&lt;&gt;"")*('Team Lineups'!$C$2:$C$154=$A7)*COUNTIFS('Team Lineups'!$K$2:$K$154,'Team Lineups'!$K$2:$K$154,'Team Lineups'!$C$2:$C$154,H$1))</f>
        <v>4</v>
      </c>
      <c r="I7" cm="1">
        <f t="array" ref="I7">SUMPRODUCT(('Team Lineups'!$K$2:$K$154&lt;&gt;"")*('Team Lineups'!$C$2:$C$154=$A7)*COUNTIFS('Team Lineups'!$K$2:$K$154,'Team Lineups'!$K$2:$K$154,'Team Lineups'!$C$2:$C$154,I$1))</f>
        <v>5</v>
      </c>
      <c r="J7" cm="1">
        <f t="array" ref="J7">SUMPRODUCT(('Team Lineups'!$K$2:$K$154&lt;&gt;"")*('Team Lineups'!$C$2:$C$154=$A7)*COUNTIFS('Team Lineups'!$K$2:$K$154,'Team Lineups'!$K$2:$K$154,'Team Lineups'!$C$2:$C$154,J$1))</f>
        <v>2</v>
      </c>
      <c r="K7" cm="1">
        <f t="array" ref="K7">SUMPRODUCT(('Team Lineups'!$K$2:$K$154&lt;&gt;"")*('Team Lineups'!$C$2:$C$154=$A7)*COUNTIFS('Team Lineups'!$K$2:$K$154,'Team Lineups'!$K$2:$K$154,'Team Lineups'!$C$2:$C$154,K$1))</f>
        <v>1</v>
      </c>
      <c r="L7" cm="1">
        <f t="array" ref="L7">SUMPRODUCT(('Team Lineups'!$K$2:$K$154&lt;&gt;"")*('Team Lineups'!$C$2:$C$154=$A7)*COUNTIFS('Team Lineups'!$K$2:$K$154,'Team Lineups'!$K$2:$K$154,'Team Lineups'!$C$2:$C$154,L$1))</f>
        <v>3</v>
      </c>
      <c r="M7" cm="1">
        <f t="array" ref="M7">SUMPRODUCT(('Team Lineups'!$K$2:$K$154&lt;&gt;"")*('Team Lineups'!$C$2:$C$154=$A7)*COUNTIFS('Team Lineups'!$K$2:$K$154,'Team Lineups'!$K$2:$K$154,'Team Lineups'!$C$2:$C$154,M$1))</f>
        <v>5</v>
      </c>
      <c r="N7" cm="1">
        <f t="array" ref="N7">SUMPRODUCT(('Team Lineups'!$K$2:$K$154&lt;&gt;"")*('Team Lineups'!$C$2:$C$154=$A7)*COUNTIFS('Team Lineups'!$K$2:$K$154,'Team Lineups'!$K$2:$K$154,'Team Lineups'!$C$2:$C$154,N$1))</f>
        <v>3</v>
      </c>
      <c r="O7" cm="1">
        <f t="array" ref="O7">SUMPRODUCT(('Team Lineups'!$K$2:$K$154&lt;&gt;"")*('Team Lineups'!$C$2:$C$154=$A7)*COUNTIFS('Team Lineups'!$K$2:$K$154,'Team Lineups'!$K$2:$K$154,'Team Lineups'!$C$2:$C$154,O$1))</f>
        <v>0</v>
      </c>
      <c r="P7" cm="1">
        <f t="array" ref="P7">SUMPRODUCT(('Team Lineups'!$K$2:$K$154&lt;&gt;"")*('Team Lineups'!$C$2:$C$154=$A7)*COUNTIFS('Team Lineups'!$K$2:$K$154,'Team Lineups'!$K$2:$K$154,'Team Lineups'!$C$2:$C$154,P$1))</f>
        <v>1</v>
      </c>
      <c r="Q7" cm="1">
        <f t="array" ref="Q7">SUMPRODUCT(('Team Lineups'!$K$2:$K$154&lt;&gt;"")*('Team Lineups'!$C$2:$C$154=$A7)*COUNTIFS('Team Lineups'!$K$2:$K$154,'Team Lineups'!$K$2:$K$154,'Team Lineups'!$C$2:$C$154,Q$1))</f>
        <v>2</v>
      </c>
      <c r="R7" cm="1">
        <f t="array" ref="R7">SUMPRODUCT(('Team Lineups'!$K$2:$K$154&lt;&gt;"")*('Team Lineups'!$C$2:$C$154=$A7)*COUNTIFS('Team Lineups'!$K$2:$K$154,'Team Lineups'!$K$2:$K$154,'Team Lineups'!$C$2:$C$154,R$1))</f>
        <v>2</v>
      </c>
      <c r="S7" cm="1">
        <f t="array" ref="S7">SUMPRODUCT(('Team Lineups'!$K$2:$K$154&lt;&gt;"")*('Team Lineups'!$C$2:$C$154=$A7)*COUNTIFS('Team Lineups'!$K$2:$K$154,'Team Lineups'!$K$2:$K$154,'Team Lineups'!$C$2:$C$154,S$1))</f>
        <v>3</v>
      </c>
      <c r="T7" cm="1">
        <f t="array" ref="T7">SUMPRODUCT(('Team Lineups'!$K$2:$K$154&lt;&gt;"")*('Team Lineups'!$C$2:$C$154=$A7)*COUNTIFS('Team Lineups'!$K$2:$K$154,'Team Lineups'!$K$2:$K$154,'Team Lineups'!$C$2:$C$154,T$1))</f>
        <v>1</v>
      </c>
      <c r="U7" cm="1">
        <f t="array" ref="U7">SUMPRODUCT(('Team Lineups'!$K$2:$K$154&lt;&gt;"")*('Team Lineups'!$C$2:$C$154=$A7)*COUNTIFS('Team Lineups'!$K$2:$K$154,'Team Lineups'!$K$2:$K$154,'Team Lineups'!$C$2:$C$154,U$1))</f>
        <v>0</v>
      </c>
      <c r="V7" cm="1">
        <f t="array" ref="V7">SUMPRODUCT(('Team Lineups'!$K$2:$K$154&lt;&gt;"")*('Team Lineups'!$C$2:$C$154=$A7)*COUNTIFS('Team Lineups'!$K$2:$K$154,'Team Lineups'!$K$2:$K$154,'Team Lineups'!$C$2:$C$154,V$1))</f>
        <v>2</v>
      </c>
      <c r="W7" cm="1">
        <f t="array" ref="W7">SUMPRODUCT(('Team Lineups'!$K$2:$K$154&lt;&gt;"")*('Team Lineups'!$C$2:$C$154=$A7)*COUNTIFS('Team Lineups'!$K$2:$K$154,'Team Lineups'!$K$2:$K$154,'Team Lineups'!$C$2:$C$154,W$1))</f>
        <v>0</v>
      </c>
      <c r="X7" cm="1">
        <f t="array" ref="X7">SUMPRODUCT(('Team Lineups'!$K$2:$K$154&lt;&gt;"")*('Team Lineups'!$C$2:$C$154=$A7)*COUNTIFS('Team Lineups'!$K$2:$K$154,'Team Lineups'!$K$2:$K$154,'Team Lineups'!$C$2:$C$154,X$1))</f>
        <v>0</v>
      </c>
      <c r="Y7" cm="1">
        <f t="array" ref="Y7">SUMPRODUCT(('Team Lineups'!$K$2:$K$154&lt;&gt;"")*('Team Lineups'!$C$2:$C$154=$A7)*COUNTIFS('Team Lineups'!$K$2:$K$154,'Team Lineups'!$K$2:$K$154,'Team Lineups'!$C$2:$C$154,Y$1))</f>
        <v>0</v>
      </c>
      <c r="Z7" cm="1">
        <f t="array" ref="Z7">SUMPRODUCT(('Team Lineups'!$K$2:$K$154&lt;&gt;"")*('Team Lineups'!$C$2:$C$154=$A7)*COUNTIFS('Team Lineups'!$K$2:$K$154,'Team Lineups'!$K$2:$K$154,'Team Lineups'!$C$2:$C$154,Z$1))</f>
        <v>1</v>
      </c>
      <c r="AA7" cm="1">
        <f t="array" ref="AA7">SUMPRODUCT(('Team Lineups'!$K$2:$K$154&lt;&gt;"")*('Team Lineups'!$C$2:$C$154=$A7)*COUNTIFS('Team Lineups'!$K$2:$K$154,'Team Lineups'!$K$2:$K$154,'Team Lineups'!$C$2:$C$154,AA$1))</f>
        <v>4</v>
      </c>
      <c r="AB7" cm="1">
        <f t="array" ref="AB7">SUMPRODUCT(('Team Lineups'!$K$2:$K$154&lt;&gt;"")*('Team Lineups'!$C$2:$C$154=$A7)*COUNTIFS('Team Lineups'!$K$2:$K$154,'Team Lineups'!$K$2:$K$154,'Team Lineups'!$C$2:$C$154,AB$1))</f>
        <v>2</v>
      </c>
      <c r="AC7" cm="1">
        <f t="array" ref="AC7">SUMPRODUCT(('Team Lineups'!$K$2:$K$154&lt;&gt;"")*('Team Lineups'!$C$2:$C$154=$A7)*COUNTIFS('Team Lineups'!$K$2:$K$154,'Team Lineups'!$K$2:$K$154,'Team Lineups'!$C$2:$C$154,AC$1))</f>
        <v>1</v>
      </c>
      <c r="AD7" cm="1">
        <f t="array" ref="AD7">SUMPRODUCT(('Team Lineups'!$K$2:$K$154&lt;&gt;"")*('Team Lineups'!$C$2:$C$154=$A7)*COUNTIFS('Team Lineups'!$K$2:$K$154,'Team Lineups'!$K$2:$K$154,'Team Lineups'!$C$2:$C$154,AD$1))</f>
        <v>1</v>
      </c>
    </row>
    <row r="8" spans="1:100" x14ac:dyDescent="0.35">
      <c r="A8" t="str">
        <v>Alessandro C</v>
      </c>
      <c r="B8" cm="1">
        <f t="array" ref="B8">SUMPRODUCT(('Team Lineups'!$K$2:$K$154&lt;&gt;"")*('Team Lineups'!$C$2:$C$154=$A8)*COUNTIFS('Team Lineups'!$K$2:$K$154,'Team Lineups'!$K$2:$K$154,'Team Lineups'!$C$2:$C$154,B$1))</f>
        <v>3</v>
      </c>
      <c r="C8" cm="1">
        <f t="array" ref="C8">SUMPRODUCT(('Team Lineups'!$K$2:$K$154&lt;&gt;"")*('Team Lineups'!$C$2:$C$154=$A8)*COUNTIFS('Team Lineups'!$K$2:$K$154,'Team Lineups'!$K$2:$K$154,'Team Lineups'!$C$2:$C$154,C$1))</f>
        <v>1</v>
      </c>
      <c r="D8" cm="1">
        <f t="array" ref="D8">SUMPRODUCT(('Team Lineups'!$K$2:$K$154&lt;&gt;"")*('Team Lineups'!$C$2:$C$154=$A8)*COUNTIFS('Team Lineups'!$K$2:$K$154,'Team Lineups'!$K$2:$K$154,'Team Lineups'!$C$2:$C$154,D$1))</f>
        <v>2</v>
      </c>
      <c r="E8" cm="1">
        <f t="array" ref="E8">SUMPRODUCT(('Team Lineups'!$K$2:$K$154&lt;&gt;"")*('Team Lineups'!$C$2:$C$154=$A8)*COUNTIFS('Team Lineups'!$K$2:$K$154,'Team Lineups'!$K$2:$K$154,'Team Lineups'!$C$2:$C$154,E$1))</f>
        <v>0</v>
      </c>
      <c r="F8" cm="1">
        <f t="array" ref="F8">SUMPRODUCT(('Team Lineups'!$K$2:$K$154&lt;&gt;"")*('Team Lineups'!$C$2:$C$154=$A8)*COUNTIFS('Team Lineups'!$K$2:$K$154,'Team Lineups'!$K$2:$K$154,'Team Lineups'!$C$2:$C$154,F$1))</f>
        <v>2</v>
      </c>
      <c r="G8" cm="1">
        <f t="array" ref="G8">SUMPRODUCT(('Team Lineups'!$K$2:$K$154&lt;&gt;"")*('Team Lineups'!$C$2:$C$154=$A8)*COUNTIFS('Team Lineups'!$K$2:$K$154,'Team Lineups'!$K$2:$K$154,'Team Lineups'!$C$2:$C$154,G$1))</f>
        <v>4</v>
      </c>
      <c r="H8" t="s">
        <v>77</v>
      </c>
      <c r="I8" cm="1">
        <f t="array" ref="I8">SUMPRODUCT(('Team Lineups'!$K$2:$K$154&lt;&gt;"")*('Team Lineups'!$C$2:$C$154=$A8)*COUNTIFS('Team Lineups'!$K$2:$K$154,'Team Lineups'!$K$2:$K$154,'Team Lineups'!$C$2:$C$154,I$1))</f>
        <v>6</v>
      </c>
      <c r="J8" cm="1">
        <f t="array" ref="J8">SUMPRODUCT(('Team Lineups'!$K$2:$K$154&lt;&gt;"")*('Team Lineups'!$C$2:$C$154=$A8)*COUNTIFS('Team Lineups'!$K$2:$K$154,'Team Lineups'!$K$2:$K$154,'Team Lineups'!$C$2:$C$154,J$1))</f>
        <v>2</v>
      </c>
      <c r="K8" cm="1">
        <f t="array" ref="K8">SUMPRODUCT(('Team Lineups'!$K$2:$K$154&lt;&gt;"")*('Team Lineups'!$C$2:$C$154=$A8)*COUNTIFS('Team Lineups'!$K$2:$K$154,'Team Lineups'!$K$2:$K$154,'Team Lineups'!$C$2:$C$154,K$1))</f>
        <v>1</v>
      </c>
      <c r="L8" cm="1">
        <f t="array" ref="L8">SUMPRODUCT(('Team Lineups'!$K$2:$K$154&lt;&gt;"")*('Team Lineups'!$C$2:$C$154=$A8)*COUNTIFS('Team Lineups'!$K$2:$K$154,'Team Lineups'!$K$2:$K$154,'Team Lineups'!$C$2:$C$154,L$1))</f>
        <v>1</v>
      </c>
      <c r="M8" cm="1">
        <f t="array" ref="M8">SUMPRODUCT(('Team Lineups'!$K$2:$K$154&lt;&gt;"")*('Team Lineups'!$C$2:$C$154=$A8)*COUNTIFS('Team Lineups'!$K$2:$K$154,'Team Lineups'!$K$2:$K$154,'Team Lineups'!$C$2:$C$154,M$1))</f>
        <v>4</v>
      </c>
      <c r="N8" cm="1">
        <f t="array" ref="N8">SUMPRODUCT(('Team Lineups'!$K$2:$K$154&lt;&gt;"")*('Team Lineups'!$C$2:$C$154=$A8)*COUNTIFS('Team Lineups'!$K$2:$K$154,'Team Lineups'!$K$2:$K$154,'Team Lineups'!$C$2:$C$154,N$1))</f>
        <v>3</v>
      </c>
      <c r="O8" cm="1">
        <f t="array" ref="O8">SUMPRODUCT(('Team Lineups'!$K$2:$K$154&lt;&gt;"")*('Team Lineups'!$C$2:$C$154=$A8)*COUNTIFS('Team Lineups'!$K$2:$K$154,'Team Lineups'!$K$2:$K$154,'Team Lineups'!$C$2:$C$154,O$1))</f>
        <v>2</v>
      </c>
      <c r="P8" cm="1">
        <f t="array" ref="P8">SUMPRODUCT(('Team Lineups'!$K$2:$K$154&lt;&gt;"")*('Team Lineups'!$C$2:$C$154=$A8)*COUNTIFS('Team Lineups'!$K$2:$K$154,'Team Lineups'!$K$2:$K$154,'Team Lineups'!$C$2:$C$154,P$1))</f>
        <v>1</v>
      </c>
      <c r="Q8" cm="1">
        <f t="array" ref="Q8">SUMPRODUCT(('Team Lineups'!$K$2:$K$154&lt;&gt;"")*('Team Lineups'!$C$2:$C$154=$A8)*COUNTIFS('Team Lineups'!$K$2:$K$154,'Team Lineups'!$K$2:$K$154,'Team Lineups'!$C$2:$C$154,Q$1))</f>
        <v>4</v>
      </c>
      <c r="R8" cm="1">
        <f t="array" ref="R8">SUMPRODUCT(('Team Lineups'!$K$2:$K$154&lt;&gt;"")*('Team Lineups'!$C$2:$C$154=$A8)*COUNTIFS('Team Lineups'!$K$2:$K$154,'Team Lineups'!$K$2:$K$154,'Team Lineups'!$C$2:$C$154,R$1))</f>
        <v>3</v>
      </c>
      <c r="S8" cm="1">
        <f t="array" ref="S8">SUMPRODUCT(('Team Lineups'!$K$2:$K$154&lt;&gt;"")*('Team Lineups'!$C$2:$C$154=$A8)*COUNTIFS('Team Lineups'!$K$2:$K$154,'Team Lineups'!$K$2:$K$154,'Team Lineups'!$C$2:$C$154,S$1))</f>
        <v>3</v>
      </c>
      <c r="T8" cm="1">
        <f t="array" ref="T8">SUMPRODUCT(('Team Lineups'!$K$2:$K$154&lt;&gt;"")*('Team Lineups'!$C$2:$C$154=$A8)*COUNTIFS('Team Lineups'!$K$2:$K$154,'Team Lineups'!$K$2:$K$154,'Team Lineups'!$C$2:$C$154,T$1))</f>
        <v>0</v>
      </c>
      <c r="U8" cm="1">
        <f t="array" ref="U8">SUMPRODUCT(('Team Lineups'!$K$2:$K$154&lt;&gt;"")*('Team Lineups'!$C$2:$C$154=$A8)*COUNTIFS('Team Lineups'!$K$2:$K$154,'Team Lineups'!$K$2:$K$154,'Team Lineups'!$C$2:$C$154,U$1))</f>
        <v>0</v>
      </c>
      <c r="V8" cm="1">
        <f t="array" ref="V8">SUMPRODUCT(('Team Lineups'!$K$2:$K$154&lt;&gt;"")*('Team Lineups'!$C$2:$C$154=$A8)*COUNTIFS('Team Lineups'!$K$2:$K$154,'Team Lineups'!$K$2:$K$154,'Team Lineups'!$C$2:$C$154,V$1))</f>
        <v>0</v>
      </c>
      <c r="W8" cm="1">
        <f t="array" ref="W8">SUMPRODUCT(('Team Lineups'!$K$2:$K$154&lt;&gt;"")*('Team Lineups'!$C$2:$C$154=$A8)*COUNTIFS('Team Lineups'!$K$2:$K$154,'Team Lineups'!$K$2:$K$154,'Team Lineups'!$C$2:$C$154,W$1))</f>
        <v>0</v>
      </c>
      <c r="X8" cm="1">
        <f t="array" ref="X8">SUMPRODUCT(('Team Lineups'!$K$2:$K$154&lt;&gt;"")*('Team Lineups'!$C$2:$C$154=$A8)*COUNTIFS('Team Lineups'!$K$2:$K$154,'Team Lineups'!$K$2:$K$154,'Team Lineups'!$C$2:$C$154,X$1))</f>
        <v>0</v>
      </c>
      <c r="Y8" cm="1">
        <f t="array" ref="Y8">SUMPRODUCT(('Team Lineups'!$K$2:$K$154&lt;&gt;"")*('Team Lineups'!$C$2:$C$154=$A8)*COUNTIFS('Team Lineups'!$K$2:$K$154,'Team Lineups'!$K$2:$K$154,'Team Lineups'!$C$2:$C$154,Y$1))</f>
        <v>0</v>
      </c>
      <c r="Z8" cm="1">
        <f t="array" ref="Z8">SUMPRODUCT(('Team Lineups'!$K$2:$K$154&lt;&gt;"")*('Team Lineups'!$C$2:$C$154=$A8)*COUNTIFS('Team Lineups'!$K$2:$K$154,'Team Lineups'!$K$2:$K$154,'Team Lineups'!$C$2:$C$154,Z$1))</f>
        <v>2</v>
      </c>
      <c r="AA8" cm="1">
        <f t="array" ref="AA8">SUMPRODUCT(('Team Lineups'!$K$2:$K$154&lt;&gt;"")*('Team Lineups'!$C$2:$C$154=$A8)*COUNTIFS('Team Lineups'!$K$2:$K$154,'Team Lineups'!$K$2:$K$154,'Team Lineups'!$C$2:$C$154,AA$1))</f>
        <v>1</v>
      </c>
      <c r="AB8" cm="1">
        <f t="array" ref="AB8">SUMPRODUCT(('Team Lineups'!$K$2:$K$154&lt;&gt;"")*('Team Lineups'!$C$2:$C$154=$A8)*COUNTIFS('Team Lineups'!$K$2:$K$154,'Team Lineups'!$K$2:$K$154,'Team Lineups'!$C$2:$C$154,AB$1))</f>
        <v>2</v>
      </c>
      <c r="AC8" cm="1">
        <f t="array" ref="AC8">SUMPRODUCT(('Team Lineups'!$K$2:$K$154&lt;&gt;"")*('Team Lineups'!$C$2:$C$154=$A8)*COUNTIFS('Team Lineups'!$K$2:$K$154,'Team Lineups'!$K$2:$K$154,'Team Lineups'!$C$2:$C$154,AC$1))</f>
        <v>0</v>
      </c>
      <c r="AD8" cm="1">
        <f t="array" ref="AD8">SUMPRODUCT(('Team Lineups'!$K$2:$K$154&lt;&gt;"")*('Team Lineups'!$C$2:$C$154=$A8)*COUNTIFS('Team Lineups'!$K$2:$K$154,'Team Lineups'!$K$2:$K$154,'Team Lineups'!$C$2:$C$154,AD$1))</f>
        <v>1</v>
      </c>
    </row>
    <row r="9" spans="1:100" x14ac:dyDescent="0.35">
      <c r="A9" t="str">
        <v>Lorenzo</v>
      </c>
      <c r="B9" cm="1">
        <f t="array" ref="B9">SUMPRODUCT(('Team Lineups'!$K$2:$K$154&lt;&gt;"")*('Team Lineups'!$C$2:$C$154=$A9)*COUNTIFS('Team Lineups'!$K$2:$K$154,'Team Lineups'!$K$2:$K$154,'Team Lineups'!$C$2:$C$154,B$1))</f>
        <v>3</v>
      </c>
      <c r="C9" cm="1">
        <f t="array" ref="C9">SUMPRODUCT(('Team Lineups'!$K$2:$K$154&lt;&gt;"")*('Team Lineups'!$C$2:$C$154=$A9)*COUNTIFS('Team Lineups'!$K$2:$K$154,'Team Lineups'!$K$2:$K$154,'Team Lineups'!$C$2:$C$154,C$1))</f>
        <v>2</v>
      </c>
      <c r="D9" cm="1">
        <f t="array" ref="D9">SUMPRODUCT(('Team Lineups'!$K$2:$K$154&lt;&gt;"")*('Team Lineups'!$C$2:$C$154=$A9)*COUNTIFS('Team Lineups'!$K$2:$K$154,'Team Lineups'!$K$2:$K$154,'Team Lineups'!$C$2:$C$154,D$1))</f>
        <v>3</v>
      </c>
      <c r="E9" cm="1">
        <f t="array" ref="E9">SUMPRODUCT(('Team Lineups'!$K$2:$K$154&lt;&gt;"")*('Team Lineups'!$C$2:$C$154=$A9)*COUNTIFS('Team Lineups'!$K$2:$K$154,'Team Lineups'!$K$2:$K$154,'Team Lineups'!$C$2:$C$154,E$1))</f>
        <v>2</v>
      </c>
      <c r="F9" cm="1">
        <f t="array" ref="F9">SUMPRODUCT(('Team Lineups'!$K$2:$K$154&lt;&gt;"")*('Team Lineups'!$C$2:$C$154=$A9)*COUNTIFS('Team Lineups'!$K$2:$K$154,'Team Lineups'!$K$2:$K$154,'Team Lineups'!$C$2:$C$154,F$1))</f>
        <v>4</v>
      </c>
      <c r="G9" cm="1">
        <f t="array" ref="G9">SUMPRODUCT(('Team Lineups'!$K$2:$K$154&lt;&gt;"")*('Team Lineups'!$C$2:$C$154=$A9)*COUNTIFS('Team Lineups'!$K$2:$K$154,'Team Lineups'!$K$2:$K$154,'Team Lineups'!$C$2:$C$154,G$1))</f>
        <v>5</v>
      </c>
      <c r="H9" cm="1">
        <f t="array" ref="H9">SUMPRODUCT(('Team Lineups'!$K$2:$K$154&lt;&gt;"")*('Team Lineups'!$C$2:$C$154=$A9)*COUNTIFS('Team Lineups'!$K$2:$K$154,'Team Lineups'!$K$2:$K$154,'Team Lineups'!$C$2:$C$154,H$1))</f>
        <v>6</v>
      </c>
      <c r="I9" t="s">
        <v>77</v>
      </c>
      <c r="J9" cm="1">
        <f t="array" ref="J9">SUMPRODUCT(('Team Lineups'!$K$2:$K$154&lt;&gt;"")*('Team Lineups'!$C$2:$C$154=$A9)*COUNTIFS('Team Lineups'!$K$2:$K$154,'Team Lineups'!$K$2:$K$154,'Team Lineups'!$C$2:$C$154,J$1))</f>
        <v>2</v>
      </c>
      <c r="K9" cm="1">
        <f t="array" ref="K9">SUMPRODUCT(('Team Lineups'!$K$2:$K$154&lt;&gt;"")*('Team Lineups'!$C$2:$C$154=$A9)*COUNTIFS('Team Lineups'!$K$2:$K$154,'Team Lineups'!$K$2:$K$154,'Team Lineups'!$C$2:$C$154,K$1))</f>
        <v>1</v>
      </c>
      <c r="L9" cm="1">
        <f t="array" ref="L9">SUMPRODUCT(('Team Lineups'!$K$2:$K$154&lt;&gt;"")*('Team Lineups'!$C$2:$C$154=$A9)*COUNTIFS('Team Lineups'!$K$2:$K$154,'Team Lineups'!$K$2:$K$154,'Team Lineups'!$C$2:$C$154,L$1))</f>
        <v>2</v>
      </c>
      <c r="M9" cm="1">
        <f t="array" ref="M9">SUMPRODUCT(('Team Lineups'!$K$2:$K$154&lt;&gt;"")*('Team Lineups'!$C$2:$C$154=$A9)*COUNTIFS('Team Lineups'!$K$2:$K$154,'Team Lineups'!$K$2:$K$154,'Team Lineups'!$C$2:$C$154,M$1))</f>
        <v>4</v>
      </c>
      <c r="N9" cm="1">
        <f t="array" ref="N9">SUMPRODUCT(('Team Lineups'!$K$2:$K$154&lt;&gt;"")*('Team Lineups'!$C$2:$C$154=$A9)*COUNTIFS('Team Lineups'!$K$2:$K$154,'Team Lineups'!$K$2:$K$154,'Team Lineups'!$C$2:$C$154,N$1))</f>
        <v>2</v>
      </c>
      <c r="O9" cm="1">
        <f t="array" ref="O9">SUMPRODUCT(('Team Lineups'!$K$2:$K$154&lt;&gt;"")*('Team Lineups'!$C$2:$C$154=$A9)*COUNTIFS('Team Lineups'!$K$2:$K$154,'Team Lineups'!$K$2:$K$154,'Team Lineups'!$C$2:$C$154,O$1))</f>
        <v>2</v>
      </c>
      <c r="P9" cm="1">
        <f t="array" ref="P9">SUMPRODUCT(('Team Lineups'!$K$2:$K$154&lt;&gt;"")*('Team Lineups'!$C$2:$C$154=$A9)*COUNTIFS('Team Lineups'!$K$2:$K$154,'Team Lineups'!$K$2:$K$154,'Team Lineups'!$C$2:$C$154,P$1))</f>
        <v>1</v>
      </c>
      <c r="Q9" cm="1">
        <f t="array" ref="Q9">SUMPRODUCT(('Team Lineups'!$K$2:$K$154&lt;&gt;"")*('Team Lineups'!$C$2:$C$154=$A9)*COUNTIFS('Team Lineups'!$K$2:$K$154,'Team Lineups'!$K$2:$K$154,'Team Lineups'!$C$2:$C$154,Q$1))</f>
        <v>4</v>
      </c>
      <c r="R9" cm="1">
        <f t="array" ref="R9">SUMPRODUCT(('Team Lineups'!$K$2:$K$154&lt;&gt;"")*('Team Lineups'!$C$2:$C$154=$A9)*COUNTIFS('Team Lineups'!$K$2:$K$154,'Team Lineups'!$K$2:$K$154,'Team Lineups'!$C$2:$C$154,R$1))</f>
        <v>3</v>
      </c>
      <c r="S9" cm="1">
        <f t="array" ref="S9">SUMPRODUCT(('Team Lineups'!$K$2:$K$154&lt;&gt;"")*('Team Lineups'!$C$2:$C$154=$A9)*COUNTIFS('Team Lineups'!$K$2:$K$154,'Team Lineups'!$K$2:$K$154,'Team Lineups'!$C$2:$C$154,S$1))</f>
        <v>3</v>
      </c>
      <c r="T9" cm="1">
        <f t="array" ref="T9">SUMPRODUCT(('Team Lineups'!$K$2:$K$154&lt;&gt;"")*('Team Lineups'!$C$2:$C$154=$A9)*COUNTIFS('Team Lineups'!$K$2:$K$154,'Team Lineups'!$K$2:$K$154,'Team Lineups'!$C$2:$C$154,T$1))</f>
        <v>0</v>
      </c>
      <c r="U9" cm="1">
        <f t="array" ref="U9">SUMPRODUCT(('Team Lineups'!$K$2:$K$154&lt;&gt;"")*('Team Lineups'!$C$2:$C$154=$A9)*COUNTIFS('Team Lineups'!$K$2:$K$154,'Team Lineups'!$K$2:$K$154,'Team Lineups'!$C$2:$C$154,U$1))</f>
        <v>1</v>
      </c>
      <c r="V9" cm="1">
        <f t="array" ref="V9">SUMPRODUCT(('Team Lineups'!$K$2:$K$154&lt;&gt;"")*('Team Lineups'!$C$2:$C$154=$A9)*COUNTIFS('Team Lineups'!$K$2:$K$154,'Team Lineups'!$K$2:$K$154,'Team Lineups'!$C$2:$C$154,V$1))</f>
        <v>1</v>
      </c>
      <c r="W9" cm="1">
        <f t="array" ref="W9">SUMPRODUCT(('Team Lineups'!$K$2:$K$154&lt;&gt;"")*('Team Lineups'!$C$2:$C$154=$A9)*COUNTIFS('Team Lineups'!$K$2:$K$154,'Team Lineups'!$K$2:$K$154,'Team Lineups'!$C$2:$C$154,W$1))</f>
        <v>0</v>
      </c>
      <c r="X9" cm="1">
        <f t="array" ref="X9">SUMPRODUCT(('Team Lineups'!$K$2:$K$154&lt;&gt;"")*('Team Lineups'!$C$2:$C$154=$A9)*COUNTIFS('Team Lineups'!$K$2:$K$154,'Team Lineups'!$K$2:$K$154,'Team Lineups'!$C$2:$C$154,X$1))</f>
        <v>0</v>
      </c>
      <c r="Y9" cm="1">
        <f t="array" ref="Y9">SUMPRODUCT(('Team Lineups'!$K$2:$K$154&lt;&gt;"")*('Team Lineups'!$C$2:$C$154=$A9)*COUNTIFS('Team Lineups'!$K$2:$K$154,'Team Lineups'!$K$2:$K$154,'Team Lineups'!$C$2:$C$154,Y$1))</f>
        <v>0</v>
      </c>
      <c r="Z9" cm="1">
        <f t="array" ref="Z9">SUMPRODUCT(('Team Lineups'!$K$2:$K$154&lt;&gt;"")*('Team Lineups'!$C$2:$C$154=$A9)*COUNTIFS('Team Lineups'!$K$2:$K$154,'Team Lineups'!$K$2:$K$154,'Team Lineups'!$C$2:$C$154,Z$1))</f>
        <v>3</v>
      </c>
      <c r="AA9" cm="1">
        <f t="array" ref="AA9">SUMPRODUCT(('Team Lineups'!$K$2:$K$154&lt;&gt;"")*('Team Lineups'!$C$2:$C$154=$A9)*COUNTIFS('Team Lineups'!$K$2:$K$154,'Team Lineups'!$K$2:$K$154,'Team Lineups'!$C$2:$C$154,AA$1))</f>
        <v>3</v>
      </c>
      <c r="AB9" cm="1">
        <f t="array" ref="AB9">SUMPRODUCT(('Team Lineups'!$K$2:$K$154&lt;&gt;"")*('Team Lineups'!$C$2:$C$154=$A9)*COUNTIFS('Team Lineups'!$K$2:$K$154,'Team Lineups'!$K$2:$K$154,'Team Lineups'!$C$2:$C$154,AB$1))</f>
        <v>1</v>
      </c>
      <c r="AC9" cm="1">
        <f t="array" ref="AC9">SUMPRODUCT(('Team Lineups'!$K$2:$K$154&lt;&gt;"")*('Team Lineups'!$C$2:$C$154=$A9)*COUNTIFS('Team Lineups'!$K$2:$K$154,'Team Lineups'!$K$2:$K$154,'Team Lineups'!$C$2:$C$154,AC$1))</f>
        <v>1</v>
      </c>
      <c r="AD9" cm="1">
        <f t="array" ref="AD9">SUMPRODUCT(('Team Lineups'!$K$2:$K$154&lt;&gt;"")*('Team Lineups'!$C$2:$C$154=$A9)*COUNTIFS('Team Lineups'!$K$2:$K$154,'Team Lineups'!$K$2:$K$154,'Team Lineups'!$C$2:$C$154,AD$1))</f>
        <v>1</v>
      </c>
    </row>
    <row r="10" spans="1:100" x14ac:dyDescent="0.35">
      <c r="A10" t="str">
        <v>Pranav</v>
      </c>
      <c r="B10" cm="1">
        <f t="array" ref="B10">SUMPRODUCT(('Team Lineups'!$K$2:$K$154&lt;&gt;"")*('Team Lineups'!$C$2:$C$154=$A10)*COUNTIFS('Team Lineups'!$K$2:$K$154,'Team Lineups'!$K$2:$K$154,'Team Lineups'!$C$2:$C$154,B$1))</f>
        <v>0</v>
      </c>
      <c r="C10" cm="1">
        <f t="array" ref="C10">SUMPRODUCT(('Team Lineups'!$K$2:$K$154&lt;&gt;"")*('Team Lineups'!$C$2:$C$154=$A10)*COUNTIFS('Team Lineups'!$K$2:$K$154,'Team Lineups'!$K$2:$K$154,'Team Lineups'!$C$2:$C$154,C$1))</f>
        <v>0</v>
      </c>
      <c r="D10" cm="1">
        <f t="array" ref="D10">SUMPRODUCT(('Team Lineups'!$K$2:$K$154&lt;&gt;"")*('Team Lineups'!$C$2:$C$154=$A10)*COUNTIFS('Team Lineups'!$K$2:$K$154,'Team Lineups'!$K$2:$K$154,'Team Lineups'!$C$2:$C$154,D$1))</f>
        <v>0</v>
      </c>
      <c r="E10" cm="1">
        <f t="array" ref="E10">SUMPRODUCT(('Team Lineups'!$K$2:$K$154&lt;&gt;"")*('Team Lineups'!$C$2:$C$154=$A10)*COUNTIFS('Team Lineups'!$K$2:$K$154,'Team Lineups'!$K$2:$K$154,'Team Lineups'!$C$2:$C$154,E$1))</f>
        <v>0</v>
      </c>
      <c r="F10" cm="1">
        <f t="array" ref="F10">SUMPRODUCT(('Team Lineups'!$K$2:$K$154&lt;&gt;"")*('Team Lineups'!$C$2:$C$154=$A10)*COUNTIFS('Team Lineups'!$K$2:$K$154,'Team Lineups'!$K$2:$K$154,'Team Lineups'!$C$2:$C$154,F$1))</f>
        <v>0</v>
      </c>
      <c r="G10" cm="1">
        <f t="array" ref="G10">SUMPRODUCT(('Team Lineups'!$K$2:$K$154&lt;&gt;"")*('Team Lineups'!$C$2:$C$154=$A10)*COUNTIFS('Team Lineups'!$K$2:$K$154,'Team Lineups'!$K$2:$K$154,'Team Lineups'!$C$2:$C$154,G$1))</f>
        <v>2</v>
      </c>
      <c r="H10" cm="1">
        <f t="array" ref="H10">SUMPRODUCT(('Team Lineups'!$K$2:$K$154&lt;&gt;"")*('Team Lineups'!$C$2:$C$154=$A10)*COUNTIFS('Team Lineups'!$K$2:$K$154,'Team Lineups'!$K$2:$K$154,'Team Lineups'!$C$2:$C$154,H$1))</f>
        <v>2</v>
      </c>
      <c r="I10" cm="1">
        <f t="array" ref="I10">SUMPRODUCT(('Team Lineups'!$K$2:$K$154&lt;&gt;"")*('Team Lineups'!$C$2:$C$154=$A10)*COUNTIFS('Team Lineups'!$K$2:$K$154,'Team Lineups'!$K$2:$K$154,'Team Lineups'!$C$2:$C$154,I$1))</f>
        <v>2</v>
      </c>
      <c r="J10" t="s">
        <v>77</v>
      </c>
      <c r="K10" cm="1">
        <f t="array" ref="K10">SUMPRODUCT(('Team Lineups'!$K$2:$K$154&lt;&gt;"")*('Team Lineups'!$C$2:$C$154=$A10)*COUNTIFS('Team Lineups'!$K$2:$K$154,'Team Lineups'!$K$2:$K$154,'Team Lineups'!$C$2:$C$154,K$1))</f>
        <v>1</v>
      </c>
      <c r="L10" cm="1">
        <f t="array" ref="L10">SUMPRODUCT(('Team Lineups'!$K$2:$K$154&lt;&gt;"")*('Team Lineups'!$C$2:$C$154=$A10)*COUNTIFS('Team Lineups'!$K$2:$K$154,'Team Lineups'!$K$2:$K$154,'Team Lineups'!$C$2:$C$154,L$1))</f>
        <v>0</v>
      </c>
      <c r="M10" cm="1">
        <f t="array" ref="M10">SUMPRODUCT(('Team Lineups'!$K$2:$K$154&lt;&gt;"")*('Team Lineups'!$C$2:$C$154=$A10)*COUNTIFS('Team Lineups'!$K$2:$K$154,'Team Lineups'!$K$2:$K$154,'Team Lineups'!$C$2:$C$154,M$1))</f>
        <v>0</v>
      </c>
      <c r="N10" cm="1">
        <f t="array" ref="N10">SUMPRODUCT(('Team Lineups'!$K$2:$K$154&lt;&gt;"")*('Team Lineups'!$C$2:$C$154=$A10)*COUNTIFS('Team Lineups'!$K$2:$K$154,'Team Lineups'!$K$2:$K$154,'Team Lineups'!$C$2:$C$154,N$1))</f>
        <v>0</v>
      </c>
      <c r="O10" cm="1">
        <f t="array" ref="O10">SUMPRODUCT(('Team Lineups'!$K$2:$K$154&lt;&gt;"")*('Team Lineups'!$C$2:$C$154=$A10)*COUNTIFS('Team Lineups'!$K$2:$K$154,'Team Lineups'!$K$2:$K$154,'Team Lineups'!$C$2:$C$154,O$1))</f>
        <v>0</v>
      </c>
      <c r="P10" cm="1">
        <f t="array" ref="P10">SUMPRODUCT(('Team Lineups'!$K$2:$K$154&lt;&gt;"")*('Team Lineups'!$C$2:$C$154=$A10)*COUNTIFS('Team Lineups'!$K$2:$K$154,'Team Lineups'!$K$2:$K$154,'Team Lineups'!$C$2:$C$154,P$1))</f>
        <v>1</v>
      </c>
      <c r="Q10" cm="1">
        <f t="array" ref="Q10">SUMPRODUCT(('Team Lineups'!$K$2:$K$154&lt;&gt;"")*('Team Lineups'!$C$2:$C$154=$A10)*COUNTIFS('Team Lineups'!$K$2:$K$154,'Team Lineups'!$K$2:$K$154,'Team Lineups'!$C$2:$C$154,Q$1))</f>
        <v>1</v>
      </c>
      <c r="R10" cm="1">
        <f t="array" ref="R10">SUMPRODUCT(('Team Lineups'!$K$2:$K$154&lt;&gt;"")*('Team Lineups'!$C$2:$C$154=$A10)*COUNTIFS('Team Lineups'!$K$2:$K$154,'Team Lineups'!$K$2:$K$154,'Team Lineups'!$C$2:$C$154,R$1))</f>
        <v>1</v>
      </c>
      <c r="S10" cm="1">
        <f t="array" ref="S10">SUMPRODUCT(('Team Lineups'!$K$2:$K$154&lt;&gt;"")*('Team Lineups'!$C$2:$C$154=$A10)*COUNTIFS('Team Lineups'!$K$2:$K$154,'Team Lineups'!$K$2:$K$154,'Team Lineups'!$C$2:$C$154,S$1))</f>
        <v>0</v>
      </c>
      <c r="T10" cm="1">
        <f t="array" ref="T10">SUMPRODUCT(('Team Lineups'!$K$2:$K$154&lt;&gt;"")*('Team Lineups'!$C$2:$C$154=$A10)*COUNTIFS('Team Lineups'!$K$2:$K$154,'Team Lineups'!$K$2:$K$154,'Team Lineups'!$C$2:$C$154,T$1))</f>
        <v>0</v>
      </c>
      <c r="U10" cm="1">
        <f t="array" ref="U10">SUMPRODUCT(('Team Lineups'!$K$2:$K$154&lt;&gt;"")*('Team Lineups'!$C$2:$C$154=$A10)*COUNTIFS('Team Lineups'!$K$2:$K$154,'Team Lineups'!$K$2:$K$154,'Team Lineups'!$C$2:$C$154,U$1))</f>
        <v>0</v>
      </c>
      <c r="V10" cm="1">
        <f t="array" ref="V10">SUMPRODUCT(('Team Lineups'!$K$2:$K$154&lt;&gt;"")*('Team Lineups'!$C$2:$C$154=$A10)*COUNTIFS('Team Lineups'!$K$2:$K$154,'Team Lineups'!$K$2:$K$154,'Team Lineups'!$C$2:$C$154,V$1))</f>
        <v>0</v>
      </c>
      <c r="W10" cm="1">
        <f t="array" ref="W10">SUMPRODUCT(('Team Lineups'!$K$2:$K$154&lt;&gt;"")*('Team Lineups'!$C$2:$C$154=$A10)*COUNTIFS('Team Lineups'!$K$2:$K$154,'Team Lineups'!$K$2:$K$154,'Team Lineups'!$C$2:$C$154,W$1))</f>
        <v>0</v>
      </c>
      <c r="X10" cm="1">
        <f t="array" ref="X10">SUMPRODUCT(('Team Lineups'!$K$2:$K$154&lt;&gt;"")*('Team Lineups'!$C$2:$C$154=$A10)*COUNTIFS('Team Lineups'!$K$2:$K$154,'Team Lineups'!$K$2:$K$154,'Team Lineups'!$C$2:$C$154,X$1))</f>
        <v>0</v>
      </c>
      <c r="Y10" cm="1">
        <f t="array" ref="Y10">SUMPRODUCT(('Team Lineups'!$K$2:$K$154&lt;&gt;"")*('Team Lineups'!$C$2:$C$154=$A10)*COUNTIFS('Team Lineups'!$K$2:$K$154,'Team Lineups'!$K$2:$K$154,'Team Lineups'!$C$2:$C$154,Y$1))</f>
        <v>0</v>
      </c>
      <c r="Z10" cm="1">
        <f t="array" ref="Z10">SUMPRODUCT(('Team Lineups'!$K$2:$K$154&lt;&gt;"")*('Team Lineups'!$C$2:$C$154=$A10)*COUNTIFS('Team Lineups'!$K$2:$K$154,'Team Lineups'!$K$2:$K$154,'Team Lineups'!$C$2:$C$154,Z$1))</f>
        <v>0</v>
      </c>
      <c r="AA10" cm="1">
        <f t="array" ref="AA10">SUMPRODUCT(('Team Lineups'!$K$2:$K$154&lt;&gt;"")*('Team Lineups'!$C$2:$C$154=$A10)*COUNTIFS('Team Lineups'!$K$2:$K$154,'Team Lineups'!$K$2:$K$154,'Team Lineups'!$C$2:$C$154,AA$1))</f>
        <v>0</v>
      </c>
      <c r="AB10" cm="1">
        <f t="array" ref="AB10">SUMPRODUCT(('Team Lineups'!$K$2:$K$154&lt;&gt;"")*('Team Lineups'!$C$2:$C$154=$A10)*COUNTIFS('Team Lineups'!$K$2:$K$154,'Team Lineups'!$K$2:$K$154,'Team Lineups'!$C$2:$C$154,AB$1))</f>
        <v>0</v>
      </c>
      <c r="AC10" cm="1">
        <f t="array" ref="AC10">SUMPRODUCT(('Team Lineups'!$K$2:$K$154&lt;&gt;"")*('Team Lineups'!$C$2:$C$154=$A10)*COUNTIFS('Team Lineups'!$K$2:$K$154,'Team Lineups'!$K$2:$K$154,'Team Lineups'!$C$2:$C$154,AC$1))</f>
        <v>0</v>
      </c>
      <c r="AD10" cm="1">
        <f t="array" ref="AD10">SUMPRODUCT(('Team Lineups'!$K$2:$K$154&lt;&gt;"")*('Team Lineups'!$C$2:$C$154=$A10)*COUNTIFS('Team Lineups'!$K$2:$K$154,'Team Lineups'!$K$2:$K$154,'Team Lineups'!$C$2:$C$154,AD$1))</f>
        <v>0</v>
      </c>
    </row>
    <row r="11" spans="1:100" x14ac:dyDescent="0.35">
      <c r="A11" t="str">
        <v>Damian</v>
      </c>
      <c r="B11" cm="1">
        <f t="array" ref="B11">SUMPRODUCT(('Team Lineups'!$K$2:$K$154&lt;&gt;"")*('Team Lineups'!$C$2:$C$154=$A11)*COUNTIFS('Team Lineups'!$K$2:$K$154,'Team Lineups'!$K$2:$K$154,'Team Lineups'!$C$2:$C$154,B$1))</f>
        <v>0</v>
      </c>
      <c r="C11" cm="1">
        <f t="array" ref="C11">SUMPRODUCT(('Team Lineups'!$K$2:$K$154&lt;&gt;"")*('Team Lineups'!$C$2:$C$154=$A11)*COUNTIFS('Team Lineups'!$K$2:$K$154,'Team Lineups'!$K$2:$K$154,'Team Lineups'!$C$2:$C$154,C$1))</f>
        <v>0</v>
      </c>
      <c r="D11" cm="1">
        <f t="array" ref="D11">SUMPRODUCT(('Team Lineups'!$K$2:$K$154&lt;&gt;"")*('Team Lineups'!$C$2:$C$154=$A11)*COUNTIFS('Team Lineups'!$K$2:$K$154,'Team Lineups'!$K$2:$K$154,'Team Lineups'!$C$2:$C$154,D$1))</f>
        <v>0</v>
      </c>
      <c r="E11" cm="1">
        <f t="array" ref="E11">SUMPRODUCT(('Team Lineups'!$K$2:$K$154&lt;&gt;"")*('Team Lineups'!$C$2:$C$154=$A11)*COUNTIFS('Team Lineups'!$K$2:$K$154,'Team Lineups'!$K$2:$K$154,'Team Lineups'!$C$2:$C$154,E$1))</f>
        <v>0</v>
      </c>
      <c r="F11" cm="1">
        <f t="array" ref="F11">SUMPRODUCT(('Team Lineups'!$K$2:$K$154&lt;&gt;"")*('Team Lineups'!$C$2:$C$154=$A11)*COUNTIFS('Team Lineups'!$K$2:$K$154,'Team Lineups'!$K$2:$K$154,'Team Lineups'!$C$2:$C$154,F$1))</f>
        <v>0</v>
      </c>
      <c r="G11" cm="1">
        <f t="array" ref="G11">SUMPRODUCT(('Team Lineups'!$K$2:$K$154&lt;&gt;"")*('Team Lineups'!$C$2:$C$154=$A11)*COUNTIFS('Team Lineups'!$K$2:$K$154,'Team Lineups'!$K$2:$K$154,'Team Lineups'!$C$2:$C$154,G$1))</f>
        <v>1</v>
      </c>
      <c r="H11" cm="1">
        <f t="array" ref="H11">SUMPRODUCT(('Team Lineups'!$K$2:$K$154&lt;&gt;"")*('Team Lineups'!$C$2:$C$154=$A11)*COUNTIFS('Team Lineups'!$K$2:$K$154,'Team Lineups'!$K$2:$K$154,'Team Lineups'!$C$2:$C$154,H$1))</f>
        <v>1</v>
      </c>
      <c r="I11" cm="1">
        <f t="array" ref="I11">SUMPRODUCT(('Team Lineups'!$K$2:$K$154&lt;&gt;"")*('Team Lineups'!$C$2:$C$154=$A11)*COUNTIFS('Team Lineups'!$K$2:$K$154,'Team Lineups'!$K$2:$K$154,'Team Lineups'!$C$2:$C$154,I$1))</f>
        <v>1</v>
      </c>
      <c r="J11" cm="1">
        <f t="array" ref="J11">SUMPRODUCT(('Team Lineups'!$K$2:$K$154&lt;&gt;"")*('Team Lineups'!$C$2:$C$154=$A11)*COUNTIFS('Team Lineups'!$K$2:$K$154,'Team Lineups'!$K$2:$K$154,'Team Lineups'!$C$2:$C$154,J$1))</f>
        <v>1</v>
      </c>
      <c r="K11" t="s">
        <v>77</v>
      </c>
      <c r="L11" cm="1">
        <f t="array" ref="L11">SUMPRODUCT(('Team Lineups'!$K$2:$K$154&lt;&gt;"")*('Team Lineups'!$C$2:$C$154=$A11)*COUNTIFS('Team Lineups'!$K$2:$K$154,'Team Lineups'!$K$2:$K$154,'Team Lineups'!$C$2:$C$154,L$1))</f>
        <v>0</v>
      </c>
      <c r="M11" cm="1">
        <f t="array" ref="M11">SUMPRODUCT(('Team Lineups'!$K$2:$K$154&lt;&gt;"")*('Team Lineups'!$C$2:$C$154=$A11)*COUNTIFS('Team Lineups'!$K$2:$K$154,'Team Lineups'!$K$2:$K$154,'Team Lineups'!$C$2:$C$154,M$1))</f>
        <v>0</v>
      </c>
      <c r="N11" cm="1">
        <f t="array" ref="N11">SUMPRODUCT(('Team Lineups'!$K$2:$K$154&lt;&gt;"")*('Team Lineups'!$C$2:$C$154=$A11)*COUNTIFS('Team Lineups'!$K$2:$K$154,'Team Lineups'!$K$2:$K$154,'Team Lineups'!$C$2:$C$154,N$1))</f>
        <v>0</v>
      </c>
      <c r="O11" cm="1">
        <f t="array" ref="O11">SUMPRODUCT(('Team Lineups'!$K$2:$K$154&lt;&gt;"")*('Team Lineups'!$C$2:$C$154=$A11)*COUNTIFS('Team Lineups'!$K$2:$K$154,'Team Lineups'!$K$2:$K$154,'Team Lineups'!$C$2:$C$154,O$1))</f>
        <v>0</v>
      </c>
      <c r="P11" cm="1">
        <f t="array" ref="P11">SUMPRODUCT(('Team Lineups'!$K$2:$K$154&lt;&gt;"")*('Team Lineups'!$C$2:$C$154=$A11)*COUNTIFS('Team Lineups'!$K$2:$K$154,'Team Lineups'!$K$2:$K$154,'Team Lineups'!$C$2:$C$154,P$1))</f>
        <v>0</v>
      </c>
      <c r="Q11" cm="1">
        <f t="array" ref="Q11">SUMPRODUCT(('Team Lineups'!$K$2:$K$154&lt;&gt;"")*('Team Lineups'!$C$2:$C$154=$A11)*COUNTIFS('Team Lineups'!$K$2:$K$154,'Team Lineups'!$K$2:$K$154,'Team Lineups'!$C$2:$C$154,Q$1))</f>
        <v>0</v>
      </c>
      <c r="R11" cm="1">
        <f t="array" ref="R11">SUMPRODUCT(('Team Lineups'!$K$2:$K$154&lt;&gt;"")*('Team Lineups'!$C$2:$C$154=$A11)*COUNTIFS('Team Lineups'!$K$2:$K$154,'Team Lineups'!$K$2:$K$154,'Team Lineups'!$C$2:$C$154,R$1))</f>
        <v>0</v>
      </c>
      <c r="S11" cm="1">
        <f t="array" ref="S11">SUMPRODUCT(('Team Lineups'!$K$2:$K$154&lt;&gt;"")*('Team Lineups'!$C$2:$C$154=$A11)*COUNTIFS('Team Lineups'!$K$2:$K$154,'Team Lineups'!$K$2:$K$154,'Team Lineups'!$C$2:$C$154,S$1))</f>
        <v>0</v>
      </c>
      <c r="T11" cm="1">
        <f t="array" ref="T11">SUMPRODUCT(('Team Lineups'!$K$2:$K$154&lt;&gt;"")*('Team Lineups'!$C$2:$C$154=$A11)*COUNTIFS('Team Lineups'!$K$2:$K$154,'Team Lineups'!$K$2:$K$154,'Team Lineups'!$C$2:$C$154,T$1))</f>
        <v>0</v>
      </c>
      <c r="U11" cm="1">
        <f t="array" ref="U11">SUMPRODUCT(('Team Lineups'!$K$2:$K$154&lt;&gt;"")*('Team Lineups'!$C$2:$C$154=$A11)*COUNTIFS('Team Lineups'!$K$2:$K$154,'Team Lineups'!$K$2:$K$154,'Team Lineups'!$C$2:$C$154,U$1))</f>
        <v>0</v>
      </c>
      <c r="V11" cm="1">
        <f t="array" ref="V11">SUMPRODUCT(('Team Lineups'!$K$2:$K$154&lt;&gt;"")*('Team Lineups'!$C$2:$C$154=$A11)*COUNTIFS('Team Lineups'!$K$2:$K$154,'Team Lineups'!$K$2:$K$154,'Team Lineups'!$C$2:$C$154,V$1))</f>
        <v>0</v>
      </c>
      <c r="W11" cm="1">
        <f t="array" ref="W11">SUMPRODUCT(('Team Lineups'!$K$2:$K$154&lt;&gt;"")*('Team Lineups'!$C$2:$C$154=$A11)*COUNTIFS('Team Lineups'!$K$2:$K$154,'Team Lineups'!$K$2:$K$154,'Team Lineups'!$C$2:$C$154,W$1))</f>
        <v>0</v>
      </c>
      <c r="X11" cm="1">
        <f t="array" ref="X11">SUMPRODUCT(('Team Lineups'!$K$2:$K$154&lt;&gt;"")*('Team Lineups'!$C$2:$C$154=$A11)*COUNTIFS('Team Lineups'!$K$2:$K$154,'Team Lineups'!$K$2:$K$154,'Team Lineups'!$C$2:$C$154,X$1))</f>
        <v>0</v>
      </c>
      <c r="Y11" cm="1">
        <f t="array" ref="Y11">SUMPRODUCT(('Team Lineups'!$K$2:$K$154&lt;&gt;"")*('Team Lineups'!$C$2:$C$154=$A11)*COUNTIFS('Team Lineups'!$K$2:$K$154,'Team Lineups'!$K$2:$K$154,'Team Lineups'!$C$2:$C$154,Y$1))</f>
        <v>0</v>
      </c>
      <c r="Z11" cm="1">
        <f t="array" ref="Z11">SUMPRODUCT(('Team Lineups'!$K$2:$K$154&lt;&gt;"")*('Team Lineups'!$C$2:$C$154=$A11)*COUNTIFS('Team Lineups'!$K$2:$K$154,'Team Lineups'!$K$2:$K$154,'Team Lineups'!$C$2:$C$154,Z$1))</f>
        <v>0</v>
      </c>
      <c r="AA11" cm="1">
        <f t="array" ref="AA11">SUMPRODUCT(('Team Lineups'!$K$2:$K$154&lt;&gt;"")*('Team Lineups'!$C$2:$C$154=$A11)*COUNTIFS('Team Lineups'!$K$2:$K$154,'Team Lineups'!$K$2:$K$154,'Team Lineups'!$C$2:$C$154,AA$1))</f>
        <v>0</v>
      </c>
      <c r="AB11" cm="1">
        <f t="array" ref="AB11">SUMPRODUCT(('Team Lineups'!$K$2:$K$154&lt;&gt;"")*('Team Lineups'!$C$2:$C$154=$A11)*COUNTIFS('Team Lineups'!$K$2:$K$154,'Team Lineups'!$K$2:$K$154,'Team Lineups'!$C$2:$C$154,AB$1))</f>
        <v>0</v>
      </c>
      <c r="AC11" cm="1">
        <f t="array" ref="AC11">SUMPRODUCT(('Team Lineups'!$K$2:$K$154&lt;&gt;"")*('Team Lineups'!$C$2:$C$154=$A11)*COUNTIFS('Team Lineups'!$K$2:$K$154,'Team Lineups'!$K$2:$K$154,'Team Lineups'!$C$2:$C$154,AC$1))</f>
        <v>0</v>
      </c>
      <c r="AD11" cm="1">
        <f t="array" ref="AD11">SUMPRODUCT(('Team Lineups'!$K$2:$K$154&lt;&gt;"")*('Team Lineups'!$C$2:$C$154=$A11)*COUNTIFS('Team Lineups'!$K$2:$K$154,'Team Lineups'!$K$2:$K$154,'Team Lineups'!$C$2:$C$154,AD$1))</f>
        <v>0</v>
      </c>
    </row>
    <row r="12" spans="1:100" x14ac:dyDescent="0.35">
      <c r="A12" t="str">
        <v>Sergio</v>
      </c>
      <c r="B12" cm="1">
        <f t="array" ref="B12">SUMPRODUCT(('Team Lineups'!$K$2:$K$154&lt;&gt;"")*('Team Lineups'!$C$2:$C$154=$A12)*COUNTIFS('Team Lineups'!$K$2:$K$154,'Team Lineups'!$K$2:$K$154,'Team Lineups'!$C$2:$C$154,B$1))</f>
        <v>1</v>
      </c>
      <c r="C12" cm="1">
        <f t="array" ref="C12">SUMPRODUCT(('Team Lineups'!$K$2:$K$154&lt;&gt;"")*('Team Lineups'!$C$2:$C$154=$A12)*COUNTIFS('Team Lineups'!$K$2:$K$154,'Team Lineups'!$K$2:$K$154,'Team Lineups'!$C$2:$C$154,C$1))</f>
        <v>3</v>
      </c>
      <c r="D12" cm="1">
        <f t="array" ref="D12">SUMPRODUCT(('Team Lineups'!$K$2:$K$154&lt;&gt;"")*('Team Lineups'!$C$2:$C$154=$A12)*COUNTIFS('Team Lineups'!$K$2:$K$154,'Team Lineups'!$K$2:$K$154,'Team Lineups'!$C$2:$C$154,D$1))</f>
        <v>5</v>
      </c>
      <c r="E12" cm="1">
        <f t="array" ref="E12">SUMPRODUCT(('Team Lineups'!$K$2:$K$154&lt;&gt;"")*('Team Lineups'!$C$2:$C$154=$A12)*COUNTIFS('Team Lineups'!$K$2:$K$154,'Team Lineups'!$K$2:$K$154,'Team Lineups'!$C$2:$C$154,E$1))</f>
        <v>5</v>
      </c>
      <c r="F12" cm="1">
        <f t="array" ref="F12">SUMPRODUCT(('Team Lineups'!$K$2:$K$154&lt;&gt;"")*('Team Lineups'!$C$2:$C$154=$A12)*COUNTIFS('Team Lineups'!$K$2:$K$154,'Team Lineups'!$K$2:$K$154,'Team Lineups'!$C$2:$C$154,F$1))</f>
        <v>5</v>
      </c>
      <c r="G12" cm="1">
        <f t="array" ref="G12">SUMPRODUCT(('Team Lineups'!$K$2:$K$154&lt;&gt;"")*('Team Lineups'!$C$2:$C$154=$A12)*COUNTIFS('Team Lineups'!$K$2:$K$154,'Team Lineups'!$K$2:$K$154,'Team Lineups'!$C$2:$C$154,G$1))</f>
        <v>3</v>
      </c>
      <c r="H12" cm="1">
        <f t="array" ref="H12">SUMPRODUCT(('Team Lineups'!$K$2:$K$154&lt;&gt;"")*('Team Lineups'!$C$2:$C$154=$A12)*COUNTIFS('Team Lineups'!$K$2:$K$154,'Team Lineups'!$K$2:$K$154,'Team Lineups'!$C$2:$C$154,H$1))</f>
        <v>1</v>
      </c>
      <c r="I12" cm="1">
        <f t="array" ref="I12">SUMPRODUCT(('Team Lineups'!$K$2:$K$154&lt;&gt;"")*('Team Lineups'!$C$2:$C$154=$A12)*COUNTIFS('Team Lineups'!$K$2:$K$154,'Team Lineups'!$K$2:$K$154,'Team Lineups'!$C$2:$C$154,I$1))</f>
        <v>2</v>
      </c>
      <c r="J12" cm="1">
        <f t="array" ref="J12">SUMPRODUCT(('Team Lineups'!$K$2:$K$154&lt;&gt;"")*('Team Lineups'!$C$2:$C$154=$A12)*COUNTIFS('Team Lineups'!$K$2:$K$154,'Team Lineups'!$K$2:$K$154,'Team Lineups'!$C$2:$C$154,J$1))</f>
        <v>0</v>
      </c>
      <c r="K12" cm="1">
        <f t="array" ref="K12">SUMPRODUCT(('Team Lineups'!$K$2:$K$154&lt;&gt;"")*('Team Lineups'!$C$2:$C$154=$A12)*COUNTIFS('Team Lineups'!$K$2:$K$154,'Team Lineups'!$K$2:$K$154,'Team Lineups'!$C$2:$C$154,K$1))</f>
        <v>0</v>
      </c>
      <c r="L12" t="s">
        <v>77</v>
      </c>
      <c r="M12" cm="1">
        <f t="array" ref="M12">SUMPRODUCT(('Team Lineups'!$K$2:$K$154&lt;&gt;"")*('Team Lineups'!$C$2:$C$154=$A12)*COUNTIFS('Team Lineups'!$K$2:$K$154,'Team Lineups'!$K$2:$K$154,'Team Lineups'!$C$2:$C$154,M$1))</f>
        <v>3</v>
      </c>
      <c r="N12" cm="1">
        <f t="array" ref="N12">SUMPRODUCT(('Team Lineups'!$K$2:$K$154&lt;&gt;"")*('Team Lineups'!$C$2:$C$154=$A12)*COUNTIFS('Team Lineups'!$K$2:$K$154,'Team Lineups'!$K$2:$K$154,'Team Lineups'!$C$2:$C$154,N$1))</f>
        <v>3</v>
      </c>
      <c r="O12" cm="1">
        <f t="array" ref="O12">SUMPRODUCT(('Team Lineups'!$K$2:$K$154&lt;&gt;"")*('Team Lineups'!$C$2:$C$154=$A12)*COUNTIFS('Team Lineups'!$K$2:$K$154,'Team Lineups'!$K$2:$K$154,'Team Lineups'!$C$2:$C$154,O$1))</f>
        <v>2</v>
      </c>
      <c r="P12" cm="1">
        <f t="array" ref="P12">SUMPRODUCT(('Team Lineups'!$K$2:$K$154&lt;&gt;"")*('Team Lineups'!$C$2:$C$154=$A12)*COUNTIFS('Team Lineups'!$K$2:$K$154,'Team Lineups'!$K$2:$K$154,'Team Lineups'!$C$2:$C$154,P$1))</f>
        <v>1</v>
      </c>
      <c r="Q12" cm="1">
        <f t="array" ref="Q12">SUMPRODUCT(('Team Lineups'!$K$2:$K$154&lt;&gt;"")*('Team Lineups'!$C$2:$C$154=$A12)*COUNTIFS('Team Lineups'!$K$2:$K$154,'Team Lineups'!$K$2:$K$154,'Team Lineups'!$C$2:$C$154,Q$1))</f>
        <v>4</v>
      </c>
      <c r="R12" cm="1">
        <f t="array" ref="R12">SUMPRODUCT(('Team Lineups'!$K$2:$K$154&lt;&gt;"")*('Team Lineups'!$C$2:$C$154=$A12)*COUNTIFS('Team Lineups'!$K$2:$K$154,'Team Lineups'!$K$2:$K$154,'Team Lineups'!$C$2:$C$154,R$1))</f>
        <v>2</v>
      </c>
      <c r="S12" cm="1">
        <f t="array" ref="S12">SUMPRODUCT(('Team Lineups'!$K$2:$K$154&lt;&gt;"")*('Team Lineups'!$C$2:$C$154=$A12)*COUNTIFS('Team Lineups'!$K$2:$K$154,'Team Lineups'!$K$2:$K$154,'Team Lineups'!$C$2:$C$154,S$1))</f>
        <v>4</v>
      </c>
      <c r="T12" cm="1">
        <f t="array" ref="T12">SUMPRODUCT(('Team Lineups'!$K$2:$K$154&lt;&gt;"")*('Team Lineups'!$C$2:$C$154=$A12)*COUNTIFS('Team Lineups'!$K$2:$K$154,'Team Lineups'!$K$2:$K$154,'Team Lineups'!$C$2:$C$154,T$1))</f>
        <v>0</v>
      </c>
      <c r="U12" cm="1">
        <f t="array" ref="U12">SUMPRODUCT(('Team Lineups'!$K$2:$K$154&lt;&gt;"")*('Team Lineups'!$C$2:$C$154=$A12)*COUNTIFS('Team Lineups'!$K$2:$K$154,'Team Lineups'!$K$2:$K$154,'Team Lineups'!$C$2:$C$154,U$1))</f>
        <v>1</v>
      </c>
      <c r="V12" cm="1">
        <f t="array" ref="V12">SUMPRODUCT(('Team Lineups'!$K$2:$K$154&lt;&gt;"")*('Team Lineups'!$C$2:$C$154=$A12)*COUNTIFS('Team Lineups'!$K$2:$K$154,'Team Lineups'!$K$2:$K$154,'Team Lineups'!$C$2:$C$154,V$1))</f>
        <v>5</v>
      </c>
      <c r="W12" cm="1">
        <f t="array" ref="W12">SUMPRODUCT(('Team Lineups'!$K$2:$K$154&lt;&gt;"")*('Team Lineups'!$C$2:$C$154=$A12)*COUNTIFS('Team Lineups'!$K$2:$K$154,'Team Lineups'!$K$2:$K$154,'Team Lineups'!$C$2:$C$154,W$1))</f>
        <v>0</v>
      </c>
      <c r="X12" cm="1">
        <f t="array" ref="X12">SUMPRODUCT(('Team Lineups'!$K$2:$K$154&lt;&gt;"")*('Team Lineups'!$C$2:$C$154=$A12)*COUNTIFS('Team Lineups'!$K$2:$K$154,'Team Lineups'!$K$2:$K$154,'Team Lineups'!$C$2:$C$154,X$1))</f>
        <v>0</v>
      </c>
      <c r="Y12" cm="1">
        <f t="array" ref="Y12">SUMPRODUCT(('Team Lineups'!$K$2:$K$154&lt;&gt;"")*('Team Lineups'!$C$2:$C$154=$A12)*COUNTIFS('Team Lineups'!$K$2:$K$154,'Team Lineups'!$K$2:$K$154,'Team Lineups'!$C$2:$C$154,Y$1))</f>
        <v>1</v>
      </c>
      <c r="Z12" cm="1">
        <f t="array" ref="Z12">SUMPRODUCT(('Team Lineups'!$K$2:$K$154&lt;&gt;"")*('Team Lineups'!$C$2:$C$154=$A12)*COUNTIFS('Team Lineups'!$K$2:$K$154,'Team Lineups'!$K$2:$K$154,'Team Lineups'!$C$2:$C$154,Z$1))</f>
        <v>0</v>
      </c>
      <c r="AA12" cm="1">
        <f t="array" ref="AA12">SUMPRODUCT(('Team Lineups'!$K$2:$K$154&lt;&gt;"")*('Team Lineups'!$C$2:$C$154=$A12)*COUNTIFS('Team Lineups'!$K$2:$K$154,'Team Lineups'!$K$2:$K$154,'Team Lineups'!$C$2:$C$154,AA$1))</f>
        <v>3</v>
      </c>
      <c r="AB12" cm="1">
        <f t="array" ref="AB12">SUMPRODUCT(('Team Lineups'!$K$2:$K$154&lt;&gt;"")*('Team Lineups'!$C$2:$C$154=$A12)*COUNTIFS('Team Lineups'!$K$2:$K$154,'Team Lineups'!$K$2:$K$154,'Team Lineups'!$C$2:$C$154,AB$1))</f>
        <v>2</v>
      </c>
      <c r="AC12" cm="1">
        <f t="array" ref="AC12">SUMPRODUCT(('Team Lineups'!$K$2:$K$154&lt;&gt;"")*('Team Lineups'!$C$2:$C$154=$A12)*COUNTIFS('Team Lineups'!$K$2:$K$154,'Team Lineups'!$K$2:$K$154,'Team Lineups'!$C$2:$C$154,AC$1))</f>
        <v>0</v>
      </c>
      <c r="AD12" cm="1">
        <f t="array" ref="AD12">SUMPRODUCT(('Team Lineups'!$K$2:$K$154&lt;&gt;"")*('Team Lineups'!$C$2:$C$154=$A12)*COUNTIFS('Team Lineups'!$K$2:$K$154,'Team Lineups'!$K$2:$K$154,'Team Lineups'!$C$2:$C$154,AD$1))</f>
        <v>0</v>
      </c>
    </row>
    <row r="13" spans="1:100" x14ac:dyDescent="0.35">
      <c r="A13" t="str">
        <v>Barroso</v>
      </c>
      <c r="B13" cm="1">
        <f t="array" ref="B13">SUMPRODUCT(('Team Lineups'!$K$2:$K$154&lt;&gt;"")*('Team Lineups'!$C$2:$C$154=$A13)*COUNTIFS('Team Lineups'!$K$2:$K$154,'Team Lineups'!$K$2:$K$154,'Team Lineups'!$C$2:$C$154,B$1))</f>
        <v>3</v>
      </c>
      <c r="C13" cm="1">
        <f t="array" ref="C13">SUMPRODUCT(('Team Lineups'!$K$2:$K$154&lt;&gt;"")*('Team Lineups'!$C$2:$C$154=$A13)*COUNTIFS('Team Lineups'!$K$2:$K$154,'Team Lineups'!$K$2:$K$154,'Team Lineups'!$C$2:$C$154,C$1))</f>
        <v>0</v>
      </c>
      <c r="D13" cm="1">
        <f t="array" ref="D13">SUMPRODUCT(('Team Lineups'!$K$2:$K$154&lt;&gt;"")*('Team Lineups'!$C$2:$C$154=$A13)*COUNTIFS('Team Lineups'!$K$2:$K$154,'Team Lineups'!$K$2:$K$154,'Team Lineups'!$C$2:$C$154,D$1))</f>
        <v>3</v>
      </c>
      <c r="E13" cm="1">
        <f t="array" ref="E13">SUMPRODUCT(('Team Lineups'!$K$2:$K$154&lt;&gt;"")*('Team Lineups'!$C$2:$C$154=$A13)*COUNTIFS('Team Lineups'!$K$2:$K$154,'Team Lineups'!$K$2:$K$154,'Team Lineups'!$C$2:$C$154,E$1))</f>
        <v>2</v>
      </c>
      <c r="F13" cm="1">
        <f t="array" ref="F13">SUMPRODUCT(('Team Lineups'!$K$2:$K$154&lt;&gt;"")*('Team Lineups'!$C$2:$C$154=$A13)*COUNTIFS('Team Lineups'!$K$2:$K$154,'Team Lineups'!$K$2:$K$154,'Team Lineups'!$C$2:$C$154,F$1))</f>
        <v>6</v>
      </c>
      <c r="G13" cm="1">
        <f t="array" ref="G13">SUMPRODUCT(('Team Lineups'!$K$2:$K$154&lt;&gt;"")*('Team Lineups'!$C$2:$C$154=$A13)*COUNTIFS('Team Lineups'!$K$2:$K$154,'Team Lineups'!$K$2:$K$154,'Team Lineups'!$C$2:$C$154,G$1))</f>
        <v>5</v>
      </c>
      <c r="H13" cm="1">
        <f t="array" ref="H13">SUMPRODUCT(('Team Lineups'!$K$2:$K$154&lt;&gt;"")*('Team Lineups'!$C$2:$C$154=$A13)*COUNTIFS('Team Lineups'!$K$2:$K$154,'Team Lineups'!$K$2:$K$154,'Team Lineups'!$C$2:$C$154,H$1))</f>
        <v>4</v>
      </c>
      <c r="I13" cm="1">
        <f t="array" ref="I13">SUMPRODUCT(('Team Lineups'!$K$2:$K$154&lt;&gt;"")*('Team Lineups'!$C$2:$C$154=$A13)*COUNTIFS('Team Lineups'!$K$2:$K$154,'Team Lineups'!$K$2:$K$154,'Team Lineups'!$C$2:$C$154,I$1))</f>
        <v>4</v>
      </c>
      <c r="J13" cm="1">
        <f t="array" ref="J13">SUMPRODUCT(('Team Lineups'!$K$2:$K$154&lt;&gt;"")*('Team Lineups'!$C$2:$C$154=$A13)*COUNTIFS('Team Lineups'!$K$2:$K$154,'Team Lineups'!$K$2:$K$154,'Team Lineups'!$C$2:$C$154,J$1))</f>
        <v>0</v>
      </c>
      <c r="K13" cm="1">
        <f t="array" ref="K13">SUMPRODUCT(('Team Lineups'!$K$2:$K$154&lt;&gt;"")*('Team Lineups'!$C$2:$C$154=$A13)*COUNTIFS('Team Lineups'!$K$2:$K$154,'Team Lineups'!$K$2:$K$154,'Team Lineups'!$C$2:$C$154,K$1))</f>
        <v>0</v>
      </c>
      <c r="L13" cm="1">
        <f t="array" ref="L13">SUMPRODUCT(('Team Lineups'!$K$2:$K$154&lt;&gt;"")*('Team Lineups'!$C$2:$C$154=$A13)*COUNTIFS('Team Lineups'!$K$2:$K$154,'Team Lineups'!$K$2:$K$154,'Team Lineups'!$C$2:$C$154,L$1))</f>
        <v>3</v>
      </c>
      <c r="M13" t="s">
        <v>77</v>
      </c>
      <c r="N13" cm="1">
        <f t="array" ref="N13">SUMPRODUCT(('Team Lineups'!$K$2:$K$154&lt;&gt;"")*('Team Lineups'!$C$2:$C$154=$A13)*COUNTIFS('Team Lineups'!$K$2:$K$154,'Team Lineups'!$K$2:$K$154,'Team Lineups'!$C$2:$C$154,N$1))</f>
        <v>4</v>
      </c>
      <c r="O13" cm="1">
        <f t="array" ref="O13">SUMPRODUCT(('Team Lineups'!$K$2:$K$154&lt;&gt;"")*('Team Lineups'!$C$2:$C$154=$A13)*COUNTIFS('Team Lineups'!$K$2:$K$154,'Team Lineups'!$K$2:$K$154,'Team Lineups'!$C$2:$C$154,O$1))</f>
        <v>2</v>
      </c>
      <c r="P13" cm="1">
        <f t="array" ref="P13">SUMPRODUCT(('Team Lineups'!$K$2:$K$154&lt;&gt;"")*('Team Lineups'!$C$2:$C$154=$A13)*COUNTIFS('Team Lineups'!$K$2:$K$154,'Team Lineups'!$K$2:$K$154,'Team Lineups'!$C$2:$C$154,P$1))</f>
        <v>1</v>
      </c>
      <c r="Q13" cm="1">
        <f t="array" ref="Q13">SUMPRODUCT(('Team Lineups'!$K$2:$K$154&lt;&gt;"")*('Team Lineups'!$C$2:$C$154=$A13)*COUNTIFS('Team Lineups'!$K$2:$K$154,'Team Lineups'!$K$2:$K$154,'Team Lineups'!$C$2:$C$154,Q$1))</f>
        <v>3</v>
      </c>
      <c r="R13" cm="1">
        <f t="array" ref="R13">SUMPRODUCT(('Team Lineups'!$K$2:$K$154&lt;&gt;"")*('Team Lineups'!$C$2:$C$154=$A13)*COUNTIFS('Team Lineups'!$K$2:$K$154,'Team Lineups'!$K$2:$K$154,'Team Lineups'!$C$2:$C$154,R$1))</f>
        <v>4</v>
      </c>
      <c r="S13" cm="1">
        <f t="array" ref="S13">SUMPRODUCT(('Team Lineups'!$K$2:$K$154&lt;&gt;"")*('Team Lineups'!$C$2:$C$154=$A13)*COUNTIFS('Team Lineups'!$K$2:$K$154,'Team Lineups'!$K$2:$K$154,'Team Lineups'!$C$2:$C$154,S$1))</f>
        <v>3</v>
      </c>
      <c r="T13" cm="1">
        <f t="array" ref="T13">SUMPRODUCT(('Team Lineups'!$K$2:$K$154&lt;&gt;"")*('Team Lineups'!$C$2:$C$154=$A13)*COUNTIFS('Team Lineups'!$K$2:$K$154,'Team Lineups'!$K$2:$K$154,'Team Lineups'!$C$2:$C$154,T$1))</f>
        <v>1</v>
      </c>
      <c r="U13" cm="1">
        <f t="array" ref="U13">SUMPRODUCT(('Team Lineups'!$K$2:$K$154&lt;&gt;"")*('Team Lineups'!$C$2:$C$154=$A13)*COUNTIFS('Team Lineups'!$K$2:$K$154,'Team Lineups'!$K$2:$K$154,'Team Lineups'!$C$2:$C$154,U$1))</f>
        <v>0</v>
      </c>
      <c r="V13" cm="1">
        <f t="array" ref="V13">SUMPRODUCT(('Team Lineups'!$K$2:$K$154&lt;&gt;"")*('Team Lineups'!$C$2:$C$154=$A13)*COUNTIFS('Team Lineups'!$K$2:$K$154,'Team Lineups'!$K$2:$K$154,'Team Lineups'!$C$2:$C$154,V$1))</f>
        <v>1</v>
      </c>
      <c r="W13" cm="1">
        <f t="array" ref="W13">SUMPRODUCT(('Team Lineups'!$K$2:$K$154&lt;&gt;"")*('Team Lineups'!$C$2:$C$154=$A13)*COUNTIFS('Team Lineups'!$K$2:$K$154,'Team Lineups'!$K$2:$K$154,'Team Lineups'!$C$2:$C$154,W$1))</f>
        <v>1</v>
      </c>
      <c r="X13" cm="1">
        <f t="array" ref="X13">SUMPRODUCT(('Team Lineups'!$K$2:$K$154&lt;&gt;"")*('Team Lineups'!$C$2:$C$154=$A13)*COUNTIFS('Team Lineups'!$K$2:$K$154,'Team Lineups'!$K$2:$K$154,'Team Lineups'!$C$2:$C$154,X$1))</f>
        <v>1</v>
      </c>
      <c r="Y13" cm="1">
        <f t="array" ref="Y13">SUMPRODUCT(('Team Lineups'!$K$2:$K$154&lt;&gt;"")*('Team Lineups'!$C$2:$C$154=$A13)*COUNTIFS('Team Lineups'!$K$2:$K$154,'Team Lineups'!$K$2:$K$154,'Team Lineups'!$C$2:$C$154,Y$1))</f>
        <v>0</v>
      </c>
      <c r="Z13" cm="1">
        <f t="array" ref="Z13">SUMPRODUCT(('Team Lineups'!$K$2:$K$154&lt;&gt;"")*('Team Lineups'!$C$2:$C$154=$A13)*COUNTIFS('Team Lineups'!$K$2:$K$154,'Team Lineups'!$K$2:$K$154,'Team Lineups'!$C$2:$C$154,Z$1))</f>
        <v>3</v>
      </c>
      <c r="AA13" cm="1">
        <f t="array" ref="AA13">SUMPRODUCT(('Team Lineups'!$K$2:$K$154&lt;&gt;"")*('Team Lineups'!$C$2:$C$154=$A13)*COUNTIFS('Team Lineups'!$K$2:$K$154,'Team Lineups'!$K$2:$K$154,'Team Lineups'!$C$2:$C$154,AA$1))</f>
        <v>3</v>
      </c>
      <c r="AB13" cm="1">
        <f t="array" ref="AB13">SUMPRODUCT(('Team Lineups'!$K$2:$K$154&lt;&gt;"")*('Team Lineups'!$C$2:$C$154=$A13)*COUNTIFS('Team Lineups'!$K$2:$K$154,'Team Lineups'!$K$2:$K$154,'Team Lineups'!$C$2:$C$154,AB$1))</f>
        <v>1</v>
      </c>
      <c r="AC13" cm="1">
        <f t="array" ref="AC13">SUMPRODUCT(('Team Lineups'!$K$2:$K$154&lt;&gt;"")*('Team Lineups'!$C$2:$C$154=$A13)*COUNTIFS('Team Lineups'!$K$2:$K$154,'Team Lineups'!$K$2:$K$154,'Team Lineups'!$C$2:$C$154,AC$1))</f>
        <v>0</v>
      </c>
      <c r="AD13" cm="1">
        <f t="array" ref="AD13">SUMPRODUCT(('Team Lineups'!$K$2:$K$154&lt;&gt;"")*('Team Lineups'!$C$2:$C$154=$A13)*COUNTIFS('Team Lineups'!$K$2:$K$154,'Team Lineups'!$K$2:$K$154,'Team Lineups'!$C$2:$C$154,AD$1))</f>
        <v>1</v>
      </c>
    </row>
    <row r="14" spans="1:100" x14ac:dyDescent="0.35">
      <c r="A14" t="str">
        <v>Dario</v>
      </c>
      <c r="B14" cm="1">
        <f t="array" ref="B14">SUMPRODUCT(('Team Lineups'!$K$2:$K$154&lt;&gt;"")*('Team Lineups'!$C$2:$C$154=$A14)*COUNTIFS('Team Lineups'!$K$2:$K$154,'Team Lineups'!$K$2:$K$154,'Team Lineups'!$C$2:$C$154,B$1))</f>
        <v>4</v>
      </c>
      <c r="C14" cm="1">
        <f t="array" ref="C14">SUMPRODUCT(('Team Lineups'!$K$2:$K$154&lt;&gt;"")*('Team Lineups'!$C$2:$C$154=$A14)*COUNTIFS('Team Lineups'!$K$2:$K$154,'Team Lineups'!$K$2:$K$154,'Team Lineups'!$C$2:$C$154,C$1))</f>
        <v>3</v>
      </c>
      <c r="D14" cm="1">
        <f t="array" ref="D14">SUMPRODUCT(('Team Lineups'!$K$2:$K$154&lt;&gt;"")*('Team Lineups'!$C$2:$C$154=$A14)*COUNTIFS('Team Lineups'!$K$2:$K$154,'Team Lineups'!$K$2:$K$154,'Team Lineups'!$C$2:$C$154,D$1))</f>
        <v>4</v>
      </c>
      <c r="E14" cm="1">
        <f t="array" ref="E14">SUMPRODUCT(('Team Lineups'!$K$2:$K$154&lt;&gt;"")*('Team Lineups'!$C$2:$C$154=$A14)*COUNTIFS('Team Lineups'!$K$2:$K$154,'Team Lineups'!$K$2:$K$154,'Team Lineups'!$C$2:$C$154,E$1))</f>
        <v>3</v>
      </c>
      <c r="F14" cm="1">
        <f t="array" ref="F14">SUMPRODUCT(('Team Lineups'!$K$2:$K$154&lt;&gt;"")*('Team Lineups'!$C$2:$C$154=$A14)*COUNTIFS('Team Lineups'!$K$2:$K$154,'Team Lineups'!$K$2:$K$154,'Team Lineups'!$C$2:$C$154,F$1))</f>
        <v>1</v>
      </c>
      <c r="G14" cm="1">
        <f t="array" ref="G14">SUMPRODUCT(('Team Lineups'!$K$2:$K$154&lt;&gt;"")*('Team Lineups'!$C$2:$C$154=$A14)*COUNTIFS('Team Lineups'!$K$2:$K$154,'Team Lineups'!$K$2:$K$154,'Team Lineups'!$C$2:$C$154,G$1))</f>
        <v>3</v>
      </c>
      <c r="H14" cm="1">
        <f t="array" ref="H14">SUMPRODUCT(('Team Lineups'!$K$2:$K$154&lt;&gt;"")*('Team Lineups'!$C$2:$C$154=$A14)*COUNTIFS('Team Lineups'!$K$2:$K$154,'Team Lineups'!$K$2:$K$154,'Team Lineups'!$C$2:$C$154,H$1))</f>
        <v>3</v>
      </c>
      <c r="I14" cm="1">
        <f t="array" ref="I14">SUMPRODUCT(('Team Lineups'!$K$2:$K$154&lt;&gt;"")*('Team Lineups'!$C$2:$C$154=$A14)*COUNTIFS('Team Lineups'!$K$2:$K$154,'Team Lineups'!$K$2:$K$154,'Team Lineups'!$C$2:$C$154,I$1))</f>
        <v>2</v>
      </c>
      <c r="J14" cm="1">
        <f t="array" ref="J14">SUMPRODUCT(('Team Lineups'!$K$2:$K$154&lt;&gt;"")*('Team Lineups'!$C$2:$C$154=$A14)*COUNTIFS('Team Lineups'!$K$2:$K$154,'Team Lineups'!$K$2:$K$154,'Team Lineups'!$C$2:$C$154,J$1))</f>
        <v>0</v>
      </c>
      <c r="K14" cm="1">
        <f t="array" ref="K14">SUMPRODUCT(('Team Lineups'!$K$2:$K$154&lt;&gt;"")*('Team Lineups'!$C$2:$C$154=$A14)*COUNTIFS('Team Lineups'!$K$2:$K$154,'Team Lineups'!$K$2:$K$154,'Team Lineups'!$C$2:$C$154,K$1))</f>
        <v>0</v>
      </c>
      <c r="L14" cm="1">
        <f t="array" ref="L14">SUMPRODUCT(('Team Lineups'!$K$2:$K$154&lt;&gt;"")*('Team Lineups'!$C$2:$C$154=$A14)*COUNTIFS('Team Lineups'!$K$2:$K$154,'Team Lineups'!$K$2:$K$154,'Team Lineups'!$C$2:$C$154,L$1))</f>
        <v>3</v>
      </c>
      <c r="M14" cm="1">
        <f t="array" ref="M14">SUMPRODUCT(('Team Lineups'!$K$2:$K$154&lt;&gt;"")*('Team Lineups'!$C$2:$C$154=$A14)*COUNTIFS('Team Lineups'!$K$2:$K$154,'Team Lineups'!$K$2:$K$154,'Team Lineups'!$C$2:$C$154,M$1))</f>
        <v>4</v>
      </c>
      <c r="N14" t="s">
        <v>77</v>
      </c>
      <c r="O14" cm="1">
        <f t="array" ref="O14">SUMPRODUCT(('Team Lineups'!$K$2:$K$154&lt;&gt;"")*('Team Lineups'!$C$2:$C$154=$A14)*COUNTIFS('Team Lineups'!$K$2:$K$154,'Team Lineups'!$K$2:$K$154,'Team Lineups'!$C$2:$C$154,O$1))</f>
        <v>2</v>
      </c>
      <c r="P14" cm="1">
        <f t="array" ref="P14">SUMPRODUCT(('Team Lineups'!$K$2:$K$154&lt;&gt;"")*('Team Lineups'!$C$2:$C$154=$A14)*COUNTIFS('Team Lineups'!$K$2:$K$154,'Team Lineups'!$K$2:$K$154,'Team Lineups'!$C$2:$C$154,P$1))</f>
        <v>0</v>
      </c>
      <c r="Q14" cm="1">
        <f t="array" ref="Q14">SUMPRODUCT(('Team Lineups'!$K$2:$K$154&lt;&gt;"")*('Team Lineups'!$C$2:$C$154=$A14)*COUNTIFS('Team Lineups'!$K$2:$K$154,'Team Lineups'!$K$2:$K$154,'Team Lineups'!$C$2:$C$154,Q$1))</f>
        <v>2</v>
      </c>
      <c r="R14" cm="1">
        <f t="array" ref="R14">SUMPRODUCT(('Team Lineups'!$K$2:$K$154&lt;&gt;"")*('Team Lineups'!$C$2:$C$154=$A14)*COUNTIFS('Team Lineups'!$K$2:$K$154,'Team Lineups'!$K$2:$K$154,'Team Lineups'!$C$2:$C$154,R$1))</f>
        <v>0</v>
      </c>
      <c r="S14" cm="1">
        <f t="array" ref="S14">SUMPRODUCT(('Team Lineups'!$K$2:$K$154&lt;&gt;"")*('Team Lineups'!$C$2:$C$154=$A14)*COUNTIFS('Team Lineups'!$K$2:$K$154,'Team Lineups'!$K$2:$K$154,'Team Lineups'!$C$2:$C$154,S$1))</f>
        <v>1</v>
      </c>
      <c r="T14" cm="1">
        <f t="array" ref="T14">SUMPRODUCT(('Team Lineups'!$K$2:$K$154&lt;&gt;"")*('Team Lineups'!$C$2:$C$154=$A14)*COUNTIFS('Team Lineups'!$K$2:$K$154,'Team Lineups'!$K$2:$K$154,'Team Lineups'!$C$2:$C$154,T$1))</f>
        <v>1</v>
      </c>
      <c r="U14" cm="1">
        <f t="array" ref="U14">SUMPRODUCT(('Team Lineups'!$K$2:$K$154&lt;&gt;"")*('Team Lineups'!$C$2:$C$154=$A14)*COUNTIFS('Team Lineups'!$K$2:$K$154,'Team Lineups'!$K$2:$K$154,'Team Lineups'!$C$2:$C$154,U$1))</f>
        <v>0</v>
      </c>
      <c r="V14" cm="1">
        <f t="array" ref="V14">SUMPRODUCT(('Team Lineups'!$K$2:$K$154&lt;&gt;"")*('Team Lineups'!$C$2:$C$154=$A14)*COUNTIFS('Team Lineups'!$K$2:$K$154,'Team Lineups'!$K$2:$K$154,'Team Lineups'!$C$2:$C$154,V$1))</f>
        <v>2</v>
      </c>
      <c r="W14" cm="1">
        <f t="array" ref="W14">SUMPRODUCT(('Team Lineups'!$K$2:$K$154&lt;&gt;"")*('Team Lineups'!$C$2:$C$154=$A14)*COUNTIFS('Team Lineups'!$K$2:$K$154,'Team Lineups'!$K$2:$K$154,'Team Lineups'!$C$2:$C$154,W$1))</f>
        <v>0</v>
      </c>
      <c r="X14" cm="1">
        <f t="array" ref="X14">SUMPRODUCT(('Team Lineups'!$K$2:$K$154&lt;&gt;"")*('Team Lineups'!$C$2:$C$154=$A14)*COUNTIFS('Team Lineups'!$K$2:$K$154,'Team Lineups'!$K$2:$K$154,'Team Lineups'!$C$2:$C$154,X$1))</f>
        <v>0</v>
      </c>
      <c r="Y14" cm="1">
        <f t="array" ref="Y14">SUMPRODUCT(('Team Lineups'!$K$2:$K$154&lt;&gt;"")*('Team Lineups'!$C$2:$C$154=$A14)*COUNTIFS('Team Lineups'!$K$2:$K$154,'Team Lineups'!$K$2:$K$154,'Team Lineups'!$C$2:$C$154,Y$1))</f>
        <v>0</v>
      </c>
      <c r="Z14" cm="1">
        <f t="array" ref="Z14">SUMPRODUCT(('Team Lineups'!$K$2:$K$154&lt;&gt;"")*('Team Lineups'!$C$2:$C$154=$A14)*COUNTIFS('Team Lineups'!$K$2:$K$154,'Team Lineups'!$K$2:$K$154,'Team Lineups'!$C$2:$C$154,Z$1))</f>
        <v>1</v>
      </c>
      <c r="AA14" cm="1">
        <f t="array" ref="AA14">SUMPRODUCT(('Team Lineups'!$K$2:$K$154&lt;&gt;"")*('Team Lineups'!$C$2:$C$154=$A14)*COUNTIFS('Team Lineups'!$K$2:$K$154,'Team Lineups'!$K$2:$K$154,'Team Lineups'!$C$2:$C$154,AA$1))</f>
        <v>1</v>
      </c>
      <c r="AB14" cm="1">
        <f t="array" ref="AB14">SUMPRODUCT(('Team Lineups'!$K$2:$K$154&lt;&gt;"")*('Team Lineups'!$C$2:$C$154=$A14)*COUNTIFS('Team Lineups'!$K$2:$K$154,'Team Lineups'!$K$2:$K$154,'Team Lineups'!$C$2:$C$154,AB$1))</f>
        <v>1</v>
      </c>
      <c r="AC14" cm="1">
        <f t="array" ref="AC14">SUMPRODUCT(('Team Lineups'!$K$2:$K$154&lt;&gt;"")*('Team Lineups'!$C$2:$C$154=$A14)*COUNTIFS('Team Lineups'!$K$2:$K$154,'Team Lineups'!$K$2:$K$154,'Team Lineups'!$C$2:$C$154,AC$1))</f>
        <v>0</v>
      </c>
      <c r="AD14" cm="1">
        <f t="array" ref="AD14">SUMPRODUCT(('Team Lineups'!$K$2:$K$154&lt;&gt;"")*('Team Lineups'!$C$2:$C$154=$A14)*COUNTIFS('Team Lineups'!$K$2:$K$154,'Team Lineups'!$K$2:$K$154,'Team Lineups'!$C$2:$C$154,AD$1))</f>
        <v>1</v>
      </c>
    </row>
    <row r="15" spans="1:100" x14ac:dyDescent="0.35">
      <c r="A15" t="str">
        <v>Tano</v>
      </c>
      <c r="B15" cm="1">
        <f t="array" ref="B15">SUMPRODUCT(('Team Lineups'!$K$2:$K$154&lt;&gt;"")*('Team Lineups'!$C$2:$C$154=$A15)*COUNTIFS('Team Lineups'!$K$2:$K$154,'Team Lineups'!$K$2:$K$154,'Team Lineups'!$C$2:$C$154,B$1))</f>
        <v>1</v>
      </c>
      <c r="C15" cm="1">
        <f t="array" ref="C15">SUMPRODUCT(('Team Lineups'!$K$2:$K$154&lt;&gt;"")*('Team Lineups'!$C$2:$C$154=$A15)*COUNTIFS('Team Lineups'!$K$2:$K$154,'Team Lineups'!$K$2:$K$154,'Team Lineups'!$C$2:$C$154,C$1))</f>
        <v>2</v>
      </c>
      <c r="D15" cm="1">
        <f t="array" ref="D15">SUMPRODUCT(('Team Lineups'!$K$2:$K$154&lt;&gt;"")*('Team Lineups'!$C$2:$C$154=$A15)*COUNTIFS('Team Lineups'!$K$2:$K$154,'Team Lineups'!$K$2:$K$154,'Team Lineups'!$C$2:$C$154,D$1))</f>
        <v>3</v>
      </c>
      <c r="E15" cm="1">
        <f t="array" ref="E15">SUMPRODUCT(('Team Lineups'!$K$2:$K$154&lt;&gt;"")*('Team Lineups'!$C$2:$C$154=$A15)*COUNTIFS('Team Lineups'!$K$2:$K$154,'Team Lineups'!$K$2:$K$154,'Team Lineups'!$C$2:$C$154,E$1))</f>
        <v>2</v>
      </c>
      <c r="F15" cm="1">
        <f t="array" ref="F15">SUMPRODUCT(('Team Lineups'!$K$2:$K$154&lt;&gt;"")*('Team Lineups'!$C$2:$C$154=$A15)*COUNTIFS('Team Lineups'!$K$2:$K$154,'Team Lineups'!$K$2:$K$154,'Team Lineups'!$C$2:$C$154,F$1))</f>
        <v>3</v>
      </c>
      <c r="G15" cm="1">
        <f t="array" ref="G15">SUMPRODUCT(('Team Lineups'!$K$2:$K$154&lt;&gt;"")*('Team Lineups'!$C$2:$C$154=$A15)*COUNTIFS('Team Lineups'!$K$2:$K$154,'Team Lineups'!$K$2:$K$154,'Team Lineups'!$C$2:$C$154,G$1))</f>
        <v>0</v>
      </c>
      <c r="H15" cm="1">
        <f t="array" ref="H15">SUMPRODUCT(('Team Lineups'!$K$2:$K$154&lt;&gt;"")*('Team Lineups'!$C$2:$C$154=$A15)*COUNTIFS('Team Lineups'!$K$2:$K$154,'Team Lineups'!$K$2:$K$154,'Team Lineups'!$C$2:$C$154,H$1))</f>
        <v>2</v>
      </c>
      <c r="I15" cm="1">
        <f t="array" ref="I15">SUMPRODUCT(('Team Lineups'!$K$2:$K$154&lt;&gt;"")*('Team Lineups'!$C$2:$C$154=$A15)*COUNTIFS('Team Lineups'!$K$2:$K$154,'Team Lineups'!$K$2:$K$154,'Team Lineups'!$C$2:$C$154,I$1))</f>
        <v>2</v>
      </c>
      <c r="J15" cm="1">
        <f t="array" ref="J15">SUMPRODUCT(('Team Lineups'!$K$2:$K$154&lt;&gt;"")*('Team Lineups'!$C$2:$C$154=$A15)*COUNTIFS('Team Lineups'!$K$2:$K$154,'Team Lineups'!$K$2:$K$154,'Team Lineups'!$C$2:$C$154,J$1))</f>
        <v>0</v>
      </c>
      <c r="K15" cm="1">
        <f t="array" ref="K15">SUMPRODUCT(('Team Lineups'!$K$2:$K$154&lt;&gt;"")*('Team Lineups'!$C$2:$C$154=$A15)*COUNTIFS('Team Lineups'!$K$2:$K$154,'Team Lineups'!$K$2:$K$154,'Team Lineups'!$C$2:$C$154,K$1))</f>
        <v>0</v>
      </c>
      <c r="L15" cm="1">
        <f t="array" ref="L15">SUMPRODUCT(('Team Lineups'!$K$2:$K$154&lt;&gt;"")*('Team Lineups'!$C$2:$C$154=$A15)*COUNTIFS('Team Lineups'!$K$2:$K$154,'Team Lineups'!$K$2:$K$154,'Team Lineups'!$C$2:$C$154,L$1))</f>
        <v>2</v>
      </c>
      <c r="M15" cm="1">
        <f t="array" ref="M15">SUMPRODUCT(('Team Lineups'!$K$2:$K$154&lt;&gt;"")*('Team Lineups'!$C$2:$C$154=$A15)*COUNTIFS('Team Lineups'!$K$2:$K$154,'Team Lineups'!$K$2:$K$154,'Team Lineups'!$C$2:$C$154,M$1))</f>
        <v>2</v>
      </c>
      <c r="N15" cm="1">
        <f t="array" ref="N15">SUMPRODUCT(('Team Lineups'!$K$2:$K$154&lt;&gt;"")*('Team Lineups'!$C$2:$C$154=$A15)*COUNTIFS('Team Lineups'!$K$2:$K$154,'Team Lineups'!$K$2:$K$154,'Team Lineups'!$C$2:$C$154,N$1))</f>
        <v>2</v>
      </c>
      <c r="O15" t="s">
        <v>77</v>
      </c>
      <c r="P15" cm="1">
        <f t="array" ref="P15">SUMPRODUCT(('Team Lineups'!$K$2:$K$154&lt;&gt;"")*('Team Lineups'!$C$2:$C$154=$A15)*COUNTIFS('Team Lineups'!$K$2:$K$154,'Team Lineups'!$K$2:$K$154,'Team Lineups'!$C$2:$C$154,P$1))</f>
        <v>1</v>
      </c>
      <c r="Q15" cm="1">
        <f t="array" ref="Q15">SUMPRODUCT(('Team Lineups'!$K$2:$K$154&lt;&gt;"")*('Team Lineups'!$C$2:$C$154=$A15)*COUNTIFS('Team Lineups'!$K$2:$K$154,'Team Lineups'!$K$2:$K$154,'Team Lineups'!$C$2:$C$154,Q$1))</f>
        <v>3</v>
      </c>
      <c r="R15" cm="1">
        <f t="array" ref="R15">SUMPRODUCT(('Team Lineups'!$K$2:$K$154&lt;&gt;"")*('Team Lineups'!$C$2:$C$154=$A15)*COUNTIFS('Team Lineups'!$K$2:$K$154,'Team Lineups'!$K$2:$K$154,'Team Lineups'!$C$2:$C$154,R$1))</f>
        <v>1</v>
      </c>
      <c r="S15" cm="1">
        <f t="array" ref="S15">SUMPRODUCT(('Team Lineups'!$K$2:$K$154&lt;&gt;"")*('Team Lineups'!$C$2:$C$154=$A15)*COUNTIFS('Team Lineups'!$K$2:$K$154,'Team Lineups'!$K$2:$K$154,'Team Lineups'!$C$2:$C$154,S$1))</f>
        <v>0</v>
      </c>
      <c r="T15" cm="1">
        <f t="array" ref="T15">SUMPRODUCT(('Team Lineups'!$K$2:$K$154&lt;&gt;"")*('Team Lineups'!$C$2:$C$154=$A15)*COUNTIFS('Team Lineups'!$K$2:$K$154,'Team Lineups'!$K$2:$K$154,'Team Lineups'!$C$2:$C$154,T$1))</f>
        <v>0</v>
      </c>
      <c r="U15" cm="1">
        <f t="array" ref="U15">SUMPRODUCT(('Team Lineups'!$K$2:$K$154&lt;&gt;"")*('Team Lineups'!$C$2:$C$154=$A15)*COUNTIFS('Team Lineups'!$K$2:$K$154,'Team Lineups'!$K$2:$K$154,'Team Lineups'!$C$2:$C$154,U$1))</f>
        <v>0</v>
      </c>
      <c r="V15" cm="1">
        <f t="array" ref="V15">SUMPRODUCT(('Team Lineups'!$K$2:$K$154&lt;&gt;"")*('Team Lineups'!$C$2:$C$154=$A15)*COUNTIFS('Team Lineups'!$K$2:$K$154,'Team Lineups'!$K$2:$K$154,'Team Lineups'!$C$2:$C$154,V$1))</f>
        <v>0</v>
      </c>
      <c r="W15" cm="1">
        <f t="array" ref="W15">SUMPRODUCT(('Team Lineups'!$K$2:$K$154&lt;&gt;"")*('Team Lineups'!$C$2:$C$154=$A15)*COUNTIFS('Team Lineups'!$K$2:$K$154,'Team Lineups'!$K$2:$K$154,'Team Lineups'!$C$2:$C$154,W$1))</f>
        <v>0</v>
      </c>
      <c r="X15" cm="1">
        <f t="array" ref="X15">SUMPRODUCT(('Team Lineups'!$K$2:$K$154&lt;&gt;"")*('Team Lineups'!$C$2:$C$154=$A15)*COUNTIFS('Team Lineups'!$K$2:$K$154,'Team Lineups'!$K$2:$K$154,'Team Lineups'!$C$2:$C$154,X$1))</f>
        <v>0</v>
      </c>
      <c r="Y15" cm="1">
        <f t="array" ref="Y15">SUMPRODUCT(('Team Lineups'!$K$2:$K$154&lt;&gt;"")*('Team Lineups'!$C$2:$C$154=$A15)*COUNTIFS('Team Lineups'!$K$2:$K$154,'Team Lineups'!$K$2:$K$154,'Team Lineups'!$C$2:$C$154,Y$1))</f>
        <v>0</v>
      </c>
      <c r="Z15" cm="1">
        <f t="array" ref="Z15">SUMPRODUCT(('Team Lineups'!$K$2:$K$154&lt;&gt;"")*('Team Lineups'!$C$2:$C$154=$A15)*COUNTIFS('Team Lineups'!$K$2:$K$154,'Team Lineups'!$K$2:$K$154,'Team Lineups'!$C$2:$C$154,Z$1))</f>
        <v>1</v>
      </c>
      <c r="AA15" cm="1">
        <f t="array" ref="AA15">SUMPRODUCT(('Team Lineups'!$K$2:$K$154&lt;&gt;"")*('Team Lineups'!$C$2:$C$154=$A15)*COUNTIFS('Team Lineups'!$K$2:$K$154,'Team Lineups'!$K$2:$K$154,'Team Lineups'!$C$2:$C$154,AA$1))</f>
        <v>1</v>
      </c>
      <c r="AB15" cm="1">
        <f t="array" ref="AB15">SUMPRODUCT(('Team Lineups'!$K$2:$K$154&lt;&gt;"")*('Team Lineups'!$C$2:$C$154=$A15)*COUNTIFS('Team Lineups'!$K$2:$K$154,'Team Lineups'!$K$2:$K$154,'Team Lineups'!$C$2:$C$154,AB$1))</f>
        <v>0</v>
      </c>
      <c r="AC15" cm="1">
        <f t="array" ref="AC15">SUMPRODUCT(('Team Lineups'!$K$2:$K$154&lt;&gt;"")*('Team Lineups'!$C$2:$C$154=$A15)*COUNTIFS('Team Lineups'!$K$2:$K$154,'Team Lineups'!$K$2:$K$154,'Team Lineups'!$C$2:$C$154,AC$1))</f>
        <v>0</v>
      </c>
      <c r="AD15" cm="1">
        <f t="array" ref="AD15">SUMPRODUCT(('Team Lineups'!$K$2:$K$154&lt;&gt;"")*('Team Lineups'!$C$2:$C$154=$A15)*COUNTIFS('Team Lineups'!$K$2:$K$154,'Team Lineups'!$K$2:$K$154,'Team Lineups'!$C$2:$C$154,AD$1))</f>
        <v>0</v>
      </c>
    </row>
    <row r="16" spans="1:100" x14ac:dyDescent="0.35">
      <c r="A16" t="str">
        <v>Julio</v>
      </c>
      <c r="B16" cm="1">
        <f t="array" ref="B16">SUMPRODUCT(('Team Lineups'!$K$2:$K$154&lt;&gt;"")*('Team Lineups'!$C$2:$C$154=$A16)*COUNTIFS('Team Lineups'!$K$2:$K$154,'Team Lineups'!$K$2:$K$154,'Team Lineups'!$C$2:$C$154,B$1))</f>
        <v>0</v>
      </c>
      <c r="C16" cm="1">
        <f t="array" ref="C16">SUMPRODUCT(('Team Lineups'!$K$2:$K$154&lt;&gt;"")*('Team Lineups'!$C$2:$C$154=$A16)*COUNTIFS('Team Lineups'!$K$2:$K$154,'Team Lineups'!$K$2:$K$154,'Team Lineups'!$C$2:$C$154,C$1))</f>
        <v>1</v>
      </c>
      <c r="D16" cm="1">
        <f t="array" ref="D16">SUMPRODUCT(('Team Lineups'!$K$2:$K$154&lt;&gt;"")*('Team Lineups'!$C$2:$C$154=$A16)*COUNTIFS('Team Lineups'!$K$2:$K$154,'Team Lineups'!$K$2:$K$154,'Team Lineups'!$C$2:$C$154,D$1))</f>
        <v>2</v>
      </c>
      <c r="E16" cm="1">
        <f t="array" ref="E16">SUMPRODUCT(('Team Lineups'!$K$2:$K$154&lt;&gt;"")*('Team Lineups'!$C$2:$C$154=$A16)*COUNTIFS('Team Lineups'!$K$2:$K$154,'Team Lineups'!$K$2:$K$154,'Team Lineups'!$C$2:$C$154,E$1))</f>
        <v>1</v>
      </c>
      <c r="F16" cm="1">
        <f t="array" ref="F16">SUMPRODUCT(('Team Lineups'!$K$2:$K$154&lt;&gt;"")*('Team Lineups'!$C$2:$C$154=$A16)*COUNTIFS('Team Lineups'!$K$2:$K$154,'Team Lineups'!$K$2:$K$154,'Team Lineups'!$C$2:$C$154,F$1))</f>
        <v>2</v>
      </c>
      <c r="G16" cm="1">
        <f t="array" ref="G16">SUMPRODUCT(('Team Lineups'!$K$2:$K$154&lt;&gt;"")*('Team Lineups'!$C$2:$C$154=$A16)*COUNTIFS('Team Lineups'!$K$2:$K$154,'Team Lineups'!$K$2:$K$154,'Team Lineups'!$C$2:$C$154,G$1))</f>
        <v>1</v>
      </c>
      <c r="H16" cm="1">
        <f t="array" ref="H16">SUMPRODUCT(('Team Lineups'!$K$2:$K$154&lt;&gt;"")*('Team Lineups'!$C$2:$C$154=$A16)*COUNTIFS('Team Lineups'!$K$2:$K$154,'Team Lineups'!$K$2:$K$154,'Team Lineups'!$C$2:$C$154,H$1))</f>
        <v>1</v>
      </c>
      <c r="I16" cm="1">
        <f t="array" ref="I16">SUMPRODUCT(('Team Lineups'!$K$2:$K$154&lt;&gt;"")*('Team Lineups'!$C$2:$C$154=$A16)*COUNTIFS('Team Lineups'!$K$2:$K$154,'Team Lineups'!$K$2:$K$154,'Team Lineups'!$C$2:$C$154,I$1))</f>
        <v>1</v>
      </c>
      <c r="J16" cm="1">
        <f t="array" ref="J16">SUMPRODUCT(('Team Lineups'!$K$2:$K$154&lt;&gt;"")*('Team Lineups'!$C$2:$C$154=$A16)*COUNTIFS('Team Lineups'!$K$2:$K$154,'Team Lineups'!$K$2:$K$154,'Team Lineups'!$C$2:$C$154,J$1))</f>
        <v>1</v>
      </c>
      <c r="K16" cm="1">
        <f t="array" ref="K16">SUMPRODUCT(('Team Lineups'!$K$2:$K$154&lt;&gt;"")*('Team Lineups'!$C$2:$C$154=$A16)*COUNTIFS('Team Lineups'!$K$2:$K$154,'Team Lineups'!$K$2:$K$154,'Team Lineups'!$C$2:$C$154,K$1))</f>
        <v>0</v>
      </c>
      <c r="L16" cm="1">
        <f t="array" ref="L16">SUMPRODUCT(('Team Lineups'!$K$2:$K$154&lt;&gt;"")*('Team Lineups'!$C$2:$C$154=$A16)*COUNTIFS('Team Lineups'!$K$2:$K$154,'Team Lineups'!$K$2:$K$154,'Team Lineups'!$C$2:$C$154,L$1))</f>
        <v>1</v>
      </c>
      <c r="M16" cm="1">
        <f t="array" ref="M16">SUMPRODUCT(('Team Lineups'!$K$2:$K$154&lt;&gt;"")*('Team Lineups'!$C$2:$C$154=$A16)*COUNTIFS('Team Lineups'!$K$2:$K$154,'Team Lineups'!$K$2:$K$154,'Team Lineups'!$C$2:$C$154,M$1))</f>
        <v>1</v>
      </c>
      <c r="N16" cm="1">
        <f t="array" ref="N16">SUMPRODUCT(('Team Lineups'!$K$2:$K$154&lt;&gt;"")*('Team Lineups'!$C$2:$C$154=$A16)*COUNTIFS('Team Lineups'!$K$2:$K$154,'Team Lineups'!$K$2:$K$154,'Team Lineups'!$C$2:$C$154,N$1))</f>
        <v>0</v>
      </c>
      <c r="O16" cm="1">
        <f t="array" ref="O16">SUMPRODUCT(('Team Lineups'!$K$2:$K$154&lt;&gt;"")*('Team Lineups'!$C$2:$C$154=$A16)*COUNTIFS('Team Lineups'!$K$2:$K$154,'Team Lineups'!$K$2:$K$154,'Team Lineups'!$C$2:$C$154,O$1))</f>
        <v>1</v>
      </c>
      <c r="P16" t="s">
        <v>77</v>
      </c>
      <c r="Q16" cm="1">
        <f t="array" ref="Q16">SUMPRODUCT(('Team Lineups'!$K$2:$K$154&lt;&gt;"")*('Team Lineups'!$C$2:$C$154=$A16)*COUNTIFS('Team Lineups'!$K$2:$K$154,'Team Lineups'!$K$2:$K$154,'Team Lineups'!$C$2:$C$154,Q$1))</f>
        <v>2</v>
      </c>
      <c r="R16" cm="1">
        <f t="array" ref="R16">SUMPRODUCT(('Team Lineups'!$K$2:$K$154&lt;&gt;"")*('Team Lineups'!$C$2:$C$154=$A16)*COUNTIFS('Team Lineups'!$K$2:$K$154,'Team Lineups'!$K$2:$K$154,'Team Lineups'!$C$2:$C$154,R$1))</f>
        <v>2</v>
      </c>
      <c r="S16" cm="1">
        <f t="array" ref="S16">SUMPRODUCT(('Team Lineups'!$K$2:$K$154&lt;&gt;"")*('Team Lineups'!$C$2:$C$154=$A16)*COUNTIFS('Team Lineups'!$K$2:$K$154,'Team Lineups'!$K$2:$K$154,'Team Lineups'!$C$2:$C$154,S$1))</f>
        <v>0</v>
      </c>
      <c r="T16" cm="1">
        <f t="array" ref="T16">SUMPRODUCT(('Team Lineups'!$K$2:$K$154&lt;&gt;"")*('Team Lineups'!$C$2:$C$154=$A16)*COUNTIFS('Team Lineups'!$K$2:$K$154,'Team Lineups'!$K$2:$K$154,'Team Lineups'!$C$2:$C$154,T$1))</f>
        <v>0</v>
      </c>
      <c r="U16" cm="1">
        <f t="array" ref="U16">SUMPRODUCT(('Team Lineups'!$K$2:$K$154&lt;&gt;"")*('Team Lineups'!$C$2:$C$154=$A16)*COUNTIFS('Team Lineups'!$K$2:$K$154,'Team Lineups'!$K$2:$K$154,'Team Lineups'!$C$2:$C$154,U$1))</f>
        <v>0</v>
      </c>
      <c r="V16" cm="1">
        <f t="array" ref="V16">SUMPRODUCT(('Team Lineups'!$K$2:$K$154&lt;&gt;"")*('Team Lineups'!$C$2:$C$154=$A16)*COUNTIFS('Team Lineups'!$K$2:$K$154,'Team Lineups'!$K$2:$K$154,'Team Lineups'!$C$2:$C$154,V$1))</f>
        <v>0</v>
      </c>
      <c r="W16" cm="1">
        <f t="array" ref="W16">SUMPRODUCT(('Team Lineups'!$K$2:$K$154&lt;&gt;"")*('Team Lineups'!$C$2:$C$154=$A16)*COUNTIFS('Team Lineups'!$K$2:$K$154,'Team Lineups'!$K$2:$K$154,'Team Lineups'!$C$2:$C$154,W$1))</f>
        <v>0</v>
      </c>
      <c r="X16" cm="1">
        <f t="array" ref="X16">SUMPRODUCT(('Team Lineups'!$K$2:$K$154&lt;&gt;"")*('Team Lineups'!$C$2:$C$154=$A16)*COUNTIFS('Team Lineups'!$K$2:$K$154,'Team Lineups'!$K$2:$K$154,'Team Lineups'!$C$2:$C$154,X$1))</f>
        <v>0</v>
      </c>
      <c r="Y16" cm="1">
        <f t="array" ref="Y16">SUMPRODUCT(('Team Lineups'!$K$2:$K$154&lt;&gt;"")*('Team Lineups'!$C$2:$C$154=$A16)*COUNTIFS('Team Lineups'!$K$2:$K$154,'Team Lineups'!$K$2:$K$154,'Team Lineups'!$C$2:$C$154,Y$1))</f>
        <v>0</v>
      </c>
      <c r="Z16" cm="1">
        <f t="array" ref="Z16">SUMPRODUCT(('Team Lineups'!$K$2:$K$154&lt;&gt;"")*('Team Lineups'!$C$2:$C$154=$A16)*COUNTIFS('Team Lineups'!$K$2:$K$154,'Team Lineups'!$K$2:$K$154,'Team Lineups'!$C$2:$C$154,Z$1))</f>
        <v>0</v>
      </c>
      <c r="AA16" cm="1">
        <f t="array" ref="AA16">SUMPRODUCT(('Team Lineups'!$K$2:$K$154&lt;&gt;"")*('Team Lineups'!$C$2:$C$154=$A16)*COUNTIFS('Team Lineups'!$K$2:$K$154,'Team Lineups'!$K$2:$K$154,'Team Lineups'!$C$2:$C$154,AA$1))</f>
        <v>2</v>
      </c>
      <c r="AB16" cm="1">
        <f t="array" ref="AB16">SUMPRODUCT(('Team Lineups'!$K$2:$K$154&lt;&gt;"")*('Team Lineups'!$C$2:$C$154=$A16)*COUNTIFS('Team Lineups'!$K$2:$K$154,'Team Lineups'!$K$2:$K$154,'Team Lineups'!$C$2:$C$154,AB$1))</f>
        <v>0</v>
      </c>
      <c r="AC16" cm="1">
        <f t="array" ref="AC16">SUMPRODUCT(('Team Lineups'!$K$2:$K$154&lt;&gt;"")*('Team Lineups'!$C$2:$C$154=$A16)*COUNTIFS('Team Lineups'!$K$2:$K$154,'Team Lineups'!$K$2:$K$154,'Team Lineups'!$C$2:$C$154,AC$1))</f>
        <v>0</v>
      </c>
      <c r="AD16" cm="1">
        <f t="array" ref="AD16">SUMPRODUCT(('Team Lineups'!$K$2:$K$154&lt;&gt;"")*('Team Lineups'!$C$2:$C$154=$A16)*COUNTIFS('Team Lineups'!$K$2:$K$154,'Team Lineups'!$K$2:$K$154,'Team Lineups'!$C$2:$C$154,AD$1))</f>
        <v>0</v>
      </c>
    </row>
    <row r="17" spans="1:30" x14ac:dyDescent="0.35">
      <c r="A17" t="str">
        <v>Enrico</v>
      </c>
      <c r="B17" cm="1">
        <f t="array" ref="B17">SUMPRODUCT(('Team Lineups'!$K$2:$K$154&lt;&gt;"")*('Team Lineups'!$C$2:$C$154=$A17)*COUNTIFS('Team Lineups'!$K$2:$K$154,'Team Lineups'!$K$2:$K$154,'Team Lineups'!$C$2:$C$154,B$1))</f>
        <v>2</v>
      </c>
      <c r="C17" cm="1">
        <f t="array" ref="C17">SUMPRODUCT(('Team Lineups'!$K$2:$K$154&lt;&gt;"")*('Team Lineups'!$C$2:$C$154=$A17)*COUNTIFS('Team Lineups'!$K$2:$K$154,'Team Lineups'!$K$2:$K$154,'Team Lineups'!$C$2:$C$154,C$1))</f>
        <v>2</v>
      </c>
      <c r="D17" cm="1">
        <f t="array" ref="D17">SUMPRODUCT(('Team Lineups'!$K$2:$K$154&lt;&gt;"")*('Team Lineups'!$C$2:$C$154=$A17)*COUNTIFS('Team Lineups'!$K$2:$K$154,'Team Lineups'!$K$2:$K$154,'Team Lineups'!$C$2:$C$154,D$1))</f>
        <v>2</v>
      </c>
      <c r="E17" cm="1">
        <f t="array" ref="E17">SUMPRODUCT(('Team Lineups'!$K$2:$K$154&lt;&gt;"")*('Team Lineups'!$C$2:$C$154=$A17)*COUNTIFS('Team Lineups'!$K$2:$K$154,'Team Lineups'!$K$2:$K$154,'Team Lineups'!$C$2:$C$154,E$1))</f>
        <v>1</v>
      </c>
      <c r="F17" cm="1">
        <f t="array" ref="F17">SUMPRODUCT(('Team Lineups'!$K$2:$K$154&lt;&gt;"")*('Team Lineups'!$C$2:$C$154=$A17)*COUNTIFS('Team Lineups'!$K$2:$K$154,'Team Lineups'!$K$2:$K$154,'Team Lineups'!$C$2:$C$154,F$1))</f>
        <v>3</v>
      </c>
      <c r="G17" cm="1">
        <f t="array" ref="G17">SUMPRODUCT(('Team Lineups'!$K$2:$K$154&lt;&gt;"")*('Team Lineups'!$C$2:$C$154=$A17)*COUNTIFS('Team Lineups'!$K$2:$K$154,'Team Lineups'!$K$2:$K$154,'Team Lineups'!$C$2:$C$154,G$1))</f>
        <v>2</v>
      </c>
      <c r="H17" cm="1">
        <f t="array" ref="H17">SUMPRODUCT(('Team Lineups'!$K$2:$K$154&lt;&gt;"")*('Team Lineups'!$C$2:$C$154=$A17)*COUNTIFS('Team Lineups'!$K$2:$K$154,'Team Lineups'!$K$2:$K$154,'Team Lineups'!$C$2:$C$154,H$1))</f>
        <v>4</v>
      </c>
      <c r="I17" cm="1">
        <f t="array" ref="I17">SUMPRODUCT(('Team Lineups'!$K$2:$K$154&lt;&gt;"")*('Team Lineups'!$C$2:$C$154=$A17)*COUNTIFS('Team Lineups'!$K$2:$K$154,'Team Lineups'!$K$2:$K$154,'Team Lineups'!$C$2:$C$154,I$1))</f>
        <v>4</v>
      </c>
      <c r="J17" cm="1">
        <f t="array" ref="J17">SUMPRODUCT(('Team Lineups'!$K$2:$K$154&lt;&gt;"")*('Team Lineups'!$C$2:$C$154=$A17)*COUNTIFS('Team Lineups'!$K$2:$K$154,'Team Lineups'!$K$2:$K$154,'Team Lineups'!$C$2:$C$154,J$1))</f>
        <v>1</v>
      </c>
      <c r="K17" cm="1">
        <f t="array" ref="K17">SUMPRODUCT(('Team Lineups'!$K$2:$K$154&lt;&gt;"")*('Team Lineups'!$C$2:$C$154=$A17)*COUNTIFS('Team Lineups'!$K$2:$K$154,'Team Lineups'!$K$2:$K$154,'Team Lineups'!$C$2:$C$154,K$1))</f>
        <v>0</v>
      </c>
      <c r="L17" cm="1">
        <f t="array" ref="L17">SUMPRODUCT(('Team Lineups'!$K$2:$K$154&lt;&gt;"")*('Team Lineups'!$C$2:$C$154=$A17)*COUNTIFS('Team Lineups'!$K$2:$K$154,'Team Lineups'!$K$2:$K$154,'Team Lineups'!$C$2:$C$154,L$1))</f>
        <v>4</v>
      </c>
      <c r="M17" cm="1">
        <f t="array" ref="M17">SUMPRODUCT(('Team Lineups'!$K$2:$K$154&lt;&gt;"")*('Team Lineups'!$C$2:$C$154=$A17)*COUNTIFS('Team Lineups'!$K$2:$K$154,'Team Lineups'!$K$2:$K$154,'Team Lineups'!$C$2:$C$154,M$1))</f>
        <v>3</v>
      </c>
      <c r="N17" cm="1">
        <f t="array" ref="N17">SUMPRODUCT(('Team Lineups'!$K$2:$K$154&lt;&gt;"")*('Team Lineups'!$C$2:$C$154=$A17)*COUNTIFS('Team Lineups'!$K$2:$K$154,'Team Lineups'!$K$2:$K$154,'Team Lineups'!$C$2:$C$154,N$1))</f>
        <v>2</v>
      </c>
      <c r="O17" cm="1">
        <f t="array" ref="O17">SUMPRODUCT(('Team Lineups'!$K$2:$K$154&lt;&gt;"")*('Team Lineups'!$C$2:$C$154=$A17)*COUNTIFS('Team Lineups'!$K$2:$K$154,'Team Lineups'!$K$2:$K$154,'Team Lineups'!$C$2:$C$154,O$1))</f>
        <v>3</v>
      </c>
      <c r="P17" cm="1">
        <f t="array" ref="P17">SUMPRODUCT(('Team Lineups'!$K$2:$K$154&lt;&gt;"")*('Team Lineups'!$C$2:$C$154=$A17)*COUNTIFS('Team Lineups'!$K$2:$K$154,'Team Lineups'!$K$2:$K$154,'Team Lineups'!$C$2:$C$154,P$1))</f>
        <v>2</v>
      </c>
      <c r="Q17" t="s">
        <v>77</v>
      </c>
      <c r="R17" cm="1">
        <f t="array" ref="R17">SUMPRODUCT(('Team Lineups'!$K$2:$K$154&lt;&gt;"")*('Team Lineups'!$C$2:$C$154=$A17)*COUNTIFS('Team Lineups'!$K$2:$K$154,'Team Lineups'!$K$2:$K$154,'Team Lineups'!$C$2:$C$154,R$1))</f>
        <v>2</v>
      </c>
      <c r="S17" cm="1">
        <f t="array" ref="S17">SUMPRODUCT(('Team Lineups'!$K$2:$K$154&lt;&gt;"")*('Team Lineups'!$C$2:$C$154=$A17)*COUNTIFS('Team Lineups'!$K$2:$K$154,'Team Lineups'!$K$2:$K$154,'Team Lineups'!$C$2:$C$154,S$1))</f>
        <v>2</v>
      </c>
      <c r="T17" cm="1">
        <f t="array" ref="T17">SUMPRODUCT(('Team Lineups'!$K$2:$K$154&lt;&gt;"")*('Team Lineups'!$C$2:$C$154=$A17)*COUNTIFS('Team Lineups'!$K$2:$K$154,'Team Lineups'!$K$2:$K$154,'Team Lineups'!$C$2:$C$154,T$1))</f>
        <v>0</v>
      </c>
      <c r="U17" cm="1">
        <f t="array" ref="U17">SUMPRODUCT(('Team Lineups'!$K$2:$K$154&lt;&gt;"")*('Team Lineups'!$C$2:$C$154=$A17)*COUNTIFS('Team Lineups'!$K$2:$K$154,'Team Lineups'!$K$2:$K$154,'Team Lineups'!$C$2:$C$154,U$1))</f>
        <v>0</v>
      </c>
      <c r="V17" cm="1">
        <f t="array" ref="V17">SUMPRODUCT(('Team Lineups'!$K$2:$K$154&lt;&gt;"")*('Team Lineups'!$C$2:$C$154=$A17)*COUNTIFS('Team Lineups'!$K$2:$K$154,'Team Lineups'!$K$2:$K$154,'Team Lineups'!$C$2:$C$154,V$1))</f>
        <v>2</v>
      </c>
      <c r="W17" cm="1">
        <f t="array" ref="W17">SUMPRODUCT(('Team Lineups'!$K$2:$K$154&lt;&gt;"")*('Team Lineups'!$C$2:$C$154=$A17)*COUNTIFS('Team Lineups'!$K$2:$K$154,'Team Lineups'!$K$2:$K$154,'Team Lineups'!$C$2:$C$154,W$1))</f>
        <v>0</v>
      </c>
      <c r="X17" cm="1">
        <f t="array" ref="X17">SUMPRODUCT(('Team Lineups'!$K$2:$K$154&lt;&gt;"")*('Team Lineups'!$C$2:$C$154=$A17)*COUNTIFS('Team Lineups'!$K$2:$K$154,'Team Lineups'!$K$2:$K$154,'Team Lineups'!$C$2:$C$154,X$1))</f>
        <v>0</v>
      </c>
      <c r="Y17" cm="1">
        <f t="array" ref="Y17">SUMPRODUCT(('Team Lineups'!$K$2:$K$154&lt;&gt;"")*('Team Lineups'!$C$2:$C$154=$A17)*COUNTIFS('Team Lineups'!$K$2:$K$154,'Team Lineups'!$K$2:$K$154,'Team Lineups'!$C$2:$C$154,Y$1))</f>
        <v>1</v>
      </c>
      <c r="Z17" cm="1">
        <f t="array" ref="Z17">SUMPRODUCT(('Team Lineups'!$K$2:$K$154&lt;&gt;"")*('Team Lineups'!$C$2:$C$154=$A17)*COUNTIFS('Team Lineups'!$K$2:$K$154,'Team Lineups'!$K$2:$K$154,'Team Lineups'!$C$2:$C$154,Z$1))</f>
        <v>1</v>
      </c>
      <c r="AA17" cm="1">
        <f t="array" ref="AA17">SUMPRODUCT(('Team Lineups'!$K$2:$K$154&lt;&gt;"")*('Team Lineups'!$C$2:$C$154=$A17)*COUNTIFS('Team Lineups'!$K$2:$K$154,'Team Lineups'!$K$2:$K$154,'Team Lineups'!$C$2:$C$154,AA$1))</f>
        <v>1</v>
      </c>
      <c r="AB17" cm="1">
        <f t="array" ref="AB17">SUMPRODUCT(('Team Lineups'!$K$2:$K$154&lt;&gt;"")*('Team Lineups'!$C$2:$C$154=$A17)*COUNTIFS('Team Lineups'!$K$2:$K$154,'Team Lineups'!$K$2:$K$154,'Team Lineups'!$C$2:$C$154,AB$1))</f>
        <v>0</v>
      </c>
      <c r="AC17" cm="1">
        <f t="array" ref="AC17">SUMPRODUCT(('Team Lineups'!$K$2:$K$154&lt;&gt;"")*('Team Lineups'!$C$2:$C$154=$A17)*COUNTIFS('Team Lineups'!$K$2:$K$154,'Team Lineups'!$K$2:$K$154,'Team Lineups'!$C$2:$C$154,AC$1))</f>
        <v>0</v>
      </c>
      <c r="AD17" cm="1">
        <f t="array" ref="AD17">SUMPRODUCT(('Team Lineups'!$K$2:$K$154&lt;&gt;"")*('Team Lineups'!$C$2:$C$154=$A17)*COUNTIFS('Team Lineups'!$K$2:$K$154,'Team Lineups'!$K$2:$K$154,'Team Lineups'!$C$2:$C$154,AD$1))</f>
        <v>0</v>
      </c>
    </row>
    <row r="18" spans="1:30" x14ac:dyDescent="0.35">
      <c r="A18" t="str">
        <v>Alirio</v>
      </c>
      <c r="B18" cm="1">
        <f t="array" ref="B18">SUMPRODUCT(('Team Lineups'!$K$2:$K$154&lt;&gt;"")*('Team Lineups'!$C$2:$C$154=$A18)*COUNTIFS('Team Lineups'!$K$2:$K$154,'Team Lineups'!$K$2:$K$154,'Team Lineups'!$C$2:$C$154,B$1))</f>
        <v>0</v>
      </c>
      <c r="C18" cm="1">
        <f t="array" ref="C18">SUMPRODUCT(('Team Lineups'!$K$2:$K$154&lt;&gt;"")*('Team Lineups'!$C$2:$C$154=$A18)*COUNTIFS('Team Lineups'!$K$2:$K$154,'Team Lineups'!$K$2:$K$154,'Team Lineups'!$C$2:$C$154,C$1))</f>
        <v>0</v>
      </c>
      <c r="D18" cm="1">
        <f t="array" ref="D18">SUMPRODUCT(('Team Lineups'!$K$2:$K$154&lt;&gt;"")*('Team Lineups'!$C$2:$C$154=$A18)*COUNTIFS('Team Lineups'!$K$2:$K$154,'Team Lineups'!$K$2:$K$154,'Team Lineups'!$C$2:$C$154,D$1))</f>
        <v>2</v>
      </c>
      <c r="E18" cm="1">
        <f t="array" ref="E18">SUMPRODUCT(('Team Lineups'!$K$2:$K$154&lt;&gt;"")*('Team Lineups'!$C$2:$C$154=$A18)*COUNTIFS('Team Lineups'!$K$2:$K$154,'Team Lineups'!$K$2:$K$154,'Team Lineups'!$C$2:$C$154,E$1))</f>
        <v>1</v>
      </c>
      <c r="F18" cm="1">
        <f t="array" ref="F18">SUMPRODUCT(('Team Lineups'!$K$2:$K$154&lt;&gt;"")*('Team Lineups'!$C$2:$C$154=$A18)*COUNTIFS('Team Lineups'!$K$2:$K$154,'Team Lineups'!$K$2:$K$154,'Team Lineups'!$C$2:$C$154,F$1))</f>
        <v>5</v>
      </c>
      <c r="G18" cm="1">
        <f t="array" ref="G18">SUMPRODUCT(('Team Lineups'!$K$2:$K$154&lt;&gt;"")*('Team Lineups'!$C$2:$C$154=$A18)*COUNTIFS('Team Lineups'!$K$2:$K$154,'Team Lineups'!$K$2:$K$154,'Team Lineups'!$C$2:$C$154,G$1))</f>
        <v>2</v>
      </c>
      <c r="H18" cm="1">
        <f t="array" ref="H18">SUMPRODUCT(('Team Lineups'!$K$2:$K$154&lt;&gt;"")*('Team Lineups'!$C$2:$C$154=$A18)*COUNTIFS('Team Lineups'!$K$2:$K$154,'Team Lineups'!$K$2:$K$154,'Team Lineups'!$C$2:$C$154,H$1))</f>
        <v>3</v>
      </c>
      <c r="I18" cm="1">
        <f t="array" ref="I18">SUMPRODUCT(('Team Lineups'!$K$2:$K$154&lt;&gt;"")*('Team Lineups'!$C$2:$C$154=$A18)*COUNTIFS('Team Lineups'!$K$2:$K$154,'Team Lineups'!$K$2:$K$154,'Team Lineups'!$C$2:$C$154,I$1))</f>
        <v>3</v>
      </c>
      <c r="J18" cm="1">
        <f t="array" ref="J18">SUMPRODUCT(('Team Lineups'!$K$2:$K$154&lt;&gt;"")*('Team Lineups'!$C$2:$C$154=$A18)*COUNTIFS('Team Lineups'!$K$2:$K$154,'Team Lineups'!$K$2:$K$154,'Team Lineups'!$C$2:$C$154,J$1))</f>
        <v>1</v>
      </c>
      <c r="K18" cm="1">
        <f t="array" ref="K18">SUMPRODUCT(('Team Lineups'!$K$2:$K$154&lt;&gt;"")*('Team Lineups'!$C$2:$C$154=$A18)*COUNTIFS('Team Lineups'!$K$2:$K$154,'Team Lineups'!$K$2:$K$154,'Team Lineups'!$C$2:$C$154,K$1))</f>
        <v>0</v>
      </c>
      <c r="L18" cm="1">
        <f t="array" ref="L18">SUMPRODUCT(('Team Lineups'!$K$2:$K$154&lt;&gt;"")*('Team Lineups'!$C$2:$C$154=$A18)*COUNTIFS('Team Lineups'!$K$2:$K$154,'Team Lineups'!$K$2:$K$154,'Team Lineups'!$C$2:$C$154,L$1))</f>
        <v>2</v>
      </c>
      <c r="M18" cm="1">
        <f t="array" ref="M18">SUMPRODUCT(('Team Lineups'!$K$2:$K$154&lt;&gt;"")*('Team Lineups'!$C$2:$C$154=$A18)*COUNTIFS('Team Lineups'!$K$2:$K$154,'Team Lineups'!$K$2:$K$154,'Team Lineups'!$C$2:$C$154,M$1))</f>
        <v>4</v>
      </c>
      <c r="N18" cm="1">
        <f t="array" ref="N18">SUMPRODUCT(('Team Lineups'!$K$2:$K$154&lt;&gt;"")*('Team Lineups'!$C$2:$C$154=$A18)*COUNTIFS('Team Lineups'!$K$2:$K$154,'Team Lineups'!$K$2:$K$154,'Team Lineups'!$C$2:$C$154,N$1))</f>
        <v>0</v>
      </c>
      <c r="O18" cm="1">
        <f t="array" ref="O18">SUMPRODUCT(('Team Lineups'!$K$2:$K$154&lt;&gt;"")*('Team Lineups'!$C$2:$C$154=$A18)*COUNTIFS('Team Lineups'!$K$2:$K$154,'Team Lineups'!$K$2:$K$154,'Team Lineups'!$C$2:$C$154,O$1))</f>
        <v>1</v>
      </c>
      <c r="P18" cm="1">
        <f t="array" ref="P18">SUMPRODUCT(('Team Lineups'!$K$2:$K$154&lt;&gt;"")*('Team Lineups'!$C$2:$C$154=$A18)*COUNTIFS('Team Lineups'!$K$2:$K$154,'Team Lineups'!$K$2:$K$154,'Team Lineups'!$C$2:$C$154,P$1))</f>
        <v>2</v>
      </c>
      <c r="Q18" cm="1">
        <f t="array" ref="Q18">SUMPRODUCT(('Team Lineups'!$K$2:$K$154&lt;&gt;"")*('Team Lineups'!$C$2:$C$154=$A18)*COUNTIFS('Team Lineups'!$K$2:$K$154,'Team Lineups'!$K$2:$K$154,'Team Lineups'!$C$2:$C$154,Q$1))</f>
        <v>2</v>
      </c>
      <c r="R18" t="s">
        <v>77</v>
      </c>
      <c r="S18" cm="1">
        <f t="array" ref="S18">SUMPRODUCT(('Team Lineups'!$K$2:$K$154&lt;&gt;"")*('Team Lineups'!$C$2:$C$154=$A18)*COUNTIFS('Team Lineups'!$K$2:$K$154,'Team Lineups'!$K$2:$K$154,'Team Lineups'!$C$2:$C$154,S$1))</f>
        <v>2</v>
      </c>
      <c r="T18" cm="1">
        <f t="array" ref="T18">SUMPRODUCT(('Team Lineups'!$K$2:$K$154&lt;&gt;"")*('Team Lineups'!$C$2:$C$154=$A18)*COUNTIFS('Team Lineups'!$K$2:$K$154,'Team Lineups'!$K$2:$K$154,'Team Lineups'!$C$2:$C$154,T$1))</f>
        <v>0</v>
      </c>
      <c r="U18" cm="1">
        <f t="array" ref="U18">SUMPRODUCT(('Team Lineups'!$K$2:$K$154&lt;&gt;"")*('Team Lineups'!$C$2:$C$154=$A18)*COUNTIFS('Team Lineups'!$K$2:$K$154,'Team Lineups'!$K$2:$K$154,'Team Lineups'!$C$2:$C$154,U$1))</f>
        <v>0</v>
      </c>
      <c r="V18" cm="1">
        <f t="array" ref="V18">SUMPRODUCT(('Team Lineups'!$K$2:$K$154&lt;&gt;"")*('Team Lineups'!$C$2:$C$154=$A18)*COUNTIFS('Team Lineups'!$K$2:$K$154,'Team Lineups'!$K$2:$K$154,'Team Lineups'!$C$2:$C$154,V$1))</f>
        <v>0</v>
      </c>
      <c r="W18" cm="1">
        <f t="array" ref="W18">SUMPRODUCT(('Team Lineups'!$K$2:$K$154&lt;&gt;"")*('Team Lineups'!$C$2:$C$154=$A18)*COUNTIFS('Team Lineups'!$K$2:$K$154,'Team Lineups'!$K$2:$K$154,'Team Lineups'!$C$2:$C$154,W$1))</f>
        <v>0</v>
      </c>
      <c r="X18" cm="1">
        <f t="array" ref="X18">SUMPRODUCT(('Team Lineups'!$K$2:$K$154&lt;&gt;"")*('Team Lineups'!$C$2:$C$154=$A18)*COUNTIFS('Team Lineups'!$K$2:$K$154,'Team Lineups'!$K$2:$K$154,'Team Lineups'!$C$2:$C$154,X$1))</f>
        <v>0</v>
      </c>
      <c r="Y18" cm="1">
        <f t="array" ref="Y18">SUMPRODUCT(('Team Lineups'!$K$2:$K$154&lt;&gt;"")*('Team Lineups'!$C$2:$C$154=$A18)*COUNTIFS('Team Lineups'!$K$2:$K$154,'Team Lineups'!$K$2:$K$154,'Team Lineups'!$C$2:$C$154,Y$1))</f>
        <v>0</v>
      </c>
      <c r="Z18" cm="1">
        <f t="array" ref="Z18">SUMPRODUCT(('Team Lineups'!$K$2:$K$154&lt;&gt;"")*('Team Lineups'!$C$2:$C$154=$A18)*COUNTIFS('Team Lineups'!$K$2:$K$154,'Team Lineups'!$K$2:$K$154,'Team Lineups'!$C$2:$C$154,Z$1))</f>
        <v>2</v>
      </c>
      <c r="AA18" cm="1">
        <f t="array" ref="AA18">SUMPRODUCT(('Team Lineups'!$K$2:$K$154&lt;&gt;"")*('Team Lineups'!$C$2:$C$154=$A18)*COUNTIFS('Team Lineups'!$K$2:$K$154,'Team Lineups'!$K$2:$K$154,'Team Lineups'!$C$2:$C$154,AA$1))</f>
        <v>2</v>
      </c>
      <c r="AB18" cm="1">
        <f t="array" ref="AB18">SUMPRODUCT(('Team Lineups'!$K$2:$K$154&lt;&gt;"")*('Team Lineups'!$C$2:$C$154=$A18)*COUNTIFS('Team Lineups'!$K$2:$K$154,'Team Lineups'!$K$2:$K$154,'Team Lineups'!$C$2:$C$154,AB$1))</f>
        <v>1</v>
      </c>
      <c r="AC18" cm="1">
        <f t="array" ref="AC18">SUMPRODUCT(('Team Lineups'!$K$2:$K$154&lt;&gt;"")*('Team Lineups'!$C$2:$C$154=$A18)*COUNTIFS('Team Lineups'!$K$2:$K$154,'Team Lineups'!$K$2:$K$154,'Team Lineups'!$C$2:$C$154,AC$1))</f>
        <v>0</v>
      </c>
      <c r="AD18" cm="1">
        <f t="array" ref="AD18">SUMPRODUCT(('Team Lineups'!$K$2:$K$154&lt;&gt;"")*('Team Lineups'!$C$2:$C$154=$A18)*COUNTIFS('Team Lineups'!$K$2:$K$154,'Team Lineups'!$K$2:$K$154,'Team Lineups'!$C$2:$C$154,AD$1))</f>
        <v>0</v>
      </c>
    </row>
    <row r="19" spans="1:30" x14ac:dyDescent="0.35">
      <c r="A19" t="str">
        <v>Diego</v>
      </c>
      <c r="B19" cm="1">
        <f t="array" ref="B19">SUMPRODUCT(('Team Lineups'!$K$2:$K$154&lt;&gt;"")*('Team Lineups'!$C$2:$C$154=$A19)*COUNTIFS('Team Lineups'!$K$2:$K$154,'Team Lineups'!$K$2:$K$154,'Team Lineups'!$C$2:$C$154,B$1))</f>
        <v>1</v>
      </c>
      <c r="C19" cm="1">
        <f t="array" ref="C19">SUMPRODUCT(('Team Lineups'!$K$2:$K$154&lt;&gt;"")*('Team Lineups'!$C$2:$C$154=$A19)*COUNTIFS('Team Lineups'!$K$2:$K$154,'Team Lineups'!$K$2:$K$154,'Team Lineups'!$C$2:$C$154,C$1))</f>
        <v>0</v>
      </c>
      <c r="D19" cm="1">
        <f t="array" ref="D19">SUMPRODUCT(('Team Lineups'!$K$2:$K$154&lt;&gt;"")*('Team Lineups'!$C$2:$C$154=$A19)*COUNTIFS('Team Lineups'!$K$2:$K$154,'Team Lineups'!$K$2:$K$154,'Team Lineups'!$C$2:$C$154,D$1))</f>
        <v>1</v>
      </c>
      <c r="E19" cm="1">
        <f t="array" ref="E19">SUMPRODUCT(('Team Lineups'!$K$2:$K$154&lt;&gt;"")*('Team Lineups'!$C$2:$C$154=$A19)*COUNTIFS('Team Lineups'!$K$2:$K$154,'Team Lineups'!$K$2:$K$154,'Team Lineups'!$C$2:$C$154,E$1))</f>
        <v>1</v>
      </c>
      <c r="F19" cm="1">
        <f t="array" ref="F19">SUMPRODUCT(('Team Lineups'!$K$2:$K$154&lt;&gt;"")*('Team Lineups'!$C$2:$C$154=$A19)*COUNTIFS('Team Lineups'!$K$2:$K$154,'Team Lineups'!$K$2:$K$154,'Team Lineups'!$C$2:$C$154,F$1))</f>
        <v>3</v>
      </c>
      <c r="G19" cm="1">
        <f t="array" ref="G19">SUMPRODUCT(('Team Lineups'!$K$2:$K$154&lt;&gt;"")*('Team Lineups'!$C$2:$C$154=$A19)*COUNTIFS('Team Lineups'!$K$2:$K$154,'Team Lineups'!$K$2:$K$154,'Team Lineups'!$C$2:$C$154,G$1))</f>
        <v>3</v>
      </c>
      <c r="H19" cm="1">
        <f t="array" ref="H19">SUMPRODUCT(('Team Lineups'!$K$2:$K$154&lt;&gt;"")*('Team Lineups'!$C$2:$C$154=$A19)*COUNTIFS('Team Lineups'!$K$2:$K$154,'Team Lineups'!$K$2:$K$154,'Team Lineups'!$C$2:$C$154,H$1))</f>
        <v>3</v>
      </c>
      <c r="I19" cm="1">
        <f t="array" ref="I19">SUMPRODUCT(('Team Lineups'!$K$2:$K$154&lt;&gt;"")*('Team Lineups'!$C$2:$C$154=$A19)*COUNTIFS('Team Lineups'!$K$2:$K$154,'Team Lineups'!$K$2:$K$154,'Team Lineups'!$C$2:$C$154,I$1))</f>
        <v>3</v>
      </c>
      <c r="J19" cm="1">
        <f t="array" ref="J19">SUMPRODUCT(('Team Lineups'!$K$2:$K$154&lt;&gt;"")*('Team Lineups'!$C$2:$C$154=$A19)*COUNTIFS('Team Lineups'!$K$2:$K$154,'Team Lineups'!$K$2:$K$154,'Team Lineups'!$C$2:$C$154,J$1))</f>
        <v>0</v>
      </c>
      <c r="K19" cm="1">
        <f t="array" ref="K19">SUMPRODUCT(('Team Lineups'!$K$2:$K$154&lt;&gt;"")*('Team Lineups'!$C$2:$C$154=$A19)*COUNTIFS('Team Lineups'!$K$2:$K$154,'Team Lineups'!$K$2:$K$154,'Team Lineups'!$C$2:$C$154,K$1))</f>
        <v>0</v>
      </c>
      <c r="L19" cm="1">
        <f t="array" ref="L19">SUMPRODUCT(('Team Lineups'!$K$2:$K$154&lt;&gt;"")*('Team Lineups'!$C$2:$C$154=$A19)*COUNTIFS('Team Lineups'!$K$2:$K$154,'Team Lineups'!$K$2:$K$154,'Team Lineups'!$C$2:$C$154,L$1))</f>
        <v>4</v>
      </c>
      <c r="M19" cm="1">
        <f t="array" ref="M19">SUMPRODUCT(('Team Lineups'!$K$2:$K$154&lt;&gt;"")*('Team Lineups'!$C$2:$C$154=$A19)*COUNTIFS('Team Lineups'!$K$2:$K$154,'Team Lineups'!$K$2:$K$154,'Team Lineups'!$C$2:$C$154,M$1))</f>
        <v>3</v>
      </c>
      <c r="N19" cm="1">
        <f t="array" ref="N19">SUMPRODUCT(('Team Lineups'!$K$2:$K$154&lt;&gt;"")*('Team Lineups'!$C$2:$C$154=$A19)*COUNTIFS('Team Lineups'!$K$2:$K$154,'Team Lineups'!$K$2:$K$154,'Team Lineups'!$C$2:$C$154,N$1))</f>
        <v>1</v>
      </c>
      <c r="O19" cm="1">
        <f t="array" ref="O19">SUMPRODUCT(('Team Lineups'!$K$2:$K$154&lt;&gt;"")*('Team Lineups'!$C$2:$C$154=$A19)*COUNTIFS('Team Lineups'!$K$2:$K$154,'Team Lineups'!$K$2:$K$154,'Team Lineups'!$C$2:$C$154,O$1))</f>
        <v>0</v>
      </c>
      <c r="P19" cm="1">
        <f t="array" ref="P19">SUMPRODUCT(('Team Lineups'!$K$2:$K$154&lt;&gt;"")*('Team Lineups'!$C$2:$C$154=$A19)*COUNTIFS('Team Lineups'!$K$2:$K$154,'Team Lineups'!$K$2:$K$154,'Team Lineups'!$C$2:$C$154,P$1))</f>
        <v>0</v>
      </c>
      <c r="Q19" cm="1">
        <f t="array" ref="Q19">SUMPRODUCT(('Team Lineups'!$K$2:$K$154&lt;&gt;"")*('Team Lineups'!$C$2:$C$154=$A19)*COUNTIFS('Team Lineups'!$K$2:$K$154,'Team Lineups'!$K$2:$K$154,'Team Lineups'!$C$2:$C$154,Q$1))</f>
        <v>2</v>
      </c>
      <c r="R19" cm="1">
        <f t="array" ref="R19">SUMPRODUCT(('Team Lineups'!$K$2:$K$154&lt;&gt;"")*('Team Lineups'!$C$2:$C$154=$A19)*COUNTIFS('Team Lineups'!$K$2:$K$154,'Team Lineups'!$K$2:$K$154,'Team Lineups'!$C$2:$C$154,R$1))</f>
        <v>2</v>
      </c>
      <c r="S19" t="s">
        <v>77</v>
      </c>
      <c r="T19" cm="1">
        <f t="array" ref="T19">SUMPRODUCT(('Team Lineups'!$K$2:$K$154&lt;&gt;"")*('Team Lineups'!$C$2:$C$154=$A19)*COUNTIFS('Team Lineups'!$K$2:$K$154,'Team Lineups'!$K$2:$K$154,'Team Lineups'!$C$2:$C$154,T$1))</f>
        <v>0</v>
      </c>
      <c r="U19" cm="1">
        <f t="array" ref="U19">SUMPRODUCT(('Team Lineups'!$K$2:$K$154&lt;&gt;"")*('Team Lineups'!$C$2:$C$154=$A19)*COUNTIFS('Team Lineups'!$K$2:$K$154,'Team Lineups'!$K$2:$K$154,'Team Lineups'!$C$2:$C$154,U$1))</f>
        <v>0</v>
      </c>
      <c r="V19" cm="1">
        <f t="array" ref="V19">SUMPRODUCT(('Team Lineups'!$K$2:$K$154&lt;&gt;"")*('Team Lineups'!$C$2:$C$154=$A19)*COUNTIFS('Team Lineups'!$K$2:$K$154,'Team Lineups'!$K$2:$K$154,'Team Lineups'!$C$2:$C$154,V$1))</f>
        <v>1</v>
      </c>
      <c r="W19" cm="1">
        <f t="array" ref="W19">SUMPRODUCT(('Team Lineups'!$K$2:$K$154&lt;&gt;"")*('Team Lineups'!$C$2:$C$154=$A19)*COUNTIFS('Team Lineups'!$K$2:$K$154,'Team Lineups'!$K$2:$K$154,'Team Lineups'!$C$2:$C$154,W$1))</f>
        <v>0</v>
      </c>
      <c r="X19" cm="1">
        <f t="array" ref="X19">SUMPRODUCT(('Team Lineups'!$K$2:$K$154&lt;&gt;"")*('Team Lineups'!$C$2:$C$154=$A19)*COUNTIFS('Team Lineups'!$K$2:$K$154,'Team Lineups'!$K$2:$K$154,'Team Lineups'!$C$2:$C$154,X$1))</f>
        <v>0</v>
      </c>
      <c r="Y19" cm="1">
        <f t="array" ref="Y19">SUMPRODUCT(('Team Lineups'!$K$2:$K$154&lt;&gt;"")*('Team Lineups'!$C$2:$C$154=$A19)*COUNTIFS('Team Lineups'!$K$2:$K$154,'Team Lineups'!$K$2:$K$154,'Team Lineups'!$C$2:$C$154,Y$1))</f>
        <v>1</v>
      </c>
      <c r="Z19" cm="1">
        <f t="array" ref="Z19">SUMPRODUCT(('Team Lineups'!$K$2:$K$154&lt;&gt;"")*('Team Lineups'!$C$2:$C$154=$A19)*COUNTIFS('Team Lineups'!$K$2:$K$154,'Team Lineups'!$K$2:$K$154,'Team Lineups'!$C$2:$C$154,Z$1))</f>
        <v>1</v>
      </c>
      <c r="AA19" cm="1">
        <f t="array" ref="AA19">SUMPRODUCT(('Team Lineups'!$K$2:$K$154&lt;&gt;"")*('Team Lineups'!$C$2:$C$154=$A19)*COUNTIFS('Team Lineups'!$K$2:$K$154,'Team Lineups'!$K$2:$K$154,'Team Lineups'!$C$2:$C$154,AA$1))</f>
        <v>2</v>
      </c>
      <c r="AB19" cm="1">
        <f t="array" ref="AB19">SUMPRODUCT(('Team Lineups'!$K$2:$K$154&lt;&gt;"")*('Team Lineups'!$C$2:$C$154=$A19)*COUNTIFS('Team Lineups'!$K$2:$K$154,'Team Lineups'!$K$2:$K$154,'Team Lineups'!$C$2:$C$154,AB$1))</f>
        <v>2</v>
      </c>
      <c r="AC19" cm="1">
        <f t="array" ref="AC19">SUMPRODUCT(('Team Lineups'!$K$2:$K$154&lt;&gt;"")*('Team Lineups'!$C$2:$C$154=$A19)*COUNTIFS('Team Lineups'!$K$2:$K$154,'Team Lineups'!$K$2:$K$154,'Team Lineups'!$C$2:$C$154,AC$1))</f>
        <v>0</v>
      </c>
      <c r="AD19" cm="1">
        <f t="array" ref="AD19">SUMPRODUCT(('Team Lineups'!$K$2:$K$154&lt;&gt;"")*('Team Lineups'!$C$2:$C$154=$A19)*COUNTIFS('Team Lineups'!$K$2:$K$154,'Team Lineups'!$K$2:$K$154,'Team Lineups'!$C$2:$C$154,AD$1))</f>
        <v>1</v>
      </c>
    </row>
    <row r="20" spans="1:30" x14ac:dyDescent="0.35">
      <c r="A20" t="str">
        <v>Giacomo</v>
      </c>
      <c r="B20" cm="1">
        <f t="array" ref="B20">SUMPRODUCT(('Team Lineups'!$K$2:$K$154&lt;&gt;"")*('Team Lineups'!$C$2:$C$154=$A20)*COUNTIFS('Team Lineups'!$K$2:$K$154,'Team Lineups'!$K$2:$K$154,'Team Lineups'!$C$2:$C$154,B$1))</f>
        <v>0</v>
      </c>
      <c r="C20" cm="1">
        <f t="array" ref="C20">SUMPRODUCT(('Team Lineups'!$K$2:$K$154&lt;&gt;"")*('Team Lineups'!$C$2:$C$154=$A20)*COUNTIFS('Team Lineups'!$K$2:$K$154,'Team Lineups'!$K$2:$K$154,'Team Lineups'!$C$2:$C$154,C$1))</f>
        <v>0</v>
      </c>
      <c r="D20" cm="1">
        <f t="array" ref="D20">SUMPRODUCT(('Team Lineups'!$K$2:$K$154&lt;&gt;"")*('Team Lineups'!$C$2:$C$154=$A20)*COUNTIFS('Team Lineups'!$K$2:$K$154,'Team Lineups'!$K$2:$K$154,'Team Lineups'!$C$2:$C$154,D$1))</f>
        <v>1</v>
      </c>
      <c r="E20" cm="1">
        <f t="array" ref="E20">SUMPRODUCT(('Team Lineups'!$K$2:$K$154&lt;&gt;"")*('Team Lineups'!$C$2:$C$154=$A20)*COUNTIFS('Team Lineups'!$K$2:$K$154,'Team Lineups'!$K$2:$K$154,'Team Lineups'!$C$2:$C$154,E$1))</f>
        <v>0</v>
      </c>
      <c r="F20" cm="1">
        <f t="array" ref="F20">SUMPRODUCT(('Team Lineups'!$K$2:$K$154&lt;&gt;"")*('Team Lineups'!$C$2:$C$154=$A20)*COUNTIFS('Team Lineups'!$K$2:$K$154,'Team Lineups'!$K$2:$K$154,'Team Lineups'!$C$2:$C$154,F$1))</f>
        <v>0</v>
      </c>
      <c r="G20" cm="1">
        <f t="array" ref="G20">SUMPRODUCT(('Team Lineups'!$K$2:$K$154&lt;&gt;"")*('Team Lineups'!$C$2:$C$154=$A20)*COUNTIFS('Team Lineups'!$K$2:$K$154,'Team Lineups'!$K$2:$K$154,'Team Lineups'!$C$2:$C$154,G$1))</f>
        <v>1</v>
      </c>
      <c r="H20" cm="1">
        <f t="array" ref="H20">SUMPRODUCT(('Team Lineups'!$K$2:$K$154&lt;&gt;"")*('Team Lineups'!$C$2:$C$154=$A20)*COUNTIFS('Team Lineups'!$K$2:$K$154,'Team Lineups'!$K$2:$K$154,'Team Lineups'!$C$2:$C$154,H$1))</f>
        <v>0</v>
      </c>
      <c r="I20" cm="1">
        <f t="array" ref="I20">SUMPRODUCT(('Team Lineups'!$K$2:$K$154&lt;&gt;"")*('Team Lineups'!$C$2:$C$154=$A20)*COUNTIFS('Team Lineups'!$K$2:$K$154,'Team Lineups'!$K$2:$K$154,'Team Lineups'!$C$2:$C$154,I$1))</f>
        <v>0</v>
      </c>
      <c r="J20" cm="1">
        <f t="array" ref="J20">SUMPRODUCT(('Team Lineups'!$K$2:$K$154&lt;&gt;"")*('Team Lineups'!$C$2:$C$154=$A20)*COUNTIFS('Team Lineups'!$K$2:$K$154,'Team Lineups'!$K$2:$K$154,'Team Lineups'!$C$2:$C$154,J$1))</f>
        <v>0</v>
      </c>
      <c r="K20" cm="1">
        <f t="array" ref="K20">SUMPRODUCT(('Team Lineups'!$K$2:$K$154&lt;&gt;"")*('Team Lineups'!$C$2:$C$154=$A20)*COUNTIFS('Team Lineups'!$K$2:$K$154,'Team Lineups'!$K$2:$K$154,'Team Lineups'!$C$2:$C$154,K$1))</f>
        <v>0</v>
      </c>
      <c r="L20" cm="1">
        <f t="array" ref="L20">SUMPRODUCT(('Team Lineups'!$K$2:$K$154&lt;&gt;"")*('Team Lineups'!$C$2:$C$154=$A20)*COUNTIFS('Team Lineups'!$K$2:$K$154,'Team Lineups'!$K$2:$K$154,'Team Lineups'!$C$2:$C$154,L$1))</f>
        <v>0</v>
      </c>
      <c r="M20" cm="1">
        <f t="array" ref="M20">SUMPRODUCT(('Team Lineups'!$K$2:$K$154&lt;&gt;"")*('Team Lineups'!$C$2:$C$154=$A20)*COUNTIFS('Team Lineups'!$K$2:$K$154,'Team Lineups'!$K$2:$K$154,'Team Lineups'!$C$2:$C$154,M$1))</f>
        <v>1</v>
      </c>
      <c r="N20" cm="1">
        <f t="array" ref="N20">SUMPRODUCT(('Team Lineups'!$K$2:$K$154&lt;&gt;"")*('Team Lineups'!$C$2:$C$154=$A20)*COUNTIFS('Team Lineups'!$K$2:$K$154,'Team Lineups'!$K$2:$K$154,'Team Lineups'!$C$2:$C$154,N$1))</f>
        <v>1</v>
      </c>
      <c r="O20" cm="1">
        <f t="array" ref="O20">SUMPRODUCT(('Team Lineups'!$K$2:$K$154&lt;&gt;"")*('Team Lineups'!$C$2:$C$154=$A20)*COUNTIFS('Team Lineups'!$K$2:$K$154,'Team Lineups'!$K$2:$K$154,'Team Lineups'!$C$2:$C$154,O$1))</f>
        <v>0</v>
      </c>
      <c r="P20" cm="1">
        <f t="array" ref="P20">SUMPRODUCT(('Team Lineups'!$K$2:$K$154&lt;&gt;"")*('Team Lineups'!$C$2:$C$154=$A20)*COUNTIFS('Team Lineups'!$K$2:$K$154,'Team Lineups'!$K$2:$K$154,'Team Lineups'!$C$2:$C$154,P$1))</f>
        <v>0</v>
      </c>
      <c r="Q20" cm="1">
        <f t="array" ref="Q20">SUMPRODUCT(('Team Lineups'!$K$2:$K$154&lt;&gt;"")*('Team Lineups'!$C$2:$C$154=$A20)*COUNTIFS('Team Lineups'!$K$2:$K$154,'Team Lineups'!$K$2:$K$154,'Team Lineups'!$C$2:$C$154,Q$1))</f>
        <v>0</v>
      </c>
      <c r="R20" cm="1">
        <f t="array" ref="R20">SUMPRODUCT(('Team Lineups'!$K$2:$K$154&lt;&gt;"")*('Team Lineups'!$C$2:$C$154=$A20)*COUNTIFS('Team Lineups'!$K$2:$K$154,'Team Lineups'!$K$2:$K$154,'Team Lineups'!$C$2:$C$154,R$1))</f>
        <v>0</v>
      </c>
      <c r="S20" cm="1">
        <f t="array" ref="S20">SUMPRODUCT(('Team Lineups'!$K$2:$K$154&lt;&gt;"")*('Team Lineups'!$C$2:$C$154=$A20)*COUNTIFS('Team Lineups'!$K$2:$K$154,'Team Lineups'!$K$2:$K$154,'Team Lineups'!$C$2:$C$154,S$1))</f>
        <v>0</v>
      </c>
      <c r="T20" t="s">
        <v>77</v>
      </c>
      <c r="U20" cm="1">
        <f t="array" ref="U20">SUMPRODUCT(('Team Lineups'!$K$2:$K$154&lt;&gt;"")*('Team Lineups'!$C$2:$C$154=$A20)*COUNTIFS('Team Lineups'!$K$2:$K$154,'Team Lineups'!$K$2:$K$154,'Team Lineups'!$C$2:$C$154,U$1))</f>
        <v>0</v>
      </c>
      <c r="V20" cm="1">
        <f t="array" ref="V20">SUMPRODUCT(('Team Lineups'!$K$2:$K$154&lt;&gt;"")*('Team Lineups'!$C$2:$C$154=$A20)*COUNTIFS('Team Lineups'!$K$2:$K$154,'Team Lineups'!$K$2:$K$154,'Team Lineups'!$C$2:$C$154,V$1))</f>
        <v>0</v>
      </c>
      <c r="W20" cm="1">
        <f t="array" ref="W20">SUMPRODUCT(('Team Lineups'!$K$2:$K$154&lt;&gt;"")*('Team Lineups'!$C$2:$C$154=$A20)*COUNTIFS('Team Lineups'!$K$2:$K$154,'Team Lineups'!$K$2:$K$154,'Team Lineups'!$C$2:$C$154,W$1))</f>
        <v>0</v>
      </c>
      <c r="X20" cm="1">
        <f t="array" ref="X20">SUMPRODUCT(('Team Lineups'!$K$2:$K$154&lt;&gt;"")*('Team Lineups'!$C$2:$C$154=$A20)*COUNTIFS('Team Lineups'!$K$2:$K$154,'Team Lineups'!$K$2:$K$154,'Team Lineups'!$C$2:$C$154,X$1))</f>
        <v>0</v>
      </c>
      <c r="Y20" cm="1">
        <f t="array" ref="Y20">SUMPRODUCT(('Team Lineups'!$K$2:$K$154&lt;&gt;"")*('Team Lineups'!$C$2:$C$154=$A20)*COUNTIFS('Team Lineups'!$K$2:$K$154,'Team Lineups'!$K$2:$K$154,'Team Lineups'!$C$2:$C$154,Y$1))</f>
        <v>0</v>
      </c>
      <c r="Z20" cm="1">
        <f t="array" ref="Z20">SUMPRODUCT(('Team Lineups'!$K$2:$K$154&lt;&gt;"")*('Team Lineups'!$C$2:$C$154=$A20)*COUNTIFS('Team Lineups'!$K$2:$K$154,'Team Lineups'!$K$2:$K$154,'Team Lineups'!$C$2:$C$154,Z$1))</f>
        <v>0</v>
      </c>
      <c r="AA20" cm="1">
        <f t="array" ref="AA20">SUMPRODUCT(('Team Lineups'!$K$2:$K$154&lt;&gt;"")*('Team Lineups'!$C$2:$C$154=$A20)*COUNTIFS('Team Lineups'!$K$2:$K$154,'Team Lineups'!$K$2:$K$154,'Team Lineups'!$C$2:$C$154,AA$1))</f>
        <v>0</v>
      </c>
      <c r="AB20" cm="1">
        <f t="array" ref="AB20">SUMPRODUCT(('Team Lineups'!$K$2:$K$154&lt;&gt;"")*('Team Lineups'!$C$2:$C$154=$A20)*COUNTIFS('Team Lineups'!$K$2:$K$154,'Team Lineups'!$K$2:$K$154,'Team Lineups'!$C$2:$C$154,AB$1))</f>
        <v>0</v>
      </c>
      <c r="AC20" cm="1">
        <f t="array" ref="AC20">SUMPRODUCT(('Team Lineups'!$K$2:$K$154&lt;&gt;"")*('Team Lineups'!$C$2:$C$154=$A20)*COUNTIFS('Team Lineups'!$K$2:$K$154,'Team Lineups'!$K$2:$K$154,'Team Lineups'!$C$2:$C$154,AC$1))</f>
        <v>0</v>
      </c>
      <c r="AD20" cm="1">
        <f t="array" ref="AD20">SUMPRODUCT(('Team Lineups'!$K$2:$K$154&lt;&gt;"")*('Team Lineups'!$C$2:$C$154=$A20)*COUNTIFS('Team Lineups'!$K$2:$K$154,'Team Lineups'!$K$2:$K$154,'Team Lineups'!$C$2:$C$154,AD$1))</f>
        <v>0</v>
      </c>
    </row>
    <row r="21" spans="1:30" x14ac:dyDescent="0.35">
      <c r="A21" t="str">
        <v>Christian</v>
      </c>
      <c r="B21" cm="1">
        <f t="array" ref="B21">SUMPRODUCT(('Team Lineups'!$K$2:$K$154&lt;&gt;"")*('Team Lineups'!$C$2:$C$154=$A21)*COUNTIFS('Team Lineups'!$K$2:$K$154,'Team Lineups'!$K$2:$K$154,'Team Lineups'!$C$2:$C$154,B$1))</f>
        <v>0</v>
      </c>
      <c r="C21" cm="1">
        <f t="array" ref="C21">SUMPRODUCT(('Team Lineups'!$K$2:$K$154&lt;&gt;"")*('Team Lineups'!$C$2:$C$154=$A21)*COUNTIFS('Team Lineups'!$K$2:$K$154,'Team Lineups'!$K$2:$K$154,'Team Lineups'!$C$2:$C$154,C$1))</f>
        <v>0</v>
      </c>
      <c r="D21" cm="1">
        <f t="array" ref="D21">SUMPRODUCT(('Team Lineups'!$K$2:$K$154&lt;&gt;"")*('Team Lineups'!$C$2:$C$154=$A21)*COUNTIFS('Team Lineups'!$K$2:$K$154,'Team Lineups'!$K$2:$K$154,'Team Lineups'!$C$2:$C$154,D$1))</f>
        <v>1</v>
      </c>
      <c r="E21" cm="1">
        <f t="array" ref="E21">SUMPRODUCT(('Team Lineups'!$K$2:$K$154&lt;&gt;"")*('Team Lineups'!$C$2:$C$154=$A21)*COUNTIFS('Team Lineups'!$K$2:$K$154,'Team Lineups'!$K$2:$K$154,'Team Lineups'!$C$2:$C$154,E$1))</f>
        <v>0</v>
      </c>
      <c r="F21" cm="1">
        <f t="array" ref="F21">SUMPRODUCT(('Team Lineups'!$K$2:$K$154&lt;&gt;"")*('Team Lineups'!$C$2:$C$154=$A21)*COUNTIFS('Team Lineups'!$K$2:$K$154,'Team Lineups'!$K$2:$K$154,'Team Lineups'!$C$2:$C$154,F$1))</f>
        <v>0</v>
      </c>
      <c r="G21" cm="1">
        <f t="array" ref="G21">SUMPRODUCT(('Team Lineups'!$K$2:$K$154&lt;&gt;"")*('Team Lineups'!$C$2:$C$154=$A21)*COUNTIFS('Team Lineups'!$K$2:$K$154,'Team Lineups'!$K$2:$K$154,'Team Lineups'!$C$2:$C$154,G$1))</f>
        <v>0</v>
      </c>
      <c r="H21" cm="1">
        <f t="array" ref="H21">SUMPRODUCT(('Team Lineups'!$K$2:$K$154&lt;&gt;"")*('Team Lineups'!$C$2:$C$154=$A21)*COUNTIFS('Team Lineups'!$K$2:$K$154,'Team Lineups'!$K$2:$K$154,'Team Lineups'!$C$2:$C$154,H$1))</f>
        <v>0</v>
      </c>
      <c r="I21" cm="1">
        <f t="array" ref="I21">SUMPRODUCT(('Team Lineups'!$K$2:$K$154&lt;&gt;"")*('Team Lineups'!$C$2:$C$154=$A21)*COUNTIFS('Team Lineups'!$K$2:$K$154,'Team Lineups'!$K$2:$K$154,'Team Lineups'!$C$2:$C$154,I$1))</f>
        <v>1</v>
      </c>
      <c r="J21" cm="1">
        <f t="array" ref="J21">SUMPRODUCT(('Team Lineups'!$K$2:$K$154&lt;&gt;"")*('Team Lineups'!$C$2:$C$154=$A21)*COUNTIFS('Team Lineups'!$K$2:$K$154,'Team Lineups'!$K$2:$K$154,'Team Lineups'!$C$2:$C$154,J$1))</f>
        <v>0</v>
      </c>
      <c r="K21" cm="1">
        <f t="array" ref="K21">SUMPRODUCT(('Team Lineups'!$K$2:$K$154&lt;&gt;"")*('Team Lineups'!$C$2:$C$154=$A21)*COUNTIFS('Team Lineups'!$K$2:$K$154,'Team Lineups'!$K$2:$K$154,'Team Lineups'!$C$2:$C$154,K$1))</f>
        <v>0</v>
      </c>
      <c r="L21" cm="1">
        <f t="array" ref="L21">SUMPRODUCT(('Team Lineups'!$K$2:$K$154&lt;&gt;"")*('Team Lineups'!$C$2:$C$154=$A21)*COUNTIFS('Team Lineups'!$K$2:$K$154,'Team Lineups'!$K$2:$K$154,'Team Lineups'!$C$2:$C$154,L$1))</f>
        <v>1</v>
      </c>
      <c r="M21" cm="1">
        <f t="array" ref="M21">SUMPRODUCT(('Team Lineups'!$K$2:$K$154&lt;&gt;"")*('Team Lineups'!$C$2:$C$154=$A21)*COUNTIFS('Team Lineups'!$K$2:$K$154,'Team Lineups'!$K$2:$K$154,'Team Lineups'!$C$2:$C$154,M$1))</f>
        <v>0</v>
      </c>
      <c r="N21" cm="1">
        <f t="array" ref="N21">SUMPRODUCT(('Team Lineups'!$K$2:$K$154&lt;&gt;"")*('Team Lineups'!$C$2:$C$154=$A21)*COUNTIFS('Team Lineups'!$K$2:$K$154,'Team Lineups'!$K$2:$K$154,'Team Lineups'!$C$2:$C$154,N$1))</f>
        <v>0</v>
      </c>
      <c r="O21" cm="1">
        <f t="array" ref="O21">SUMPRODUCT(('Team Lineups'!$K$2:$K$154&lt;&gt;"")*('Team Lineups'!$C$2:$C$154=$A21)*COUNTIFS('Team Lineups'!$K$2:$K$154,'Team Lineups'!$K$2:$K$154,'Team Lineups'!$C$2:$C$154,O$1))</f>
        <v>0</v>
      </c>
      <c r="P21" cm="1">
        <f t="array" ref="P21">SUMPRODUCT(('Team Lineups'!$K$2:$K$154&lt;&gt;"")*('Team Lineups'!$C$2:$C$154=$A21)*COUNTIFS('Team Lineups'!$K$2:$K$154,'Team Lineups'!$K$2:$K$154,'Team Lineups'!$C$2:$C$154,P$1))</f>
        <v>0</v>
      </c>
      <c r="Q21" cm="1">
        <f t="array" ref="Q21">SUMPRODUCT(('Team Lineups'!$K$2:$K$154&lt;&gt;"")*('Team Lineups'!$C$2:$C$154=$A21)*COUNTIFS('Team Lineups'!$K$2:$K$154,'Team Lineups'!$K$2:$K$154,'Team Lineups'!$C$2:$C$154,Q$1))</f>
        <v>0</v>
      </c>
      <c r="R21" cm="1">
        <f t="array" ref="R21">SUMPRODUCT(('Team Lineups'!$K$2:$K$154&lt;&gt;"")*('Team Lineups'!$C$2:$C$154=$A21)*COUNTIFS('Team Lineups'!$K$2:$K$154,'Team Lineups'!$K$2:$K$154,'Team Lineups'!$C$2:$C$154,R$1))</f>
        <v>0</v>
      </c>
      <c r="S21" cm="1">
        <f t="array" ref="S21">SUMPRODUCT(('Team Lineups'!$K$2:$K$154&lt;&gt;"")*('Team Lineups'!$C$2:$C$154=$A21)*COUNTIFS('Team Lineups'!$K$2:$K$154,'Team Lineups'!$K$2:$K$154,'Team Lineups'!$C$2:$C$154,S$1))</f>
        <v>0</v>
      </c>
      <c r="T21" cm="1">
        <f t="array" ref="T21">SUMPRODUCT(('Team Lineups'!$K$2:$K$154&lt;&gt;"")*('Team Lineups'!$C$2:$C$154=$A21)*COUNTIFS('Team Lineups'!$K$2:$K$154,'Team Lineups'!$K$2:$K$154,'Team Lineups'!$C$2:$C$154,T$1))</f>
        <v>0</v>
      </c>
      <c r="U21" t="s">
        <v>77</v>
      </c>
      <c r="V21" cm="1">
        <f t="array" ref="V21">SUMPRODUCT(('Team Lineups'!$K$2:$K$154&lt;&gt;"")*('Team Lineups'!$C$2:$C$154=$A21)*COUNTIFS('Team Lineups'!$K$2:$K$154,'Team Lineups'!$K$2:$K$154,'Team Lineups'!$C$2:$C$154,V$1))</f>
        <v>1</v>
      </c>
      <c r="W21" cm="1">
        <f t="array" ref="W21">SUMPRODUCT(('Team Lineups'!$K$2:$K$154&lt;&gt;"")*('Team Lineups'!$C$2:$C$154=$A21)*COUNTIFS('Team Lineups'!$K$2:$K$154,'Team Lineups'!$K$2:$K$154,'Team Lineups'!$C$2:$C$154,W$1))</f>
        <v>0</v>
      </c>
      <c r="X21" cm="1">
        <f t="array" ref="X21">SUMPRODUCT(('Team Lineups'!$K$2:$K$154&lt;&gt;"")*('Team Lineups'!$C$2:$C$154=$A21)*COUNTIFS('Team Lineups'!$K$2:$K$154,'Team Lineups'!$K$2:$K$154,'Team Lineups'!$C$2:$C$154,X$1))</f>
        <v>0</v>
      </c>
      <c r="Y21" cm="1">
        <f t="array" ref="Y21">SUMPRODUCT(('Team Lineups'!$K$2:$K$154&lt;&gt;"")*('Team Lineups'!$C$2:$C$154=$A21)*COUNTIFS('Team Lineups'!$K$2:$K$154,'Team Lineups'!$K$2:$K$154,'Team Lineups'!$C$2:$C$154,Y$1))</f>
        <v>0</v>
      </c>
      <c r="Z21" cm="1">
        <f t="array" ref="Z21">SUMPRODUCT(('Team Lineups'!$K$2:$K$154&lt;&gt;"")*('Team Lineups'!$C$2:$C$154=$A21)*COUNTIFS('Team Lineups'!$K$2:$K$154,'Team Lineups'!$K$2:$K$154,'Team Lineups'!$C$2:$C$154,Z$1))</f>
        <v>0</v>
      </c>
      <c r="AA21" cm="1">
        <f t="array" ref="AA21">SUMPRODUCT(('Team Lineups'!$K$2:$K$154&lt;&gt;"")*('Team Lineups'!$C$2:$C$154=$A21)*COUNTIFS('Team Lineups'!$K$2:$K$154,'Team Lineups'!$K$2:$K$154,'Team Lineups'!$C$2:$C$154,AA$1))</f>
        <v>0</v>
      </c>
      <c r="AB21" cm="1">
        <f t="array" ref="AB21">SUMPRODUCT(('Team Lineups'!$K$2:$K$154&lt;&gt;"")*('Team Lineups'!$C$2:$C$154=$A21)*COUNTIFS('Team Lineups'!$K$2:$K$154,'Team Lineups'!$K$2:$K$154,'Team Lineups'!$C$2:$C$154,AB$1))</f>
        <v>0</v>
      </c>
      <c r="AC21" cm="1">
        <f t="array" ref="AC21">SUMPRODUCT(('Team Lineups'!$K$2:$K$154&lt;&gt;"")*('Team Lineups'!$C$2:$C$154=$A21)*COUNTIFS('Team Lineups'!$K$2:$K$154,'Team Lineups'!$K$2:$K$154,'Team Lineups'!$C$2:$C$154,AC$1))</f>
        <v>0</v>
      </c>
      <c r="AD21" cm="1">
        <f t="array" ref="AD21">SUMPRODUCT(('Team Lineups'!$K$2:$K$154&lt;&gt;"")*('Team Lineups'!$C$2:$C$154=$A21)*COUNTIFS('Team Lineups'!$K$2:$K$154,'Team Lineups'!$K$2:$K$154,'Team Lineups'!$C$2:$C$154,AD$1))</f>
        <v>0</v>
      </c>
    </row>
    <row r="22" spans="1:30" x14ac:dyDescent="0.35">
      <c r="A22" t="str">
        <v>Karl</v>
      </c>
      <c r="B22" cm="1">
        <f t="array" ref="B22">SUMPRODUCT(('Team Lineups'!$K$2:$K$154&lt;&gt;"")*('Team Lineups'!$C$2:$C$154=$A22)*COUNTIFS('Team Lineups'!$K$2:$K$154,'Team Lineups'!$K$2:$K$154,'Team Lineups'!$C$2:$C$154,B$1))</f>
        <v>1</v>
      </c>
      <c r="C22" cm="1">
        <f t="array" ref="C22">SUMPRODUCT(('Team Lineups'!$K$2:$K$154&lt;&gt;"")*('Team Lineups'!$C$2:$C$154=$A22)*COUNTIFS('Team Lineups'!$K$2:$K$154,'Team Lineups'!$K$2:$K$154,'Team Lineups'!$C$2:$C$154,C$1))</f>
        <v>2</v>
      </c>
      <c r="D22" cm="1">
        <f t="array" ref="D22">SUMPRODUCT(('Team Lineups'!$K$2:$K$154&lt;&gt;"")*('Team Lineups'!$C$2:$C$154=$A22)*COUNTIFS('Team Lineups'!$K$2:$K$154,'Team Lineups'!$K$2:$K$154,'Team Lineups'!$C$2:$C$154,D$1))</f>
        <v>2</v>
      </c>
      <c r="E22" cm="1">
        <f t="array" ref="E22">SUMPRODUCT(('Team Lineups'!$K$2:$K$154&lt;&gt;"")*('Team Lineups'!$C$2:$C$154=$A22)*COUNTIFS('Team Lineups'!$K$2:$K$154,'Team Lineups'!$K$2:$K$154,'Team Lineups'!$C$2:$C$154,E$1))</f>
        <v>2</v>
      </c>
      <c r="F22" cm="1">
        <f t="array" ref="F22">SUMPRODUCT(('Team Lineups'!$K$2:$K$154&lt;&gt;"")*('Team Lineups'!$C$2:$C$154=$A22)*COUNTIFS('Team Lineups'!$K$2:$K$154,'Team Lineups'!$K$2:$K$154,'Team Lineups'!$C$2:$C$154,F$1))</f>
        <v>0</v>
      </c>
      <c r="G22" cm="1">
        <f t="array" ref="G22">SUMPRODUCT(('Team Lineups'!$K$2:$K$154&lt;&gt;"")*('Team Lineups'!$C$2:$C$154=$A22)*COUNTIFS('Team Lineups'!$K$2:$K$154,'Team Lineups'!$K$2:$K$154,'Team Lineups'!$C$2:$C$154,G$1))</f>
        <v>2</v>
      </c>
      <c r="H22" cm="1">
        <f t="array" ref="H22">SUMPRODUCT(('Team Lineups'!$K$2:$K$154&lt;&gt;"")*('Team Lineups'!$C$2:$C$154=$A22)*COUNTIFS('Team Lineups'!$K$2:$K$154,'Team Lineups'!$K$2:$K$154,'Team Lineups'!$C$2:$C$154,H$1))</f>
        <v>0</v>
      </c>
      <c r="I22" cm="1">
        <f t="array" ref="I22">SUMPRODUCT(('Team Lineups'!$K$2:$K$154&lt;&gt;"")*('Team Lineups'!$C$2:$C$154=$A22)*COUNTIFS('Team Lineups'!$K$2:$K$154,'Team Lineups'!$K$2:$K$154,'Team Lineups'!$C$2:$C$154,I$1))</f>
        <v>1</v>
      </c>
      <c r="J22" cm="1">
        <f t="array" ref="J22">SUMPRODUCT(('Team Lineups'!$K$2:$K$154&lt;&gt;"")*('Team Lineups'!$C$2:$C$154=$A22)*COUNTIFS('Team Lineups'!$K$2:$K$154,'Team Lineups'!$K$2:$K$154,'Team Lineups'!$C$2:$C$154,J$1))</f>
        <v>0</v>
      </c>
      <c r="K22" cm="1">
        <f t="array" ref="K22">SUMPRODUCT(('Team Lineups'!$K$2:$K$154&lt;&gt;"")*('Team Lineups'!$C$2:$C$154=$A22)*COUNTIFS('Team Lineups'!$K$2:$K$154,'Team Lineups'!$K$2:$K$154,'Team Lineups'!$C$2:$C$154,K$1))</f>
        <v>0</v>
      </c>
      <c r="L22" cm="1">
        <f t="array" ref="L22">SUMPRODUCT(('Team Lineups'!$K$2:$K$154&lt;&gt;"")*('Team Lineups'!$C$2:$C$154=$A22)*COUNTIFS('Team Lineups'!$K$2:$K$154,'Team Lineups'!$K$2:$K$154,'Team Lineups'!$C$2:$C$154,L$1))</f>
        <v>5</v>
      </c>
      <c r="M22" cm="1">
        <f t="array" ref="M22">SUMPRODUCT(('Team Lineups'!$K$2:$K$154&lt;&gt;"")*('Team Lineups'!$C$2:$C$154=$A22)*COUNTIFS('Team Lineups'!$K$2:$K$154,'Team Lineups'!$K$2:$K$154,'Team Lineups'!$C$2:$C$154,M$1))</f>
        <v>1</v>
      </c>
      <c r="N22" cm="1">
        <f t="array" ref="N22">SUMPRODUCT(('Team Lineups'!$K$2:$K$154&lt;&gt;"")*('Team Lineups'!$C$2:$C$154=$A22)*COUNTIFS('Team Lineups'!$K$2:$K$154,'Team Lineups'!$K$2:$K$154,'Team Lineups'!$C$2:$C$154,N$1))</f>
        <v>2</v>
      </c>
      <c r="O22" cm="1">
        <f t="array" ref="O22">SUMPRODUCT(('Team Lineups'!$K$2:$K$154&lt;&gt;"")*('Team Lineups'!$C$2:$C$154=$A22)*COUNTIFS('Team Lineups'!$K$2:$K$154,'Team Lineups'!$K$2:$K$154,'Team Lineups'!$C$2:$C$154,O$1))</f>
        <v>0</v>
      </c>
      <c r="P22" cm="1">
        <f t="array" ref="P22">SUMPRODUCT(('Team Lineups'!$K$2:$K$154&lt;&gt;"")*('Team Lineups'!$C$2:$C$154=$A22)*COUNTIFS('Team Lineups'!$K$2:$K$154,'Team Lineups'!$K$2:$K$154,'Team Lineups'!$C$2:$C$154,P$1))</f>
        <v>0</v>
      </c>
      <c r="Q22" cm="1">
        <f t="array" ref="Q22">SUMPRODUCT(('Team Lineups'!$K$2:$K$154&lt;&gt;"")*('Team Lineups'!$C$2:$C$154=$A22)*COUNTIFS('Team Lineups'!$K$2:$K$154,'Team Lineups'!$K$2:$K$154,'Team Lineups'!$C$2:$C$154,Q$1))</f>
        <v>2</v>
      </c>
      <c r="R22" cm="1">
        <f t="array" ref="R22">SUMPRODUCT(('Team Lineups'!$K$2:$K$154&lt;&gt;"")*('Team Lineups'!$C$2:$C$154=$A22)*COUNTIFS('Team Lineups'!$K$2:$K$154,'Team Lineups'!$K$2:$K$154,'Team Lineups'!$C$2:$C$154,R$1))</f>
        <v>0</v>
      </c>
      <c r="S22" cm="1">
        <f t="array" ref="S22">SUMPRODUCT(('Team Lineups'!$K$2:$K$154&lt;&gt;"")*('Team Lineups'!$C$2:$C$154=$A22)*COUNTIFS('Team Lineups'!$K$2:$K$154,'Team Lineups'!$K$2:$K$154,'Team Lineups'!$C$2:$C$154,S$1))</f>
        <v>1</v>
      </c>
      <c r="T22" cm="1">
        <f t="array" ref="T22">SUMPRODUCT(('Team Lineups'!$K$2:$K$154&lt;&gt;"")*('Team Lineups'!$C$2:$C$154=$A22)*COUNTIFS('Team Lineups'!$K$2:$K$154,'Team Lineups'!$K$2:$K$154,'Team Lineups'!$C$2:$C$154,T$1))</f>
        <v>0</v>
      </c>
      <c r="U22" cm="1">
        <f t="array" ref="U22">SUMPRODUCT(('Team Lineups'!$K$2:$K$154&lt;&gt;"")*('Team Lineups'!$C$2:$C$154=$A22)*COUNTIFS('Team Lineups'!$K$2:$K$154,'Team Lineups'!$K$2:$K$154,'Team Lineups'!$C$2:$C$154,U$1))</f>
        <v>1</v>
      </c>
      <c r="V22" t="s">
        <v>77</v>
      </c>
      <c r="W22" cm="1">
        <f t="array" ref="W22">SUMPRODUCT(('Team Lineups'!$K$2:$K$154&lt;&gt;"")*('Team Lineups'!$C$2:$C$154=$A22)*COUNTIFS('Team Lineups'!$K$2:$K$154,'Team Lineups'!$K$2:$K$154,'Team Lineups'!$C$2:$C$154,W$1))</f>
        <v>0</v>
      </c>
      <c r="X22" cm="1">
        <f t="array" ref="X22">SUMPRODUCT(('Team Lineups'!$K$2:$K$154&lt;&gt;"")*('Team Lineups'!$C$2:$C$154=$A22)*COUNTIFS('Team Lineups'!$K$2:$K$154,'Team Lineups'!$K$2:$K$154,'Team Lineups'!$C$2:$C$154,X$1))</f>
        <v>0</v>
      </c>
      <c r="Y22" cm="1">
        <f t="array" ref="Y22">SUMPRODUCT(('Team Lineups'!$K$2:$K$154&lt;&gt;"")*('Team Lineups'!$C$2:$C$154=$A22)*COUNTIFS('Team Lineups'!$K$2:$K$154,'Team Lineups'!$K$2:$K$154,'Team Lineups'!$C$2:$C$154,Y$1))</f>
        <v>1</v>
      </c>
      <c r="Z22" cm="1">
        <f t="array" ref="Z22">SUMPRODUCT(('Team Lineups'!$K$2:$K$154&lt;&gt;"")*('Team Lineups'!$C$2:$C$154=$A22)*COUNTIFS('Team Lineups'!$K$2:$K$154,'Team Lineups'!$K$2:$K$154,'Team Lineups'!$C$2:$C$154,Z$1))</f>
        <v>0</v>
      </c>
      <c r="AA22" cm="1">
        <f t="array" ref="AA22">SUMPRODUCT(('Team Lineups'!$K$2:$K$154&lt;&gt;"")*('Team Lineups'!$C$2:$C$154=$A22)*COUNTIFS('Team Lineups'!$K$2:$K$154,'Team Lineups'!$K$2:$K$154,'Team Lineups'!$C$2:$C$154,AA$1))</f>
        <v>1</v>
      </c>
      <c r="AB22" cm="1">
        <f t="array" ref="AB22">SUMPRODUCT(('Team Lineups'!$K$2:$K$154&lt;&gt;"")*('Team Lineups'!$C$2:$C$154=$A22)*COUNTIFS('Team Lineups'!$K$2:$K$154,'Team Lineups'!$K$2:$K$154,'Team Lineups'!$C$2:$C$154,AB$1))</f>
        <v>1</v>
      </c>
      <c r="AC22" cm="1">
        <f t="array" ref="AC22">SUMPRODUCT(('Team Lineups'!$K$2:$K$154&lt;&gt;"")*('Team Lineups'!$C$2:$C$154=$A22)*COUNTIFS('Team Lineups'!$K$2:$K$154,'Team Lineups'!$K$2:$K$154,'Team Lineups'!$C$2:$C$154,AC$1))</f>
        <v>0</v>
      </c>
      <c r="AD22" cm="1">
        <f t="array" ref="AD22">SUMPRODUCT(('Team Lineups'!$K$2:$K$154&lt;&gt;"")*('Team Lineups'!$C$2:$C$154=$A22)*COUNTIFS('Team Lineups'!$K$2:$K$154,'Team Lineups'!$K$2:$K$154,'Team Lineups'!$C$2:$C$154,AD$1))</f>
        <v>0</v>
      </c>
    </row>
    <row r="23" spans="1:30" x14ac:dyDescent="0.35">
      <c r="A23" t="str">
        <v>Alberto</v>
      </c>
      <c r="B23" cm="1">
        <f t="array" ref="B23">SUMPRODUCT(('Team Lineups'!$K$2:$K$154&lt;&gt;"")*('Team Lineups'!$C$2:$C$154=$A23)*COUNTIFS('Team Lineups'!$K$2:$K$154,'Team Lineups'!$K$2:$K$154,'Team Lineups'!$C$2:$C$154,B$1))</f>
        <v>1</v>
      </c>
      <c r="C23" cm="1">
        <f t="array" ref="C23">SUMPRODUCT(('Team Lineups'!$K$2:$K$154&lt;&gt;"")*('Team Lineups'!$C$2:$C$154=$A23)*COUNTIFS('Team Lineups'!$K$2:$K$154,'Team Lineups'!$K$2:$K$154,'Team Lineups'!$C$2:$C$154,C$1))</f>
        <v>0</v>
      </c>
      <c r="D23" cm="1">
        <f t="array" ref="D23">SUMPRODUCT(('Team Lineups'!$K$2:$K$154&lt;&gt;"")*('Team Lineups'!$C$2:$C$154=$A23)*COUNTIFS('Team Lineups'!$K$2:$K$154,'Team Lineups'!$K$2:$K$154,'Team Lineups'!$C$2:$C$154,D$1))</f>
        <v>0</v>
      </c>
      <c r="E23" cm="1">
        <f t="array" ref="E23">SUMPRODUCT(('Team Lineups'!$K$2:$K$154&lt;&gt;"")*('Team Lineups'!$C$2:$C$154=$A23)*COUNTIFS('Team Lineups'!$K$2:$K$154,'Team Lineups'!$K$2:$K$154,'Team Lineups'!$C$2:$C$154,E$1))</f>
        <v>0</v>
      </c>
      <c r="F23" cm="1">
        <f t="array" ref="F23">SUMPRODUCT(('Team Lineups'!$K$2:$K$154&lt;&gt;"")*('Team Lineups'!$C$2:$C$154=$A23)*COUNTIFS('Team Lineups'!$K$2:$K$154,'Team Lineups'!$K$2:$K$154,'Team Lineups'!$C$2:$C$154,F$1))</f>
        <v>1</v>
      </c>
      <c r="G23" cm="1">
        <f t="array" ref="G23">SUMPRODUCT(('Team Lineups'!$K$2:$K$154&lt;&gt;"")*('Team Lineups'!$C$2:$C$154=$A23)*COUNTIFS('Team Lineups'!$K$2:$K$154,'Team Lineups'!$K$2:$K$154,'Team Lineups'!$C$2:$C$154,G$1))</f>
        <v>0</v>
      </c>
      <c r="H23" cm="1">
        <f t="array" ref="H23">SUMPRODUCT(('Team Lineups'!$K$2:$K$154&lt;&gt;"")*('Team Lineups'!$C$2:$C$154=$A23)*COUNTIFS('Team Lineups'!$K$2:$K$154,'Team Lineups'!$K$2:$K$154,'Team Lineups'!$C$2:$C$154,H$1))</f>
        <v>0</v>
      </c>
      <c r="I23" cm="1">
        <f t="array" ref="I23">SUMPRODUCT(('Team Lineups'!$K$2:$K$154&lt;&gt;"")*('Team Lineups'!$C$2:$C$154=$A23)*COUNTIFS('Team Lineups'!$K$2:$K$154,'Team Lineups'!$K$2:$K$154,'Team Lineups'!$C$2:$C$154,I$1))</f>
        <v>0</v>
      </c>
      <c r="J23" cm="1">
        <f t="array" ref="J23">SUMPRODUCT(('Team Lineups'!$K$2:$K$154&lt;&gt;"")*('Team Lineups'!$C$2:$C$154=$A23)*COUNTIFS('Team Lineups'!$K$2:$K$154,'Team Lineups'!$K$2:$K$154,'Team Lineups'!$C$2:$C$154,J$1))</f>
        <v>0</v>
      </c>
      <c r="K23" cm="1">
        <f t="array" ref="K23">SUMPRODUCT(('Team Lineups'!$K$2:$K$154&lt;&gt;"")*('Team Lineups'!$C$2:$C$154=$A23)*COUNTIFS('Team Lineups'!$K$2:$K$154,'Team Lineups'!$K$2:$K$154,'Team Lineups'!$C$2:$C$154,K$1))</f>
        <v>0</v>
      </c>
      <c r="L23" cm="1">
        <f t="array" ref="L23">SUMPRODUCT(('Team Lineups'!$K$2:$K$154&lt;&gt;"")*('Team Lineups'!$C$2:$C$154=$A23)*COUNTIFS('Team Lineups'!$K$2:$K$154,'Team Lineups'!$K$2:$K$154,'Team Lineups'!$C$2:$C$154,L$1))</f>
        <v>0</v>
      </c>
      <c r="M23" cm="1">
        <f t="array" ref="M23">SUMPRODUCT(('Team Lineups'!$K$2:$K$154&lt;&gt;"")*('Team Lineups'!$C$2:$C$154=$A23)*COUNTIFS('Team Lineups'!$K$2:$K$154,'Team Lineups'!$K$2:$K$154,'Team Lineups'!$C$2:$C$154,M$1))</f>
        <v>1</v>
      </c>
      <c r="N23" cm="1">
        <f t="array" ref="N23">SUMPRODUCT(('Team Lineups'!$K$2:$K$154&lt;&gt;"")*('Team Lineups'!$C$2:$C$154=$A23)*COUNTIFS('Team Lineups'!$K$2:$K$154,'Team Lineups'!$K$2:$K$154,'Team Lineups'!$C$2:$C$154,N$1))</f>
        <v>0</v>
      </c>
      <c r="O23" cm="1">
        <f t="array" ref="O23">SUMPRODUCT(('Team Lineups'!$K$2:$K$154&lt;&gt;"")*('Team Lineups'!$C$2:$C$154=$A23)*COUNTIFS('Team Lineups'!$K$2:$K$154,'Team Lineups'!$K$2:$K$154,'Team Lineups'!$C$2:$C$154,O$1))</f>
        <v>0</v>
      </c>
      <c r="P23" cm="1">
        <f t="array" ref="P23">SUMPRODUCT(('Team Lineups'!$K$2:$K$154&lt;&gt;"")*('Team Lineups'!$C$2:$C$154=$A23)*COUNTIFS('Team Lineups'!$K$2:$K$154,'Team Lineups'!$K$2:$K$154,'Team Lineups'!$C$2:$C$154,P$1))</f>
        <v>0</v>
      </c>
      <c r="Q23" cm="1">
        <f t="array" ref="Q23">SUMPRODUCT(('Team Lineups'!$K$2:$K$154&lt;&gt;"")*('Team Lineups'!$C$2:$C$154=$A23)*COUNTIFS('Team Lineups'!$K$2:$K$154,'Team Lineups'!$K$2:$K$154,'Team Lineups'!$C$2:$C$154,Q$1))</f>
        <v>0</v>
      </c>
      <c r="R23" cm="1">
        <f t="array" ref="R23">SUMPRODUCT(('Team Lineups'!$K$2:$K$154&lt;&gt;"")*('Team Lineups'!$C$2:$C$154=$A23)*COUNTIFS('Team Lineups'!$K$2:$K$154,'Team Lineups'!$K$2:$K$154,'Team Lineups'!$C$2:$C$154,R$1))</f>
        <v>0</v>
      </c>
      <c r="S23" cm="1">
        <f t="array" ref="S23">SUMPRODUCT(('Team Lineups'!$K$2:$K$154&lt;&gt;"")*('Team Lineups'!$C$2:$C$154=$A23)*COUNTIFS('Team Lineups'!$K$2:$K$154,'Team Lineups'!$K$2:$K$154,'Team Lineups'!$C$2:$C$154,S$1))</f>
        <v>0</v>
      </c>
      <c r="T23" cm="1">
        <f t="array" ref="T23">SUMPRODUCT(('Team Lineups'!$K$2:$K$154&lt;&gt;"")*('Team Lineups'!$C$2:$C$154=$A23)*COUNTIFS('Team Lineups'!$K$2:$K$154,'Team Lineups'!$K$2:$K$154,'Team Lineups'!$C$2:$C$154,T$1))</f>
        <v>0</v>
      </c>
      <c r="U23" cm="1">
        <f t="array" ref="U23">SUMPRODUCT(('Team Lineups'!$K$2:$K$154&lt;&gt;"")*('Team Lineups'!$C$2:$C$154=$A23)*COUNTIFS('Team Lineups'!$K$2:$K$154,'Team Lineups'!$K$2:$K$154,'Team Lineups'!$C$2:$C$154,U$1))</f>
        <v>0</v>
      </c>
      <c r="V23" cm="1">
        <f t="array" ref="V23">SUMPRODUCT(('Team Lineups'!$K$2:$K$154&lt;&gt;"")*('Team Lineups'!$C$2:$C$154=$A23)*COUNTIFS('Team Lineups'!$K$2:$K$154,'Team Lineups'!$K$2:$K$154,'Team Lineups'!$C$2:$C$154,V$1))</f>
        <v>0</v>
      </c>
      <c r="W23" t="s">
        <v>77</v>
      </c>
      <c r="X23" cm="1">
        <f t="array" ref="X23">SUMPRODUCT(('Team Lineups'!$K$2:$K$154&lt;&gt;"")*('Team Lineups'!$C$2:$C$154=$A23)*COUNTIFS('Team Lineups'!$K$2:$K$154,'Team Lineups'!$K$2:$K$154,'Team Lineups'!$C$2:$C$154,X$1))</f>
        <v>1</v>
      </c>
      <c r="Y23" cm="1">
        <f t="array" ref="Y23">SUMPRODUCT(('Team Lineups'!$K$2:$K$154&lt;&gt;"")*('Team Lineups'!$C$2:$C$154=$A23)*COUNTIFS('Team Lineups'!$K$2:$K$154,'Team Lineups'!$K$2:$K$154,'Team Lineups'!$C$2:$C$154,Y$1))</f>
        <v>0</v>
      </c>
      <c r="Z23" cm="1">
        <f t="array" ref="Z23">SUMPRODUCT(('Team Lineups'!$K$2:$K$154&lt;&gt;"")*('Team Lineups'!$C$2:$C$154=$A23)*COUNTIFS('Team Lineups'!$K$2:$K$154,'Team Lineups'!$K$2:$K$154,'Team Lineups'!$C$2:$C$154,Z$1))</f>
        <v>0</v>
      </c>
      <c r="AA23" cm="1">
        <f t="array" ref="AA23">SUMPRODUCT(('Team Lineups'!$K$2:$K$154&lt;&gt;"")*('Team Lineups'!$C$2:$C$154=$A23)*COUNTIFS('Team Lineups'!$K$2:$K$154,'Team Lineups'!$K$2:$K$154,'Team Lineups'!$C$2:$C$154,AA$1))</f>
        <v>0</v>
      </c>
      <c r="AB23" cm="1">
        <f t="array" ref="AB23">SUMPRODUCT(('Team Lineups'!$K$2:$K$154&lt;&gt;"")*('Team Lineups'!$C$2:$C$154=$A23)*COUNTIFS('Team Lineups'!$K$2:$K$154,'Team Lineups'!$K$2:$K$154,'Team Lineups'!$C$2:$C$154,AB$1))</f>
        <v>0</v>
      </c>
      <c r="AC23" cm="1">
        <f t="array" ref="AC23">SUMPRODUCT(('Team Lineups'!$K$2:$K$154&lt;&gt;"")*('Team Lineups'!$C$2:$C$154=$A23)*COUNTIFS('Team Lineups'!$K$2:$K$154,'Team Lineups'!$K$2:$K$154,'Team Lineups'!$C$2:$C$154,AC$1))</f>
        <v>0</v>
      </c>
      <c r="AD23" cm="1">
        <f t="array" ref="AD23">SUMPRODUCT(('Team Lineups'!$K$2:$K$154&lt;&gt;"")*('Team Lineups'!$C$2:$C$154=$A23)*COUNTIFS('Team Lineups'!$K$2:$K$154,'Team Lineups'!$K$2:$K$154,'Team Lineups'!$C$2:$C$154,AD$1))</f>
        <v>0</v>
      </c>
    </row>
    <row r="24" spans="1:30" x14ac:dyDescent="0.35">
      <c r="A24" t="str">
        <v>Noah</v>
      </c>
      <c r="B24" cm="1">
        <f t="array" ref="B24">SUMPRODUCT(('Team Lineups'!$K$2:$K$154&lt;&gt;"")*('Team Lineups'!$C$2:$C$154=$A24)*COUNTIFS('Team Lineups'!$K$2:$K$154,'Team Lineups'!$K$2:$K$154,'Team Lineups'!$C$2:$C$154,B$1))</f>
        <v>1</v>
      </c>
      <c r="C24" cm="1">
        <f t="array" ref="C24">SUMPRODUCT(('Team Lineups'!$K$2:$K$154&lt;&gt;"")*('Team Lineups'!$C$2:$C$154=$A24)*COUNTIFS('Team Lineups'!$K$2:$K$154,'Team Lineups'!$K$2:$K$154,'Team Lineups'!$C$2:$C$154,C$1))</f>
        <v>0</v>
      </c>
      <c r="D24" cm="1">
        <f t="array" ref="D24">SUMPRODUCT(('Team Lineups'!$K$2:$K$154&lt;&gt;"")*('Team Lineups'!$C$2:$C$154=$A24)*COUNTIFS('Team Lineups'!$K$2:$K$154,'Team Lineups'!$K$2:$K$154,'Team Lineups'!$C$2:$C$154,D$1))</f>
        <v>0</v>
      </c>
      <c r="E24" cm="1">
        <f t="array" ref="E24">SUMPRODUCT(('Team Lineups'!$K$2:$K$154&lt;&gt;"")*('Team Lineups'!$C$2:$C$154=$A24)*COUNTIFS('Team Lineups'!$K$2:$K$154,'Team Lineups'!$K$2:$K$154,'Team Lineups'!$C$2:$C$154,E$1))</f>
        <v>0</v>
      </c>
      <c r="F24" cm="1">
        <f t="array" ref="F24">SUMPRODUCT(('Team Lineups'!$K$2:$K$154&lt;&gt;"")*('Team Lineups'!$C$2:$C$154=$A24)*COUNTIFS('Team Lineups'!$K$2:$K$154,'Team Lineups'!$K$2:$K$154,'Team Lineups'!$C$2:$C$154,F$1))</f>
        <v>1</v>
      </c>
      <c r="G24" cm="1">
        <f t="array" ref="G24">SUMPRODUCT(('Team Lineups'!$K$2:$K$154&lt;&gt;"")*('Team Lineups'!$C$2:$C$154=$A24)*COUNTIFS('Team Lineups'!$K$2:$K$154,'Team Lineups'!$K$2:$K$154,'Team Lineups'!$C$2:$C$154,G$1))</f>
        <v>0</v>
      </c>
      <c r="H24" cm="1">
        <f t="array" ref="H24">SUMPRODUCT(('Team Lineups'!$K$2:$K$154&lt;&gt;"")*('Team Lineups'!$C$2:$C$154=$A24)*COUNTIFS('Team Lineups'!$K$2:$K$154,'Team Lineups'!$K$2:$K$154,'Team Lineups'!$C$2:$C$154,H$1))</f>
        <v>0</v>
      </c>
      <c r="I24" cm="1">
        <f t="array" ref="I24">SUMPRODUCT(('Team Lineups'!$K$2:$K$154&lt;&gt;"")*('Team Lineups'!$C$2:$C$154=$A24)*COUNTIFS('Team Lineups'!$K$2:$K$154,'Team Lineups'!$K$2:$K$154,'Team Lineups'!$C$2:$C$154,I$1))</f>
        <v>0</v>
      </c>
      <c r="J24" cm="1">
        <f t="array" ref="J24">SUMPRODUCT(('Team Lineups'!$K$2:$K$154&lt;&gt;"")*('Team Lineups'!$C$2:$C$154=$A24)*COUNTIFS('Team Lineups'!$K$2:$K$154,'Team Lineups'!$K$2:$K$154,'Team Lineups'!$C$2:$C$154,J$1))</f>
        <v>0</v>
      </c>
      <c r="K24" cm="1">
        <f t="array" ref="K24">SUMPRODUCT(('Team Lineups'!$K$2:$K$154&lt;&gt;"")*('Team Lineups'!$C$2:$C$154=$A24)*COUNTIFS('Team Lineups'!$K$2:$K$154,'Team Lineups'!$K$2:$K$154,'Team Lineups'!$C$2:$C$154,K$1))</f>
        <v>0</v>
      </c>
      <c r="L24" cm="1">
        <f t="array" ref="L24">SUMPRODUCT(('Team Lineups'!$K$2:$K$154&lt;&gt;"")*('Team Lineups'!$C$2:$C$154=$A24)*COUNTIFS('Team Lineups'!$K$2:$K$154,'Team Lineups'!$K$2:$K$154,'Team Lineups'!$C$2:$C$154,L$1))</f>
        <v>0</v>
      </c>
      <c r="M24" cm="1">
        <f t="array" ref="M24">SUMPRODUCT(('Team Lineups'!$K$2:$K$154&lt;&gt;"")*('Team Lineups'!$C$2:$C$154=$A24)*COUNTIFS('Team Lineups'!$K$2:$K$154,'Team Lineups'!$K$2:$K$154,'Team Lineups'!$C$2:$C$154,M$1))</f>
        <v>1</v>
      </c>
      <c r="N24" cm="1">
        <f t="array" ref="N24">SUMPRODUCT(('Team Lineups'!$K$2:$K$154&lt;&gt;"")*('Team Lineups'!$C$2:$C$154=$A24)*COUNTIFS('Team Lineups'!$K$2:$K$154,'Team Lineups'!$K$2:$K$154,'Team Lineups'!$C$2:$C$154,N$1))</f>
        <v>0</v>
      </c>
      <c r="O24" cm="1">
        <f t="array" ref="O24">SUMPRODUCT(('Team Lineups'!$K$2:$K$154&lt;&gt;"")*('Team Lineups'!$C$2:$C$154=$A24)*COUNTIFS('Team Lineups'!$K$2:$K$154,'Team Lineups'!$K$2:$K$154,'Team Lineups'!$C$2:$C$154,O$1))</f>
        <v>0</v>
      </c>
      <c r="P24" cm="1">
        <f t="array" ref="P24">SUMPRODUCT(('Team Lineups'!$K$2:$K$154&lt;&gt;"")*('Team Lineups'!$C$2:$C$154=$A24)*COUNTIFS('Team Lineups'!$K$2:$K$154,'Team Lineups'!$K$2:$K$154,'Team Lineups'!$C$2:$C$154,P$1))</f>
        <v>0</v>
      </c>
      <c r="Q24" cm="1">
        <f t="array" ref="Q24">SUMPRODUCT(('Team Lineups'!$K$2:$K$154&lt;&gt;"")*('Team Lineups'!$C$2:$C$154=$A24)*COUNTIFS('Team Lineups'!$K$2:$K$154,'Team Lineups'!$K$2:$K$154,'Team Lineups'!$C$2:$C$154,Q$1))</f>
        <v>0</v>
      </c>
      <c r="R24" cm="1">
        <f t="array" ref="R24">SUMPRODUCT(('Team Lineups'!$K$2:$K$154&lt;&gt;"")*('Team Lineups'!$C$2:$C$154=$A24)*COUNTIFS('Team Lineups'!$K$2:$K$154,'Team Lineups'!$K$2:$K$154,'Team Lineups'!$C$2:$C$154,R$1))</f>
        <v>0</v>
      </c>
      <c r="S24" cm="1">
        <f t="array" ref="S24">SUMPRODUCT(('Team Lineups'!$K$2:$K$154&lt;&gt;"")*('Team Lineups'!$C$2:$C$154=$A24)*COUNTIFS('Team Lineups'!$K$2:$K$154,'Team Lineups'!$K$2:$K$154,'Team Lineups'!$C$2:$C$154,S$1))</f>
        <v>0</v>
      </c>
      <c r="T24" cm="1">
        <f t="array" ref="T24">SUMPRODUCT(('Team Lineups'!$K$2:$K$154&lt;&gt;"")*('Team Lineups'!$C$2:$C$154=$A24)*COUNTIFS('Team Lineups'!$K$2:$K$154,'Team Lineups'!$K$2:$K$154,'Team Lineups'!$C$2:$C$154,T$1))</f>
        <v>0</v>
      </c>
      <c r="U24" cm="1">
        <f t="array" ref="U24">SUMPRODUCT(('Team Lineups'!$K$2:$K$154&lt;&gt;"")*('Team Lineups'!$C$2:$C$154=$A24)*COUNTIFS('Team Lineups'!$K$2:$K$154,'Team Lineups'!$K$2:$K$154,'Team Lineups'!$C$2:$C$154,U$1))</f>
        <v>0</v>
      </c>
      <c r="V24" cm="1">
        <f t="array" ref="V24">SUMPRODUCT(('Team Lineups'!$K$2:$K$154&lt;&gt;"")*('Team Lineups'!$C$2:$C$154=$A24)*COUNTIFS('Team Lineups'!$K$2:$K$154,'Team Lineups'!$K$2:$K$154,'Team Lineups'!$C$2:$C$154,V$1))</f>
        <v>0</v>
      </c>
      <c r="W24" cm="1">
        <f t="array" ref="W24">SUMPRODUCT(('Team Lineups'!$K$2:$K$154&lt;&gt;"")*('Team Lineups'!$C$2:$C$154=$A24)*COUNTIFS('Team Lineups'!$K$2:$K$154,'Team Lineups'!$K$2:$K$154,'Team Lineups'!$C$2:$C$154,W$1))</f>
        <v>1</v>
      </c>
      <c r="X24" t="s">
        <v>77</v>
      </c>
      <c r="Y24" cm="1">
        <f t="array" ref="Y24">SUMPRODUCT(('Team Lineups'!$K$2:$K$154&lt;&gt;"")*('Team Lineups'!$C$2:$C$154=$A24)*COUNTIFS('Team Lineups'!$K$2:$K$154,'Team Lineups'!$K$2:$K$154,'Team Lineups'!$C$2:$C$154,Y$1))</f>
        <v>0</v>
      </c>
      <c r="Z24" cm="1">
        <f t="array" ref="Z24">SUMPRODUCT(('Team Lineups'!$K$2:$K$154&lt;&gt;"")*('Team Lineups'!$C$2:$C$154=$A24)*COUNTIFS('Team Lineups'!$K$2:$K$154,'Team Lineups'!$K$2:$K$154,'Team Lineups'!$C$2:$C$154,Z$1))</f>
        <v>0</v>
      </c>
      <c r="AA24" cm="1">
        <f t="array" ref="AA24">SUMPRODUCT(('Team Lineups'!$K$2:$K$154&lt;&gt;"")*('Team Lineups'!$C$2:$C$154=$A24)*COUNTIFS('Team Lineups'!$K$2:$K$154,'Team Lineups'!$K$2:$K$154,'Team Lineups'!$C$2:$C$154,AA$1))</f>
        <v>0</v>
      </c>
      <c r="AB24" cm="1">
        <f t="array" ref="AB24">SUMPRODUCT(('Team Lineups'!$K$2:$K$154&lt;&gt;"")*('Team Lineups'!$C$2:$C$154=$A24)*COUNTIFS('Team Lineups'!$K$2:$K$154,'Team Lineups'!$K$2:$K$154,'Team Lineups'!$C$2:$C$154,AB$1))</f>
        <v>0</v>
      </c>
      <c r="AC24" cm="1">
        <f t="array" ref="AC24">SUMPRODUCT(('Team Lineups'!$K$2:$K$154&lt;&gt;"")*('Team Lineups'!$C$2:$C$154=$A24)*COUNTIFS('Team Lineups'!$K$2:$K$154,'Team Lineups'!$K$2:$K$154,'Team Lineups'!$C$2:$C$154,AC$1))</f>
        <v>0</v>
      </c>
      <c r="AD24" cm="1">
        <f t="array" ref="AD24">SUMPRODUCT(('Team Lineups'!$K$2:$K$154&lt;&gt;"")*('Team Lineups'!$C$2:$C$154=$A24)*COUNTIFS('Team Lineups'!$K$2:$K$154,'Team Lineups'!$K$2:$K$154,'Team Lineups'!$C$2:$C$154,AD$1))</f>
        <v>0</v>
      </c>
    </row>
    <row r="25" spans="1:30" x14ac:dyDescent="0.35">
      <c r="A25" t="str">
        <v>TK</v>
      </c>
      <c r="B25" cm="1">
        <f t="array" ref="B25">SUMPRODUCT(('Team Lineups'!$K$2:$K$154&lt;&gt;"")*('Team Lineups'!$C$2:$C$154=$A25)*COUNTIFS('Team Lineups'!$K$2:$K$154,'Team Lineups'!$K$2:$K$154,'Team Lineups'!$C$2:$C$154,B$1))</f>
        <v>0</v>
      </c>
      <c r="C25" cm="1">
        <f t="array" ref="C25">SUMPRODUCT(('Team Lineups'!$K$2:$K$154&lt;&gt;"")*('Team Lineups'!$C$2:$C$154=$A25)*COUNTIFS('Team Lineups'!$K$2:$K$154,'Team Lineups'!$K$2:$K$154,'Team Lineups'!$C$2:$C$154,C$1))</f>
        <v>0</v>
      </c>
      <c r="D25" cm="1">
        <f t="array" ref="D25">SUMPRODUCT(('Team Lineups'!$K$2:$K$154&lt;&gt;"")*('Team Lineups'!$C$2:$C$154=$A25)*COUNTIFS('Team Lineups'!$K$2:$K$154,'Team Lineups'!$K$2:$K$154,'Team Lineups'!$C$2:$C$154,D$1))</f>
        <v>0</v>
      </c>
      <c r="E25" cm="1">
        <f t="array" ref="E25">SUMPRODUCT(('Team Lineups'!$K$2:$K$154&lt;&gt;"")*('Team Lineups'!$C$2:$C$154=$A25)*COUNTIFS('Team Lineups'!$K$2:$K$154,'Team Lineups'!$K$2:$K$154,'Team Lineups'!$C$2:$C$154,E$1))</f>
        <v>0</v>
      </c>
      <c r="F25" cm="1">
        <f t="array" ref="F25">SUMPRODUCT(('Team Lineups'!$K$2:$K$154&lt;&gt;"")*('Team Lineups'!$C$2:$C$154=$A25)*COUNTIFS('Team Lineups'!$K$2:$K$154,'Team Lineups'!$K$2:$K$154,'Team Lineups'!$C$2:$C$154,F$1))</f>
        <v>0</v>
      </c>
      <c r="G25" cm="1">
        <f t="array" ref="G25">SUMPRODUCT(('Team Lineups'!$K$2:$K$154&lt;&gt;"")*('Team Lineups'!$C$2:$C$154=$A25)*COUNTIFS('Team Lineups'!$K$2:$K$154,'Team Lineups'!$K$2:$K$154,'Team Lineups'!$C$2:$C$154,G$1))</f>
        <v>0</v>
      </c>
      <c r="H25" cm="1">
        <f t="array" ref="H25">SUMPRODUCT(('Team Lineups'!$K$2:$K$154&lt;&gt;"")*('Team Lineups'!$C$2:$C$154=$A25)*COUNTIFS('Team Lineups'!$K$2:$K$154,'Team Lineups'!$K$2:$K$154,'Team Lineups'!$C$2:$C$154,H$1))</f>
        <v>0</v>
      </c>
      <c r="I25" cm="1">
        <f t="array" ref="I25">SUMPRODUCT(('Team Lineups'!$K$2:$K$154&lt;&gt;"")*('Team Lineups'!$C$2:$C$154=$A25)*COUNTIFS('Team Lineups'!$K$2:$K$154,'Team Lineups'!$K$2:$K$154,'Team Lineups'!$C$2:$C$154,I$1))</f>
        <v>0</v>
      </c>
      <c r="J25" cm="1">
        <f t="array" ref="J25">SUMPRODUCT(('Team Lineups'!$K$2:$K$154&lt;&gt;"")*('Team Lineups'!$C$2:$C$154=$A25)*COUNTIFS('Team Lineups'!$K$2:$K$154,'Team Lineups'!$K$2:$K$154,'Team Lineups'!$C$2:$C$154,J$1))</f>
        <v>0</v>
      </c>
      <c r="K25" cm="1">
        <f t="array" ref="K25">SUMPRODUCT(('Team Lineups'!$K$2:$K$154&lt;&gt;"")*('Team Lineups'!$C$2:$C$154=$A25)*COUNTIFS('Team Lineups'!$K$2:$K$154,'Team Lineups'!$K$2:$K$154,'Team Lineups'!$C$2:$C$154,K$1))</f>
        <v>0</v>
      </c>
      <c r="L25" cm="1">
        <f t="array" ref="L25">SUMPRODUCT(('Team Lineups'!$K$2:$K$154&lt;&gt;"")*('Team Lineups'!$C$2:$C$154=$A25)*COUNTIFS('Team Lineups'!$K$2:$K$154,'Team Lineups'!$K$2:$K$154,'Team Lineups'!$C$2:$C$154,L$1))</f>
        <v>1</v>
      </c>
      <c r="M25" cm="1">
        <f t="array" ref="M25">SUMPRODUCT(('Team Lineups'!$K$2:$K$154&lt;&gt;"")*('Team Lineups'!$C$2:$C$154=$A25)*COUNTIFS('Team Lineups'!$K$2:$K$154,'Team Lineups'!$K$2:$K$154,'Team Lineups'!$C$2:$C$154,M$1))</f>
        <v>0</v>
      </c>
      <c r="N25" cm="1">
        <f t="array" ref="N25">SUMPRODUCT(('Team Lineups'!$K$2:$K$154&lt;&gt;"")*('Team Lineups'!$C$2:$C$154=$A25)*COUNTIFS('Team Lineups'!$K$2:$K$154,'Team Lineups'!$K$2:$K$154,'Team Lineups'!$C$2:$C$154,N$1))</f>
        <v>0</v>
      </c>
      <c r="O25" cm="1">
        <f t="array" ref="O25">SUMPRODUCT(('Team Lineups'!$K$2:$K$154&lt;&gt;"")*('Team Lineups'!$C$2:$C$154=$A25)*COUNTIFS('Team Lineups'!$K$2:$K$154,'Team Lineups'!$K$2:$K$154,'Team Lineups'!$C$2:$C$154,O$1))</f>
        <v>0</v>
      </c>
      <c r="P25" cm="1">
        <f t="array" ref="P25">SUMPRODUCT(('Team Lineups'!$K$2:$K$154&lt;&gt;"")*('Team Lineups'!$C$2:$C$154=$A25)*COUNTIFS('Team Lineups'!$K$2:$K$154,'Team Lineups'!$K$2:$K$154,'Team Lineups'!$C$2:$C$154,P$1))</f>
        <v>0</v>
      </c>
      <c r="Q25" cm="1">
        <f t="array" ref="Q25">SUMPRODUCT(('Team Lineups'!$K$2:$K$154&lt;&gt;"")*('Team Lineups'!$C$2:$C$154=$A25)*COUNTIFS('Team Lineups'!$K$2:$K$154,'Team Lineups'!$K$2:$K$154,'Team Lineups'!$C$2:$C$154,Q$1))</f>
        <v>1</v>
      </c>
      <c r="R25" cm="1">
        <f t="array" ref="R25">SUMPRODUCT(('Team Lineups'!$K$2:$K$154&lt;&gt;"")*('Team Lineups'!$C$2:$C$154=$A25)*COUNTIFS('Team Lineups'!$K$2:$K$154,'Team Lineups'!$K$2:$K$154,'Team Lineups'!$C$2:$C$154,R$1))</f>
        <v>0</v>
      </c>
      <c r="S25" cm="1">
        <f t="array" ref="S25">SUMPRODUCT(('Team Lineups'!$K$2:$K$154&lt;&gt;"")*('Team Lineups'!$C$2:$C$154=$A25)*COUNTIFS('Team Lineups'!$K$2:$K$154,'Team Lineups'!$K$2:$K$154,'Team Lineups'!$C$2:$C$154,S$1))</f>
        <v>1</v>
      </c>
      <c r="T25" cm="1">
        <f t="array" ref="T25">SUMPRODUCT(('Team Lineups'!$K$2:$K$154&lt;&gt;"")*('Team Lineups'!$C$2:$C$154=$A25)*COUNTIFS('Team Lineups'!$K$2:$K$154,'Team Lineups'!$K$2:$K$154,'Team Lineups'!$C$2:$C$154,T$1))</f>
        <v>0</v>
      </c>
      <c r="U25" cm="1">
        <f t="array" ref="U25">SUMPRODUCT(('Team Lineups'!$K$2:$K$154&lt;&gt;"")*('Team Lineups'!$C$2:$C$154=$A25)*COUNTIFS('Team Lineups'!$K$2:$K$154,'Team Lineups'!$K$2:$K$154,'Team Lineups'!$C$2:$C$154,U$1))</f>
        <v>0</v>
      </c>
      <c r="V25" cm="1">
        <f t="array" ref="V25">SUMPRODUCT(('Team Lineups'!$K$2:$K$154&lt;&gt;"")*('Team Lineups'!$C$2:$C$154=$A25)*COUNTIFS('Team Lineups'!$K$2:$K$154,'Team Lineups'!$K$2:$K$154,'Team Lineups'!$C$2:$C$154,V$1))</f>
        <v>1</v>
      </c>
      <c r="W25" cm="1">
        <f t="array" ref="W25">SUMPRODUCT(('Team Lineups'!$K$2:$K$154&lt;&gt;"")*('Team Lineups'!$C$2:$C$154=$A25)*COUNTIFS('Team Lineups'!$K$2:$K$154,'Team Lineups'!$K$2:$K$154,'Team Lineups'!$C$2:$C$154,W$1))</f>
        <v>0</v>
      </c>
      <c r="X25" cm="1">
        <f t="array" ref="X25">SUMPRODUCT(('Team Lineups'!$K$2:$K$154&lt;&gt;"")*('Team Lineups'!$C$2:$C$154=$A25)*COUNTIFS('Team Lineups'!$K$2:$K$154,'Team Lineups'!$K$2:$K$154,'Team Lineups'!$C$2:$C$154,X$1))</f>
        <v>0</v>
      </c>
      <c r="Y25" t="s">
        <v>77</v>
      </c>
      <c r="Z25" cm="1">
        <f t="array" ref="Z25">SUMPRODUCT(('Team Lineups'!$K$2:$K$154&lt;&gt;"")*('Team Lineups'!$C$2:$C$154=$A25)*COUNTIFS('Team Lineups'!$K$2:$K$154,'Team Lineups'!$K$2:$K$154,'Team Lineups'!$C$2:$C$154,Z$1))</f>
        <v>0</v>
      </c>
      <c r="AA25" cm="1">
        <f t="array" ref="AA25">SUMPRODUCT(('Team Lineups'!$K$2:$K$154&lt;&gt;"")*('Team Lineups'!$C$2:$C$154=$A25)*COUNTIFS('Team Lineups'!$K$2:$K$154,'Team Lineups'!$K$2:$K$154,'Team Lineups'!$C$2:$C$154,AA$1))</f>
        <v>0</v>
      </c>
      <c r="AB25" cm="1">
        <f t="array" ref="AB25">SUMPRODUCT(('Team Lineups'!$K$2:$K$154&lt;&gt;"")*('Team Lineups'!$C$2:$C$154=$A25)*COUNTIFS('Team Lineups'!$K$2:$K$154,'Team Lineups'!$K$2:$K$154,'Team Lineups'!$C$2:$C$154,AB$1))</f>
        <v>0</v>
      </c>
      <c r="AC25" cm="1">
        <f t="array" ref="AC25">SUMPRODUCT(('Team Lineups'!$K$2:$K$154&lt;&gt;"")*('Team Lineups'!$C$2:$C$154=$A25)*COUNTIFS('Team Lineups'!$K$2:$K$154,'Team Lineups'!$K$2:$K$154,'Team Lineups'!$C$2:$C$154,AC$1))</f>
        <v>0</v>
      </c>
      <c r="AD25" cm="1">
        <f t="array" ref="AD25">SUMPRODUCT(('Team Lineups'!$K$2:$K$154&lt;&gt;"")*('Team Lineups'!$C$2:$C$154=$A25)*COUNTIFS('Team Lineups'!$K$2:$K$154,'Team Lineups'!$K$2:$K$154,'Team Lineups'!$C$2:$C$154,AD$1))</f>
        <v>0</v>
      </c>
    </row>
    <row r="26" spans="1:30" x14ac:dyDescent="0.35">
      <c r="A26" t="str">
        <v>Manfredi</v>
      </c>
      <c r="B26" cm="1">
        <f t="array" ref="B26">SUMPRODUCT(('Team Lineups'!$K$2:$K$154&lt;&gt;"")*('Team Lineups'!$C$2:$C$154=$A26)*COUNTIFS('Team Lineups'!$K$2:$K$154,'Team Lineups'!$K$2:$K$154,'Team Lineups'!$C$2:$C$154,B$1))</f>
        <v>1</v>
      </c>
      <c r="C26" cm="1">
        <f t="array" ref="C26">SUMPRODUCT(('Team Lineups'!$K$2:$K$154&lt;&gt;"")*('Team Lineups'!$C$2:$C$154=$A26)*COUNTIFS('Team Lineups'!$K$2:$K$154,'Team Lineups'!$K$2:$K$154,'Team Lineups'!$C$2:$C$154,C$1))</f>
        <v>0</v>
      </c>
      <c r="D26" cm="1">
        <f t="array" ref="D26">SUMPRODUCT(('Team Lineups'!$K$2:$K$154&lt;&gt;"")*('Team Lineups'!$C$2:$C$154=$A26)*COUNTIFS('Team Lineups'!$K$2:$K$154,'Team Lineups'!$K$2:$K$154,'Team Lineups'!$C$2:$C$154,D$1))</f>
        <v>0</v>
      </c>
      <c r="E26" cm="1">
        <f t="array" ref="E26">SUMPRODUCT(('Team Lineups'!$K$2:$K$154&lt;&gt;"")*('Team Lineups'!$C$2:$C$154=$A26)*COUNTIFS('Team Lineups'!$K$2:$K$154,'Team Lineups'!$K$2:$K$154,'Team Lineups'!$C$2:$C$154,E$1))</f>
        <v>0</v>
      </c>
      <c r="F26" cm="1">
        <f t="array" ref="F26">SUMPRODUCT(('Team Lineups'!$K$2:$K$154&lt;&gt;"")*('Team Lineups'!$C$2:$C$154=$A26)*COUNTIFS('Team Lineups'!$K$2:$K$154,'Team Lineups'!$K$2:$K$154,'Team Lineups'!$C$2:$C$154,F$1))</f>
        <v>2</v>
      </c>
      <c r="G26" cm="1">
        <f t="array" ref="G26">SUMPRODUCT(('Team Lineups'!$K$2:$K$154&lt;&gt;"")*('Team Lineups'!$C$2:$C$154=$A26)*COUNTIFS('Team Lineups'!$K$2:$K$154,'Team Lineups'!$K$2:$K$154,'Team Lineups'!$C$2:$C$154,G$1))</f>
        <v>1</v>
      </c>
      <c r="H26" cm="1">
        <f t="array" ref="H26">SUMPRODUCT(('Team Lineups'!$K$2:$K$154&lt;&gt;"")*('Team Lineups'!$C$2:$C$154=$A26)*COUNTIFS('Team Lineups'!$K$2:$K$154,'Team Lineups'!$K$2:$K$154,'Team Lineups'!$C$2:$C$154,H$1))</f>
        <v>2</v>
      </c>
      <c r="I26" cm="1">
        <f t="array" ref="I26">SUMPRODUCT(('Team Lineups'!$K$2:$K$154&lt;&gt;"")*('Team Lineups'!$C$2:$C$154=$A26)*COUNTIFS('Team Lineups'!$K$2:$K$154,'Team Lineups'!$K$2:$K$154,'Team Lineups'!$C$2:$C$154,I$1))</f>
        <v>3</v>
      </c>
      <c r="J26" cm="1">
        <f t="array" ref="J26">SUMPRODUCT(('Team Lineups'!$K$2:$K$154&lt;&gt;"")*('Team Lineups'!$C$2:$C$154=$A26)*COUNTIFS('Team Lineups'!$K$2:$K$154,'Team Lineups'!$K$2:$K$154,'Team Lineups'!$C$2:$C$154,J$1))</f>
        <v>0</v>
      </c>
      <c r="K26" cm="1">
        <f t="array" ref="K26">SUMPRODUCT(('Team Lineups'!$K$2:$K$154&lt;&gt;"")*('Team Lineups'!$C$2:$C$154=$A26)*COUNTIFS('Team Lineups'!$K$2:$K$154,'Team Lineups'!$K$2:$K$154,'Team Lineups'!$C$2:$C$154,K$1))</f>
        <v>0</v>
      </c>
      <c r="L26" cm="1">
        <f t="array" ref="L26">SUMPRODUCT(('Team Lineups'!$K$2:$K$154&lt;&gt;"")*('Team Lineups'!$C$2:$C$154=$A26)*COUNTIFS('Team Lineups'!$K$2:$K$154,'Team Lineups'!$K$2:$K$154,'Team Lineups'!$C$2:$C$154,L$1))</f>
        <v>0</v>
      </c>
      <c r="M26" cm="1">
        <f t="array" ref="M26">SUMPRODUCT(('Team Lineups'!$K$2:$K$154&lt;&gt;"")*('Team Lineups'!$C$2:$C$154=$A26)*COUNTIFS('Team Lineups'!$K$2:$K$154,'Team Lineups'!$K$2:$K$154,'Team Lineups'!$C$2:$C$154,M$1))</f>
        <v>3</v>
      </c>
      <c r="N26" cm="1">
        <f t="array" ref="N26">SUMPRODUCT(('Team Lineups'!$K$2:$K$154&lt;&gt;"")*('Team Lineups'!$C$2:$C$154=$A26)*COUNTIFS('Team Lineups'!$K$2:$K$154,'Team Lineups'!$K$2:$K$154,'Team Lineups'!$C$2:$C$154,N$1))</f>
        <v>1</v>
      </c>
      <c r="O26" cm="1">
        <f t="array" ref="O26">SUMPRODUCT(('Team Lineups'!$K$2:$K$154&lt;&gt;"")*('Team Lineups'!$C$2:$C$154=$A26)*COUNTIFS('Team Lineups'!$K$2:$K$154,'Team Lineups'!$K$2:$K$154,'Team Lineups'!$C$2:$C$154,O$1))</f>
        <v>1</v>
      </c>
      <c r="P26" cm="1">
        <f t="array" ref="P26">SUMPRODUCT(('Team Lineups'!$K$2:$K$154&lt;&gt;"")*('Team Lineups'!$C$2:$C$154=$A26)*COUNTIFS('Team Lineups'!$K$2:$K$154,'Team Lineups'!$K$2:$K$154,'Team Lineups'!$C$2:$C$154,P$1))</f>
        <v>0</v>
      </c>
      <c r="Q26" cm="1">
        <f t="array" ref="Q26">SUMPRODUCT(('Team Lineups'!$K$2:$K$154&lt;&gt;"")*('Team Lineups'!$C$2:$C$154=$A26)*COUNTIFS('Team Lineups'!$K$2:$K$154,'Team Lineups'!$K$2:$K$154,'Team Lineups'!$C$2:$C$154,Q$1))</f>
        <v>1</v>
      </c>
      <c r="R26" cm="1">
        <f t="array" ref="R26">SUMPRODUCT(('Team Lineups'!$K$2:$K$154&lt;&gt;"")*('Team Lineups'!$C$2:$C$154=$A26)*COUNTIFS('Team Lineups'!$K$2:$K$154,'Team Lineups'!$K$2:$K$154,'Team Lineups'!$C$2:$C$154,R$1))</f>
        <v>2</v>
      </c>
      <c r="S26" cm="1">
        <f t="array" ref="S26">SUMPRODUCT(('Team Lineups'!$K$2:$K$154&lt;&gt;"")*('Team Lineups'!$C$2:$C$154=$A26)*COUNTIFS('Team Lineups'!$K$2:$K$154,'Team Lineups'!$K$2:$K$154,'Team Lineups'!$C$2:$C$154,S$1))</f>
        <v>1</v>
      </c>
      <c r="T26" cm="1">
        <f t="array" ref="T26">SUMPRODUCT(('Team Lineups'!$K$2:$K$154&lt;&gt;"")*('Team Lineups'!$C$2:$C$154=$A26)*COUNTIFS('Team Lineups'!$K$2:$K$154,'Team Lineups'!$K$2:$K$154,'Team Lineups'!$C$2:$C$154,T$1))</f>
        <v>0</v>
      </c>
      <c r="U26" cm="1">
        <f t="array" ref="U26">SUMPRODUCT(('Team Lineups'!$K$2:$K$154&lt;&gt;"")*('Team Lineups'!$C$2:$C$154=$A26)*COUNTIFS('Team Lineups'!$K$2:$K$154,'Team Lineups'!$K$2:$K$154,'Team Lineups'!$C$2:$C$154,U$1))</f>
        <v>0</v>
      </c>
      <c r="V26" cm="1">
        <f t="array" ref="V26">SUMPRODUCT(('Team Lineups'!$K$2:$K$154&lt;&gt;"")*('Team Lineups'!$C$2:$C$154=$A26)*COUNTIFS('Team Lineups'!$K$2:$K$154,'Team Lineups'!$K$2:$K$154,'Team Lineups'!$C$2:$C$154,V$1))</f>
        <v>0</v>
      </c>
      <c r="W26" cm="1">
        <f t="array" ref="W26">SUMPRODUCT(('Team Lineups'!$K$2:$K$154&lt;&gt;"")*('Team Lineups'!$C$2:$C$154=$A26)*COUNTIFS('Team Lineups'!$K$2:$K$154,'Team Lineups'!$K$2:$K$154,'Team Lineups'!$C$2:$C$154,W$1))</f>
        <v>0</v>
      </c>
      <c r="X26" cm="1">
        <f t="array" ref="X26">SUMPRODUCT(('Team Lineups'!$K$2:$K$154&lt;&gt;"")*('Team Lineups'!$C$2:$C$154=$A26)*COUNTIFS('Team Lineups'!$K$2:$K$154,'Team Lineups'!$K$2:$K$154,'Team Lineups'!$C$2:$C$154,X$1))</f>
        <v>0</v>
      </c>
      <c r="Y26" cm="1">
        <f t="array" ref="Y26">SUMPRODUCT(('Team Lineups'!$K$2:$K$154&lt;&gt;"")*('Team Lineups'!$C$2:$C$154=$A26)*COUNTIFS('Team Lineups'!$K$2:$K$154,'Team Lineups'!$K$2:$K$154,'Team Lineups'!$C$2:$C$154,Y$1))</f>
        <v>0</v>
      </c>
      <c r="Z26" t="s">
        <v>77</v>
      </c>
      <c r="AA26" cm="1">
        <f t="array" ref="AA26">SUMPRODUCT(('Team Lineups'!$K$2:$K$154&lt;&gt;"")*('Team Lineups'!$C$2:$C$154=$A26)*COUNTIFS('Team Lineups'!$K$2:$K$154,'Team Lineups'!$K$2:$K$154,'Team Lineups'!$C$2:$C$154,AA$1))</f>
        <v>0</v>
      </c>
      <c r="AB26" cm="1">
        <f t="array" ref="AB26">SUMPRODUCT(('Team Lineups'!$K$2:$K$154&lt;&gt;"")*('Team Lineups'!$C$2:$C$154=$A26)*COUNTIFS('Team Lineups'!$K$2:$K$154,'Team Lineups'!$K$2:$K$154,'Team Lineups'!$C$2:$C$154,AB$1))</f>
        <v>0</v>
      </c>
      <c r="AC26" cm="1">
        <f t="array" ref="AC26">SUMPRODUCT(('Team Lineups'!$K$2:$K$154&lt;&gt;"")*('Team Lineups'!$C$2:$C$154=$A26)*COUNTIFS('Team Lineups'!$K$2:$K$154,'Team Lineups'!$K$2:$K$154,'Team Lineups'!$C$2:$C$154,AC$1))</f>
        <v>0</v>
      </c>
      <c r="AD26" cm="1">
        <f t="array" ref="AD26">SUMPRODUCT(('Team Lineups'!$K$2:$K$154&lt;&gt;"")*('Team Lineups'!$C$2:$C$154=$A26)*COUNTIFS('Team Lineups'!$K$2:$K$154,'Team Lineups'!$K$2:$K$154,'Team Lineups'!$C$2:$C$154,AD$1))</f>
        <v>1</v>
      </c>
    </row>
    <row r="27" spans="1:30" x14ac:dyDescent="0.35">
      <c r="A27" t="str">
        <v>Stefano</v>
      </c>
      <c r="B27" cm="1">
        <f t="array" ref="B27">SUMPRODUCT(('Team Lineups'!$K$2:$K$154&lt;&gt;"")*('Team Lineups'!$C$2:$C$154=$A27)*COUNTIFS('Team Lineups'!$K$2:$K$154,'Team Lineups'!$K$2:$K$154,'Team Lineups'!$C$2:$C$154,B$1))</f>
        <v>1</v>
      </c>
      <c r="C27" cm="1">
        <f t="array" ref="C27">SUMPRODUCT(('Team Lineups'!$K$2:$K$154&lt;&gt;"")*('Team Lineups'!$C$2:$C$154=$A27)*COUNTIFS('Team Lineups'!$K$2:$K$154,'Team Lineups'!$K$2:$K$154,'Team Lineups'!$C$2:$C$154,C$1))</f>
        <v>3</v>
      </c>
      <c r="D27" cm="1">
        <f t="array" ref="D27">SUMPRODUCT(('Team Lineups'!$K$2:$K$154&lt;&gt;"")*('Team Lineups'!$C$2:$C$154=$A27)*COUNTIFS('Team Lineups'!$K$2:$K$154,'Team Lineups'!$K$2:$K$154,'Team Lineups'!$C$2:$C$154,D$1))</f>
        <v>3</v>
      </c>
      <c r="E27" cm="1">
        <f t="array" ref="E27">SUMPRODUCT(('Team Lineups'!$K$2:$K$154&lt;&gt;"")*('Team Lineups'!$C$2:$C$154=$A27)*COUNTIFS('Team Lineups'!$K$2:$K$154,'Team Lineups'!$K$2:$K$154,'Team Lineups'!$C$2:$C$154,E$1))</f>
        <v>5</v>
      </c>
      <c r="F27" cm="1">
        <f t="array" ref="F27">SUMPRODUCT(('Team Lineups'!$K$2:$K$154&lt;&gt;"")*('Team Lineups'!$C$2:$C$154=$A27)*COUNTIFS('Team Lineups'!$K$2:$K$154,'Team Lineups'!$K$2:$K$154,'Team Lineups'!$C$2:$C$154,F$1))</f>
        <v>4</v>
      </c>
      <c r="G27" cm="1">
        <f t="array" ref="G27">SUMPRODUCT(('Team Lineups'!$K$2:$K$154&lt;&gt;"")*('Team Lineups'!$C$2:$C$154=$A27)*COUNTIFS('Team Lineups'!$K$2:$K$154,'Team Lineups'!$K$2:$K$154,'Team Lineups'!$C$2:$C$154,G$1))</f>
        <v>4</v>
      </c>
      <c r="H27" cm="1">
        <f t="array" ref="H27">SUMPRODUCT(('Team Lineups'!$K$2:$K$154&lt;&gt;"")*('Team Lineups'!$C$2:$C$154=$A27)*COUNTIFS('Team Lineups'!$K$2:$K$154,'Team Lineups'!$K$2:$K$154,'Team Lineups'!$C$2:$C$154,H$1))</f>
        <v>1</v>
      </c>
      <c r="I27" cm="1">
        <f t="array" ref="I27">SUMPRODUCT(('Team Lineups'!$K$2:$K$154&lt;&gt;"")*('Team Lineups'!$C$2:$C$154=$A27)*COUNTIFS('Team Lineups'!$K$2:$K$154,'Team Lineups'!$K$2:$K$154,'Team Lineups'!$C$2:$C$154,I$1))</f>
        <v>3</v>
      </c>
      <c r="J27" cm="1">
        <f t="array" ref="J27">SUMPRODUCT(('Team Lineups'!$K$2:$K$154&lt;&gt;"")*('Team Lineups'!$C$2:$C$154=$A27)*COUNTIFS('Team Lineups'!$K$2:$K$154,'Team Lineups'!$K$2:$K$154,'Team Lineups'!$C$2:$C$154,J$1))</f>
        <v>0</v>
      </c>
      <c r="K27" cm="1">
        <f t="array" ref="K27">SUMPRODUCT(('Team Lineups'!$K$2:$K$154&lt;&gt;"")*('Team Lineups'!$C$2:$C$154=$A27)*COUNTIFS('Team Lineups'!$K$2:$K$154,'Team Lineups'!$K$2:$K$154,'Team Lineups'!$C$2:$C$154,K$1))</f>
        <v>0</v>
      </c>
      <c r="L27" cm="1">
        <f t="array" ref="L27">SUMPRODUCT(('Team Lineups'!$K$2:$K$154&lt;&gt;"")*('Team Lineups'!$C$2:$C$154=$A27)*COUNTIFS('Team Lineups'!$K$2:$K$154,'Team Lineups'!$K$2:$K$154,'Team Lineups'!$C$2:$C$154,L$1))</f>
        <v>3</v>
      </c>
      <c r="M27" cm="1">
        <f t="array" ref="M27">SUMPRODUCT(('Team Lineups'!$K$2:$K$154&lt;&gt;"")*('Team Lineups'!$C$2:$C$154=$A27)*COUNTIFS('Team Lineups'!$K$2:$K$154,'Team Lineups'!$K$2:$K$154,'Team Lineups'!$C$2:$C$154,M$1))</f>
        <v>3</v>
      </c>
      <c r="N27" cm="1">
        <f t="array" ref="N27">SUMPRODUCT(('Team Lineups'!$K$2:$K$154&lt;&gt;"")*('Team Lineups'!$C$2:$C$154=$A27)*COUNTIFS('Team Lineups'!$K$2:$K$154,'Team Lineups'!$K$2:$K$154,'Team Lineups'!$C$2:$C$154,N$1))</f>
        <v>1</v>
      </c>
      <c r="O27" cm="1">
        <f t="array" ref="O27">SUMPRODUCT(('Team Lineups'!$K$2:$K$154&lt;&gt;"")*('Team Lineups'!$C$2:$C$154=$A27)*COUNTIFS('Team Lineups'!$K$2:$K$154,'Team Lineups'!$K$2:$K$154,'Team Lineups'!$C$2:$C$154,O$1))</f>
        <v>1</v>
      </c>
      <c r="P27" cm="1">
        <f t="array" ref="P27">SUMPRODUCT(('Team Lineups'!$K$2:$K$154&lt;&gt;"")*('Team Lineups'!$C$2:$C$154=$A27)*COUNTIFS('Team Lineups'!$K$2:$K$154,'Team Lineups'!$K$2:$K$154,'Team Lineups'!$C$2:$C$154,P$1))</f>
        <v>2</v>
      </c>
      <c r="Q27" cm="1">
        <f t="array" ref="Q27">SUMPRODUCT(('Team Lineups'!$K$2:$K$154&lt;&gt;"")*('Team Lineups'!$C$2:$C$154=$A27)*COUNTIFS('Team Lineups'!$K$2:$K$154,'Team Lineups'!$K$2:$K$154,'Team Lineups'!$C$2:$C$154,Q$1))</f>
        <v>1</v>
      </c>
      <c r="R27" cm="1">
        <f t="array" ref="R27">SUMPRODUCT(('Team Lineups'!$K$2:$K$154&lt;&gt;"")*('Team Lineups'!$C$2:$C$154=$A27)*COUNTIFS('Team Lineups'!$K$2:$K$154,'Team Lineups'!$K$2:$K$154,'Team Lineups'!$C$2:$C$154,R$1))</f>
        <v>2</v>
      </c>
      <c r="S27" cm="1">
        <f t="array" ref="S27">SUMPRODUCT(('Team Lineups'!$K$2:$K$154&lt;&gt;"")*('Team Lineups'!$C$2:$C$154=$A27)*COUNTIFS('Team Lineups'!$K$2:$K$154,'Team Lineups'!$K$2:$K$154,'Team Lineups'!$C$2:$C$154,S$1))</f>
        <v>2</v>
      </c>
      <c r="T27" cm="1">
        <f t="array" ref="T27">SUMPRODUCT(('Team Lineups'!$K$2:$K$154&lt;&gt;"")*('Team Lineups'!$C$2:$C$154=$A27)*COUNTIFS('Team Lineups'!$K$2:$K$154,'Team Lineups'!$K$2:$K$154,'Team Lineups'!$C$2:$C$154,T$1))</f>
        <v>0</v>
      </c>
      <c r="U27" cm="1">
        <f t="array" ref="U27">SUMPRODUCT(('Team Lineups'!$K$2:$K$154&lt;&gt;"")*('Team Lineups'!$C$2:$C$154=$A27)*COUNTIFS('Team Lineups'!$K$2:$K$154,'Team Lineups'!$K$2:$K$154,'Team Lineups'!$C$2:$C$154,U$1))</f>
        <v>0</v>
      </c>
      <c r="V27" cm="1">
        <f t="array" ref="V27">SUMPRODUCT(('Team Lineups'!$K$2:$K$154&lt;&gt;"")*('Team Lineups'!$C$2:$C$154=$A27)*COUNTIFS('Team Lineups'!$K$2:$K$154,'Team Lineups'!$K$2:$K$154,'Team Lineups'!$C$2:$C$154,V$1))</f>
        <v>1</v>
      </c>
      <c r="W27" cm="1">
        <f t="array" ref="W27">SUMPRODUCT(('Team Lineups'!$K$2:$K$154&lt;&gt;"")*('Team Lineups'!$C$2:$C$154=$A27)*COUNTIFS('Team Lineups'!$K$2:$K$154,'Team Lineups'!$K$2:$K$154,'Team Lineups'!$C$2:$C$154,W$1))</f>
        <v>0</v>
      </c>
      <c r="X27" cm="1">
        <f t="array" ref="X27">SUMPRODUCT(('Team Lineups'!$K$2:$K$154&lt;&gt;"")*('Team Lineups'!$C$2:$C$154=$A27)*COUNTIFS('Team Lineups'!$K$2:$K$154,'Team Lineups'!$K$2:$K$154,'Team Lineups'!$C$2:$C$154,X$1))</f>
        <v>0</v>
      </c>
      <c r="Y27" cm="1">
        <f t="array" ref="Y27">SUMPRODUCT(('Team Lineups'!$K$2:$K$154&lt;&gt;"")*('Team Lineups'!$C$2:$C$154=$A27)*COUNTIFS('Team Lineups'!$K$2:$K$154,'Team Lineups'!$K$2:$K$154,'Team Lineups'!$C$2:$C$154,Y$1))</f>
        <v>0</v>
      </c>
      <c r="Z27" cm="1">
        <f t="array" ref="Z27">SUMPRODUCT(('Team Lineups'!$K$2:$K$154&lt;&gt;"")*('Team Lineups'!$C$2:$C$154=$A27)*COUNTIFS('Team Lineups'!$K$2:$K$154,'Team Lineups'!$K$2:$K$154,'Team Lineups'!$C$2:$C$154,Z$1))</f>
        <v>0</v>
      </c>
      <c r="AA27" t="s">
        <v>77</v>
      </c>
      <c r="AB27" cm="1">
        <f t="array" ref="AB27">SUMPRODUCT(('Team Lineups'!$K$2:$K$154&lt;&gt;"")*('Team Lineups'!$C$2:$C$154=$A27)*COUNTIFS('Team Lineups'!$K$2:$K$154,'Team Lineups'!$K$2:$K$154,'Team Lineups'!$C$2:$C$154,AB$1))</f>
        <v>2</v>
      </c>
      <c r="AC27" cm="1">
        <f t="array" ref="AC27">SUMPRODUCT(('Team Lineups'!$K$2:$K$154&lt;&gt;"")*('Team Lineups'!$C$2:$C$154=$A27)*COUNTIFS('Team Lineups'!$K$2:$K$154,'Team Lineups'!$K$2:$K$154,'Team Lineups'!$C$2:$C$154,AC$1))</f>
        <v>1</v>
      </c>
      <c r="AD27" cm="1">
        <f t="array" ref="AD27">SUMPRODUCT(('Team Lineups'!$K$2:$K$154&lt;&gt;"")*('Team Lineups'!$C$2:$C$154=$A27)*COUNTIFS('Team Lineups'!$K$2:$K$154,'Team Lineups'!$K$2:$K$154,'Team Lineups'!$C$2:$C$154,AD$1))</f>
        <v>0</v>
      </c>
    </row>
    <row r="28" spans="1:30" x14ac:dyDescent="0.35">
      <c r="A28" t="str">
        <v>Angelo</v>
      </c>
      <c r="B28" cm="1">
        <f t="array" ref="B28">SUMPRODUCT(('Team Lineups'!$K$2:$K$154&lt;&gt;"")*('Team Lineups'!$C$2:$C$154=$A28)*COUNTIFS('Team Lineups'!$K$2:$K$154,'Team Lineups'!$K$2:$K$154,'Team Lineups'!$C$2:$C$154,B$1))</f>
        <v>0</v>
      </c>
      <c r="C28" cm="1">
        <f t="array" ref="C28">SUMPRODUCT(('Team Lineups'!$K$2:$K$154&lt;&gt;"")*('Team Lineups'!$C$2:$C$154=$A28)*COUNTIFS('Team Lineups'!$K$2:$K$154,'Team Lineups'!$K$2:$K$154,'Team Lineups'!$C$2:$C$154,C$1))</f>
        <v>1</v>
      </c>
      <c r="D28" cm="1">
        <f t="array" ref="D28">SUMPRODUCT(('Team Lineups'!$K$2:$K$154&lt;&gt;"")*('Team Lineups'!$C$2:$C$154=$A28)*COUNTIFS('Team Lineups'!$K$2:$K$154,'Team Lineups'!$K$2:$K$154,'Team Lineups'!$C$2:$C$154,D$1))</f>
        <v>1</v>
      </c>
      <c r="E28" cm="1">
        <f t="array" ref="E28">SUMPRODUCT(('Team Lineups'!$K$2:$K$154&lt;&gt;"")*('Team Lineups'!$C$2:$C$154=$A28)*COUNTIFS('Team Lineups'!$K$2:$K$154,'Team Lineups'!$K$2:$K$154,'Team Lineups'!$C$2:$C$154,E$1))</f>
        <v>1</v>
      </c>
      <c r="F28" cm="1">
        <f t="array" ref="F28">SUMPRODUCT(('Team Lineups'!$K$2:$K$154&lt;&gt;"")*('Team Lineups'!$C$2:$C$154=$A28)*COUNTIFS('Team Lineups'!$K$2:$K$154,'Team Lineups'!$K$2:$K$154,'Team Lineups'!$C$2:$C$154,F$1))</f>
        <v>1</v>
      </c>
      <c r="G28" cm="1">
        <f t="array" ref="G28">SUMPRODUCT(('Team Lineups'!$K$2:$K$154&lt;&gt;"")*('Team Lineups'!$C$2:$C$154=$A28)*COUNTIFS('Team Lineups'!$K$2:$K$154,'Team Lineups'!$K$2:$K$154,'Team Lineups'!$C$2:$C$154,G$1))</f>
        <v>2</v>
      </c>
      <c r="H28" cm="1">
        <f t="array" ref="H28">SUMPRODUCT(('Team Lineups'!$K$2:$K$154&lt;&gt;"")*('Team Lineups'!$C$2:$C$154=$A28)*COUNTIFS('Team Lineups'!$K$2:$K$154,'Team Lineups'!$K$2:$K$154,'Team Lineups'!$C$2:$C$154,H$1))</f>
        <v>2</v>
      </c>
      <c r="I28" cm="1">
        <f t="array" ref="I28">SUMPRODUCT(('Team Lineups'!$K$2:$K$154&lt;&gt;"")*('Team Lineups'!$C$2:$C$154=$A28)*COUNTIFS('Team Lineups'!$K$2:$K$154,'Team Lineups'!$K$2:$K$154,'Team Lineups'!$C$2:$C$154,I$1))</f>
        <v>1</v>
      </c>
      <c r="J28" cm="1">
        <f t="array" ref="J28">SUMPRODUCT(('Team Lineups'!$K$2:$K$154&lt;&gt;"")*('Team Lineups'!$C$2:$C$154=$A28)*COUNTIFS('Team Lineups'!$K$2:$K$154,'Team Lineups'!$K$2:$K$154,'Team Lineups'!$C$2:$C$154,J$1))</f>
        <v>0</v>
      </c>
      <c r="K28" cm="1">
        <f t="array" ref="K28">SUMPRODUCT(('Team Lineups'!$K$2:$K$154&lt;&gt;"")*('Team Lineups'!$C$2:$C$154=$A28)*COUNTIFS('Team Lineups'!$K$2:$K$154,'Team Lineups'!$K$2:$K$154,'Team Lineups'!$C$2:$C$154,K$1))</f>
        <v>0</v>
      </c>
      <c r="L28" cm="1">
        <f t="array" ref="L28">SUMPRODUCT(('Team Lineups'!$K$2:$K$154&lt;&gt;"")*('Team Lineups'!$C$2:$C$154=$A28)*COUNTIFS('Team Lineups'!$K$2:$K$154,'Team Lineups'!$K$2:$K$154,'Team Lineups'!$C$2:$C$154,L$1))</f>
        <v>2</v>
      </c>
      <c r="M28" cm="1">
        <f t="array" ref="M28">SUMPRODUCT(('Team Lineups'!$K$2:$K$154&lt;&gt;"")*('Team Lineups'!$C$2:$C$154=$A28)*COUNTIFS('Team Lineups'!$K$2:$K$154,'Team Lineups'!$K$2:$K$154,'Team Lineups'!$C$2:$C$154,M$1))</f>
        <v>1</v>
      </c>
      <c r="N28" cm="1">
        <f t="array" ref="N28">SUMPRODUCT(('Team Lineups'!$K$2:$K$154&lt;&gt;"")*('Team Lineups'!$C$2:$C$154=$A28)*COUNTIFS('Team Lineups'!$K$2:$K$154,'Team Lineups'!$K$2:$K$154,'Team Lineups'!$C$2:$C$154,N$1))</f>
        <v>1</v>
      </c>
      <c r="O28" cm="1">
        <f t="array" ref="O28">SUMPRODUCT(('Team Lineups'!$K$2:$K$154&lt;&gt;"")*('Team Lineups'!$C$2:$C$154=$A28)*COUNTIFS('Team Lineups'!$K$2:$K$154,'Team Lineups'!$K$2:$K$154,'Team Lineups'!$C$2:$C$154,O$1))</f>
        <v>0</v>
      </c>
      <c r="P28" cm="1">
        <f t="array" ref="P28">SUMPRODUCT(('Team Lineups'!$K$2:$K$154&lt;&gt;"")*('Team Lineups'!$C$2:$C$154=$A28)*COUNTIFS('Team Lineups'!$K$2:$K$154,'Team Lineups'!$K$2:$K$154,'Team Lineups'!$C$2:$C$154,P$1))</f>
        <v>0</v>
      </c>
      <c r="Q28" cm="1">
        <f t="array" ref="Q28">SUMPRODUCT(('Team Lineups'!$K$2:$K$154&lt;&gt;"")*('Team Lineups'!$C$2:$C$154=$A28)*COUNTIFS('Team Lineups'!$K$2:$K$154,'Team Lineups'!$K$2:$K$154,'Team Lineups'!$C$2:$C$154,Q$1))</f>
        <v>0</v>
      </c>
      <c r="R28" cm="1">
        <f t="array" ref="R28">SUMPRODUCT(('Team Lineups'!$K$2:$K$154&lt;&gt;"")*('Team Lineups'!$C$2:$C$154=$A28)*COUNTIFS('Team Lineups'!$K$2:$K$154,'Team Lineups'!$K$2:$K$154,'Team Lineups'!$C$2:$C$154,R$1))</f>
        <v>1</v>
      </c>
      <c r="S28" cm="1">
        <f t="array" ref="S28">SUMPRODUCT(('Team Lineups'!$K$2:$K$154&lt;&gt;"")*('Team Lineups'!$C$2:$C$154=$A28)*COUNTIFS('Team Lineups'!$K$2:$K$154,'Team Lineups'!$K$2:$K$154,'Team Lineups'!$C$2:$C$154,S$1))</f>
        <v>2</v>
      </c>
      <c r="T28" cm="1">
        <f t="array" ref="T28">SUMPRODUCT(('Team Lineups'!$K$2:$K$154&lt;&gt;"")*('Team Lineups'!$C$2:$C$154=$A28)*COUNTIFS('Team Lineups'!$K$2:$K$154,'Team Lineups'!$K$2:$K$154,'Team Lineups'!$C$2:$C$154,T$1))</f>
        <v>0</v>
      </c>
      <c r="U28" cm="1">
        <f t="array" ref="U28">SUMPRODUCT(('Team Lineups'!$K$2:$K$154&lt;&gt;"")*('Team Lineups'!$C$2:$C$154=$A28)*COUNTIFS('Team Lineups'!$K$2:$K$154,'Team Lineups'!$K$2:$K$154,'Team Lineups'!$C$2:$C$154,U$1))</f>
        <v>0</v>
      </c>
      <c r="V28" cm="1">
        <f t="array" ref="V28">SUMPRODUCT(('Team Lineups'!$K$2:$K$154&lt;&gt;"")*('Team Lineups'!$C$2:$C$154=$A28)*COUNTIFS('Team Lineups'!$K$2:$K$154,'Team Lineups'!$K$2:$K$154,'Team Lineups'!$C$2:$C$154,V$1))</f>
        <v>1</v>
      </c>
      <c r="W28" cm="1">
        <f t="array" ref="W28">SUMPRODUCT(('Team Lineups'!$K$2:$K$154&lt;&gt;"")*('Team Lineups'!$C$2:$C$154=$A28)*COUNTIFS('Team Lineups'!$K$2:$K$154,'Team Lineups'!$K$2:$K$154,'Team Lineups'!$C$2:$C$154,W$1))</f>
        <v>0</v>
      </c>
      <c r="X28" cm="1">
        <f t="array" ref="X28">SUMPRODUCT(('Team Lineups'!$K$2:$K$154&lt;&gt;"")*('Team Lineups'!$C$2:$C$154=$A28)*COUNTIFS('Team Lineups'!$K$2:$K$154,'Team Lineups'!$K$2:$K$154,'Team Lineups'!$C$2:$C$154,X$1))</f>
        <v>0</v>
      </c>
      <c r="Y28" cm="1">
        <f t="array" ref="Y28">SUMPRODUCT(('Team Lineups'!$K$2:$K$154&lt;&gt;"")*('Team Lineups'!$C$2:$C$154=$A28)*COUNTIFS('Team Lineups'!$K$2:$K$154,'Team Lineups'!$K$2:$K$154,'Team Lineups'!$C$2:$C$154,Y$1))</f>
        <v>0</v>
      </c>
      <c r="Z28" cm="1">
        <f t="array" ref="Z28">SUMPRODUCT(('Team Lineups'!$K$2:$K$154&lt;&gt;"")*('Team Lineups'!$C$2:$C$154=$A28)*COUNTIFS('Team Lineups'!$K$2:$K$154,'Team Lineups'!$K$2:$K$154,'Team Lineups'!$C$2:$C$154,Z$1))</f>
        <v>0</v>
      </c>
      <c r="AA28" cm="1">
        <f t="array" ref="AA28">SUMPRODUCT(('Team Lineups'!$K$2:$K$154&lt;&gt;"")*('Team Lineups'!$C$2:$C$154=$A28)*COUNTIFS('Team Lineups'!$K$2:$K$154,'Team Lineups'!$K$2:$K$154,'Team Lineups'!$C$2:$C$154,AA$1))</f>
        <v>2</v>
      </c>
      <c r="AB28" t="s">
        <v>77</v>
      </c>
      <c r="AC28" cm="1">
        <f t="array" ref="AC28">SUMPRODUCT(('Team Lineups'!$K$2:$K$154&lt;&gt;"")*('Team Lineups'!$C$2:$C$154=$A28)*COUNTIFS('Team Lineups'!$K$2:$K$154,'Team Lineups'!$K$2:$K$154,'Team Lineups'!$C$2:$C$154,AC$1))</f>
        <v>0</v>
      </c>
      <c r="AD28" cm="1">
        <f t="array" ref="AD28">SUMPRODUCT(('Team Lineups'!$K$2:$K$154&lt;&gt;"")*('Team Lineups'!$C$2:$C$154=$A28)*COUNTIFS('Team Lineups'!$K$2:$K$154,'Team Lineups'!$K$2:$K$154,'Team Lineups'!$C$2:$C$154,AD$1))</f>
        <v>0</v>
      </c>
    </row>
    <row r="29" spans="1:30" x14ac:dyDescent="0.35">
      <c r="A29" t="str">
        <v>Tiago</v>
      </c>
      <c r="B29" cm="1">
        <f t="array" ref="B29">SUMPRODUCT(('Team Lineups'!$K$2:$K$154&lt;&gt;"")*('Team Lineups'!$C$2:$C$154=$A29)*COUNTIFS('Team Lineups'!$K$2:$K$154,'Team Lineups'!$K$2:$K$154,'Team Lineups'!$C$2:$C$154,B$1))</f>
        <v>1</v>
      </c>
      <c r="C29" cm="1">
        <f t="array" ref="C29">SUMPRODUCT(('Team Lineups'!$K$2:$K$154&lt;&gt;"")*('Team Lineups'!$C$2:$C$154=$A29)*COUNTIFS('Team Lineups'!$K$2:$K$154,'Team Lineups'!$K$2:$K$154,'Team Lineups'!$C$2:$C$154,C$1))</f>
        <v>1</v>
      </c>
      <c r="D29" cm="1">
        <f t="array" ref="D29">SUMPRODUCT(('Team Lineups'!$K$2:$K$154&lt;&gt;"")*('Team Lineups'!$C$2:$C$154=$A29)*COUNTIFS('Team Lineups'!$K$2:$K$154,'Team Lineups'!$K$2:$K$154,'Team Lineups'!$C$2:$C$154,D$1))</f>
        <v>0</v>
      </c>
      <c r="E29" cm="1">
        <f t="array" ref="E29">SUMPRODUCT(('Team Lineups'!$K$2:$K$154&lt;&gt;"")*('Team Lineups'!$C$2:$C$154=$A29)*COUNTIFS('Team Lineups'!$K$2:$K$154,'Team Lineups'!$K$2:$K$154,'Team Lineups'!$C$2:$C$154,E$1))</f>
        <v>1</v>
      </c>
      <c r="F29" cm="1">
        <f t="array" ref="F29">SUMPRODUCT(('Team Lineups'!$K$2:$K$154&lt;&gt;"")*('Team Lineups'!$C$2:$C$154=$A29)*COUNTIFS('Team Lineups'!$K$2:$K$154,'Team Lineups'!$K$2:$K$154,'Team Lineups'!$C$2:$C$154,F$1))</f>
        <v>0</v>
      </c>
      <c r="G29" cm="1">
        <f t="array" ref="G29">SUMPRODUCT(('Team Lineups'!$K$2:$K$154&lt;&gt;"")*('Team Lineups'!$C$2:$C$154=$A29)*COUNTIFS('Team Lineups'!$K$2:$K$154,'Team Lineups'!$K$2:$K$154,'Team Lineups'!$C$2:$C$154,G$1))</f>
        <v>1</v>
      </c>
      <c r="H29" cm="1">
        <f t="array" ref="H29">SUMPRODUCT(('Team Lineups'!$K$2:$K$154&lt;&gt;"")*('Team Lineups'!$C$2:$C$154=$A29)*COUNTIFS('Team Lineups'!$K$2:$K$154,'Team Lineups'!$K$2:$K$154,'Team Lineups'!$C$2:$C$154,H$1))</f>
        <v>0</v>
      </c>
      <c r="I29" cm="1">
        <f t="array" ref="I29">SUMPRODUCT(('Team Lineups'!$K$2:$K$154&lt;&gt;"")*('Team Lineups'!$C$2:$C$154=$A29)*COUNTIFS('Team Lineups'!$K$2:$K$154,'Team Lineups'!$K$2:$K$154,'Team Lineups'!$C$2:$C$154,I$1))</f>
        <v>1</v>
      </c>
      <c r="J29" cm="1">
        <f t="array" ref="J29">SUMPRODUCT(('Team Lineups'!$K$2:$K$154&lt;&gt;"")*('Team Lineups'!$C$2:$C$154=$A29)*COUNTIFS('Team Lineups'!$K$2:$K$154,'Team Lineups'!$K$2:$K$154,'Team Lineups'!$C$2:$C$154,J$1))</f>
        <v>0</v>
      </c>
      <c r="K29" cm="1">
        <f t="array" ref="K29">SUMPRODUCT(('Team Lineups'!$K$2:$K$154&lt;&gt;"")*('Team Lineups'!$C$2:$C$154=$A29)*COUNTIFS('Team Lineups'!$K$2:$K$154,'Team Lineups'!$K$2:$K$154,'Team Lineups'!$C$2:$C$154,K$1))</f>
        <v>0</v>
      </c>
      <c r="L29" cm="1">
        <f t="array" ref="L29">SUMPRODUCT(('Team Lineups'!$K$2:$K$154&lt;&gt;"")*('Team Lineups'!$C$2:$C$154=$A29)*COUNTIFS('Team Lineups'!$K$2:$K$154,'Team Lineups'!$K$2:$K$154,'Team Lineups'!$C$2:$C$154,L$1))</f>
        <v>0</v>
      </c>
      <c r="M29" cm="1">
        <f t="array" ref="M29">SUMPRODUCT(('Team Lineups'!$K$2:$K$154&lt;&gt;"")*('Team Lineups'!$C$2:$C$154=$A29)*COUNTIFS('Team Lineups'!$K$2:$K$154,'Team Lineups'!$K$2:$K$154,'Team Lineups'!$C$2:$C$154,M$1))</f>
        <v>0</v>
      </c>
      <c r="N29" cm="1">
        <f t="array" ref="N29">SUMPRODUCT(('Team Lineups'!$K$2:$K$154&lt;&gt;"")*('Team Lineups'!$C$2:$C$154=$A29)*COUNTIFS('Team Lineups'!$K$2:$K$154,'Team Lineups'!$K$2:$K$154,'Team Lineups'!$C$2:$C$154,N$1))</f>
        <v>0</v>
      </c>
      <c r="O29" cm="1">
        <f t="array" ref="O29">SUMPRODUCT(('Team Lineups'!$K$2:$K$154&lt;&gt;"")*('Team Lineups'!$C$2:$C$154=$A29)*COUNTIFS('Team Lineups'!$K$2:$K$154,'Team Lineups'!$K$2:$K$154,'Team Lineups'!$C$2:$C$154,O$1))</f>
        <v>0</v>
      </c>
      <c r="P29" cm="1">
        <f t="array" ref="P29">SUMPRODUCT(('Team Lineups'!$K$2:$K$154&lt;&gt;"")*('Team Lineups'!$C$2:$C$154=$A29)*COUNTIFS('Team Lineups'!$K$2:$K$154,'Team Lineups'!$K$2:$K$154,'Team Lineups'!$C$2:$C$154,P$1))</f>
        <v>0</v>
      </c>
      <c r="Q29" cm="1">
        <f t="array" ref="Q29">SUMPRODUCT(('Team Lineups'!$K$2:$K$154&lt;&gt;"")*('Team Lineups'!$C$2:$C$154=$A29)*COUNTIFS('Team Lineups'!$K$2:$K$154,'Team Lineups'!$K$2:$K$154,'Team Lineups'!$C$2:$C$154,Q$1))</f>
        <v>0</v>
      </c>
      <c r="R29" cm="1">
        <f t="array" ref="R29">SUMPRODUCT(('Team Lineups'!$K$2:$K$154&lt;&gt;"")*('Team Lineups'!$C$2:$C$154=$A29)*COUNTIFS('Team Lineups'!$K$2:$K$154,'Team Lineups'!$K$2:$K$154,'Team Lineups'!$C$2:$C$154,R$1))</f>
        <v>0</v>
      </c>
      <c r="S29" cm="1">
        <f t="array" ref="S29">SUMPRODUCT(('Team Lineups'!$K$2:$K$154&lt;&gt;"")*('Team Lineups'!$C$2:$C$154=$A29)*COUNTIFS('Team Lineups'!$K$2:$K$154,'Team Lineups'!$K$2:$K$154,'Team Lineups'!$C$2:$C$154,S$1))</f>
        <v>0</v>
      </c>
      <c r="T29" cm="1">
        <f t="array" ref="T29">SUMPRODUCT(('Team Lineups'!$K$2:$K$154&lt;&gt;"")*('Team Lineups'!$C$2:$C$154=$A29)*COUNTIFS('Team Lineups'!$K$2:$K$154,'Team Lineups'!$K$2:$K$154,'Team Lineups'!$C$2:$C$154,T$1))</f>
        <v>0</v>
      </c>
      <c r="U29" cm="1">
        <f t="array" ref="U29">SUMPRODUCT(('Team Lineups'!$K$2:$K$154&lt;&gt;"")*('Team Lineups'!$C$2:$C$154=$A29)*COUNTIFS('Team Lineups'!$K$2:$K$154,'Team Lineups'!$K$2:$K$154,'Team Lineups'!$C$2:$C$154,U$1))</f>
        <v>0</v>
      </c>
      <c r="V29" cm="1">
        <f t="array" ref="V29">SUMPRODUCT(('Team Lineups'!$K$2:$K$154&lt;&gt;"")*('Team Lineups'!$C$2:$C$154=$A29)*COUNTIFS('Team Lineups'!$K$2:$K$154,'Team Lineups'!$K$2:$K$154,'Team Lineups'!$C$2:$C$154,V$1))</f>
        <v>0</v>
      </c>
      <c r="W29" cm="1">
        <f t="array" ref="W29">SUMPRODUCT(('Team Lineups'!$K$2:$K$154&lt;&gt;"")*('Team Lineups'!$C$2:$C$154=$A29)*COUNTIFS('Team Lineups'!$K$2:$K$154,'Team Lineups'!$K$2:$K$154,'Team Lineups'!$C$2:$C$154,W$1))</f>
        <v>0</v>
      </c>
      <c r="X29" cm="1">
        <f t="array" ref="X29">SUMPRODUCT(('Team Lineups'!$K$2:$K$154&lt;&gt;"")*('Team Lineups'!$C$2:$C$154=$A29)*COUNTIFS('Team Lineups'!$K$2:$K$154,'Team Lineups'!$K$2:$K$154,'Team Lineups'!$C$2:$C$154,X$1))</f>
        <v>0</v>
      </c>
      <c r="Y29" cm="1">
        <f t="array" ref="Y29">SUMPRODUCT(('Team Lineups'!$K$2:$K$154&lt;&gt;"")*('Team Lineups'!$C$2:$C$154=$A29)*COUNTIFS('Team Lineups'!$K$2:$K$154,'Team Lineups'!$K$2:$K$154,'Team Lineups'!$C$2:$C$154,Y$1))</f>
        <v>0</v>
      </c>
      <c r="Z29" cm="1">
        <f t="array" ref="Z29">SUMPRODUCT(('Team Lineups'!$K$2:$K$154&lt;&gt;"")*('Team Lineups'!$C$2:$C$154=$A29)*COUNTIFS('Team Lineups'!$K$2:$K$154,'Team Lineups'!$K$2:$K$154,'Team Lineups'!$C$2:$C$154,Z$1))</f>
        <v>0</v>
      </c>
      <c r="AA29" cm="1">
        <f t="array" ref="AA29">SUMPRODUCT(('Team Lineups'!$K$2:$K$154&lt;&gt;"")*('Team Lineups'!$C$2:$C$154=$A29)*COUNTIFS('Team Lineups'!$K$2:$K$154,'Team Lineups'!$K$2:$K$154,'Team Lineups'!$C$2:$C$154,AA$1))</f>
        <v>1</v>
      </c>
      <c r="AB29" cm="1">
        <f t="array" ref="AB29">SUMPRODUCT(('Team Lineups'!$K$2:$K$154&lt;&gt;"")*('Team Lineups'!$C$2:$C$154=$A29)*COUNTIFS('Team Lineups'!$K$2:$K$154,'Team Lineups'!$K$2:$K$154,'Team Lineups'!$C$2:$C$154,AB$1))</f>
        <v>0</v>
      </c>
      <c r="AC29" t="s">
        <v>77</v>
      </c>
      <c r="AD29" cm="1">
        <f t="array" ref="AD29">SUMPRODUCT(('Team Lineups'!$K$2:$K$154&lt;&gt;"")*('Team Lineups'!$C$2:$C$154=$A29)*COUNTIFS('Team Lineups'!$K$2:$K$154,'Team Lineups'!$K$2:$K$154,'Team Lineups'!$C$2:$C$154,AD$1))</f>
        <v>0</v>
      </c>
    </row>
    <row r="30" spans="1:30" x14ac:dyDescent="0.35">
      <c r="A30" t="str">
        <v>Andrea M</v>
      </c>
      <c r="B30" cm="1">
        <f t="array" ref="B30">SUMPRODUCT(('Team Lineups'!$K$2:$K$154&lt;&gt;"")*('Team Lineups'!$C$2:$C$154=$A30)*COUNTIFS('Team Lineups'!$K$2:$K$154,'Team Lineups'!$K$2:$K$154,'Team Lineups'!$C$2:$C$154,B$1))</f>
        <v>1</v>
      </c>
      <c r="C30" cm="1">
        <f t="array" ref="C30">SUMPRODUCT(('Team Lineups'!$K$2:$K$154&lt;&gt;"")*('Team Lineups'!$C$2:$C$154=$A30)*COUNTIFS('Team Lineups'!$K$2:$K$154,'Team Lineups'!$K$2:$K$154,'Team Lineups'!$C$2:$C$154,C$1))</f>
        <v>0</v>
      </c>
      <c r="D30" cm="1">
        <f t="array" ref="D30">SUMPRODUCT(('Team Lineups'!$K$2:$K$154&lt;&gt;"")*('Team Lineups'!$C$2:$C$154=$A30)*COUNTIFS('Team Lineups'!$K$2:$K$154,'Team Lineups'!$K$2:$K$154,'Team Lineups'!$C$2:$C$154,D$1))</f>
        <v>0</v>
      </c>
      <c r="E30" cm="1">
        <f t="array" ref="E30">SUMPRODUCT(('Team Lineups'!$K$2:$K$154&lt;&gt;"")*('Team Lineups'!$C$2:$C$154=$A30)*COUNTIFS('Team Lineups'!$K$2:$K$154,'Team Lineups'!$K$2:$K$154,'Team Lineups'!$C$2:$C$154,E$1))</f>
        <v>0</v>
      </c>
      <c r="F30" cm="1">
        <f t="array" ref="F30">SUMPRODUCT(('Team Lineups'!$K$2:$K$154&lt;&gt;"")*('Team Lineups'!$C$2:$C$154=$A30)*COUNTIFS('Team Lineups'!$K$2:$K$154,'Team Lineups'!$K$2:$K$154,'Team Lineups'!$C$2:$C$154,F$1))</f>
        <v>0</v>
      </c>
      <c r="G30" cm="1">
        <f t="array" ref="G30">SUMPRODUCT(('Team Lineups'!$K$2:$K$154&lt;&gt;"")*('Team Lineups'!$C$2:$C$154=$A30)*COUNTIFS('Team Lineups'!$K$2:$K$154,'Team Lineups'!$K$2:$K$154,'Team Lineups'!$C$2:$C$154,G$1))</f>
        <v>1</v>
      </c>
      <c r="H30" cm="1">
        <f t="array" ref="H30">SUMPRODUCT(('Team Lineups'!$K$2:$K$154&lt;&gt;"")*('Team Lineups'!$C$2:$C$154=$A30)*COUNTIFS('Team Lineups'!$K$2:$K$154,'Team Lineups'!$K$2:$K$154,'Team Lineups'!$C$2:$C$154,H$1))</f>
        <v>1</v>
      </c>
      <c r="I30" cm="1">
        <f t="array" ref="I30">SUMPRODUCT(('Team Lineups'!$K$2:$K$154&lt;&gt;"")*('Team Lineups'!$C$2:$C$154=$A30)*COUNTIFS('Team Lineups'!$K$2:$K$154,'Team Lineups'!$K$2:$K$154,'Team Lineups'!$C$2:$C$154,I$1))</f>
        <v>1</v>
      </c>
      <c r="J30" cm="1">
        <f t="array" ref="J30">SUMPRODUCT(('Team Lineups'!$K$2:$K$154&lt;&gt;"")*('Team Lineups'!$C$2:$C$154=$A30)*COUNTIFS('Team Lineups'!$K$2:$K$154,'Team Lineups'!$K$2:$K$154,'Team Lineups'!$C$2:$C$154,J$1))</f>
        <v>0</v>
      </c>
      <c r="K30" cm="1">
        <f t="array" ref="K30">SUMPRODUCT(('Team Lineups'!$K$2:$K$154&lt;&gt;"")*('Team Lineups'!$C$2:$C$154=$A30)*COUNTIFS('Team Lineups'!$K$2:$K$154,'Team Lineups'!$K$2:$K$154,'Team Lineups'!$C$2:$C$154,K$1))</f>
        <v>0</v>
      </c>
      <c r="L30" cm="1">
        <f t="array" ref="L30">SUMPRODUCT(('Team Lineups'!$K$2:$K$154&lt;&gt;"")*('Team Lineups'!$C$2:$C$154=$A30)*COUNTIFS('Team Lineups'!$K$2:$K$154,'Team Lineups'!$K$2:$K$154,'Team Lineups'!$C$2:$C$154,L$1))</f>
        <v>0</v>
      </c>
      <c r="M30" cm="1">
        <f t="array" ref="M30">SUMPRODUCT(('Team Lineups'!$K$2:$K$154&lt;&gt;"")*('Team Lineups'!$C$2:$C$154=$A30)*COUNTIFS('Team Lineups'!$K$2:$K$154,'Team Lineups'!$K$2:$K$154,'Team Lineups'!$C$2:$C$154,M$1))</f>
        <v>1</v>
      </c>
      <c r="N30" cm="1">
        <f t="array" ref="N30">SUMPRODUCT(('Team Lineups'!$K$2:$K$154&lt;&gt;"")*('Team Lineups'!$C$2:$C$154=$A30)*COUNTIFS('Team Lineups'!$K$2:$K$154,'Team Lineups'!$K$2:$K$154,'Team Lineups'!$C$2:$C$154,N$1))</f>
        <v>1</v>
      </c>
      <c r="O30" cm="1">
        <f t="array" ref="O30">SUMPRODUCT(('Team Lineups'!$K$2:$K$154&lt;&gt;"")*('Team Lineups'!$C$2:$C$154=$A30)*COUNTIFS('Team Lineups'!$K$2:$K$154,'Team Lineups'!$K$2:$K$154,'Team Lineups'!$C$2:$C$154,O$1))</f>
        <v>0</v>
      </c>
      <c r="P30" cm="1">
        <f t="array" ref="P30">SUMPRODUCT(('Team Lineups'!$K$2:$K$154&lt;&gt;"")*('Team Lineups'!$C$2:$C$154=$A30)*COUNTIFS('Team Lineups'!$K$2:$K$154,'Team Lineups'!$K$2:$K$154,'Team Lineups'!$C$2:$C$154,P$1))</f>
        <v>0</v>
      </c>
      <c r="Q30" cm="1">
        <f t="array" ref="Q30">SUMPRODUCT(('Team Lineups'!$K$2:$K$154&lt;&gt;"")*('Team Lineups'!$C$2:$C$154=$A30)*COUNTIFS('Team Lineups'!$K$2:$K$154,'Team Lineups'!$K$2:$K$154,'Team Lineups'!$C$2:$C$154,Q$1))</f>
        <v>0</v>
      </c>
      <c r="R30" cm="1">
        <f t="array" ref="R30">SUMPRODUCT(('Team Lineups'!$K$2:$K$154&lt;&gt;"")*('Team Lineups'!$C$2:$C$154=$A30)*COUNTIFS('Team Lineups'!$K$2:$K$154,'Team Lineups'!$K$2:$K$154,'Team Lineups'!$C$2:$C$154,R$1))</f>
        <v>0</v>
      </c>
      <c r="S30" cm="1">
        <f t="array" ref="S30">SUMPRODUCT(('Team Lineups'!$K$2:$K$154&lt;&gt;"")*('Team Lineups'!$C$2:$C$154=$A30)*COUNTIFS('Team Lineups'!$K$2:$K$154,'Team Lineups'!$K$2:$K$154,'Team Lineups'!$C$2:$C$154,S$1))</f>
        <v>1</v>
      </c>
      <c r="T30" cm="1">
        <f t="array" ref="T30">SUMPRODUCT(('Team Lineups'!$K$2:$K$154&lt;&gt;"")*('Team Lineups'!$C$2:$C$154=$A30)*COUNTIFS('Team Lineups'!$K$2:$K$154,'Team Lineups'!$K$2:$K$154,'Team Lineups'!$C$2:$C$154,T$1))</f>
        <v>0</v>
      </c>
      <c r="U30" cm="1">
        <f t="array" ref="U30">SUMPRODUCT(('Team Lineups'!$K$2:$K$154&lt;&gt;"")*('Team Lineups'!$C$2:$C$154=$A30)*COUNTIFS('Team Lineups'!$K$2:$K$154,'Team Lineups'!$K$2:$K$154,'Team Lineups'!$C$2:$C$154,U$1))</f>
        <v>0</v>
      </c>
      <c r="V30" cm="1">
        <f t="array" ref="V30">SUMPRODUCT(('Team Lineups'!$K$2:$K$154&lt;&gt;"")*('Team Lineups'!$C$2:$C$154=$A30)*COUNTIFS('Team Lineups'!$K$2:$K$154,'Team Lineups'!$K$2:$K$154,'Team Lineups'!$C$2:$C$154,V$1))</f>
        <v>0</v>
      </c>
      <c r="W30" cm="1">
        <f t="array" ref="W30">SUMPRODUCT(('Team Lineups'!$K$2:$K$154&lt;&gt;"")*('Team Lineups'!$C$2:$C$154=$A30)*COUNTIFS('Team Lineups'!$K$2:$K$154,'Team Lineups'!$K$2:$K$154,'Team Lineups'!$C$2:$C$154,W$1))</f>
        <v>0</v>
      </c>
      <c r="X30" cm="1">
        <f t="array" ref="X30">SUMPRODUCT(('Team Lineups'!$K$2:$K$154&lt;&gt;"")*('Team Lineups'!$C$2:$C$154=$A30)*COUNTIFS('Team Lineups'!$K$2:$K$154,'Team Lineups'!$K$2:$K$154,'Team Lineups'!$C$2:$C$154,X$1))</f>
        <v>0</v>
      </c>
      <c r="Y30" cm="1">
        <f t="array" ref="Y30">SUMPRODUCT(('Team Lineups'!$K$2:$K$154&lt;&gt;"")*('Team Lineups'!$C$2:$C$154=$A30)*COUNTIFS('Team Lineups'!$K$2:$K$154,'Team Lineups'!$K$2:$K$154,'Team Lineups'!$C$2:$C$154,Y$1))</f>
        <v>0</v>
      </c>
      <c r="Z30" cm="1">
        <f t="array" ref="Z30">SUMPRODUCT(('Team Lineups'!$K$2:$K$154&lt;&gt;"")*('Team Lineups'!$C$2:$C$154=$A30)*COUNTIFS('Team Lineups'!$K$2:$K$154,'Team Lineups'!$K$2:$K$154,'Team Lineups'!$C$2:$C$154,Z$1))</f>
        <v>1</v>
      </c>
      <c r="AA30" cm="1">
        <f t="array" ref="AA30">SUMPRODUCT(('Team Lineups'!$K$2:$K$154&lt;&gt;"")*('Team Lineups'!$C$2:$C$154=$A30)*COUNTIFS('Team Lineups'!$K$2:$K$154,'Team Lineups'!$K$2:$K$154,'Team Lineups'!$C$2:$C$154,AA$1))</f>
        <v>0</v>
      </c>
      <c r="AB30" cm="1">
        <f t="array" ref="AB30">SUMPRODUCT(('Team Lineups'!$K$2:$K$154&lt;&gt;"")*('Team Lineups'!$C$2:$C$154=$A30)*COUNTIFS('Team Lineups'!$K$2:$K$154,'Team Lineups'!$K$2:$K$154,'Team Lineups'!$C$2:$C$154,AB$1))</f>
        <v>0</v>
      </c>
      <c r="AC30" cm="1">
        <f t="array" ref="AC30">SUMPRODUCT(('Team Lineups'!$K$2:$K$154&lt;&gt;"")*('Team Lineups'!$C$2:$C$154=$A30)*COUNTIFS('Team Lineups'!$K$2:$K$154,'Team Lineups'!$K$2:$K$154,'Team Lineups'!$C$2:$C$154,AC$1))</f>
        <v>0</v>
      </c>
      <c r="AD30" t="s">
        <v>77</v>
      </c>
    </row>
    <row r="31" spans="1:30" x14ac:dyDescent="0.35">
      <c r="A3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Matches</vt:lpstr>
      <vt:lpstr>Team Lineups</vt:lpstr>
      <vt:lpstr>Players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2026-02-15T09:11:57Z</dcterms:modified>
</cp:coreProperties>
</file>