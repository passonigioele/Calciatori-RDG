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1B12715E-2662-430E-98DC-26012C91739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2" i="2"/>
  <c r="D4" i="3"/>
  <c r="D6" i="3"/>
  <c r="D7" i="3"/>
  <c r="D20" i="3"/>
  <c r="D9" i="3"/>
  <c r="D10" i="3"/>
  <c r="D11" i="3"/>
  <c r="D12" i="3"/>
  <c r="D13" i="3"/>
  <c r="D14" i="3"/>
  <c r="D15" i="3"/>
  <c r="D19" i="3"/>
  <c r="D21" i="3"/>
  <c r="D22" i="3"/>
  <c r="D2" i="3"/>
  <c r="D25" i="3"/>
  <c r="D26" i="3"/>
  <c r="D27" i="3"/>
  <c r="N27" i="3"/>
  <c r="M27" i="3"/>
  <c r="K27" i="3"/>
  <c r="I27" i="3"/>
  <c r="H27" i="3"/>
  <c r="G27" i="3"/>
  <c r="J27" i="3" s="1"/>
  <c r="E27" i="3"/>
  <c r="C27" i="3"/>
  <c r="N26" i="3"/>
  <c r="M26" i="3"/>
  <c r="K26" i="3"/>
  <c r="I26" i="3"/>
  <c r="H26" i="3"/>
  <c r="G26" i="3"/>
  <c r="E26" i="3"/>
  <c r="C26" i="3"/>
  <c r="N25" i="3"/>
  <c r="M25" i="3"/>
  <c r="K25" i="3"/>
  <c r="I25" i="3"/>
  <c r="H25" i="3"/>
  <c r="G25" i="3"/>
  <c r="E25" i="3"/>
  <c r="C25" i="3"/>
  <c r="N2" i="3"/>
  <c r="M2" i="3"/>
  <c r="K2" i="3"/>
  <c r="E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I21" i="3"/>
  <c r="H21" i="3"/>
  <c r="G21" i="3"/>
  <c r="E21" i="3"/>
  <c r="C21" i="3"/>
  <c r="N24" i="3"/>
  <c r="M24" i="3"/>
  <c r="K24" i="3"/>
  <c r="C24" i="3"/>
  <c r="N19" i="3"/>
  <c r="M19" i="3"/>
  <c r="K19" i="3"/>
  <c r="I19" i="3"/>
  <c r="H19" i="3"/>
  <c r="G19" i="3"/>
  <c r="E19" i="3"/>
  <c r="F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I15" i="3"/>
  <c r="H15" i="3"/>
  <c r="G15" i="3"/>
  <c r="E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I12" i="3"/>
  <c r="H12" i="3"/>
  <c r="G12" i="3"/>
  <c r="E12" i="3"/>
  <c r="C12" i="3"/>
  <c r="O12" i="3" s="1"/>
  <c r="N11" i="3"/>
  <c r="M11" i="3"/>
  <c r="K11" i="3"/>
  <c r="I11" i="3"/>
  <c r="H11" i="3"/>
  <c r="G11" i="3"/>
  <c r="E11" i="3"/>
  <c r="F11" i="3" s="1"/>
  <c r="C11" i="3"/>
  <c r="N10" i="3"/>
  <c r="M10" i="3"/>
  <c r="K10" i="3"/>
  <c r="I10" i="3"/>
  <c r="H10" i="3"/>
  <c r="G10" i="3"/>
  <c r="E10" i="3"/>
  <c r="C10" i="3"/>
  <c r="N9" i="3"/>
  <c r="M9" i="3"/>
  <c r="K9" i="3"/>
  <c r="I9" i="3"/>
  <c r="H9" i="3"/>
  <c r="G9" i="3"/>
  <c r="E9" i="3"/>
  <c r="C9" i="3"/>
  <c r="N20" i="3"/>
  <c r="M20" i="3"/>
  <c r="K20" i="3"/>
  <c r="E20" i="3"/>
  <c r="F20" i="3" s="1"/>
  <c r="C20" i="3"/>
  <c r="N7" i="3"/>
  <c r="M7" i="3"/>
  <c r="K7" i="3"/>
  <c r="I7" i="3"/>
  <c r="H7" i="3"/>
  <c r="G7" i="3"/>
  <c r="E7" i="3"/>
  <c r="C7" i="3"/>
  <c r="N6" i="3"/>
  <c r="M6" i="3"/>
  <c r="K6" i="3"/>
  <c r="I6" i="3"/>
  <c r="H6" i="3"/>
  <c r="G6" i="3"/>
  <c r="E6" i="3"/>
  <c r="F6" i="3"/>
  <c r="C6" i="3"/>
  <c r="N18" i="3"/>
  <c r="M18" i="3"/>
  <c r="K18" i="3"/>
  <c r="C18" i="3"/>
  <c r="N4" i="3"/>
  <c r="M4" i="3"/>
  <c r="K4" i="3"/>
  <c r="I4" i="3"/>
  <c r="H4" i="3"/>
  <c r="G4" i="3"/>
  <c r="J4" i="3" s="1"/>
  <c r="E4" i="3"/>
  <c r="C4" i="3"/>
  <c r="N17" i="3"/>
  <c r="M17" i="3"/>
  <c r="K17" i="3"/>
  <c r="C17" i="3"/>
  <c r="N16" i="3"/>
  <c r="M16" i="3"/>
  <c r="K16" i="3"/>
  <c r="C16" i="3"/>
  <c r="G11" i="2"/>
  <c r="H20" i="3" s="1"/>
  <c r="G10" i="2"/>
  <c r="G2" i="3" s="1"/>
  <c r="J2" i="3" s="1"/>
  <c r="F8" i="2"/>
  <c r="E16" i="3" s="1"/>
  <c r="E8" i="2"/>
  <c r="G8" i="2" s="1"/>
  <c r="F7" i="2"/>
  <c r="E23" i="3" s="1"/>
  <c r="E7" i="2"/>
  <c r="D23" i="3" s="1"/>
  <c r="E6" i="2"/>
  <c r="D18" i="3" s="1"/>
  <c r="E5" i="2"/>
  <c r="D17" i="3" s="1"/>
  <c r="F4" i="2"/>
  <c r="E8" i="3" s="1"/>
  <c r="E4" i="2"/>
  <c r="F3" i="2"/>
  <c r="E3" i="3" s="1"/>
  <c r="E3" i="2"/>
  <c r="D3" i="3" s="1"/>
  <c r="E2" i="2"/>
  <c r="D5" i="3" s="1"/>
  <c r="F2" i="1"/>
  <c r="F6" i="2" s="1"/>
  <c r="E2" i="1"/>
  <c r="F9" i="2" s="1"/>
  <c r="E24" i="3" s="1"/>
  <c r="F15" i="3" l="1"/>
  <c r="G7" i="2"/>
  <c r="I23" i="3" s="1"/>
  <c r="G4" i="2"/>
  <c r="H8" i="3" s="1"/>
  <c r="D8" i="3"/>
  <c r="F8" i="3" s="1"/>
  <c r="I2" i="3"/>
  <c r="G3" i="2"/>
  <c r="I3" i="3" s="1"/>
  <c r="I20" i="3"/>
  <c r="D16" i="3"/>
  <c r="J26" i="3"/>
  <c r="O5" i="3"/>
  <c r="F25" i="3"/>
  <c r="J10" i="3"/>
  <c r="L11" i="3"/>
  <c r="L4" i="3"/>
  <c r="J12" i="3"/>
  <c r="J11" i="3"/>
  <c r="J14" i="3"/>
  <c r="O23" i="3"/>
  <c r="O21" i="3"/>
  <c r="F16" i="3"/>
  <c r="O18" i="3"/>
  <c r="F27" i="3"/>
  <c r="F26" i="3"/>
  <c r="O11" i="3"/>
  <c r="O2" i="3"/>
  <c r="O13" i="3"/>
  <c r="O26" i="3"/>
  <c r="O14" i="3"/>
  <c r="F13" i="3"/>
  <c r="L3" i="3"/>
  <c r="O6" i="3"/>
  <c r="F22" i="3"/>
  <c r="O17" i="3"/>
  <c r="F10" i="3"/>
  <c r="F21" i="3"/>
  <c r="O9" i="3"/>
  <c r="F3" i="3"/>
  <c r="L9" i="3"/>
  <c r="L18" i="3"/>
  <c r="L20" i="3"/>
  <c r="L8" i="3"/>
  <c r="J19" i="3"/>
  <c r="J25" i="3"/>
  <c r="L16" i="3"/>
  <c r="J7" i="3"/>
  <c r="O3" i="3"/>
  <c r="O24" i="3"/>
  <c r="O8" i="3"/>
  <c r="F14" i="3"/>
  <c r="J15" i="3"/>
  <c r="L21" i="3"/>
  <c r="F9" i="3"/>
  <c r="J9" i="3"/>
  <c r="J13" i="3"/>
  <c r="O15" i="3"/>
  <c r="L12" i="3"/>
  <c r="F4" i="3"/>
  <c r="F7" i="3"/>
  <c r="L10" i="3"/>
  <c r="J21" i="3"/>
  <c r="O10" i="3"/>
  <c r="L26" i="3"/>
  <c r="O27" i="3"/>
  <c r="L5" i="3"/>
  <c r="J22" i="3"/>
  <c r="F2" i="3"/>
  <c r="L25" i="3"/>
  <c r="J6" i="3"/>
  <c r="L27" i="3"/>
  <c r="O20" i="3"/>
  <c r="F12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I16" i="3"/>
  <c r="H16" i="3"/>
  <c r="G16" i="3"/>
  <c r="J16" i="3" s="1"/>
  <c r="E18" i="3"/>
  <c r="F18" i="3" s="1"/>
  <c r="G6" i="2"/>
  <c r="G8" i="3"/>
  <c r="J8" i="3" s="1"/>
  <c r="I8" i="3"/>
  <c r="F23" i="3"/>
  <c r="H2" i="3"/>
  <c r="G3" i="3"/>
  <c r="J3" i="3" s="1"/>
  <c r="H3" i="3"/>
  <c r="E9" i="2"/>
  <c r="F5" i="2"/>
  <c r="G23" i="3"/>
  <c r="J23" i="3" s="1"/>
  <c r="L14" i="3"/>
  <c r="O16" i="3"/>
  <c r="G20" i="3"/>
  <c r="J20" i="3" s="1"/>
  <c r="F2" i="2"/>
  <c r="G9" i="2" l="1"/>
  <c r="D24" i="3"/>
  <c r="F24" i="3" s="1"/>
  <c r="H23" i="3"/>
  <c r="G5" i="2"/>
  <c r="E17" i="3"/>
  <c r="F17" i="3" s="1"/>
  <c r="I24" i="3"/>
  <c r="H24" i="3"/>
  <c r="G24" i="3"/>
  <c r="J24" i="3" s="1"/>
  <c r="I18" i="3"/>
  <c r="H18" i="3"/>
  <c r="G18" i="3"/>
  <c r="J18" i="3" s="1"/>
  <c r="E5" i="3"/>
  <c r="F5" i="3" s="1"/>
  <c r="G2" i="2"/>
  <c r="I5" i="3" l="1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<sst xmlns="http://schemas.openxmlformats.org/spreadsheetml/2006/main" count="82" uniqueCount="56">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</sst>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B2" sqref="B2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</row>
    <row r="4" spans="1:7" x14ac:dyDescent="0.35">
      <c r="A4">
        <v>3</v>
      </c>
      <c r="B4" s="2">
        <v>45988</v>
      </c>
      <c r="C4" t="s">
        <v>7</v>
      </c>
    </row>
    <row r="5" spans="1:7" x14ac:dyDescent="0.35">
      <c r="D5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tabSelected="1" workbookViewId="0">
      <selection activeCell="C14" sqref="C14"/>
    </sheetView>
  </sheetViews>
  <sheetFormatPr defaultRowHeight="14.5" x14ac:dyDescent="0.35"/>
  <cols>
    <col min="2" max="2" width="22.90625" customWidth="1"/>
    <col min="3" max="3" width="14.26953125" customWidth="1"/>
    <col min="8" max="8" width="18.81640625" customWidth="1"/>
  </cols>
  <sheetData>
    <row r="1" spans="1:9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</row>
    <row r="2" spans="1:9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11" si="0">IF(E2&gt;F2,"Win",IF(E2&lt;F2,"Loss","Draw"))</f>
        <v>Draw</v>
      </c>
      <c r="H2">
        <v>2</v>
      </c>
      <c r="I2">
        <v>2</v>
      </c>
    </row>
    <row r="3" spans="1:9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</row>
    <row r="4" spans="1:9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</row>
    <row r="5" spans="1:9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</row>
    <row r="6" spans="1:9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</row>
    <row r="7" spans="1:9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</row>
    <row r="8" spans="1:9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</row>
    <row r="9" spans="1:9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</row>
    <row r="10" spans="1:9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v>7</v>
      </c>
      <c r="F10">
        <v>7</v>
      </c>
      <c r="G10" t="str">
        <f t="shared" si="0"/>
        <v>Draw</v>
      </c>
      <c r="H10">
        <v>3</v>
      </c>
      <c r="I10">
        <v>2</v>
      </c>
    </row>
    <row r="11" spans="1:9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v>7</v>
      </c>
      <c r="F11">
        <v>7</v>
      </c>
      <c r="G11" t="str">
        <f t="shared" si="0"/>
        <v>Draw</v>
      </c>
    </row>
    <row r="12" spans="1:9" x14ac:dyDescent="0.35">
      <c r="B12" s="6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"/>
  <sheetViews>
    <sheetView workbookViewId="0">
      <selection activeCell="A28" sqref="A28:XFD28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</cols>
  <sheetData>
    <row r="1" spans="1:15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</row>
    <row r="2" spans="1:15" x14ac:dyDescent="0.35">
      <c r="A2" t="s">
        <v>26</v>
      </c>
      <c r="C2">
        <f>COUNTIF('Team Lineups'!C:C,A2)</f>
        <v>1</v>
      </c>
      <c r="D2">
        <f>SUMIF('Team Lineups'!C:C,A2,'Team Lineups'!E:E)</f>
        <v>7</v>
      </c>
      <c r="E2">
        <f>SUMIF('Team Lineups'!C:C,A2,'Team Lineups'!F:F)</f>
        <v>7</v>
      </c>
      <c r="F2">
        <f t="shared" ref="F2:F27" si="0">D2-E2</f>
        <v>0</v>
      </c>
      <c r="G2">
        <f>COUNTIFS('Team Lineups'!C:C,A2,'Team Lineups'!G:G,"Win")</f>
        <v>0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</v>
      </c>
      <c r="K2">
        <f>SUMIF('Team Lineups'!C:C,A2,'Team Lineups'!H:H)</f>
        <v>3</v>
      </c>
      <c r="L2">
        <f t="shared" ref="L2:L27" si="2">K2/C2</f>
        <v>3</v>
      </c>
      <c r="M2">
        <f>SUMIF('Team Lineups'!C:C,A2,'Team Lineups'!I:I)</f>
        <v>2</v>
      </c>
      <c r="N2">
        <f>COUNTIF(Matches!G:G,A2)</f>
        <v>1</v>
      </c>
      <c r="O2">
        <f t="shared" ref="O2:O27" si="3">N2/C2</f>
        <v>1</v>
      </c>
    </row>
    <row r="3" spans="1:15" x14ac:dyDescent="0.35">
      <c r="A3" t="s">
        <v>18</v>
      </c>
      <c r="C3">
        <f>COUNTIF('Team Lineups'!C:C,A3)</f>
        <v>1</v>
      </c>
      <c r="D3">
        <f>SUMIF('Team Lineups'!C:C,A3,'Team Lineups'!E:E)</f>
        <v>7</v>
      </c>
      <c r="E3">
        <f>SUMIF('Team Lineups'!C:C,A3,'Team Lineups'!F:F)</f>
        <v>7</v>
      </c>
      <c r="F3">
        <f t="shared" si="0"/>
        <v>0</v>
      </c>
      <c r="G3">
        <f>COUNTIFS('Team Lineups'!C:C,A3,'Team Lineups'!G:G,"Win")</f>
        <v>0</v>
      </c>
      <c r="H3">
        <f>COUNTIFS('Team Lineups'!C:C,A3,'Team Lineups'!G:G,"Draw")</f>
        <v>1</v>
      </c>
      <c r="I3">
        <f>COUNTIFS('Team Lineups'!C:C,A3,'Team Lineups'!G:G,"Loss")</f>
        <v>0</v>
      </c>
      <c r="J3" s="3">
        <f t="shared" si="1"/>
        <v>0</v>
      </c>
      <c r="K3">
        <f>SUMIF('Team Lineups'!C:C,A3,'Team Lineups'!H:H)</f>
        <v>2</v>
      </c>
      <c r="L3">
        <f t="shared" si="2"/>
        <v>2</v>
      </c>
      <c r="M3">
        <f>SUMIF('Team Lineups'!C:C,A3,'Team Lineups'!I:I)</f>
        <v>0</v>
      </c>
      <c r="N3">
        <f>COUNTIF(Matches!G:G,A3)</f>
        <v>0</v>
      </c>
      <c r="O3">
        <f t="shared" si="3"/>
        <v>0</v>
      </c>
    </row>
    <row r="4" spans="1:15" x14ac:dyDescent="0.35">
      <c r="A4" t="s">
        <v>40</v>
      </c>
      <c r="C4">
        <f>COUNTIF('Team Lineups'!C:C,A4)</f>
        <v>0</v>
      </c>
      <c r="D4">
        <f>SUMIF('Team Lineups'!C:C,A4,'Team Lineups'!E:E)</f>
        <v>0</v>
      </c>
      <c r="E4">
        <f>SUMIF('Team Lineups'!C:C,A4,'Team Lineups'!F:F)</f>
        <v>0</v>
      </c>
      <c r="F4">
        <f t="shared" si="0"/>
        <v>0</v>
      </c>
      <c r="G4">
        <f>COUNTIFS('Team Lineups'!C:C,A4,'Team Lineups'!G:G,"Win")</f>
        <v>0</v>
      </c>
      <c r="H4">
        <f>COUNTIFS('Team Lineups'!C:C,A4,'Team Lineups'!G:G,"Draw")</f>
        <v>0</v>
      </c>
      <c r="I4">
        <f>COUNTIFS('Team Lineups'!C:C,A4,'Team Lineups'!G:G,"Loss")</f>
        <v>0</v>
      </c>
      <c r="J4" s="3" t="e">
        <f t="shared" si="1"/>
        <v>#DIV/0!</v>
      </c>
      <c r="K4">
        <f>SUMIF('Team Lineups'!C:C,A4,'Team Lineups'!H:H)</f>
        <v>0</v>
      </c>
      <c r="L4" t="e">
        <f t="shared" si="2"/>
        <v>#DIV/0!</v>
      </c>
      <c r="M4">
        <f>SUMIF('Team Lineups'!C:C,A4,'Team Lineups'!I:I)</f>
        <v>0</v>
      </c>
      <c r="N4">
        <f>COUNTIF(Matches!G:G,A4)</f>
        <v>0</v>
      </c>
      <c r="O4" t="e">
        <f t="shared" si="3"/>
        <v>#DIV/0!</v>
      </c>
    </row>
    <row r="5" spans="1:15" x14ac:dyDescent="0.35">
      <c r="A5" t="s">
        <v>16</v>
      </c>
      <c r="C5">
        <f>COUNTIF('Team Lineups'!C:C,A5)</f>
        <v>1</v>
      </c>
      <c r="D5">
        <f>SUMIF('Team Lineups'!C:C,A5,'Team Lineups'!E:E)</f>
        <v>7</v>
      </c>
      <c r="E5">
        <f>SUMIF('Team Lineups'!C:C,A5,'Team Lineups'!F:F)</f>
        <v>7</v>
      </c>
      <c r="F5">
        <f t="shared" si="0"/>
        <v>0</v>
      </c>
      <c r="G5">
        <f>COUNTIFS('Team Lineups'!C:C,A5,'Team Lineups'!G:G,"Win")</f>
        <v>0</v>
      </c>
      <c r="H5">
        <f>COUNTIFS('Team Lineups'!C:C,A5,'Team Lineups'!G:G,"Draw")</f>
        <v>1</v>
      </c>
      <c r="I5">
        <f>COUNTIFS('Team Lineups'!C:C,A5,'Team Lineups'!G:G,"Loss")</f>
        <v>0</v>
      </c>
      <c r="J5" s="3">
        <f t="shared" si="1"/>
        <v>0</v>
      </c>
      <c r="K5">
        <f>SUMIF('Team Lineups'!C:C,A5,'Team Lineups'!H:H)</f>
        <v>2</v>
      </c>
      <c r="L5">
        <f t="shared" si="2"/>
        <v>2</v>
      </c>
      <c r="M5">
        <f>SUMIF('Team Lineups'!C:C,A5,'Team Lineups'!I:I)</f>
        <v>2</v>
      </c>
      <c r="N5">
        <f>COUNTIF(Matches!G:G,A5)</f>
        <v>0</v>
      </c>
      <c r="O5">
        <f t="shared" si="3"/>
        <v>0</v>
      </c>
    </row>
    <row r="6" spans="1:15" x14ac:dyDescent="0.35">
      <c r="A6" t="s">
        <v>41</v>
      </c>
      <c r="C6">
        <f>COUNTIF('Team Lineups'!C:C,A6)</f>
        <v>0</v>
      </c>
      <c r="D6">
        <f>SUMIF('Team Lineups'!C:C,A6,'Team Lineups'!E:E)</f>
        <v>0</v>
      </c>
      <c r="E6">
        <f>SUMIF('Team Lineups'!C:C,A6,'Team Lineups'!F:F)</f>
        <v>0</v>
      </c>
      <c r="F6">
        <f t="shared" si="0"/>
        <v>0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0</v>
      </c>
      <c r="J6" s="3" t="e">
        <f t="shared" si="1"/>
        <v>#DIV/0!</v>
      </c>
      <c r="K6">
        <f>SUMIF('Team Lineups'!C:C,A6,'Team Lineups'!H:H)</f>
        <v>0</v>
      </c>
      <c r="L6" t="e">
        <f t="shared" si="2"/>
        <v>#DIV/0!</v>
      </c>
      <c r="M6">
        <f>SUMIF('Team Lineups'!C:C,A6,'Team Lineups'!I:I)</f>
        <v>0</v>
      </c>
      <c r="N6">
        <f>COUNTIF(Matches!G:G,A6)</f>
        <v>0</v>
      </c>
      <c r="O6" t="e">
        <f t="shared" si="3"/>
        <v>#DIV/0!</v>
      </c>
    </row>
    <row r="7" spans="1:15" x14ac:dyDescent="0.35">
      <c r="A7" t="s">
        <v>42</v>
      </c>
      <c r="C7">
        <f>COUNTIF('Team Lineups'!C:C,A7)</f>
        <v>0</v>
      </c>
      <c r="D7">
        <f>SUMIF('Team Lineups'!C:C,A7,'Team Lineups'!E:E)</f>
        <v>0</v>
      </c>
      <c r="E7">
        <f>SUMIF('Team Lineups'!C:C,A7,'Team Lineups'!F:F)</f>
        <v>0</v>
      </c>
      <c r="F7">
        <f t="shared" si="0"/>
        <v>0</v>
      </c>
      <c r="G7">
        <f>COUNTIFS('Team Lineups'!C:C,A7,'Team Lineups'!G:G,"Win")</f>
        <v>0</v>
      </c>
      <c r="H7">
        <f>COUNTIFS('Team Lineups'!C:C,A7,'Team Lineups'!G:G,"Draw")</f>
        <v>0</v>
      </c>
      <c r="I7">
        <f>COUNTIFS('Team Lineups'!C:C,A7,'Team Lineups'!G:G,"Loss")</f>
        <v>0</v>
      </c>
      <c r="J7" s="3" t="e">
        <f t="shared" si="1"/>
        <v>#DIV/0!</v>
      </c>
      <c r="K7">
        <f>SUMIF('Team Lineups'!C:C,A7,'Team Lineups'!H:H)</f>
        <v>0</v>
      </c>
      <c r="L7" t="e">
        <f t="shared" si="2"/>
        <v>#DIV/0!</v>
      </c>
      <c r="M7">
        <f>SUMIF('Team Lineups'!C:C,A7,'Team Lineups'!I:I)</f>
        <v>0</v>
      </c>
      <c r="N7">
        <f>COUNTIF(Matches!G:G,A7)</f>
        <v>0</v>
      </c>
      <c r="O7" t="e">
        <f t="shared" si="3"/>
        <v>#DIV/0!</v>
      </c>
    </row>
    <row r="8" spans="1:15" x14ac:dyDescent="0.35">
      <c r="A8" t="s">
        <v>19</v>
      </c>
      <c r="C8">
        <f>COUNTIF('Team Lineups'!C:C,A8)</f>
        <v>1</v>
      </c>
      <c r="D8">
        <f>SUMIF('Team Lineups'!C:C,A8,'Team Lineups'!E:E)</f>
        <v>7</v>
      </c>
      <c r="E8">
        <f>SUMIF('Team Lineups'!C:C,A8,'Team Lineups'!F:F)</f>
        <v>7</v>
      </c>
      <c r="F8">
        <f t="shared" si="0"/>
        <v>0</v>
      </c>
      <c r="G8">
        <f>COUNTIFS('Team Lineups'!C:C,A8,'Team Lineups'!G:G,"Win")</f>
        <v>0</v>
      </c>
      <c r="H8">
        <f>COUNTIFS('Team Lineups'!C:C,A8,'Team Lineups'!G:G,"Draw")</f>
        <v>1</v>
      </c>
      <c r="I8">
        <f>COUNTIFS('Team Lineups'!C:C,A8,'Team Lineups'!G:G,"Loss")</f>
        <v>0</v>
      </c>
      <c r="J8" s="3">
        <f t="shared" si="1"/>
        <v>0</v>
      </c>
      <c r="K8">
        <f>SUMIF('Team Lineups'!C:C,A8,'Team Lineups'!H:H)</f>
        <v>2</v>
      </c>
      <c r="L8">
        <f t="shared" si="2"/>
        <v>2</v>
      </c>
      <c r="M8">
        <f>SUMIF('Team Lineups'!C:C,A8,'Team Lineups'!I:I)</f>
        <v>0</v>
      </c>
      <c r="N8">
        <f>COUNTIF(Matches!G:G,A8)</f>
        <v>0</v>
      </c>
      <c r="O8">
        <f t="shared" si="3"/>
        <v>0</v>
      </c>
    </row>
    <row r="9" spans="1:15" x14ac:dyDescent="0.35">
      <c r="A9" t="s">
        <v>43</v>
      </c>
      <c r="C9">
        <f>COUNTIF('Team Lineups'!C:C,A9)</f>
        <v>0</v>
      </c>
      <c r="D9">
        <f>SUMIF('Team Lineups'!C:C,A9,'Team Lineups'!E:E)</f>
        <v>0</v>
      </c>
      <c r="E9">
        <f>SUMIF('Team Lineups'!C:C,A9,'Team Lineups'!F:F)</f>
        <v>0</v>
      </c>
      <c r="F9">
        <f t="shared" si="0"/>
        <v>0</v>
      </c>
      <c r="G9">
        <f>COUNTIFS('Team Lineups'!C:C,A9,'Team Lineups'!G:G,"Win")</f>
        <v>0</v>
      </c>
      <c r="H9">
        <f>COUNTIFS('Team Lineups'!C:C,A9,'Team Lineups'!G:G,"Draw")</f>
        <v>0</v>
      </c>
      <c r="I9">
        <f>COUNTIFS('Team Lineups'!C:C,A9,'Team Lineups'!G:G,"Loss")</f>
        <v>0</v>
      </c>
      <c r="J9" s="3" t="e">
        <f t="shared" si="1"/>
        <v>#DIV/0!</v>
      </c>
      <c r="K9">
        <f>SUMIF('Team Lineups'!C:C,A9,'Team Lineups'!H:H)</f>
        <v>0</v>
      </c>
      <c r="L9" t="e">
        <f t="shared" si="2"/>
        <v>#DIV/0!</v>
      </c>
      <c r="M9">
        <f>SUMIF('Team Lineups'!C:C,A9,'Team Lineups'!I:I)</f>
        <v>0</v>
      </c>
      <c r="N9">
        <f>COUNTIF(Matches!G:G,A9)</f>
        <v>0</v>
      </c>
      <c r="O9" t="e">
        <f t="shared" si="3"/>
        <v>#DIV/0!</v>
      </c>
    </row>
    <row r="10" spans="1:15" x14ac:dyDescent="0.35">
      <c r="A10" t="s">
        <v>44</v>
      </c>
      <c r="C10">
        <f>COUNTIF('Team Lineups'!C:C,A10)</f>
        <v>0</v>
      </c>
      <c r="D10">
        <f>SUMIF('Team Lineups'!C:C,A10,'Team Lineups'!E:E)</f>
        <v>0</v>
      </c>
      <c r="E10">
        <f>SUMIF('Team Lineups'!C:C,A10,'Team Lineups'!F:F)</f>
        <v>0</v>
      </c>
      <c r="F10">
        <f t="shared" si="0"/>
        <v>0</v>
      </c>
      <c r="G10">
        <f>COUNTIFS('Team Lineups'!C:C,A10,'Team Lineups'!G:G,"Win")</f>
        <v>0</v>
      </c>
      <c r="H10">
        <f>COUNTIFS('Team Lineups'!C:C,A10,'Team Lineups'!G:G,"Draw")</f>
        <v>0</v>
      </c>
      <c r="I10">
        <f>COUNTIFS('Team Lineups'!C:C,A10,'Team Lineups'!G:G,"Loss")</f>
        <v>0</v>
      </c>
      <c r="J10" s="3" t="e">
        <f t="shared" si="1"/>
        <v>#DIV/0!</v>
      </c>
      <c r="K10">
        <f>SUMIF('Team Lineups'!C:C,A10,'Team Lineups'!H:H)</f>
        <v>0</v>
      </c>
      <c r="L10" t="e">
        <f t="shared" si="2"/>
        <v>#DIV/0!</v>
      </c>
      <c r="M10">
        <f>SUMIF('Team Lineups'!C:C,A10,'Team Lineups'!I:I)</f>
        <v>0</v>
      </c>
      <c r="N10">
        <f>COUNTIF(Matches!G:G,A10)</f>
        <v>0</v>
      </c>
      <c r="O10" t="e">
        <f t="shared" si="3"/>
        <v>#DIV/0!</v>
      </c>
    </row>
    <row r="11" spans="1:15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</row>
    <row r="12" spans="1:15" x14ac:dyDescent="0.35">
      <c r="A12" t="s">
        <v>46</v>
      </c>
      <c r="C12">
        <f>COUNTIF('Team Lineups'!C:C,A12)</f>
        <v>0</v>
      </c>
      <c r="D12">
        <f>SUMIF('Team Lineups'!C:C,A12,'Team Lineups'!E:E)</f>
        <v>0</v>
      </c>
      <c r="E12">
        <f>SUMIF('Team Lineups'!C:C,A12,'Team Lineups'!F:F)</f>
        <v>0</v>
      </c>
      <c r="F12">
        <f t="shared" si="0"/>
        <v>0</v>
      </c>
      <c r="G12">
        <f>COUNTIFS('Team Lineups'!C:C,A12,'Team Lineups'!G:G,"Win")</f>
        <v>0</v>
      </c>
      <c r="H12">
        <f>COUNTIFS('Team Lineups'!C:C,A12,'Team Lineups'!G:G,"Draw")</f>
        <v>0</v>
      </c>
      <c r="I12">
        <f>COUNTIFS('Team Lineups'!C:C,A12,'Team Lineups'!G:G,"Loss")</f>
        <v>0</v>
      </c>
      <c r="J12" s="3" t="e">
        <f t="shared" si="1"/>
        <v>#DIV/0!</v>
      </c>
      <c r="K12">
        <f>SUMIF('Team Lineups'!C:C,A12,'Team Lineups'!H:H)</f>
        <v>0</v>
      </c>
      <c r="L12" t="e">
        <f t="shared" si="2"/>
        <v>#DIV/0!</v>
      </c>
      <c r="M12">
        <f>SUMIF('Team Lineups'!C:C,A12,'Team Lineups'!I:I)</f>
        <v>0</v>
      </c>
      <c r="N12">
        <f>COUNTIF(Matches!G:G,A12)</f>
        <v>0</v>
      </c>
      <c r="O12" t="e">
        <f t="shared" si="3"/>
        <v>#DIV/0!</v>
      </c>
    </row>
    <row r="13" spans="1:15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</row>
    <row r="14" spans="1:15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</row>
    <row r="15" spans="1:15" x14ac:dyDescent="0.35">
      <c r="A15" t="s">
        <v>49</v>
      </c>
      <c r="C15">
        <f>COUNTIF('Team Lineups'!C:C,A15)</f>
        <v>0</v>
      </c>
      <c r="D15">
        <f>SUMIF('Team Lineups'!C:C,A15,'Team Lineups'!E:E)</f>
        <v>0</v>
      </c>
      <c r="E15">
        <f>SUMIF('Team Lineups'!C:C,A15,'Team Lineups'!F:F)</f>
        <v>0</v>
      </c>
      <c r="F15">
        <f t="shared" si="0"/>
        <v>0</v>
      </c>
      <c r="G15">
        <f>COUNTIFS('Team Lineups'!C:C,A15,'Team Lineups'!G:G,"Win")</f>
        <v>0</v>
      </c>
      <c r="H15">
        <f>COUNTIFS('Team Lineups'!C:C,A15,'Team Lineups'!G:G,"Draw")</f>
        <v>0</v>
      </c>
      <c r="I15">
        <f>COUNTIFS('Team Lineups'!C:C,A15,'Team Lineups'!G:G,"Loss")</f>
        <v>0</v>
      </c>
      <c r="J15" s="3" t="e">
        <f t="shared" si="1"/>
        <v>#DIV/0!</v>
      </c>
      <c r="K15">
        <f>SUMIF('Team Lineups'!C:C,A15,'Team Lineups'!H:H)</f>
        <v>0</v>
      </c>
      <c r="L15" t="e">
        <f t="shared" si="2"/>
        <v>#DIV/0!</v>
      </c>
      <c r="M15">
        <f>SUMIF('Team Lineups'!C:C,A15,'Team Lineups'!I:I)</f>
        <v>0</v>
      </c>
      <c r="N15">
        <f>COUNTIF(Matches!G:G,A15)</f>
        <v>0</v>
      </c>
      <c r="O15" t="e">
        <f t="shared" si="3"/>
        <v>#DIV/0!</v>
      </c>
    </row>
    <row r="16" spans="1:15" x14ac:dyDescent="0.35">
      <c r="A16" t="s">
        <v>24</v>
      </c>
      <c r="C16">
        <f>COUNTIF('Team Lineups'!C:C,A16)</f>
        <v>1</v>
      </c>
      <c r="D16">
        <f>SUMIF('Team Lineups'!C:C,A16,'Team Lineups'!E:E)</f>
        <v>7</v>
      </c>
      <c r="E16">
        <f>SUMIF('Team Lineups'!C:C,A16,'Team Lineups'!F:F)</f>
        <v>7</v>
      </c>
      <c r="F16">
        <f t="shared" si="0"/>
        <v>0</v>
      </c>
      <c r="G16">
        <f>COUNTIFS('Team Lineups'!C:C,A16,'Team Lineups'!G:G,"Win")</f>
        <v>0</v>
      </c>
      <c r="H16">
        <f>COUNTIFS('Team Lineups'!C:C,A16,'Team Lineups'!G:G,"Draw")</f>
        <v>1</v>
      </c>
      <c r="I16">
        <f>COUNTIFS('Team Lineups'!C:C,A16,'Team Lineups'!G:G,"Loss")</f>
        <v>0</v>
      </c>
      <c r="J16" s="3">
        <f t="shared" si="1"/>
        <v>0</v>
      </c>
      <c r="K16">
        <f>SUMIF('Team Lineups'!C:C,A16,'Team Lineups'!H:H)</f>
        <v>1</v>
      </c>
      <c r="L16">
        <f t="shared" si="2"/>
        <v>1</v>
      </c>
      <c r="M16">
        <f>SUMIF('Team Lineups'!C:C,A16,'Team Lineups'!I:I)</f>
        <v>0</v>
      </c>
      <c r="N16">
        <f>COUNTIF(Matches!G:G,A16)</f>
        <v>0</v>
      </c>
      <c r="O16">
        <f t="shared" si="3"/>
        <v>0</v>
      </c>
    </row>
    <row r="17" spans="1:15" x14ac:dyDescent="0.35">
      <c r="A17" t="s">
        <v>20</v>
      </c>
      <c r="C17">
        <f>COUNTIF('Team Lineups'!C:C,A17)</f>
        <v>1</v>
      </c>
      <c r="D17">
        <f>SUMIF('Team Lineups'!C:C,A17,'Team Lineups'!E:E)</f>
        <v>7</v>
      </c>
      <c r="E17">
        <f>SUMIF('Team Lineups'!C:C,A17,'Team Lineups'!F:F)</f>
        <v>7</v>
      </c>
      <c r="F17">
        <f t="shared" si="0"/>
        <v>0</v>
      </c>
      <c r="G17">
        <f>COUNTIFS('Team Lineups'!C:C,A17,'Team Lineups'!G:G,"Win")</f>
        <v>0</v>
      </c>
      <c r="H17">
        <f>COUNTIFS('Team Lineups'!C:C,A17,'Team Lineups'!G:G,"Draw")</f>
        <v>1</v>
      </c>
      <c r="I17">
        <f>COUNTIFS('Team Lineups'!C:C,A17,'Team Lineups'!G:G,"Loss")</f>
        <v>0</v>
      </c>
      <c r="J17" s="3">
        <f t="shared" si="1"/>
        <v>0</v>
      </c>
      <c r="K17">
        <f>SUMIF('Team Lineups'!C:C,A17,'Team Lineups'!H:H)</f>
        <v>0</v>
      </c>
      <c r="L17">
        <f t="shared" si="2"/>
        <v>0</v>
      </c>
      <c r="M17">
        <f>SUMIF('Team Lineups'!C:C,A17,'Team Lineups'!I:I)</f>
        <v>0</v>
      </c>
      <c r="N17">
        <f>COUNTIF(Matches!G:G,A17)</f>
        <v>0</v>
      </c>
      <c r="O17">
        <f t="shared" si="3"/>
        <v>0</v>
      </c>
    </row>
    <row r="18" spans="1:15" x14ac:dyDescent="0.35">
      <c r="A18" t="s">
        <v>21</v>
      </c>
      <c r="C18">
        <f>COUNTIF('Team Lineups'!C:C,A18)</f>
        <v>1</v>
      </c>
      <c r="D18">
        <f>SUMIF('Team Lineups'!C:C,A18,'Team Lineups'!E:E)</f>
        <v>7</v>
      </c>
      <c r="E18">
        <f>SUMIF('Team Lineups'!C:C,A18,'Team Lineups'!F:F)</f>
        <v>7</v>
      </c>
      <c r="F18">
        <f t="shared" si="0"/>
        <v>0</v>
      </c>
      <c r="G18">
        <f>COUNTIFS('Team Lineups'!C:C,A18,'Team Lineups'!G:G,"Win")</f>
        <v>0</v>
      </c>
      <c r="H18">
        <f>COUNTIFS('Team Lineups'!C:C,A18,'Team Lineups'!G:G,"Draw")</f>
        <v>1</v>
      </c>
      <c r="I18">
        <f>COUNTIFS('Team Lineups'!C:C,A18,'Team Lineups'!G:G,"Loss")</f>
        <v>0</v>
      </c>
      <c r="J18" s="3">
        <f t="shared" si="1"/>
        <v>0</v>
      </c>
      <c r="K18">
        <f>SUMIF('Team Lineups'!C:C,A18,'Team Lineups'!H:H)</f>
        <v>0</v>
      </c>
      <c r="L18">
        <f t="shared" si="2"/>
        <v>0</v>
      </c>
      <c r="M18">
        <f>SUMIF('Team Lineups'!C:C,A18,'Team Lineups'!I:I)</f>
        <v>0</v>
      </c>
      <c r="N18">
        <f>COUNTIF(Matches!G:G,A18)</f>
        <v>0</v>
      </c>
      <c r="O18">
        <f t="shared" si="3"/>
        <v>0</v>
      </c>
    </row>
    <row r="19" spans="1:15" x14ac:dyDescent="0.35">
      <c r="A19" t="s">
        <v>50</v>
      </c>
      <c r="C19">
        <f>COUNTIF('Team Lineups'!C:C,A19)</f>
        <v>0</v>
      </c>
      <c r="D19">
        <f>SUMIF('Team Lineups'!C:C,A19,'Team Lineups'!E:E)</f>
        <v>0</v>
      </c>
      <c r="E19">
        <f>SUMIF('Team Lineups'!C:C,A19,'Team Lineups'!F:F)</f>
        <v>0</v>
      </c>
      <c r="F19">
        <f t="shared" si="0"/>
        <v>0</v>
      </c>
      <c r="G19">
        <f>COUNTIFS('Team Lineups'!C:C,A19,'Team Lineups'!G:G,"Win")</f>
        <v>0</v>
      </c>
      <c r="H19">
        <f>COUNTIFS('Team Lineups'!C:C,A19,'Team Lineups'!G:G,"Draw")</f>
        <v>0</v>
      </c>
      <c r="I19">
        <f>COUNTIFS('Team Lineups'!C:C,A19,'Team Lineups'!G:G,"Loss")</f>
        <v>0</v>
      </c>
      <c r="J19" s="3" t="e">
        <f t="shared" si="1"/>
        <v>#DIV/0!</v>
      </c>
      <c r="K19">
        <f>SUMIF('Team Lineups'!C:C,A19,'Team Lineups'!H:H)</f>
        <v>0</v>
      </c>
      <c r="L19" t="e">
        <f t="shared" si="2"/>
        <v>#DIV/0!</v>
      </c>
      <c r="M19">
        <f>SUMIF('Team Lineups'!C:C,A19,'Team Lineups'!I:I)</f>
        <v>0</v>
      </c>
      <c r="N19">
        <f>COUNTIF(Matches!G:G,A19)</f>
        <v>0</v>
      </c>
      <c r="O19" t="e">
        <f t="shared" si="3"/>
        <v>#DIV/0!</v>
      </c>
    </row>
    <row r="20" spans="1:15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</row>
    <row r="21" spans="1:15" x14ac:dyDescent="0.35">
      <c r="A21" t="s">
        <v>51</v>
      </c>
      <c r="C21">
        <f>COUNTIF('Team Lineups'!C:C,A21)</f>
        <v>0</v>
      </c>
      <c r="D21">
        <f>SUMIF('Team Lineups'!C:C,A21,'Team Lineups'!E:E)</f>
        <v>0</v>
      </c>
      <c r="E21">
        <f>SUMIF('Team Lineups'!C:C,A21,'Team Lineups'!F:F)</f>
        <v>0</v>
      </c>
      <c r="F21">
        <f t="shared" si="0"/>
        <v>0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0</v>
      </c>
      <c r="J21" s="3" t="e">
        <f t="shared" si="1"/>
        <v>#DIV/0!</v>
      </c>
      <c r="K21">
        <f>SUMIF('Team Lineups'!C:C,A21,'Team Lineups'!H:H)</f>
        <v>0</v>
      </c>
      <c r="L21" t="e">
        <f t="shared" si="2"/>
        <v>#DIV/0!</v>
      </c>
      <c r="M21">
        <f>SUMIF('Team Lineups'!C:C,A21,'Team Lineups'!I:I)</f>
        <v>0</v>
      </c>
      <c r="N21">
        <f>COUNTIF(Matches!G:G,A21)</f>
        <v>0</v>
      </c>
      <c r="O21" t="e">
        <f t="shared" si="3"/>
        <v>#DIV/0!</v>
      </c>
    </row>
    <row r="22" spans="1:15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</row>
    <row r="23" spans="1:15" x14ac:dyDescent="0.35">
      <c r="A23" t="s">
        <v>22</v>
      </c>
      <c r="C23">
        <f>COUNTIF('Team Lineups'!C:C,A23)</f>
        <v>1</v>
      </c>
      <c r="D23">
        <f>SUMIF('Team Lineups'!C:C,A23,'Team Lineups'!E:E)</f>
        <v>7</v>
      </c>
      <c r="E23">
        <f>SUMIF('Team Lineups'!C:C,A23,'Team Lineups'!F:F)</f>
        <v>7</v>
      </c>
      <c r="F23">
        <f t="shared" si="0"/>
        <v>0</v>
      </c>
      <c r="G23">
        <f>COUNTIFS('Team Lineups'!C:C,A23,'Team Lineups'!G:G,"Win")</f>
        <v>0</v>
      </c>
      <c r="H23">
        <f>COUNTIFS('Team Lineups'!C:C,A23,'Team Lineups'!G:G,"Draw")</f>
        <v>1</v>
      </c>
      <c r="I23">
        <f>COUNTIFS('Team Lineups'!C:C,A23,'Team Lineups'!G:G,"Loss")</f>
        <v>0</v>
      </c>
      <c r="J23" s="3">
        <f t="shared" si="1"/>
        <v>0</v>
      </c>
      <c r="K23">
        <f>SUMIF('Team Lineups'!C:C,A23,'Team Lineups'!H:H)</f>
        <v>0</v>
      </c>
      <c r="L23">
        <f t="shared" si="2"/>
        <v>0</v>
      </c>
      <c r="M23">
        <f>SUMIF('Team Lineups'!C:C,A23,'Team Lineups'!I:I)</f>
        <v>0</v>
      </c>
      <c r="N23">
        <f>COUNTIF(Matches!G:G,A23)</f>
        <v>0</v>
      </c>
      <c r="O23">
        <f t="shared" si="3"/>
        <v>0</v>
      </c>
    </row>
    <row r="24" spans="1:15" x14ac:dyDescent="0.35">
      <c r="A24" t="s">
        <v>25</v>
      </c>
      <c r="C24">
        <f>COUNTIF('Team Lineups'!C:C,A24)</f>
        <v>1</v>
      </c>
      <c r="D24">
        <f>SUMIF('Team Lineups'!C:C,A24,'Team Lineups'!E:E)</f>
        <v>7</v>
      </c>
      <c r="E24">
        <f>SUMIF('Team Lineups'!C:C,A24,'Team Lineups'!F:F)</f>
        <v>7</v>
      </c>
      <c r="F24">
        <f t="shared" si="0"/>
        <v>0</v>
      </c>
      <c r="G24">
        <f>COUNTIFS('Team Lineups'!C:C,A24,'Team Lineups'!G:G,"Win")</f>
        <v>0</v>
      </c>
      <c r="H24">
        <f>COUNTIFS('Team Lineups'!C:C,A24,'Team Lineups'!G:G,"Draw")</f>
        <v>1</v>
      </c>
      <c r="I24">
        <f>COUNTIFS('Team Lineups'!C:C,A24,'Team Lineups'!G:G,"Loss")</f>
        <v>0</v>
      </c>
      <c r="J24" s="3">
        <f t="shared" si="1"/>
        <v>0</v>
      </c>
      <c r="K24">
        <f>SUMIF('Team Lineups'!C:C,A24,'Team Lineups'!H:H)</f>
        <v>0</v>
      </c>
      <c r="L24">
        <f t="shared" si="2"/>
        <v>0</v>
      </c>
      <c r="M24">
        <f>SUMIF('Team Lineups'!C:C,A24,'Team Lineups'!I:I)</f>
        <v>0</v>
      </c>
      <c r="N24">
        <f>COUNTIF(Matches!G:G,A24)</f>
        <v>0</v>
      </c>
      <c r="O24">
        <f t="shared" si="3"/>
        <v>0</v>
      </c>
    </row>
    <row r="25" spans="1:15" x14ac:dyDescent="0.35">
      <c r="A25" t="s">
        <v>53</v>
      </c>
      <c r="C25">
        <f>COUNTIF('Team Lineups'!C:C,A25)</f>
        <v>0</v>
      </c>
      <c r="D25">
        <f>SUMIF('Team Lineups'!C:C,A25,'Team Lineups'!E:E)</f>
        <v>0</v>
      </c>
      <c r="E25">
        <f>SUMIF('Team Lineups'!C:C,A25,'Team Lineups'!F:F)</f>
        <v>0</v>
      </c>
      <c r="F25">
        <f t="shared" si="0"/>
        <v>0</v>
      </c>
      <c r="G25">
        <f>COUNTIFS('Team Lineups'!C:C,A25,'Team Lineups'!G:G,"Win")</f>
        <v>0</v>
      </c>
      <c r="H25">
        <f>COUNTIFS('Team Lineups'!C:C,A25,'Team Lineups'!G:G,"Draw")</f>
        <v>0</v>
      </c>
      <c r="I25">
        <f>COUNTIFS('Team Lineups'!C:C,A25,'Team Lineups'!G:G,"Loss")</f>
        <v>0</v>
      </c>
      <c r="J25" s="3" t="e">
        <f t="shared" si="1"/>
        <v>#DIV/0!</v>
      </c>
      <c r="K25">
        <f>SUMIF('Team Lineups'!C:C,A25,'Team Lineups'!H:H)</f>
        <v>0</v>
      </c>
      <c r="L25" t="e">
        <f t="shared" si="2"/>
        <v>#DIV/0!</v>
      </c>
      <c r="M25">
        <f>SUMIF('Team Lineups'!C:C,A25,'Team Lineups'!I:I)</f>
        <v>0</v>
      </c>
      <c r="N25">
        <f>COUNTIF(Matches!G:G,A25)</f>
        <v>0</v>
      </c>
      <c r="O25" t="e">
        <f t="shared" si="3"/>
        <v>#DIV/0!</v>
      </c>
    </row>
    <row r="26" spans="1:15" x14ac:dyDescent="0.35">
      <c r="A26" t="s">
        <v>54</v>
      </c>
      <c r="C26">
        <f>COUNTIF('Team Lineups'!C:C,A26)</f>
        <v>0</v>
      </c>
      <c r="D26">
        <f>SUMIF('Team Lineups'!C:C,A26,'Team Lineups'!E:E)</f>
        <v>0</v>
      </c>
      <c r="E26">
        <f>SUMIF('Team Lineups'!C:C,A26,'Team Lineups'!F:F)</f>
        <v>0</v>
      </c>
      <c r="F26">
        <f t="shared" si="0"/>
        <v>0</v>
      </c>
      <c r="G26">
        <f>COUNTIFS('Team Lineups'!C:C,A26,'Team Lineups'!G:G,"Win")</f>
        <v>0</v>
      </c>
      <c r="H26">
        <f>COUNTIFS('Team Lineups'!C:C,A26,'Team Lineups'!G:G,"Draw")</f>
        <v>0</v>
      </c>
      <c r="I26">
        <f>COUNTIFS('Team Lineups'!C:C,A26,'Team Lineups'!G:G,"Loss")</f>
        <v>0</v>
      </c>
      <c r="J26" s="3" t="e">
        <f t="shared" si="1"/>
        <v>#DIV/0!</v>
      </c>
      <c r="K26">
        <f>SUMIF('Team Lineups'!C:C,A26,'Team Lineups'!H:H)</f>
        <v>0</v>
      </c>
      <c r="L26" t="e">
        <f t="shared" si="2"/>
        <v>#DIV/0!</v>
      </c>
      <c r="M26">
        <f>SUMIF('Team Lineups'!C:C,A26,'Team Lineups'!I:I)</f>
        <v>0</v>
      </c>
      <c r="N26">
        <f>COUNTIF(Matches!G:G,A26)</f>
        <v>0</v>
      </c>
      <c r="O26" t="e">
        <f t="shared" si="3"/>
        <v>#DIV/0!</v>
      </c>
    </row>
    <row r="27" spans="1:15" x14ac:dyDescent="0.35">
      <c r="A27" t="s">
        <v>55</v>
      </c>
      <c r="C27">
        <f>COUNTIF('Team Lineups'!C:C,A27)</f>
        <v>0</v>
      </c>
      <c r="D27">
        <f>SUMIF('Team Lineups'!C:C,A27,'Team Lineups'!E:E)</f>
        <v>0</v>
      </c>
      <c r="E27">
        <f>SUMIF('Team Lineups'!C:C,A27,'Team Lineups'!F:F)</f>
        <v>0</v>
      </c>
      <c r="F27">
        <f t="shared" si="0"/>
        <v>0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0</v>
      </c>
      <c r="J27" s="3" t="e">
        <f t="shared" si="1"/>
        <v>#DIV/0!</v>
      </c>
      <c r="K27">
        <f>SUMIF('Team Lineups'!C:C,A27,'Team Lineups'!H:H)</f>
        <v>0</v>
      </c>
      <c r="L27" t="e">
        <f t="shared" si="2"/>
        <v>#DIV/0!</v>
      </c>
      <c r="M27">
        <f>SUMIF('Team Lineups'!C:C,A27,'Team Lineups'!I:I)</f>
        <v>0</v>
      </c>
      <c r="N27">
        <f>COUNTIF(Matches!G:G,A27)</f>
        <v>0</v>
      </c>
      <c r="O27" t="e">
        <f t="shared" si="3"/>
        <v>#DIV/0!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2025-11-18T12:36:48Z</dcterms:modified>
</cp:coreProperties>
</file>