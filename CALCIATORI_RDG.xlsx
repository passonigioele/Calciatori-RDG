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44DE2B35-0798-4A52-B6F8-D3947431852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" l="1"/>
  <c r="G66" i="2"/>
  <c r="F66" i="2"/>
  <c r="E66" i="2"/>
  <c r="C33" i="3"/>
  <c r="D33" i="3"/>
  <c r="E33" i="3"/>
  <c r="G33" i="3"/>
  <c r="J33" i="3" s="1"/>
  <c r="H33" i="3"/>
  <c r="I33" i="3"/>
  <c r="K33" i="3"/>
  <c r="L33" i="3" s="1"/>
  <c r="M33" i="3"/>
  <c r="N33" i="3"/>
  <c r="O33" i="3" s="1"/>
  <c r="G56" i="2"/>
  <c r="G57" i="2"/>
  <c r="G63" i="2"/>
  <c r="G64" i="2"/>
  <c r="G65" i="2"/>
  <c r="F56" i="2"/>
  <c r="F57" i="2"/>
  <c r="F58" i="2"/>
  <c r="F59" i="2"/>
  <c r="F60" i="2"/>
  <c r="F61" i="2"/>
  <c r="G61" i="2" s="1"/>
  <c r="F62" i="2"/>
  <c r="F63" i="2"/>
  <c r="F64" i="2"/>
  <c r="F65" i="2"/>
  <c r="E56" i="2"/>
  <c r="E57" i="2"/>
  <c r="E58" i="2"/>
  <c r="G58" i="2" s="1"/>
  <c r="E59" i="2"/>
  <c r="G59" i="2" s="1"/>
  <c r="E60" i="2"/>
  <c r="E61" i="2"/>
  <c r="E62" i="2"/>
  <c r="G62" i="2" s="1"/>
  <c r="E63" i="2"/>
  <c r="E64" i="2"/>
  <c r="E65" i="2"/>
  <c r="E7" i="1"/>
  <c r="F7" i="1"/>
  <c r="F46" i="2"/>
  <c r="F47" i="2"/>
  <c r="F48" i="2"/>
  <c r="F49" i="2"/>
  <c r="F50" i="2"/>
  <c r="G50" i="2" s="1"/>
  <c r="G32" i="3" s="1"/>
  <c r="J32" i="3" s="1"/>
  <c r="F51" i="2"/>
  <c r="F52" i="2"/>
  <c r="F53" i="2"/>
  <c r="F54" i="2"/>
  <c r="F55" i="2"/>
  <c r="E21" i="3" s="1"/>
  <c r="E46" i="2"/>
  <c r="E47" i="2"/>
  <c r="E48" i="2"/>
  <c r="E49" i="2"/>
  <c r="E50" i="2"/>
  <c r="E51" i="2"/>
  <c r="E52" i="2"/>
  <c r="E53" i="2"/>
  <c r="E54" i="2"/>
  <c r="E55" i="2"/>
  <c r="D21" i="3" s="1"/>
  <c r="G47" i="2"/>
  <c r="G53" i="2"/>
  <c r="C32" i="3"/>
  <c r="D32" i="3"/>
  <c r="K32" i="3"/>
  <c r="M32" i="3"/>
  <c r="N32" i="3"/>
  <c r="F6" i="1"/>
  <c r="E6" i="1"/>
  <c r="E36" i="2"/>
  <c r="F36" i="2"/>
  <c r="E37" i="2"/>
  <c r="F37" i="2"/>
  <c r="E38" i="2"/>
  <c r="F38" i="2"/>
  <c r="E39" i="2"/>
  <c r="F39" i="2"/>
  <c r="E28" i="3" s="1"/>
  <c r="E40" i="2"/>
  <c r="D29" i="3" s="1"/>
  <c r="F40" i="2"/>
  <c r="E29" i="3" s="1"/>
  <c r="E41" i="2"/>
  <c r="F41" i="2"/>
  <c r="E42" i="2"/>
  <c r="F42" i="2"/>
  <c r="E43" i="2"/>
  <c r="F43" i="2"/>
  <c r="E44" i="2"/>
  <c r="F44" i="2"/>
  <c r="E30" i="3" s="1"/>
  <c r="E45" i="2"/>
  <c r="D31" i="3" s="1"/>
  <c r="F45" i="2"/>
  <c r="C31" i="3"/>
  <c r="K31" i="3"/>
  <c r="M31" i="3"/>
  <c r="N31" i="3"/>
  <c r="C28" i="3"/>
  <c r="K28" i="3"/>
  <c r="M28" i="3"/>
  <c r="N28" i="3"/>
  <c r="C29" i="3"/>
  <c r="K29" i="3"/>
  <c r="M29" i="3"/>
  <c r="N29" i="3"/>
  <c r="C30" i="3"/>
  <c r="K30" i="3"/>
  <c r="M30" i="3"/>
  <c r="N30" i="3"/>
  <c r="F5" i="1"/>
  <c r="E5" i="1"/>
  <c r="F26" i="2"/>
  <c r="F27" i="2"/>
  <c r="F28" i="2"/>
  <c r="F29" i="2"/>
  <c r="F30" i="2"/>
  <c r="F31" i="2"/>
  <c r="F32" i="2"/>
  <c r="F33" i="2"/>
  <c r="F34" i="2"/>
  <c r="E15" i="3" s="1"/>
  <c r="F35" i="2"/>
  <c r="E26" i="2"/>
  <c r="E27" i="2"/>
  <c r="E28" i="2"/>
  <c r="E29" i="2"/>
  <c r="E30" i="2"/>
  <c r="E31" i="2"/>
  <c r="E32" i="2"/>
  <c r="E33" i="2"/>
  <c r="E34" i="2"/>
  <c r="D15" i="3" s="1"/>
  <c r="E35" i="2"/>
  <c r="F4" i="1"/>
  <c r="E4" i="1"/>
  <c r="F22" i="2"/>
  <c r="F23" i="2"/>
  <c r="E19" i="3" s="1"/>
  <c r="F24" i="2"/>
  <c r="F25" i="2"/>
  <c r="E4" i="3" s="1"/>
  <c r="F12" i="2"/>
  <c r="F13" i="2"/>
  <c r="F14" i="2"/>
  <c r="F15" i="2"/>
  <c r="F16" i="2"/>
  <c r="F17" i="2"/>
  <c r="F18" i="2"/>
  <c r="E26" i="3" s="1"/>
  <c r="F19" i="2"/>
  <c r="F20" i="2"/>
  <c r="F21" i="2"/>
  <c r="F3" i="2"/>
  <c r="E3" i="3" s="1"/>
  <c r="F4" i="2"/>
  <c r="F5" i="2"/>
  <c r="F6" i="2"/>
  <c r="F7" i="2"/>
  <c r="F8" i="2"/>
  <c r="F9" i="2"/>
  <c r="F10" i="2"/>
  <c r="F11" i="2"/>
  <c r="E20" i="3" s="1"/>
  <c r="E3" i="2"/>
  <c r="D3" i="3" s="1"/>
  <c r="E4" i="2"/>
  <c r="E5" i="2"/>
  <c r="E6" i="2"/>
  <c r="E7" i="2"/>
  <c r="E8" i="2"/>
  <c r="E9" i="2"/>
  <c r="E10" i="2"/>
  <c r="E11" i="2"/>
  <c r="D20" i="3" s="1"/>
  <c r="E12" i="2"/>
  <c r="E13" i="2"/>
  <c r="E14" i="2"/>
  <c r="E15" i="2"/>
  <c r="E16" i="2"/>
  <c r="E17" i="2"/>
  <c r="E18" i="2"/>
  <c r="D26" i="3" s="1"/>
  <c r="E19" i="2"/>
  <c r="E20" i="2"/>
  <c r="E21" i="2"/>
  <c r="E22" i="2"/>
  <c r="E23" i="2"/>
  <c r="D19" i="3" s="1"/>
  <c r="E24" i="2"/>
  <c r="E25" i="2"/>
  <c r="D4" i="3" s="1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12" i="2"/>
  <c r="F3" i="1"/>
  <c r="F2" i="1"/>
  <c r="E3" i="1"/>
  <c r="B3" i="2"/>
  <c r="B4" i="2"/>
  <c r="B5" i="2"/>
  <c r="B6" i="2"/>
  <c r="B7" i="2"/>
  <c r="B8" i="2"/>
  <c r="B9" i="2"/>
  <c r="B10" i="2"/>
  <c r="B11" i="2"/>
  <c r="B2" i="2"/>
  <c r="D6" i="3"/>
  <c r="D11" i="3"/>
  <c r="D13" i="3"/>
  <c r="D14" i="3"/>
  <c r="D22" i="3"/>
  <c r="D27" i="3"/>
  <c r="N27" i="3"/>
  <c r="M27" i="3"/>
  <c r="K27" i="3"/>
  <c r="I27" i="3"/>
  <c r="H27" i="3"/>
  <c r="G27" i="3"/>
  <c r="E27" i="3"/>
  <c r="C27" i="3"/>
  <c r="N26" i="3"/>
  <c r="M26" i="3"/>
  <c r="K26" i="3"/>
  <c r="C26" i="3"/>
  <c r="N25" i="3"/>
  <c r="M25" i="3"/>
  <c r="K25" i="3"/>
  <c r="C25" i="3"/>
  <c r="N2" i="3"/>
  <c r="M2" i="3"/>
  <c r="K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C21" i="3"/>
  <c r="N24" i="3"/>
  <c r="M24" i="3"/>
  <c r="K24" i="3"/>
  <c r="C24" i="3"/>
  <c r="N19" i="3"/>
  <c r="M19" i="3"/>
  <c r="K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C12" i="3"/>
  <c r="N11" i="3"/>
  <c r="M11" i="3"/>
  <c r="K11" i="3"/>
  <c r="I11" i="3"/>
  <c r="H11" i="3"/>
  <c r="G11" i="3"/>
  <c r="E11" i="3"/>
  <c r="C11" i="3"/>
  <c r="N10" i="3"/>
  <c r="M10" i="3"/>
  <c r="K10" i="3"/>
  <c r="E10" i="3"/>
  <c r="C10" i="3"/>
  <c r="N9" i="3"/>
  <c r="M9" i="3"/>
  <c r="K9" i="3"/>
  <c r="C9" i="3"/>
  <c r="N20" i="3"/>
  <c r="M20" i="3"/>
  <c r="K20" i="3"/>
  <c r="C20" i="3"/>
  <c r="N7" i="3"/>
  <c r="M7" i="3"/>
  <c r="K7" i="3"/>
  <c r="C7" i="3"/>
  <c r="N6" i="3"/>
  <c r="M6" i="3"/>
  <c r="K6" i="3"/>
  <c r="I6" i="3"/>
  <c r="H6" i="3"/>
  <c r="G6" i="3"/>
  <c r="E6" i="3"/>
  <c r="C6" i="3"/>
  <c r="N18" i="3"/>
  <c r="M18" i="3"/>
  <c r="K18" i="3"/>
  <c r="C18" i="3"/>
  <c r="N4" i="3"/>
  <c r="M4" i="3"/>
  <c r="K4" i="3"/>
  <c r="C4" i="3"/>
  <c r="N17" i="3"/>
  <c r="M17" i="3"/>
  <c r="K17" i="3"/>
  <c r="C17" i="3"/>
  <c r="N16" i="3"/>
  <c r="M16" i="3"/>
  <c r="K16" i="3"/>
  <c r="C16" i="3"/>
  <c r="E2" i="2"/>
  <c r="E2" i="1"/>
  <c r="F33" i="3" l="1"/>
  <c r="O32" i="3"/>
  <c r="L32" i="3"/>
  <c r="O30" i="3"/>
  <c r="O31" i="3"/>
  <c r="G54" i="2"/>
  <c r="G49" i="2"/>
  <c r="D5" i="3"/>
  <c r="E32" i="3"/>
  <c r="F32" i="3" s="1"/>
  <c r="G46" i="2"/>
  <c r="G52" i="2"/>
  <c r="G55" i="2"/>
  <c r="G21" i="3" s="1"/>
  <c r="J21" i="3" s="1"/>
  <c r="G51" i="2"/>
  <c r="G48" i="2"/>
  <c r="I32" i="3"/>
  <c r="H32" i="3"/>
  <c r="L29" i="3"/>
  <c r="O29" i="3"/>
  <c r="D23" i="3"/>
  <c r="E12" i="3"/>
  <c r="G39" i="2"/>
  <c r="G28" i="3" s="1"/>
  <c r="J28" i="3" s="1"/>
  <c r="D18" i="3"/>
  <c r="G29" i="2"/>
  <c r="G45" i="2"/>
  <c r="I31" i="3" s="1"/>
  <c r="G44" i="2"/>
  <c r="G30" i="3" s="1"/>
  <c r="J30" i="3" s="1"/>
  <c r="G38" i="2"/>
  <c r="G42" i="2"/>
  <c r="G36" i="2"/>
  <c r="D28" i="3"/>
  <c r="F28" i="3" s="1"/>
  <c r="G43" i="2"/>
  <c r="G8" i="2"/>
  <c r="G40" i="2"/>
  <c r="G29" i="3" s="1"/>
  <c r="J29" i="3" s="1"/>
  <c r="D30" i="3"/>
  <c r="F30" i="3" s="1"/>
  <c r="G37" i="2"/>
  <c r="E31" i="3"/>
  <c r="F31" i="3" s="1"/>
  <c r="G41" i="2"/>
  <c r="G28" i="2"/>
  <c r="H31" i="3"/>
  <c r="L28" i="3"/>
  <c r="L31" i="3"/>
  <c r="L30" i="3"/>
  <c r="F29" i="3"/>
  <c r="O28" i="3"/>
  <c r="G13" i="2"/>
  <c r="G32" i="2"/>
  <c r="G34" i="2"/>
  <c r="G15" i="3" s="1"/>
  <c r="J15" i="3" s="1"/>
  <c r="D7" i="3"/>
  <c r="G19" i="2"/>
  <c r="G27" i="2"/>
  <c r="H10" i="3" s="1"/>
  <c r="G26" i="2"/>
  <c r="D9" i="3"/>
  <c r="E2" i="3"/>
  <c r="G24" i="2"/>
  <c r="D25" i="3"/>
  <c r="G21" i="2"/>
  <c r="H16" i="3" s="1"/>
  <c r="E8" i="3"/>
  <c r="G31" i="2"/>
  <c r="G20" i="2"/>
  <c r="E25" i="3"/>
  <c r="G30" i="2"/>
  <c r="D10" i="3"/>
  <c r="F10" i="3" s="1"/>
  <c r="H15" i="3"/>
  <c r="I15" i="3"/>
  <c r="G35" i="2"/>
  <c r="G33" i="2"/>
  <c r="G16" i="2"/>
  <c r="G22" i="2"/>
  <c r="E7" i="3"/>
  <c r="J27" i="3"/>
  <c r="G10" i="2"/>
  <c r="G14" i="2"/>
  <c r="D17" i="3"/>
  <c r="G11" i="2"/>
  <c r="H20" i="3" s="1"/>
  <c r="G17" i="2"/>
  <c r="G15" i="2"/>
  <c r="G23" i="2"/>
  <c r="G19" i="3" s="1"/>
  <c r="J19" i="3" s="1"/>
  <c r="D12" i="3"/>
  <c r="D2" i="3"/>
  <c r="G18" i="2"/>
  <c r="I26" i="3" s="1"/>
  <c r="E9" i="3"/>
  <c r="E16" i="3"/>
  <c r="E23" i="3"/>
  <c r="G25" i="2"/>
  <c r="G12" i="2"/>
  <c r="E24" i="3"/>
  <c r="F20" i="3"/>
  <c r="F19" i="3"/>
  <c r="F6" i="3"/>
  <c r="F11" i="3"/>
  <c r="O12" i="3"/>
  <c r="F15" i="3"/>
  <c r="G7" i="2"/>
  <c r="G4" i="2"/>
  <c r="D8" i="3"/>
  <c r="G3" i="2"/>
  <c r="I3" i="3" s="1"/>
  <c r="D16" i="3"/>
  <c r="O5" i="3"/>
  <c r="L11" i="3"/>
  <c r="L4" i="3"/>
  <c r="J11" i="3"/>
  <c r="J14" i="3"/>
  <c r="O23" i="3"/>
  <c r="O21" i="3"/>
  <c r="O18" i="3"/>
  <c r="F27" i="3"/>
  <c r="F26" i="3"/>
  <c r="O11" i="3"/>
  <c r="O2" i="3"/>
  <c r="O13" i="3"/>
  <c r="O26" i="3"/>
  <c r="O14" i="3"/>
  <c r="F13" i="3"/>
  <c r="L3" i="3"/>
  <c r="O6" i="3"/>
  <c r="F22" i="3"/>
  <c r="O17" i="3"/>
  <c r="F21" i="3"/>
  <c r="O9" i="3"/>
  <c r="F3" i="3"/>
  <c r="L9" i="3"/>
  <c r="L18" i="3"/>
  <c r="L20" i="3"/>
  <c r="L8" i="3"/>
  <c r="L16" i="3"/>
  <c r="O3" i="3"/>
  <c r="O24" i="3"/>
  <c r="O8" i="3"/>
  <c r="F14" i="3"/>
  <c r="L21" i="3"/>
  <c r="J13" i="3"/>
  <c r="O15" i="3"/>
  <c r="L12" i="3"/>
  <c r="F4" i="3"/>
  <c r="L10" i="3"/>
  <c r="O10" i="3"/>
  <c r="L26" i="3"/>
  <c r="O27" i="3"/>
  <c r="L5" i="3"/>
  <c r="J22" i="3"/>
  <c r="L25" i="3"/>
  <c r="J6" i="3"/>
  <c r="L27" i="3"/>
  <c r="O20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I16" i="3"/>
  <c r="E18" i="3"/>
  <c r="G6" i="2"/>
  <c r="L14" i="3"/>
  <c r="O16" i="3"/>
  <c r="F2" i="2"/>
  <c r="H21" i="3" l="1"/>
  <c r="I21" i="3"/>
  <c r="F23" i="3"/>
  <c r="I29" i="3"/>
  <c r="H29" i="3"/>
  <c r="F18" i="3"/>
  <c r="F12" i="3"/>
  <c r="H28" i="3"/>
  <c r="I30" i="3"/>
  <c r="G16" i="3"/>
  <c r="J16" i="3" s="1"/>
  <c r="H12" i="3"/>
  <c r="H30" i="3"/>
  <c r="G31" i="3"/>
  <c r="J31" i="3" s="1"/>
  <c r="I28" i="3"/>
  <c r="H8" i="3"/>
  <c r="I23" i="3"/>
  <c r="I7" i="3"/>
  <c r="I10" i="3"/>
  <c r="F8" i="3"/>
  <c r="H2" i="3"/>
  <c r="H9" i="3"/>
  <c r="F9" i="3"/>
  <c r="G9" i="3"/>
  <c r="J9" i="3" s="1"/>
  <c r="F7" i="3"/>
  <c r="F2" i="3"/>
  <c r="I12" i="3"/>
  <c r="G10" i="3"/>
  <c r="J10" i="3" s="1"/>
  <c r="F25" i="3"/>
  <c r="G20" i="3"/>
  <c r="J20" i="3" s="1"/>
  <c r="I9" i="3"/>
  <c r="G2" i="3"/>
  <c r="J2" i="3" s="1"/>
  <c r="G12" i="3"/>
  <c r="J12" i="3" s="1"/>
  <c r="I2" i="3"/>
  <c r="J7" i="3"/>
  <c r="H26" i="3"/>
  <c r="H7" i="3"/>
  <c r="G26" i="3"/>
  <c r="J26" i="3" s="1"/>
  <c r="I20" i="3"/>
  <c r="F16" i="3"/>
  <c r="H19" i="3"/>
  <c r="I19" i="3"/>
  <c r="I25" i="3"/>
  <c r="H25" i="3"/>
  <c r="G25" i="3"/>
  <c r="J25" i="3" s="1"/>
  <c r="G4" i="3"/>
  <c r="J4" i="3" s="1"/>
  <c r="H4" i="3"/>
  <c r="I4" i="3"/>
  <c r="G23" i="3"/>
  <c r="J23" i="3" s="1"/>
  <c r="G8" i="3"/>
  <c r="J8" i="3" s="1"/>
  <c r="G3" i="3"/>
  <c r="J3" i="3" s="1"/>
  <c r="I8" i="3"/>
  <c r="H3" i="3"/>
  <c r="G9" i="2"/>
  <c r="I24" i="3" s="1"/>
  <c r="D24" i="3"/>
  <c r="F24" i="3" s="1"/>
  <c r="H23" i="3"/>
  <c r="G5" i="2"/>
  <c r="E17" i="3"/>
  <c r="F17" i="3" s="1"/>
  <c r="I18" i="3"/>
  <c r="H18" i="3"/>
  <c r="G18" i="3"/>
  <c r="J18" i="3" s="1"/>
  <c r="E5" i="3"/>
  <c r="F5" i="3" s="1"/>
  <c r="G2" i="2"/>
  <c r="G24" i="3" l="1"/>
  <c r="J24" i="3" s="1"/>
  <c r="H24" i="3"/>
  <c r="I5" i="3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<sst xmlns="http://schemas.openxmlformats.org/spreadsheetml/2006/main" count="211" uniqueCount="67">
  <si>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</si>
  <si>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</si>
  <si>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</si>
  <si>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</si>
  <si>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</si>
  <si>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</si>
  <si>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</si>
  <si>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</si>
  <si>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</si>
  <si>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</si>
  <si>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</si>
  <si>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</si>
  <si>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</si>
  <si>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</si>
  <si>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</si>
  <si>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</si>
  <si>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</si>
  <si>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</si>
  <si>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</si>
  <si>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</si>
  <si>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</si>
  <si>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</si>
  <si>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</si>
  <si>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</si>
  <si>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</si>
  <si>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</si>
  <si>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</si>
  <si>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</si>
  <si>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</si>
  <si>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</si>
  <si>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</si>
  <si>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</si>
  <si>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</si>
  <si>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</si>
  <si>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</si>
  <si>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</si>
  <si>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</si>
  <si>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</si>
  <si>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</si>
  <si>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</si>
  <si>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</si>
  <si>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</si>
  <si>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</si>
  <si>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</si>
  <si>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</si>
  <si>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</si>
  <si>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</si>
  <si>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</si>
  <si>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</si>
  <si>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</si>
  <si>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</si>
  <si>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</si>
  <si>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</si>
  <si>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</si>
  <si>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</si>
  <si>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</si>
  <si>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</si>
  <si>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</si>
  <si>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</si>
  <si>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</si>
  <si>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</si>
  <si>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</si>
  <si>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</si>
  <si>
    <t>10-8</t>
  </si>
  <si>
    <t>TK</t>
  </si>
  <si>
    <t>16-17</t>
  </si>
  <si>
    <t>Stefano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</si>
</sst>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"/>
  <sheetViews>
    <sheetView tabSelected="1" workbookViewId="0">
      <selection activeCell="G8" sqref="G8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ref="E3:E7" si="0">VALUE(LEFT(D3, FIND("-", D3)-1))</f>
        <v>5</v>
      </c>
      <c r="F3">
        <f>VALUE(MID(D3, FIND("-", D3)+1, 10))</f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>VALUE(MID(D4, FIND("-", D4)+1, 10))</f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>VALUE(MID(D5, FIND("-", D5)+1, 10))</f>
        <v>8</v>
      </c>
      <c r="G5" t="s">
        <v>19</v>
      </c>
    </row>
    <row r="6" spans="1:7" x14ac:dyDescent="0.35">
      <c r="A6">
        <v>5</v>
      </c>
      <c r="B6" s="2">
        <v>46002</v>
      </c>
      <c r="C6" t="s">
        <v>7</v>
      </c>
      <c r="D6" s="1" t="s">
        <v>63</v>
      </c>
      <c r="E6">
        <f t="shared" si="0"/>
        <v>10</v>
      </c>
      <c r="F6">
        <f>VALUE(MID(D6, FIND("-", D6)+1, 10))</f>
        <v>8</v>
      </c>
      <c r="G6" t="s">
        <v>44</v>
      </c>
    </row>
    <row r="7" spans="1:7" x14ac:dyDescent="0.35">
      <c r="A7">
        <v>6</v>
      </c>
      <c r="B7" s="2">
        <v>46009</v>
      </c>
      <c r="C7" t="s">
        <v>7</v>
      </c>
      <c r="D7" s="1" t="s">
        <v>65</v>
      </c>
      <c r="E7">
        <f t="shared" si="0"/>
        <v>16</v>
      </c>
      <c r="F7">
        <f>VALUE(MID(D7, FIND("-", D7)+1, 10))</f>
        <v>17</v>
      </c>
      <c r="G7" t="s">
        <v>22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6"/>
  <sheetViews>
    <sheetView workbookViewId="0">
      <selection activeCell="H66" sqref="H66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9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</row>
    <row r="2" spans="1:9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</row>
    <row r="3" spans="1:9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</row>
    <row r="4" spans="1:9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</row>
    <row r="5" spans="1:9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</row>
    <row r="6" spans="1:9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</row>
    <row r="7" spans="1:9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</row>
    <row r="8" spans="1:9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</row>
    <row r="9" spans="1:9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</row>
    <row r="10" spans="1:9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</row>
    <row r="11" spans="1:9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</row>
    <row r="12" spans="1:9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</row>
    <row r="13" spans="1:9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</row>
    <row r="14" spans="1:9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</row>
    <row r="15" spans="1:9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</row>
    <row r="16" spans="1:9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</row>
    <row r="17" spans="1:9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</row>
    <row r="18" spans="1:9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</row>
    <row r="19" spans="1:9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</row>
    <row r="20" spans="1:9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</row>
    <row r="21" spans="1:9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</row>
    <row r="22" spans="1:9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</row>
    <row r="23" spans="1:9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</row>
    <row r="24" spans="1:9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</row>
    <row r="25" spans="1:9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</row>
    <row r="26" spans="1:9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</row>
    <row r="27" spans="1:9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</row>
    <row r="28" spans="1:9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</row>
    <row r="29" spans="1:9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I29">
        <v>1</v>
      </c>
    </row>
    <row r="30" spans="1:9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I30">
        <v>2</v>
      </c>
    </row>
    <row r="31" spans="1:9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</row>
    <row r="32" spans="1:9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</row>
    <row r="33" spans="1:9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</row>
    <row r="34" spans="1:9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</row>
    <row r="35" spans="1:9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I35">
        <v>1</v>
      </c>
    </row>
    <row r="36" spans="1:9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66" si="1">IF(E36&gt;F36,"Win",IF(E36&lt;F36,"Loss","Draw"))</f>
        <v>Win</v>
      </c>
      <c r="H36">
        <v>3</v>
      </c>
      <c r="I36">
        <v>3</v>
      </c>
    </row>
    <row r="37" spans="1:9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1"/>
        <v>Win</v>
      </c>
      <c r="H37">
        <v>1</v>
      </c>
      <c r="I37">
        <v>2</v>
      </c>
    </row>
    <row r="38" spans="1:9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1"/>
        <v>Win</v>
      </c>
      <c r="H38">
        <v>5</v>
      </c>
      <c r="I38">
        <v>3</v>
      </c>
    </row>
    <row r="39" spans="1:9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1"/>
        <v>Win</v>
      </c>
      <c r="H39">
        <v>2</v>
      </c>
      <c r="I39">
        <v>2</v>
      </c>
    </row>
    <row r="40" spans="1:9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1"/>
        <v>Win</v>
      </c>
      <c r="H40">
        <v>2</v>
      </c>
      <c r="I40">
        <v>0</v>
      </c>
    </row>
    <row r="41" spans="1:9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1"/>
        <v>Loss</v>
      </c>
      <c r="H41">
        <v>5</v>
      </c>
      <c r="I41">
        <v>1</v>
      </c>
    </row>
    <row r="42" spans="1:9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1"/>
        <v>Loss</v>
      </c>
      <c r="H42">
        <v>2</v>
      </c>
      <c r="I42">
        <v>2</v>
      </c>
    </row>
    <row r="43" spans="1:9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1"/>
        <v>Loss</v>
      </c>
      <c r="H43">
        <v>0</v>
      </c>
      <c r="I43">
        <v>0</v>
      </c>
    </row>
    <row r="44" spans="1:9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1"/>
        <v>Loss</v>
      </c>
      <c r="H44">
        <v>0</v>
      </c>
      <c r="I44">
        <v>0</v>
      </c>
    </row>
    <row r="45" spans="1:9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1"/>
        <v>Loss</v>
      </c>
      <c r="H45">
        <v>1</v>
      </c>
      <c r="I45">
        <v>3</v>
      </c>
    </row>
    <row r="46" spans="1:9" x14ac:dyDescent="0.35">
      <c r="A46">
        <v>5</v>
      </c>
      <c r="B46" s="6">
        <v>46002</v>
      </c>
      <c r="C46" t="s">
        <v>53</v>
      </c>
      <c r="D46" t="s">
        <v>17</v>
      </c>
      <c r="E46">
        <f>IF(D46="A", INDEX(Matches!$E:$E, MATCH(A46, Matches!$A:$A, 0)), INDEX(Matches!$F:$F, MATCH(A46, Matches!$A:$A, 0)))</f>
        <v>10</v>
      </c>
      <c r="F46">
        <f>IF(D46="A", INDEX(Matches!$F:$F, MATCH(A46, Matches!$A:$A, 0)), INDEX(Matches!$E:$E, MATCH(A46, Matches!$A:$A, 0)))</f>
        <v>8</v>
      </c>
      <c r="G46" t="str">
        <f t="shared" si="1"/>
        <v>Win</v>
      </c>
      <c r="H46">
        <v>2</v>
      </c>
      <c r="I46">
        <v>0</v>
      </c>
    </row>
    <row r="47" spans="1:9" x14ac:dyDescent="0.35">
      <c r="A47">
        <v>5</v>
      </c>
      <c r="B47" s="6">
        <v>46002</v>
      </c>
      <c r="C47" t="s">
        <v>46</v>
      </c>
      <c r="D47" t="s">
        <v>17</v>
      </c>
      <c r="E47">
        <f>IF(D47="A", INDEX(Matches!$E:$E, MATCH(A47, Matches!$A:$A, 0)), INDEX(Matches!$F:$F, MATCH(A47, Matches!$A:$A, 0)))</f>
        <v>10</v>
      </c>
      <c r="F47">
        <f>IF(D47="A", INDEX(Matches!$F:$F, MATCH(A47, Matches!$A:$A, 0)), INDEX(Matches!$E:$E, MATCH(A47, Matches!$A:$A, 0)))</f>
        <v>8</v>
      </c>
      <c r="G47" t="str">
        <f t="shared" si="1"/>
        <v>Win</v>
      </c>
      <c r="H47">
        <v>4</v>
      </c>
      <c r="I47">
        <v>0</v>
      </c>
    </row>
    <row r="48" spans="1:9" x14ac:dyDescent="0.35">
      <c r="A48">
        <v>5</v>
      </c>
      <c r="B48" s="6">
        <v>46002</v>
      </c>
      <c r="C48" t="s">
        <v>44</v>
      </c>
      <c r="D48" t="s">
        <v>17</v>
      </c>
      <c r="E48">
        <f>IF(D48="A", INDEX(Matches!$E:$E, MATCH(A48, Matches!$A:$A, 0)), INDEX(Matches!$F:$F, MATCH(A48, Matches!$A:$A, 0)))</f>
        <v>10</v>
      </c>
      <c r="F48">
        <f>IF(D48="A", INDEX(Matches!$F:$F, MATCH(A48, Matches!$A:$A, 0)), INDEX(Matches!$E:$E, MATCH(A48, Matches!$A:$A, 0)))</f>
        <v>8</v>
      </c>
      <c r="G48" t="str">
        <f t="shared" si="1"/>
        <v>Win</v>
      </c>
      <c r="H48">
        <v>1</v>
      </c>
      <c r="I48">
        <v>4</v>
      </c>
    </row>
    <row r="49" spans="1:9" x14ac:dyDescent="0.35">
      <c r="A49">
        <v>5</v>
      </c>
      <c r="B49" s="6">
        <v>46002</v>
      </c>
      <c r="C49" t="s">
        <v>60</v>
      </c>
      <c r="D49" t="s">
        <v>17</v>
      </c>
      <c r="E49">
        <f>IF(D49="A", INDEX(Matches!$E:$E, MATCH(A49, Matches!$A:$A, 0)), INDEX(Matches!$F:$F, MATCH(A49, Matches!$A:$A, 0)))</f>
        <v>10</v>
      </c>
      <c r="F49">
        <f>IF(D49="A", INDEX(Matches!$F:$F, MATCH(A49, Matches!$A:$A, 0)), INDEX(Matches!$E:$E, MATCH(A49, Matches!$A:$A, 0)))</f>
        <v>8</v>
      </c>
      <c r="G49" t="str">
        <f t="shared" si="1"/>
        <v>Win</v>
      </c>
      <c r="H49">
        <v>1</v>
      </c>
      <c r="I49">
        <v>1</v>
      </c>
    </row>
    <row r="50" spans="1:9" x14ac:dyDescent="0.35">
      <c r="A50">
        <v>5</v>
      </c>
      <c r="B50" s="6">
        <v>46002</v>
      </c>
      <c r="C50" t="s">
        <v>64</v>
      </c>
      <c r="D50" t="s">
        <v>17</v>
      </c>
      <c r="E50">
        <f>IF(D50="A", INDEX(Matches!$E:$E, MATCH(A50, Matches!$A:$A, 0)), INDEX(Matches!$F:$F, MATCH(A50, Matches!$A:$A, 0)))</f>
        <v>10</v>
      </c>
      <c r="F50">
        <f>IF(D50="A", INDEX(Matches!$F:$F, MATCH(A50, Matches!$A:$A, 0)), INDEX(Matches!$E:$E, MATCH(A50, Matches!$A:$A, 0)))</f>
        <v>8</v>
      </c>
      <c r="G50" t="str">
        <f t="shared" si="1"/>
        <v>Win</v>
      </c>
      <c r="H50">
        <v>2</v>
      </c>
      <c r="I50">
        <v>3</v>
      </c>
    </row>
    <row r="51" spans="1:9" x14ac:dyDescent="0.35">
      <c r="A51">
        <v>5</v>
      </c>
      <c r="B51" s="6">
        <v>46002</v>
      </c>
      <c r="C51" t="s">
        <v>25</v>
      </c>
      <c r="D51" t="s">
        <v>23</v>
      </c>
      <c r="E51">
        <f>IF(D51="A", INDEX(Matches!$E:$E, MATCH(A51, Matches!$A:$A, 0)), INDEX(Matches!$F:$F, MATCH(A51, Matches!$A:$A, 0)))</f>
        <v>8</v>
      </c>
      <c r="F51">
        <f>IF(D51="A", INDEX(Matches!$F:$F, MATCH(A51, Matches!$A:$A, 0)), INDEX(Matches!$E:$E, MATCH(A51, Matches!$A:$A, 0)))</f>
        <v>10</v>
      </c>
      <c r="G51" t="str">
        <f t="shared" si="1"/>
        <v>Loss</v>
      </c>
      <c r="H51">
        <v>2</v>
      </c>
      <c r="I51">
        <v>1</v>
      </c>
    </row>
    <row r="52" spans="1:9" x14ac:dyDescent="0.35">
      <c r="A52">
        <v>5</v>
      </c>
      <c r="B52" s="6">
        <v>46002</v>
      </c>
      <c r="C52" t="s">
        <v>42</v>
      </c>
      <c r="D52" t="s">
        <v>23</v>
      </c>
      <c r="E52">
        <f>IF(D52="A", INDEX(Matches!$E:$E, MATCH(A52, Matches!$A:$A, 0)), INDEX(Matches!$F:$F, MATCH(A52, Matches!$A:$A, 0)))</f>
        <v>8</v>
      </c>
      <c r="F52">
        <f>IF(D52="A", INDEX(Matches!$F:$F, MATCH(A52, Matches!$A:$A, 0)), INDEX(Matches!$E:$E, MATCH(A52, Matches!$A:$A, 0)))</f>
        <v>10</v>
      </c>
      <c r="G52" t="str">
        <f t="shared" si="1"/>
        <v>Loss</v>
      </c>
      <c r="H52">
        <v>0</v>
      </c>
      <c r="I52">
        <v>1</v>
      </c>
    </row>
    <row r="53" spans="1:9" x14ac:dyDescent="0.35">
      <c r="A53">
        <v>5</v>
      </c>
      <c r="B53" s="6">
        <v>46002</v>
      </c>
      <c r="C53" t="s">
        <v>21</v>
      </c>
      <c r="D53" t="s">
        <v>23</v>
      </c>
      <c r="E53">
        <f>IF(D53="A", INDEX(Matches!$E:$E, MATCH(A53, Matches!$A:$A, 0)), INDEX(Matches!$F:$F, MATCH(A53, Matches!$A:$A, 0)))</f>
        <v>8</v>
      </c>
      <c r="F53">
        <f>IF(D53="A", INDEX(Matches!$F:$F, MATCH(A53, Matches!$A:$A, 0)), INDEX(Matches!$E:$E, MATCH(A53, Matches!$A:$A, 0)))</f>
        <v>10</v>
      </c>
      <c r="G53" t="str">
        <f t="shared" si="1"/>
        <v>Loss</v>
      </c>
      <c r="H53">
        <v>4</v>
      </c>
      <c r="I53">
        <v>0</v>
      </c>
    </row>
    <row r="54" spans="1:9" x14ac:dyDescent="0.35">
      <c r="A54">
        <v>5</v>
      </c>
      <c r="B54" s="6">
        <v>46002</v>
      </c>
      <c r="C54" t="s">
        <v>40</v>
      </c>
      <c r="D54" t="s">
        <v>23</v>
      </c>
      <c r="E54">
        <f>IF(D54="A", INDEX(Matches!$E:$E, MATCH(A54, Matches!$A:$A, 0)), INDEX(Matches!$F:$F, MATCH(A54, Matches!$A:$A, 0)))</f>
        <v>8</v>
      </c>
      <c r="F54">
        <f>IF(D54="A", INDEX(Matches!$F:$F, MATCH(A54, Matches!$A:$A, 0)), INDEX(Matches!$E:$E, MATCH(A54, Matches!$A:$A, 0)))</f>
        <v>10</v>
      </c>
      <c r="G54" t="str">
        <f t="shared" si="1"/>
        <v>Loss</v>
      </c>
      <c r="H54">
        <v>0</v>
      </c>
      <c r="I54">
        <v>1</v>
      </c>
    </row>
    <row r="55" spans="1:9" x14ac:dyDescent="0.35">
      <c r="A55">
        <v>5</v>
      </c>
      <c r="B55" s="6">
        <v>46002</v>
      </c>
      <c r="C55" t="s">
        <v>51</v>
      </c>
      <c r="D55" t="s">
        <v>23</v>
      </c>
      <c r="E55">
        <f>IF(D55="A", INDEX(Matches!$E:$E, MATCH(A55, Matches!$A:$A, 0)), INDEX(Matches!$F:$F, MATCH(A55, Matches!$A:$A, 0)))</f>
        <v>8</v>
      </c>
      <c r="F55">
        <f>IF(D55="A", INDEX(Matches!$F:$F, MATCH(A55, Matches!$A:$A, 0)), INDEX(Matches!$E:$E, MATCH(A55, Matches!$A:$A, 0)))</f>
        <v>10</v>
      </c>
      <c r="G55" t="str">
        <f t="shared" si="1"/>
        <v>Loss</v>
      </c>
      <c r="H55">
        <v>1</v>
      </c>
      <c r="I55">
        <v>2</v>
      </c>
    </row>
    <row r="56" spans="1:9" x14ac:dyDescent="0.35">
      <c r="A56">
        <v>6</v>
      </c>
      <c r="B56" s="6">
        <v>46009</v>
      </c>
      <c r="C56" t="s">
        <v>53</v>
      </c>
      <c r="D56" t="s">
        <v>17</v>
      </c>
      <c r="E56">
        <f>IF(D56="A", INDEX(Matches!$E:$E, MATCH(A56, Matches!$A:$A, 0)), INDEX(Matches!$F:$F, MATCH(A56, Matches!$A:$A, 0)))</f>
        <v>16</v>
      </c>
      <c r="F56">
        <f>IF(D56="A", INDEX(Matches!$F:$F, MATCH(A56, Matches!$A:$A, 0)), INDEX(Matches!$E:$E, MATCH(A56, Matches!$A:$A, 0)))</f>
        <v>17</v>
      </c>
      <c r="G56" t="str">
        <f t="shared" si="1"/>
        <v>Loss</v>
      </c>
      <c r="H56">
        <v>3</v>
      </c>
      <c r="I56">
        <v>2</v>
      </c>
    </row>
    <row r="57" spans="1:9" x14ac:dyDescent="0.35">
      <c r="A57">
        <v>6</v>
      </c>
      <c r="B57" s="6">
        <v>46009</v>
      </c>
      <c r="C57" t="s">
        <v>46</v>
      </c>
      <c r="D57" t="s">
        <v>17</v>
      </c>
      <c r="E57">
        <f>IF(D57="A", INDEX(Matches!$E:$E, MATCH(A57, Matches!$A:$A, 0)), INDEX(Matches!$F:$F, MATCH(A57, Matches!$A:$A, 0)))</f>
        <v>16</v>
      </c>
      <c r="F57">
        <f>IF(D57="A", INDEX(Matches!$F:$F, MATCH(A57, Matches!$A:$A, 0)), INDEX(Matches!$E:$E, MATCH(A57, Matches!$A:$A, 0)))</f>
        <v>17</v>
      </c>
      <c r="G57" t="str">
        <f t="shared" si="1"/>
        <v>Loss</v>
      </c>
      <c r="H57">
        <v>2</v>
      </c>
      <c r="I57">
        <v>4</v>
      </c>
    </row>
    <row r="58" spans="1:9" x14ac:dyDescent="0.35">
      <c r="A58">
        <v>6</v>
      </c>
      <c r="B58" s="6">
        <v>46009</v>
      </c>
      <c r="C58" t="s">
        <v>22</v>
      </c>
      <c r="D58" t="s">
        <v>17</v>
      </c>
      <c r="E58">
        <f>IF(D58="A", INDEX(Matches!$E:$E, MATCH(A58, Matches!$A:$A, 0)), INDEX(Matches!$F:$F, MATCH(A58, Matches!$A:$A, 0)))</f>
        <v>16</v>
      </c>
      <c r="F58">
        <f>IF(D58="A", INDEX(Matches!$F:$F, MATCH(A58, Matches!$A:$A, 0)), INDEX(Matches!$E:$E, MATCH(A58, Matches!$A:$A, 0)))</f>
        <v>17</v>
      </c>
      <c r="G58" t="str">
        <f t="shared" si="1"/>
        <v>Loss</v>
      </c>
      <c r="H58">
        <v>6</v>
      </c>
      <c r="I58">
        <v>1</v>
      </c>
    </row>
    <row r="59" spans="1:9" x14ac:dyDescent="0.35">
      <c r="A59">
        <v>6</v>
      </c>
      <c r="B59" s="6">
        <v>46009</v>
      </c>
      <c r="C59" t="s">
        <v>60</v>
      </c>
      <c r="D59" t="s">
        <v>17</v>
      </c>
      <c r="E59">
        <f>IF(D59="A", INDEX(Matches!$E:$E, MATCH(A59, Matches!$A:$A, 0)), INDEX(Matches!$F:$F, MATCH(A59, Matches!$A:$A, 0)))</f>
        <v>16</v>
      </c>
      <c r="F59">
        <f>IF(D59="A", INDEX(Matches!$F:$F, MATCH(A59, Matches!$A:$A, 0)), INDEX(Matches!$E:$E, MATCH(A59, Matches!$A:$A, 0)))</f>
        <v>17</v>
      </c>
      <c r="G59" t="str">
        <f t="shared" si="1"/>
        <v>Loss</v>
      </c>
      <c r="H59">
        <v>1</v>
      </c>
      <c r="I59">
        <v>0</v>
      </c>
    </row>
    <row r="60" spans="1:9" x14ac:dyDescent="0.35">
      <c r="A60">
        <v>6</v>
      </c>
      <c r="B60" s="6">
        <v>46009</v>
      </c>
      <c r="C60" t="s">
        <v>42</v>
      </c>
      <c r="D60" t="s">
        <v>17</v>
      </c>
      <c r="E60">
        <f>IF(D60="A", INDEX(Matches!$E:$E, MATCH(A60, Matches!$A:$A, 0)), INDEX(Matches!$F:$F, MATCH(A60, Matches!$A:$A, 0)))</f>
        <v>16</v>
      </c>
      <c r="F60">
        <f>IF(D60="A", INDEX(Matches!$F:$F, MATCH(A60, Matches!$A:$A, 0)), INDEX(Matches!$E:$E, MATCH(A60, Matches!$A:$A, 0)))</f>
        <v>17</v>
      </c>
    </row>
    <row r="61" spans="1:9" x14ac:dyDescent="0.35">
      <c r="A61">
        <v>6</v>
      </c>
      <c r="B61" s="6">
        <v>46009</v>
      </c>
      <c r="C61" t="s">
        <v>66</v>
      </c>
      <c r="D61" t="s">
        <v>23</v>
      </c>
      <c r="E61">
        <f>IF(D61="A", INDEX(Matches!$E:$E, MATCH(A61, Matches!$A:$A, 0)), INDEX(Matches!$F:$F, MATCH(A61, Matches!$A:$A, 0)))</f>
        <v>17</v>
      </c>
      <c r="F61">
        <f>IF(D61="A", INDEX(Matches!$F:$F, MATCH(A61, Matches!$A:$A, 0)), INDEX(Matches!$E:$E, MATCH(A61, Matches!$A:$A, 0)))</f>
        <v>16</v>
      </c>
      <c r="G61" t="str">
        <f t="shared" si="1"/>
        <v>Win</v>
      </c>
      <c r="H61">
        <v>8</v>
      </c>
      <c r="I61">
        <v>1</v>
      </c>
    </row>
    <row r="62" spans="1:9" x14ac:dyDescent="0.35">
      <c r="A62">
        <v>6</v>
      </c>
      <c r="B62" s="6">
        <v>46009</v>
      </c>
      <c r="C62" t="s">
        <v>19</v>
      </c>
      <c r="D62" t="s">
        <v>23</v>
      </c>
      <c r="E62">
        <f>IF(D62="A", INDEX(Matches!$E:$E, MATCH(A62, Matches!$A:$A, 0)), INDEX(Matches!$F:$F, MATCH(A62, Matches!$A:$A, 0)))</f>
        <v>17</v>
      </c>
      <c r="F62">
        <f>IF(D62="A", INDEX(Matches!$F:$F, MATCH(A62, Matches!$A:$A, 0)), INDEX(Matches!$E:$E, MATCH(A62, Matches!$A:$A, 0)))</f>
        <v>16</v>
      </c>
      <c r="G62" t="str">
        <f t="shared" si="1"/>
        <v>Win</v>
      </c>
      <c r="H62">
        <v>2</v>
      </c>
      <c r="I62">
        <v>3</v>
      </c>
    </row>
    <row r="63" spans="1:9" x14ac:dyDescent="0.35">
      <c r="A63">
        <v>6</v>
      </c>
      <c r="B63" s="6">
        <v>46009</v>
      </c>
      <c r="C63" t="s">
        <v>21</v>
      </c>
      <c r="D63" t="s">
        <v>23</v>
      </c>
      <c r="E63">
        <f>IF(D63="A", INDEX(Matches!$E:$E, MATCH(A63, Matches!$A:$A, 0)), INDEX(Matches!$F:$F, MATCH(A63, Matches!$A:$A, 0)))</f>
        <v>17</v>
      </c>
      <c r="F63">
        <f>IF(D63="A", INDEX(Matches!$F:$F, MATCH(A63, Matches!$A:$A, 0)), INDEX(Matches!$E:$E, MATCH(A63, Matches!$A:$A, 0)))</f>
        <v>16</v>
      </c>
      <c r="G63" t="str">
        <f t="shared" si="1"/>
        <v>Win</v>
      </c>
      <c r="H63">
        <v>0</v>
      </c>
      <c r="I63">
        <v>0</v>
      </c>
    </row>
    <row r="64" spans="1:9" x14ac:dyDescent="0.35">
      <c r="A64">
        <v>6</v>
      </c>
      <c r="B64" s="6">
        <v>46009</v>
      </c>
      <c r="C64" t="s">
        <v>50</v>
      </c>
      <c r="D64" t="s">
        <v>23</v>
      </c>
      <c r="E64">
        <f>IF(D64="A", INDEX(Matches!$E:$E, MATCH(A64, Matches!$A:$A, 0)), INDEX(Matches!$F:$F, MATCH(A64, Matches!$A:$A, 0)))</f>
        <v>17</v>
      </c>
      <c r="F64">
        <f>IF(D64="A", INDEX(Matches!$F:$F, MATCH(A64, Matches!$A:$A, 0)), INDEX(Matches!$E:$E, MATCH(A64, Matches!$A:$A, 0)))</f>
        <v>16</v>
      </c>
      <c r="G64" t="str">
        <f t="shared" si="1"/>
        <v>Win</v>
      </c>
      <c r="H64">
        <v>5</v>
      </c>
      <c r="I64">
        <v>1</v>
      </c>
    </row>
    <row r="65" spans="1:9" x14ac:dyDescent="0.35">
      <c r="A65">
        <v>6</v>
      </c>
      <c r="B65" s="6">
        <v>46009</v>
      </c>
      <c r="C65" t="s">
        <v>40</v>
      </c>
      <c r="D65" t="s">
        <v>23</v>
      </c>
      <c r="E65">
        <f>IF(D65="A", INDEX(Matches!$E:$E, MATCH(A65, Matches!$A:$A, 0)), INDEX(Matches!$F:$F, MATCH(A65, Matches!$A:$A, 0)))</f>
        <v>17</v>
      </c>
      <c r="F65">
        <f>IF(D65="A", INDEX(Matches!$F:$F, MATCH(A65, Matches!$A:$A, 0)), INDEX(Matches!$E:$E, MATCH(A65, Matches!$A:$A, 0)))</f>
        <v>16</v>
      </c>
      <c r="G65" t="str">
        <f t="shared" si="1"/>
        <v>Win</v>
      </c>
      <c r="H65">
        <v>0</v>
      </c>
      <c r="I65">
        <v>0</v>
      </c>
    </row>
    <row r="66" spans="1:9" x14ac:dyDescent="0.35">
      <c r="A66">
        <v>6</v>
      </c>
      <c r="B66" s="6">
        <v>46009</v>
      </c>
      <c r="C66" t="s">
        <v>42</v>
      </c>
      <c r="D66" t="s">
        <v>23</v>
      </c>
      <c r="E66">
        <f>IF(D66="A", INDEX(Matches!$E:$E, MATCH(A66, Matches!$A:$A, 0)), INDEX(Matches!$F:$F, MATCH(A66, Matches!$A:$A, 0)))</f>
        <v>17</v>
      </c>
      <c r="F66">
        <f>IF(D66="A", INDEX(Matches!$F:$F, MATCH(A66, Matches!$A:$A, 0)), INDEX(Matches!$E:$E, MATCH(A66, Matches!$A:$A, 0)))</f>
        <v>16</v>
      </c>
      <c r="G66" t="str">
        <f t="shared" si="1"/>
        <v>Win</v>
      </c>
      <c r="H66">
        <v>6</v>
      </c>
      <c r="I66">
        <v>4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3"/>
  <sheetViews>
    <sheetView workbookViewId="0">
      <selection activeCell="G8" sqref="G8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</cols>
  <sheetData>
    <row r="1" spans="1:15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</row>
    <row r="2" spans="1:15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</row>
    <row r="3" spans="1:15" x14ac:dyDescent="0.35">
      <c r="A3" t="s">
        <v>18</v>
      </c>
      <c r="C3">
        <f>COUNTIF('Team Lineups'!C:C,A3)</f>
        <v>1</v>
      </c>
      <c r="D3">
        <f>SUMIF('Team Lineups'!C:C,A3,'Team Lineups'!E:E)</f>
        <v>7</v>
      </c>
      <c r="E3">
        <f>SUMIF('Team Lineups'!C:C,A3,'Team Lineups'!F:F)</f>
        <v>7</v>
      </c>
      <c r="F3">
        <f t="shared" si="0"/>
        <v>0</v>
      </c>
      <c r="G3">
        <f>COUNTIFS('Team Lineups'!C:C,A3,'Team Lineups'!G:G,"Win")</f>
        <v>0</v>
      </c>
      <c r="H3">
        <f>COUNTIFS('Team Lineups'!C:C,A3,'Team Lineups'!G:G,"Draw")</f>
        <v>1</v>
      </c>
      <c r="I3">
        <f>COUNTIFS('Team Lineups'!C:C,A3,'Team Lineups'!G:G,"Loss")</f>
        <v>0</v>
      </c>
      <c r="J3" s="3">
        <f t="shared" si="1"/>
        <v>0</v>
      </c>
      <c r="K3">
        <f>SUMIF('Team Lineups'!C:C,A3,'Team Lineups'!H:H)</f>
        <v>2</v>
      </c>
      <c r="L3">
        <f t="shared" si="2"/>
        <v>2</v>
      </c>
      <c r="M3">
        <f>SUMIF('Team Lineups'!C:C,A3,'Team Lineups'!I:I)</f>
        <v>0</v>
      </c>
      <c r="N3">
        <f>COUNTIF(Matches!G:G,A3)</f>
        <v>0</v>
      </c>
      <c r="O3">
        <f t="shared" si="3"/>
        <v>0</v>
      </c>
    </row>
    <row r="4" spans="1:15" x14ac:dyDescent="0.35">
      <c r="A4" t="s">
        <v>40</v>
      </c>
      <c r="C4">
        <f>COUNTIF('Team Lineups'!C:C,A4)</f>
        <v>3</v>
      </c>
      <c r="D4">
        <f>SUMIF('Team Lineups'!C:C,A4,'Team Lineups'!E:E)</f>
        <v>32</v>
      </c>
      <c r="E4">
        <f>SUMIF('Team Lineups'!C:C,A4,'Team Lineups'!F:F)</f>
        <v>31</v>
      </c>
      <c r="F4">
        <f t="shared" si="0"/>
        <v>1</v>
      </c>
      <c r="G4">
        <f>COUNTIFS('Team Lineups'!C:C,A4,'Team Lineups'!G:G,"Win")</f>
        <v>2</v>
      </c>
      <c r="H4">
        <f>COUNTIFS('Team Lineups'!C:C,A4,'Team Lineups'!G:G,"Draw")</f>
        <v>0</v>
      </c>
      <c r="I4">
        <f>COUNTIFS('Team Lineups'!C:C,A4,'Team Lineups'!G:G,"Loss")</f>
        <v>1</v>
      </c>
      <c r="J4" s="3">
        <f t="shared" si="1"/>
        <v>0.66666666666666663</v>
      </c>
      <c r="K4">
        <f>SUMIF('Team Lineups'!C:C,A4,'Team Lineups'!H:H)</f>
        <v>0</v>
      </c>
      <c r="L4">
        <f t="shared" si="2"/>
        <v>0</v>
      </c>
      <c r="M4">
        <f>SUMIF('Team Lineups'!C:C,A4,'Team Lineups'!I:I)</f>
        <v>1</v>
      </c>
      <c r="N4">
        <f>COUNTIF(Matches!G:G,A4)</f>
        <v>0</v>
      </c>
      <c r="O4">
        <f t="shared" si="3"/>
        <v>0</v>
      </c>
    </row>
    <row r="5" spans="1:15" x14ac:dyDescent="0.35">
      <c r="A5" t="s">
        <v>16</v>
      </c>
      <c r="C5">
        <f>COUNTIF('Team Lineups'!C:C,A5)</f>
        <v>2</v>
      </c>
      <c r="D5">
        <f>SUMIF('Team Lineups'!C:C,A5,'Team Lineups'!E:E)</f>
        <v>15</v>
      </c>
      <c r="E5">
        <f>SUMIF('Team Lineups'!C:C,A5,'Team Lineups'!F:F)</f>
        <v>20</v>
      </c>
      <c r="F5">
        <f t="shared" si="0"/>
        <v>-5</v>
      </c>
      <c r="G5">
        <f>COUNTIFS('Team Lineups'!C:C,A5,'Team Lineups'!G:G,"Win")</f>
        <v>0</v>
      </c>
      <c r="H5">
        <f>COUNTIFS('Team Lineups'!C:C,A5,'Team Lineups'!G:G,"Draw")</f>
        <v>1</v>
      </c>
      <c r="I5">
        <f>COUNTIFS('Team Lineups'!C:C,A5,'Team Lineups'!G:G,"Loss")</f>
        <v>1</v>
      </c>
      <c r="J5" s="3">
        <f t="shared" si="1"/>
        <v>0</v>
      </c>
      <c r="K5">
        <f>SUMIF('Team Lineups'!C:C,A5,'Team Lineups'!H:H)</f>
        <v>7</v>
      </c>
      <c r="L5">
        <f t="shared" si="2"/>
        <v>3.5</v>
      </c>
      <c r="M5">
        <f>SUMIF('Team Lineups'!C:C,A5,'Team Lineups'!I:I)</f>
        <v>3</v>
      </c>
      <c r="N5">
        <f>COUNTIF(Matches!G:G,A5)</f>
        <v>0</v>
      </c>
      <c r="O5">
        <f t="shared" si="3"/>
        <v>0</v>
      </c>
    </row>
    <row r="6" spans="1:15" x14ac:dyDescent="0.35">
      <c r="A6" t="s">
        <v>41</v>
      </c>
      <c r="C6">
        <f>COUNTIF('Team Lineups'!C:C,A6)</f>
        <v>0</v>
      </c>
      <c r="D6">
        <f>SUMIF('Team Lineups'!C:C,A6,'Team Lineups'!E:E)</f>
        <v>0</v>
      </c>
      <c r="E6">
        <f>SUMIF('Team Lineups'!C:C,A6,'Team Lineups'!F:F)</f>
        <v>0</v>
      </c>
      <c r="F6">
        <f t="shared" si="0"/>
        <v>0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0</v>
      </c>
      <c r="J6" s="3" t="e">
        <f t="shared" si="1"/>
        <v>#DIV/0!</v>
      </c>
      <c r="K6">
        <f>SUMIF('Team Lineups'!C:C,A6,'Team Lineups'!H:H)</f>
        <v>0</v>
      </c>
      <c r="L6" t="e">
        <f t="shared" si="2"/>
        <v>#DIV/0!</v>
      </c>
      <c r="M6">
        <f>SUMIF('Team Lineups'!C:C,A6,'Team Lineups'!I:I)</f>
        <v>0</v>
      </c>
      <c r="N6">
        <f>COUNTIF(Matches!G:G,A6)</f>
        <v>0</v>
      </c>
      <c r="O6" t="e">
        <f t="shared" si="3"/>
        <v>#DIV/0!</v>
      </c>
    </row>
    <row r="7" spans="1:15" x14ac:dyDescent="0.35">
      <c r="A7" t="s">
        <v>42</v>
      </c>
      <c r="C7">
        <f>COUNTIF('Team Lineups'!C:C,A7)</f>
        <v>6</v>
      </c>
      <c r="D7">
        <f>SUMIF('Team Lineups'!C:C,A7,'Team Lineups'!E:E)</f>
        <v>63</v>
      </c>
      <c r="E7">
        <f>SUMIF('Team Lineups'!C:C,A7,'Team Lineups'!F:F)</f>
        <v>70</v>
      </c>
      <c r="F7">
        <f t="shared" si="0"/>
        <v>-7</v>
      </c>
      <c r="G7">
        <f>COUNTIFS('Team Lineups'!C:C,A7,'Team Lineups'!G:G,"Win")</f>
        <v>2</v>
      </c>
      <c r="H7">
        <f>COUNTIFS('Team Lineups'!C:C,A7,'Team Lineups'!G:G,"Draw")</f>
        <v>0</v>
      </c>
      <c r="I7">
        <f>COUNTIFS('Team Lineups'!C:C,A7,'Team Lineups'!G:G,"Loss")</f>
        <v>3</v>
      </c>
      <c r="J7" s="3">
        <f t="shared" si="1"/>
        <v>0.33333333333333331</v>
      </c>
      <c r="K7">
        <f>SUMIF('Team Lineups'!C:C,A7,'Team Lineups'!H:H)</f>
        <v>12</v>
      </c>
      <c r="L7">
        <f t="shared" si="2"/>
        <v>2</v>
      </c>
      <c r="M7">
        <f>SUMIF('Team Lineups'!C:C,A7,'Team Lineups'!I:I)</f>
        <v>8</v>
      </c>
      <c r="N7">
        <f>COUNTIF(Matches!G:G,A7)</f>
        <v>0</v>
      </c>
      <c r="O7">
        <f t="shared" si="3"/>
        <v>0</v>
      </c>
    </row>
    <row r="8" spans="1:15" x14ac:dyDescent="0.35">
      <c r="A8" t="s">
        <v>19</v>
      </c>
      <c r="C8">
        <f>COUNTIF('Team Lineups'!C:C,A8)</f>
        <v>5</v>
      </c>
      <c r="D8">
        <f>SUMIF('Team Lineups'!C:C,A8,'Team Lineups'!E:E)</f>
        <v>51</v>
      </c>
      <c r="E8">
        <f>SUMIF('Team Lineups'!C:C,A8,'Team Lineups'!F:F)</f>
        <v>45</v>
      </c>
      <c r="F8">
        <f t="shared" si="0"/>
        <v>6</v>
      </c>
      <c r="G8">
        <f>COUNTIFS('Team Lineups'!C:C,A8,'Team Lineups'!G:G,"Win")</f>
        <v>3</v>
      </c>
      <c r="H8">
        <f>COUNTIFS('Team Lineups'!C:C,A8,'Team Lineups'!G:G,"Draw")</f>
        <v>1</v>
      </c>
      <c r="I8">
        <f>COUNTIFS('Team Lineups'!C:C,A8,'Team Lineups'!G:G,"Loss")</f>
        <v>1</v>
      </c>
      <c r="J8" s="3">
        <f t="shared" si="1"/>
        <v>0.6</v>
      </c>
      <c r="K8">
        <f>SUMIF('Team Lineups'!C:C,A8,'Team Lineups'!H:H)</f>
        <v>13</v>
      </c>
      <c r="L8">
        <f t="shared" si="2"/>
        <v>2.6</v>
      </c>
      <c r="M8">
        <f>SUMIF('Team Lineups'!C:C,A8,'Team Lineups'!I:I)</f>
        <v>9</v>
      </c>
      <c r="N8">
        <f>COUNTIF(Matches!G:G,A8)</f>
        <v>2</v>
      </c>
      <c r="O8">
        <f t="shared" si="3"/>
        <v>0.4</v>
      </c>
    </row>
    <row r="9" spans="1:15" x14ac:dyDescent="0.35">
      <c r="A9" t="s">
        <v>43</v>
      </c>
      <c r="C9">
        <f>COUNTIF('Team Lineups'!C:C,A9)</f>
        <v>2</v>
      </c>
      <c r="D9">
        <f>SUMIF('Team Lineups'!C:C,A9,'Team Lineups'!E:E)</f>
        <v>14</v>
      </c>
      <c r="E9">
        <f>SUMIF('Team Lineups'!C:C,A9,'Team Lineups'!F:F)</f>
        <v>14</v>
      </c>
      <c r="F9">
        <f t="shared" si="0"/>
        <v>0</v>
      </c>
      <c r="G9">
        <f>COUNTIFS('Team Lineups'!C:C,A9,'Team Lineups'!G:G,"Win")</f>
        <v>1</v>
      </c>
      <c r="H9">
        <f>COUNTIFS('Team Lineups'!C:C,A9,'Team Lineups'!G:G,"Draw")</f>
        <v>0</v>
      </c>
      <c r="I9">
        <f>COUNTIFS('Team Lineups'!C:C,A9,'Team Lineups'!G:G,"Loss")</f>
        <v>1</v>
      </c>
      <c r="J9" s="3">
        <f t="shared" si="1"/>
        <v>0.5</v>
      </c>
      <c r="K9">
        <f>SUMIF('Team Lineups'!C:C,A9,'Team Lineups'!H:H)</f>
        <v>0</v>
      </c>
      <c r="L9">
        <f t="shared" si="2"/>
        <v>0</v>
      </c>
      <c r="M9">
        <f>SUMIF('Team Lineups'!C:C,A9,'Team Lineups'!I:I)</f>
        <v>1</v>
      </c>
      <c r="N9">
        <f>COUNTIF(Matches!G:G,A9)</f>
        <v>0</v>
      </c>
      <c r="O9">
        <f t="shared" si="3"/>
        <v>0</v>
      </c>
    </row>
    <row r="10" spans="1:15" x14ac:dyDescent="0.35">
      <c r="A10" t="s">
        <v>44</v>
      </c>
      <c r="C10">
        <f>COUNTIF('Team Lineups'!C:C,A10)</f>
        <v>2</v>
      </c>
      <c r="D10">
        <f>SUMIF('Team Lineups'!C:C,A10,'Team Lineups'!E:E)</f>
        <v>17</v>
      </c>
      <c r="E10">
        <f>SUMIF('Team Lineups'!C:C,A10,'Team Lineups'!F:F)</f>
        <v>17</v>
      </c>
      <c r="F10">
        <f t="shared" si="0"/>
        <v>0</v>
      </c>
      <c r="G10">
        <f>COUNTIFS('Team Lineups'!C:C,A10,'Team Lineups'!G:G,"Win")</f>
        <v>1</v>
      </c>
      <c r="H10">
        <f>COUNTIFS('Team Lineups'!C:C,A10,'Team Lineups'!G:G,"Draw")</f>
        <v>0</v>
      </c>
      <c r="I10">
        <f>COUNTIFS('Team Lineups'!C:C,A10,'Team Lineups'!G:G,"Loss")</f>
        <v>1</v>
      </c>
      <c r="J10" s="3">
        <f t="shared" si="1"/>
        <v>0.5</v>
      </c>
      <c r="K10">
        <f>SUMIF('Team Lineups'!C:C,A10,'Team Lineups'!H:H)</f>
        <v>2</v>
      </c>
      <c r="L10">
        <f t="shared" si="2"/>
        <v>1</v>
      </c>
      <c r="M10">
        <f>SUMIF('Team Lineups'!C:C,A10,'Team Lineups'!I:I)</f>
        <v>4</v>
      </c>
      <c r="N10">
        <f>COUNTIF(Matches!G:G,A10)</f>
        <v>1</v>
      </c>
      <c r="O10">
        <f t="shared" si="3"/>
        <v>0.5</v>
      </c>
    </row>
    <row r="11" spans="1:15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</row>
    <row r="12" spans="1:15" x14ac:dyDescent="0.35">
      <c r="A12" t="s">
        <v>46</v>
      </c>
      <c r="C12">
        <f>COUNTIF('Team Lineups'!C:C,A12)</f>
        <v>4</v>
      </c>
      <c r="D12">
        <f>SUMIF('Team Lineups'!C:C,A12,'Team Lineups'!E:E)</f>
        <v>40</v>
      </c>
      <c r="E12">
        <f>SUMIF('Team Lineups'!C:C,A12,'Team Lineups'!F:F)</f>
        <v>39</v>
      </c>
      <c r="F12">
        <f t="shared" si="0"/>
        <v>1</v>
      </c>
      <c r="G12">
        <f>COUNTIFS('Team Lineups'!C:C,A12,'Team Lineups'!G:G,"Win")</f>
        <v>2</v>
      </c>
      <c r="H12">
        <f>COUNTIFS('Team Lineups'!C:C,A12,'Team Lineups'!G:G,"Draw")</f>
        <v>0</v>
      </c>
      <c r="I12">
        <f>COUNTIFS('Team Lineups'!C:C,A12,'Team Lineups'!G:G,"Loss")</f>
        <v>2</v>
      </c>
      <c r="J12" s="3">
        <f t="shared" si="1"/>
        <v>0.5</v>
      </c>
      <c r="K12">
        <f>SUMIF('Team Lineups'!C:C,A12,'Team Lineups'!H:H)</f>
        <v>11</v>
      </c>
      <c r="L12">
        <f t="shared" si="2"/>
        <v>2.75</v>
      </c>
      <c r="M12">
        <f>SUMIF('Team Lineups'!C:C,A12,'Team Lineups'!I:I)</f>
        <v>4</v>
      </c>
      <c r="N12">
        <f>COUNTIF(Matches!G:G,A12)</f>
        <v>0</v>
      </c>
      <c r="O12">
        <f t="shared" si="3"/>
        <v>0</v>
      </c>
    </row>
    <row r="13" spans="1:15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</row>
    <row r="14" spans="1:15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</row>
    <row r="15" spans="1:15" x14ac:dyDescent="0.35">
      <c r="A15" t="s">
        <v>49</v>
      </c>
      <c r="C15">
        <f>COUNTIF('Team Lineups'!C:C,A15)</f>
        <v>1</v>
      </c>
      <c r="D15">
        <f>SUMIF('Team Lineups'!C:C,A15,'Team Lineups'!E:E)</f>
        <v>9</v>
      </c>
      <c r="E15">
        <f>SUMIF('Team Lineups'!C:C,A15,'Team Lineups'!F:F)</f>
        <v>7</v>
      </c>
      <c r="F15">
        <f t="shared" si="0"/>
        <v>2</v>
      </c>
      <c r="G15">
        <f>COUNTIFS('Team Lineups'!C:C,A15,'Team Lineups'!G:G,"Win")</f>
        <v>1</v>
      </c>
      <c r="H15">
        <f>COUNTIFS('Team Lineups'!C:C,A15,'Team Lineups'!G:G,"Draw")</f>
        <v>0</v>
      </c>
      <c r="I15">
        <f>COUNTIFS('Team Lineups'!C:C,A15,'Team Lineups'!G:G,"Loss")</f>
        <v>0</v>
      </c>
      <c r="J15" s="3">
        <f t="shared" si="1"/>
        <v>1</v>
      </c>
      <c r="K15">
        <f>SUMIF('Team Lineups'!C:C,A15,'Team Lineups'!H:H)</f>
        <v>1</v>
      </c>
      <c r="L15">
        <f t="shared" si="2"/>
        <v>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</row>
    <row r="16" spans="1:15" x14ac:dyDescent="0.35">
      <c r="A16" t="s">
        <v>24</v>
      </c>
      <c r="C16">
        <f>COUNTIF('Team Lineups'!C:C,A16)</f>
        <v>2</v>
      </c>
      <c r="D16">
        <f>SUMIF('Team Lineups'!C:C,A16,'Team Lineups'!E:E)</f>
        <v>14</v>
      </c>
      <c r="E16">
        <f>SUMIF('Team Lineups'!C:C,A16,'Team Lineups'!F:F)</f>
        <v>12</v>
      </c>
      <c r="F16">
        <f t="shared" si="0"/>
        <v>2</v>
      </c>
      <c r="G16">
        <f>COUNTIFS('Team Lineups'!C:C,A16,'Team Lineups'!G:G,"Win")</f>
        <v>1</v>
      </c>
      <c r="H16">
        <f>COUNTIFS('Team Lineups'!C:C,A16,'Team Lineups'!G:G,"Draw")</f>
        <v>1</v>
      </c>
      <c r="I16">
        <f>COUNTIFS('Team Lineups'!C:C,A16,'Team Lineups'!G:G,"Loss")</f>
        <v>0</v>
      </c>
      <c r="J16" s="3">
        <f t="shared" si="1"/>
        <v>0.5</v>
      </c>
      <c r="K16">
        <f>SUMIF('Team Lineups'!C:C,A16,'Team Lineups'!H:H)</f>
        <v>1</v>
      </c>
      <c r="L16">
        <f t="shared" si="2"/>
        <v>0.5</v>
      </c>
      <c r="M16">
        <f>SUMIF('Team Lineups'!C:C,A16,'Team Lineups'!I:I)</f>
        <v>0</v>
      </c>
      <c r="N16">
        <f>COUNTIF(Matches!G:G,A16)</f>
        <v>0</v>
      </c>
      <c r="O16">
        <f t="shared" si="3"/>
        <v>0</v>
      </c>
    </row>
    <row r="17" spans="1:15" x14ac:dyDescent="0.35">
      <c r="A17" t="s">
        <v>20</v>
      </c>
      <c r="C17">
        <f>COUNTIF('Team Lineups'!C:C,A17)</f>
        <v>2</v>
      </c>
      <c r="D17">
        <f>SUMIF('Team Lineups'!C:C,A17,'Team Lineups'!E:E)</f>
        <v>12</v>
      </c>
      <c r="E17">
        <f>SUMIF('Team Lineups'!C:C,A17,'Team Lineups'!F:F)</f>
        <v>14</v>
      </c>
      <c r="F17">
        <f t="shared" si="0"/>
        <v>-2</v>
      </c>
      <c r="G17">
        <f>COUNTIFS('Team Lineups'!C:C,A17,'Team Lineups'!G:G,"Win")</f>
        <v>0</v>
      </c>
      <c r="H17">
        <f>COUNTIFS('Team Lineups'!C:C,A17,'Team Lineups'!G:G,"Draw")</f>
        <v>1</v>
      </c>
      <c r="I17">
        <f>COUNTIFS('Team Lineups'!C:C,A17,'Team Lineups'!G:G,"Loss")</f>
        <v>1</v>
      </c>
      <c r="J17" s="3">
        <f t="shared" si="1"/>
        <v>0</v>
      </c>
      <c r="K17">
        <f>SUMIF('Team Lineups'!C:C,A17,'Team Lineups'!H:H)</f>
        <v>1</v>
      </c>
      <c r="L17">
        <f t="shared" si="2"/>
        <v>0.5</v>
      </c>
      <c r="M17">
        <f>SUMIF('Team Lineups'!C:C,A17,'Team Lineups'!I:I)</f>
        <v>0</v>
      </c>
      <c r="N17">
        <f>COUNTIF(Matches!G:G,A17)</f>
        <v>0</v>
      </c>
      <c r="O17">
        <f t="shared" si="3"/>
        <v>0</v>
      </c>
    </row>
    <row r="18" spans="1:15" x14ac:dyDescent="0.35">
      <c r="A18" t="s">
        <v>21</v>
      </c>
      <c r="C18">
        <f>COUNTIF('Team Lineups'!C:C,A18)</f>
        <v>6</v>
      </c>
      <c r="D18">
        <f>SUMIF('Team Lineups'!C:C,A18,'Team Lineups'!E:E)</f>
        <v>52</v>
      </c>
      <c r="E18">
        <f>SUMIF('Team Lineups'!C:C,A18,'Team Lineups'!F:F)</f>
        <v>62</v>
      </c>
      <c r="F18">
        <f t="shared" si="0"/>
        <v>-10</v>
      </c>
      <c r="G18">
        <f>COUNTIFS('Team Lineups'!C:C,A18,'Team Lineups'!G:G,"Win")</f>
        <v>1</v>
      </c>
      <c r="H18">
        <f>COUNTIFS('Team Lineups'!C:C,A18,'Team Lineups'!G:G,"Draw")</f>
        <v>1</v>
      </c>
      <c r="I18">
        <f>COUNTIFS('Team Lineups'!C:C,A18,'Team Lineups'!G:G,"Loss")</f>
        <v>4</v>
      </c>
      <c r="J18" s="3">
        <f t="shared" si="1"/>
        <v>0.16666666666666666</v>
      </c>
      <c r="K18">
        <f>SUMIF('Team Lineups'!C:C,A18,'Team Lineups'!H:H)</f>
        <v>5</v>
      </c>
      <c r="L18">
        <f t="shared" si="2"/>
        <v>0.83333333333333337</v>
      </c>
      <c r="M18">
        <f>SUMIF('Team Lineups'!C:C,A18,'Team Lineups'!I:I)</f>
        <v>2</v>
      </c>
      <c r="N18">
        <f>COUNTIF(Matches!G:G,A18)</f>
        <v>0</v>
      </c>
      <c r="O18">
        <f t="shared" si="3"/>
        <v>0</v>
      </c>
    </row>
    <row r="19" spans="1:15" x14ac:dyDescent="0.35">
      <c r="A19" t="s">
        <v>50</v>
      </c>
      <c r="C19">
        <f>COUNTIF('Team Lineups'!C:C,A19)</f>
        <v>2</v>
      </c>
      <c r="D19">
        <f>SUMIF('Team Lineups'!C:C,A19,'Team Lineups'!E:E)</f>
        <v>24</v>
      </c>
      <c r="E19">
        <f>SUMIF('Team Lineups'!C:C,A19,'Team Lineups'!F:F)</f>
        <v>21</v>
      </c>
      <c r="F19">
        <f t="shared" si="0"/>
        <v>3</v>
      </c>
      <c r="G19">
        <f>COUNTIFS('Team Lineups'!C:C,A19,'Team Lineups'!G:G,"Win")</f>
        <v>2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7</v>
      </c>
      <c r="L19">
        <f t="shared" si="2"/>
        <v>3.5</v>
      </c>
      <c r="M19">
        <f>SUMIF('Team Lineups'!C:C,A19,'Team Lineups'!I:I)</f>
        <v>1</v>
      </c>
      <c r="N19">
        <f>COUNTIF(Matches!G:G,A19)</f>
        <v>0</v>
      </c>
      <c r="O19">
        <f t="shared" si="3"/>
        <v>0</v>
      </c>
    </row>
    <row r="20" spans="1:15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</row>
    <row r="21" spans="1:15" x14ac:dyDescent="0.35">
      <c r="A21" t="s">
        <v>51</v>
      </c>
      <c r="C21">
        <f>COUNTIF('Team Lineups'!C:C,A21)</f>
        <v>1</v>
      </c>
      <c r="D21">
        <f>SUMIF('Team Lineups'!C:C,A21,'Team Lineups'!E:E)</f>
        <v>8</v>
      </c>
      <c r="E21">
        <f>SUMIF('Team Lineups'!C:C,A21,'Team Lineups'!F:F)</f>
        <v>10</v>
      </c>
      <c r="F21">
        <f t="shared" si="0"/>
        <v>-2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1</v>
      </c>
      <c r="J21" s="3">
        <f t="shared" si="1"/>
        <v>0</v>
      </c>
      <c r="K21">
        <f>SUMIF('Team Lineups'!C:C,A21,'Team Lineups'!H:H)</f>
        <v>1</v>
      </c>
      <c r="L21">
        <f t="shared" si="2"/>
        <v>1</v>
      </c>
      <c r="M21">
        <f>SUMIF('Team Lineups'!C:C,A21,'Team Lineups'!I:I)</f>
        <v>2</v>
      </c>
      <c r="N21">
        <f>COUNTIF(Matches!G:G,A21)</f>
        <v>0</v>
      </c>
      <c r="O21">
        <f t="shared" si="3"/>
        <v>0</v>
      </c>
    </row>
    <row r="22" spans="1:15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</row>
    <row r="23" spans="1:15" x14ac:dyDescent="0.35">
      <c r="A23" t="s">
        <v>22</v>
      </c>
      <c r="C23">
        <f>COUNTIF('Team Lineups'!C:C,A23)</f>
        <v>4</v>
      </c>
      <c r="D23">
        <f>SUMIF('Team Lineups'!C:C,A23,'Team Lineups'!E:E)</f>
        <v>39</v>
      </c>
      <c r="E23">
        <f>SUMIF('Team Lineups'!C:C,A23,'Team Lineups'!F:F)</f>
        <v>36</v>
      </c>
      <c r="F23">
        <f t="shared" si="0"/>
        <v>3</v>
      </c>
      <c r="G23">
        <f>COUNTIFS('Team Lineups'!C:C,A23,'Team Lineups'!G:G,"Win")</f>
        <v>2</v>
      </c>
      <c r="H23">
        <f>COUNTIFS('Team Lineups'!C:C,A23,'Team Lineups'!G:G,"Draw")</f>
        <v>1</v>
      </c>
      <c r="I23">
        <f>COUNTIFS('Team Lineups'!C:C,A23,'Team Lineups'!G:G,"Loss")</f>
        <v>1</v>
      </c>
      <c r="J23" s="3">
        <f t="shared" si="1"/>
        <v>0.5</v>
      </c>
      <c r="K23">
        <f>SUMIF('Team Lineups'!C:C,A23,'Team Lineups'!H:H)</f>
        <v>8</v>
      </c>
      <c r="L23">
        <f t="shared" si="2"/>
        <v>2</v>
      </c>
      <c r="M23">
        <f>SUMIF('Team Lineups'!C:C,A23,'Team Lineups'!I:I)</f>
        <v>2</v>
      </c>
      <c r="N23">
        <f>COUNTIF(Matches!G:G,A23)</f>
        <v>1</v>
      </c>
      <c r="O23">
        <f t="shared" si="3"/>
        <v>0.25</v>
      </c>
    </row>
    <row r="24" spans="1:15" x14ac:dyDescent="0.35">
      <c r="A24" t="s">
        <v>25</v>
      </c>
      <c r="C24">
        <f>COUNTIF('Team Lineups'!C:C,A24)</f>
        <v>5</v>
      </c>
      <c r="D24">
        <f>SUMIF('Team Lineups'!C:C,A24,'Team Lineups'!E:E)</f>
        <v>42</v>
      </c>
      <c r="E24">
        <f>SUMIF('Team Lineups'!C:C,A24,'Team Lineups'!F:F)</f>
        <v>39</v>
      </c>
      <c r="F24">
        <f t="shared" si="0"/>
        <v>3</v>
      </c>
      <c r="G24">
        <f>COUNTIFS('Team Lineups'!C:C,A24,'Team Lineups'!G:G,"Win")</f>
        <v>2</v>
      </c>
      <c r="H24">
        <f>COUNTIFS('Team Lineups'!C:C,A24,'Team Lineups'!G:G,"Draw")</f>
        <v>1</v>
      </c>
      <c r="I24">
        <f>COUNTIFS('Team Lineups'!C:C,A24,'Team Lineups'!G:G,"Loss")</f>
        <v>2</v>
      </c>
      <c r="J24" s="3">
        <f t="shared" si="1"/>
        <v>0.4</v>
      </c>
      <c r="K24">
        <f>SUMIF('Team Lineups'!C:C,A24,'Team Lineups'!H:H)</f>
        <v>5</v>
      </c>
      <c r="L24">
        <f t="shared" si="2"/>
        <v>1</v>
      </c>
      <c r="M24">
        <f>SUMIF('Team Lineups'!C:C,A24,'Team Lineups'!I:I)</f>
        <v>4</v>
      </c>
      <c r="N24">
        <f>COUNTIF(Matches!G:G,A24)</f>
        <v>0</v>
      </c>
      <c r="O24">
        <f t="shared" si="3"/>
        <v>0</v>
      </c>
    </row>
    <row r="25" spans="1:15" x14ac:dyDescent="0.35">
      <c r="A25" t="s">
        <v>53</v>
      </c>
      <c r="C25">
        <f>COUNTIF('Team Lineups'!C:C,A25)</f>
        <v>5</v>
      </c>
      <c r="D25">
        <f>SUMIF('Team Lineups'!C:C,A25,'Team Lineups'!E:E)</f>
        <v>51</v>
      </c>
      <c r="E25">
        <f>SUMIF('Team Lineups'!C:C,A25,'Team Lineups'!F:F)</f>
        <v>49</v>
      </c>
      <c r="F25">
        <f t="shared" si="0"/>
        <v>2</v>
      </c>
      <c r="G25">
        <f>COUNTIFS('Team Lineups'!C:C,A25,'Team Lineups'!G:G,"Win")</f>
        <v>2</v>
      </c>
      <c r="H25">
        <f>COUNTIFS('Team Lineups'!C:C,A25,'Team Lineups'!G:G,"Draw")</f>
        <v>0</v>
      </c>
      <c r="I25">
        <f>COUNTIFS('Team Lineups'!C:C,A25,'Team Lineups'!G:G,"Loss")</f>
        <v>3</v>
      </c>
      <c r="J25" s="3">
        <f t="shared" si="1"/>
        <v>0.4</v>
      </c>
      <c r="K25">
        <f>SUMIF('Team Lineups'!C:C,A25,'Team Lineups'!H:H)</f>
        <v>11</v>
      </c>
      <c r="L25">
        <f t="shared" si="2"/>
        <v>2.2000000000000002</v>
      </c>
      <c r="M25">
        <f>SUMIF('Team Lineups'!C:C,A25,'Team Lineups'!I:I)</f>
        <v>6</v>
      </c>
      <c r="N25">
        <f>COUNTIF(Matches!G:G,A25)</f>
        <v>0</v>
      </c>
      <c r="O25">
        <f t="shared" si="3"/>
        <v>0</v>
      </c>
    </row>
    <row r="26" spans="1:15" x14ac:dyDescent="0.35">
      <c r="A26" t="s">
        <v>54</v>
      </c>
      <c r="C26">
        <f>COUNTIF('Team Lineups'!C:C,A26)</f>
        <v>1</v>
      </c>
      <c r="D26">
        <f>SUMIF('Team Lineups'!C:C,A26,'Team Lineups'!E:E)</f>
        <v>5</v>
      </c>
      <c r="E26">
        <f>SUMIF('Team Lineups'!C:C,A26,'Team Lineups'!F:F)</f>
        <v>7</v>
      </c>
      <c r="F26">
        <f t="shared" si="0"/>
        <v>-2</v>
      </c>
      <c r="G26">
        <f>COUNTIFS('Team Lineups'!C:C,A26,'Team Lineups'!G:G,"Win")</f>
        <v>0</v>
      </c>
      <c r="H26">
        <f>COUNTIFS('Team Lineups'!C:C,A26,'Team Lineups'!G:G,"Draw")</f>
        <v>0</v>
      </c>
      <c r="I26">
        <f>COUNTIFS('Team Lineups'!C:C,A26,'Team Lineups'!G:G,"Loss")</f>
        <v>1</v>
      </c>
      <c r="J26" s="3">
        <f t="shared" si="1"/>
        <v>0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0</v>
      </c>
      <c r="O26">
        <f t="shared" si="3"/>
        <v>0</v>
      </c>
    </row>
    <row r="27" spans="1:15" x14ac:dyDescent="0.35">
      <c r="A27" t="s">
        <v>55</v>
      </c>
      <c r="C27">
        <f>COUNTIF('Team Lineups'!C:C,A27)</f>
        <v>0</v>
      </c>
      <c r="D27">
        <f>SUMIF('Team Lineups'!C:C,A27,'Team Lineups'!E:E)</f>
        <v>0</v>
      </c>
      <c r="E27">
        <f>SUMIF('Team Lineups'!C:C,A27,'Team Lineups'!F:F)</f>
        <v>0</v>
      </c>
      <c r="F27">
        <f t="shared" si="0"/>
        <v>0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0</v>
      </c>
      <c r="J27" s="3" t="e">
        <f t="shared" si="1"/>
        <v>#DIV/0!</v>
      </c>
      <c r="K27">
        <f>SUMIF('Team Lineups'!C:C,A27,'Team Lineups'!H:H)</f>
        <v>0</v>
      </c>
      <c r="L27" t="e">
        <f t="shared" si="2"/>
        <v>#DIV/0!</v>
      </c>
      <c r="M27">
        <f>SUMIF('Team Lineups'!C:C,A27,'Team Lineups'!I:I)</f>
        <v>0</v>
      </c>
      <c r="N27">
        <f>COUNTIF(Matches!G:G,A27)</f>
        <v>0</v>
      </c>
      <c r="O27" t="e">
        <f t="shared" si="3"/>
        <v>#DIV/0!</v>
      </c>
    </row>
    <row r="28" spans="1:15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1" si="4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1" si="5">G28/C28</f>
        <v>1</v>
      </c>
      <c r="K28">
        <f>SUMIF('Team Lineups'!C:C,A28,'Team Lineups'!H:H)</f>
        <v>2</v>
      </c>
      <c r="L28">
        <f t="shared" ref="L28:L31" si="6">K28/C28</f>
        <v>2</v>
      </c>
      <c r="M28">
        <f>SUMIF('Team Lineups'!C:C,A28,'Team Lineups'!I:I)</f>
        <v>2</v>
      </c>
      <c r="N28">
        <f>COUNTIF(Matches!G:G,A28)</f>
        <v>0</v>
      </c>
      <c r="O28">
        <f t="shared" ref="O28:O31" si="7">N28/C28</f>
        <v>0</v>
      </c>
    </row>
    <row r="29" spans="1:15" x14ac:dyDescent="0.35">
      <c r="A29" t="s">
        <v>60</v>
      </c>
      <c r="C29">
        <f>COUNTIF('Team Lineups'!C:C,A29)</f>
        <v>3</v>
      </c>
      <c r="D29">
        <f>SUMIF('Team Lineups'!C:C,A29,'Team Lineups'!E:E)</f>
        <v>39</v>
      </c>
      <c r="E29">
        <f>SUMIF('Team Lineups'!C:C,A29,'Team Lineups'!F:F)</f>
        <v>33</v>
      </c>
      <c r="F29">
        <f t="shared" si="4"/>
        <v>6</v>
      </c>
      <c r="G29">
        <f>COUNTIFS('Team Lineups'!C:C,A29,'Team Lineups'!G:G,"Win")</f>
        <v>2</v>
      </c>
      <c r="H29">
        <f>COUNTIFS('Team Lineups'!C:C,A29,'Team Lineups'!G:G,"Draw")</f>
        <v>0</v>
      </c>
      <c r="I29">
        <f>COUNTIFS('Team Lineups'!C:C,A29,'Team Lineups'!G:G,"Loss")</f>
        <v>1</v>
      </c>
      <c r="J29" s="3">
        <f t="shared" si="5"/>
        <v>0.66666666666666663</v>
      </c>
      <c r="K29">
        <f>SUMIF('Team Lineups'!C:C,A29,'Team Lineups'!H:H)</f>
        <v>4</v>
      </c>
      <c r="L29">
        <f t="shared" si="6"/>
        <v>1.3333333333333333</v>
      </c>
      <c r="M29">
        <f>SUMIF('Team Lineups'!C:C,A29,'Team Lineups'!I:I)</f>
        <v>1</v>
      </c>
      <c r="N29">
        <f>COUNTIF(Matches!G:G,A29)</f>
        <v>0</v>
      </c>
      <c r="O29">
        <f t="shared" si="7"/>
        <v>0</v>
      </c>
    </row>
    <row r="30" spans="1:15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4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5"/>
        <v>0</v>
      </c>
      <c r="K30">
        <f>SUMIF('Team Lineups'!C:C,A30,'Team Lineups'!H:H)</f>
        <v>0</v>
      </c>
      <c r="L30">
        <f t="shared" si="6"/>
        <v>0</v>
      </c>
      <c r="M30">
        <f>SUMIF('Team Lineups'!C:C,A30,'Team Lineups'!I:I)</f>
        <v>0</v>
      </c>
      <c r="N30">
        <f>COUNTIF(Matches!G:G,A30)</f>
        <v>0</v>
      </c>
      <c r="O30">
        <f t="shared" si="7"/>
        <v>0</v>
      </c>
    </row>
    <row r="31" spans="1:15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4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5"/>
        <v>0</v>
      </c>
      <c r="K31">
        <f>SUMIF('Team Lineups'!C:C,A31,'Team Lineups'!H:H)</f>
        <v>1</v>
      </c>
      <c r="L31">
        <f t="shared" si="6"/>
        <v>1</v>
      </c>
      <c r="M31">
        <f>SUMIF('Team Lineups'!C:C,A31,'Team Lineups'!I:I)</f>
        <v>3</v>
      </c>
      <c r="N31">
        <f>COUNTIF(Matches!G:G,A31)</f>
        <v>0</v>
      </c>
      <c r="O31">
        <f t="shared" si="7"/>
        <v>0</v>
      </c>
    </row>
    <row r="32" spans="1:15" x14ac:dyDescent="0.35">
      <c r="A32" t="s">
        <v>64</v>
      </c>
      <c r="C32">
        <f>COUNTIF('Team Lineups'!C:C,A32)</f>
        <v>1</v>
      </c>
      <c r="D32">
        <f>SUMIF('Team Lineups'!C:C,A32,'Team Lineups'!E:E)</f>
        <v>10</v>
      </c>
      <c r="E32">
        <f>SUMIF('Team Lineups'!C:C,A32,'Team Lineups'!F:F)</f>
        <v>8</v>
      </c>
      <c r="F32">
        <f t="shared" ref="F32" si="8">D32-E32</f>
        <v>2</v>
      </c>
      <c r="G32">
        <f>COUNTIFS('Team Lineups'!C:C,A32,'Team Lineups'!G:G,"Win")</f>
        <v>1</v>
      </c>
      <c r="H32">
        <f>COUNTIFS('Team Lineups'!C:C,A32,'Team Lineups'!G:G,"Draw")</f>
        <v>0</v>
      </c>
      <c r="I32">
        <f>COUNTIFS('Team Lineups'!C:C,A32,'Team Lineups'!G:G,"Loss")</f>
        <v>0</v>
      </c>
      <c r="J32" s="3">
        <f t="shared" ref="J32" si="9">G32/C32</f>
        <v>1</v>
      </c>
      <c r="K32">
        <f>SUMIF('Team Lineups'!C:C,A32,'Team Lineups'!H:H)</f>
        <v>2</v>
      </c>
      <c r="L32">
        <f t="shared" ref="L32" si="10">K32/C32</f>
        <v>2</v>
      </c>
      <c r="M32">
        <f>SUMIF('Team Lineups'!C:C,A32,'Team Lineups'!I:I)</f>
        <v>3</v>
      </c>
      <c r="N32">
        <f>COUNTIF(Matches!G:G,A32)</f>
        <v>0</v>
      </c>
      <c r="O32">
        <f t="shared" ref="O32" si="11">N32/C32</f>
        <v>0</v>
      </c>
    </row>
    <row r="33" spans="1:15" x14ac:dyDescent="0.35">
      <c r="A33" t="s">
        <v>66</v>
      </c>
      <c r="C33">
        <f>COUNTIF('Team Lineups'!C:C,A33)</f>
        <v>1</v>
      </c>
      <c r="D33">
        <f>SUMIF('Team Lineups'!C:C,A33,'Team Lineups'!E:E)</f>
        <v>17</v>
      </c>
      <c r="E33">
        <f>SUMIF('Team Lineups'!C:C,A33,'Team Lineups'!F:F)</f>
        <v>16</v>
      </c>
      <c r="F33">
        <f t="shared" ref="F33" si="12">D33-E33</f>
        <v>1</v>
      </c>
      <c r="G33">
        <f>COUNTIFS('Team Lineups'!C:C,A33,'Team Lineups'!G:G,"Win")</f>
        <v>1</v>
      </c>
      <c r="H33">
        <f>COUNTIFS('Team Lineups'!C:C,A33,'Team Lineups'!G:G,"Draw")</f>
        <v>0</v>
      </c>
      <c r="I33">
        <f>COUNTIFS('Team Lineups'!C:C,A33,'Team Lineups'!G:G,"Loss")</f>
        <v>0</v>
      </c>
      <c r="J33" s="3">
        <f t="shared" ref="J33" si="13">G33/C33</f>
        <v>1</v>
      </c>
      <c r="K33">
        <f>SUMIF('Team Lineups'!C:C,A33,'Team Lineups'!H:H)</f>
        <v>8</v>
      </c>
      <c r="L33">
        <f t="shared" ref="L33" si="14">K33/C33</f>
        <v>8</v>
      </c>
      <c r="M33">
        <f>SUMIF('Team Lineups'!C:C,A33,'Team Lineups'!I:I)</f>
        <v>1</v>
      </c>
      <c r="N33">
        <f>COUNTIF(Matches!G:G,A33)</f>
        <v>0</v>
      </c>
      <c r="O33">
        <f t="shared" ref="O33" si="15">N33/C33</f>
        <v>0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2025-12-19T10:33:35Z</dcterms:modified>
</cp:coreProperties>
</file>