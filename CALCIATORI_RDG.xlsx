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056F8F86-4367-4D1E-A567-FB849DB23626}" xr6:coauthVersionLast="47" xr6:coauthVersionMax="47" xr10:uidLastSave="{00000000-0000-0000-0000-000000000000}"/>
  <bookViews>
    <workbookView xWindow="10" yWindow="10" windowWidth="19180" windowHeight="10060" activeTab="3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3" i="2" l="1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G463" i="2"/>
  <c r="E464" i="2"/>
  <c r="F464" i="2"/>
  <c r="G464" i="2"/>
  <c r="E465" i="2"/>
  <c r="F465" i="2"/>
  <c r="G465" i="2"/>
  <c r="E466" i="2"/>
  <c r="F466" i="2"/>
  <c r="G466" i="2"/>
  <c r="E467" i="2"/>
  <c r="F467" i="2"/>
  <c r="G467" i="2"/>
  <c r="E468" i="2"/>
  <c r="F468" i="2"/>
  <c r="G468" i="2"/>
  <c r="E469" i="2"/>
  <c r="F469" i="2"/>
  <c r="G469" i="2"/>
  <c r="E470" i="2"/>
  <c r="F470" i="2"/>
  <c r="G470" i="2"/>
  <c r="E471" i="2"/>
  <c r="F471" i="2"/>
  <c r="G471" i="2"/>
  <c r="E472" i="2"/>
  <c r="F472" i="2"/>
  <c r="G472" i="2"/>
  <c r="E473" i="2"/>
  <c r="F473" i="2"/>
  <c r="G473" i="2"/>
  <c r="E474" i="2"/>
  <c r="F474" i="2"/>
  <c r="E41" i="1"/>
  <c r="F41" i="1"/>
  <c r="E449" i="2"/>
  <c r="F449" i="2"/>
  <c r="E450" i="2"/>
  <c r="F450" i="2"/>
  <c r="G450" i="2"/>
  <c r="E451" i="2"/>
  <c r="F451" i="2"/>
  <c r="G451" i="2"/>
  <c r="E452" i="2"/>
  <c r="F452" i="2"/>
  <c r="G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G437" i="2"/>
  <c r="E438" i="2"/>
  <c r="F438" i="2"/>
  <c r="G438" i="2"/>
  <c r="E439" i="2"/>
  <c r="F439" i="2"/>
  <c r="G439" i="2"/>
  <c r="E440" i="2"/>
  <c r="F440" i="2"/>
  <c r="G440" i="2"/>
  <c r="E441" i="2"/>
  <c r="F441" i="2"/>
  <c r="G441" i="2"/>
  <c r="E442" i="2"/>
  <c r="F442" i="2"/>
  <c r="G442" i="2"/>
  <c r="E443" i="2"/>
  <c r="F443" i="2"/>
  <c r="G443" i="2"/>
  <c r="E444" i="2"/>
  <c r="F444" i="2"/>
  <c r="G444" i="2"/>
  <c r="E445" i="2"/>
  <c r="F445" i="2"/>
  <c r="G445" i="2"/>
  <c r="E446" i="2"/>
  <c r="F446" i="2"/>
  <c r="G446" i="2"/>
  <c r="E447" i="2"/>
  <c r="F447" i="2"/>
  <c r="E448" i="2"/>
  <c r="F448" i="2"/>
  <c r="G448" i="2"/>
  <c r="K437" i="2"/>
  <c r="E39" i="1"/>
  <c r="F39" i="1"/>
  <c r="C46" i="3"/>
  <c r="L46" i="3"/>
  <c r="N46" i="3"/>
  <c r="O46" i="3"/>
  <c r="Q46" i="3"/>
  <c r="E417" i="2"/>
  <c r="F417" i="2"/>
  <c r="E418" i="2"/>
  <c r="F418" i="2"/>
  <c r="E419" i="2"/>
  <c r="F419" i="2"/>
  <c r="E420" i="2"/>
  <c r="F420" i="2"/>
  <c r="G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/>
  <c r="E428" i="2"/>
  <c r="F428" i="2"/>
  <c r="E429" i="2"/>
  <c r="F429" i="2"/>
  <c r="E430" i="2"/>
  <c r="F430" i="2"/>
  <c r="E431" i="2"/>
  <c r="F431" i="2"/>
  <c r="G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G379" i="2" s="1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45" i="3"/>
  <c r="L45" i="3"/>
  <c r="N45" i="3"/>
  <c r="O45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44" i="3"/>
  <c r="L44" i="3"/>
  <c r="N44" i="3"/>
  <c r="O44" i="3"/>
  <c r="Q44" i="3"/>
  <c r="E24" i="1"/>
  <c r="F24" i="1"/>
  <c r="E25" i="1"/>
  <c r="F25" i="1"/>
  <c r="C43" i="3"/>
  <c r="L43" i="3"/>
  <c r="N43" i="3"/>
  <c r="O43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37" i="3"/>
  <c r="L37" i="3"/>
  <c r="N37" i="3"/>
  <c r="O37" i="3"/>
  <c r="Q37" i="3"/>
  <c r="C38" i="3"/>
  <c r="L38" i="3"/>
  <c r="N38" i="3"/>
  <c r="O38" i="3"/>
  <c r="Q38" i="3"/>
  <c r="C39" i="3"/>
  <c r="L39" i="3"/>
  <c r="N39" i="3"/>
  <c r="O39" i="3"/>
  <c r="Q39" i="3"/>
  <c r="C40" i="3"/>
  <c r="L40" i="3"/>
  <c r="N40" i="3"/>
  <c r="O40" i="3"/>
  <c r="Q40" i="3"/>
  <c r="C41" i="3"/>
  <c r="L41" i="3"/>
  <c r="N41" i="3"/>
  <c r="O41" i="3"/>
  <c r="Q41" i="3"/>
  <c r="C42" i="3"/>
  <c r="L42" i="3"/>
  <c r="N42" i="3"/>
  <c r="O42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L36" i="3"/>
  <c r="N36" i="3"/>
  <c r="O36" i="3"/>
  <c r="Q36" i="3"/>
  <c r="K164" i="2"/>
  <c r="K163" i="2"/>
  <c r="K162" i="2"/>
  <c r="K161" i="2"/>
  <c r="K160" i="2"/>
  <c r="K159" i="2"/>
  <c r="K158" i="2"/>
  <c r="K157" i="2"/>
  <c r="K156" i="2"/>
  <c r="K155" i="2"/>
  <c r="C35" i="3"/>
  <c r="L35" i="3"/>
  <c r="N35" i="3"/>
  <c r="O35" i="3"/>
  <c r="Q35" i="3"/>
  <c r="A2" i="6" a="1"/>
  <c r="Q34" i="3"/>
  <c r="O34" i="3"/>
  <c r="N34" i="3"/>
  <c r="L34" i="3"/>
  <c r="C34" i="3"/>
  <c r="Q33" i="3"/>
  <c r="O33" i="3"/>
  <c r="N33" i="3"/>
  <c r="L33" i="3"/>
  <c r="C33" i="3"/>
  <c r="Q32" i="3"/>
  <c r="O32" i="3"/>
  <c r="N32" i="3"/>
  <c r="L32" i="3"/>
  <c r="C32" i="3"/>
  <c r="Q31" i="3"/>
  <c r="O31" i="3"/>
  <c r="N31" i="3"/>
  <c r="L31" i="3"/>
  <c r="C31" i="3"/>
  <c r="Q30" i="3"/>
  <c r="O30" i="3"/>
  <c r="N30" i="3"/>
  <c r="L30" i="3"/>
  <c r="C30" i="3"/>
  <c r="Q29" i="3"/>
  <c r="O29" i="3"/>
  <c r="N29" i="3"/>
  <c r="L29" i="3"/>
  <c r="C29" i="3"/>
  <c r="Q28" i="3"/>
  <c r="O28" i="3"/>
  <c r="N28" i="3"/>
  <c r="L28" i="3"/>
  <c r="C28" i="3"/>
  <c r="Q27" i="3"/>
  <c r="O27" i="3"/>
  <c r="N27" i="3"/>
  <c r="L27" i="3"/>
  <c r="C27" i="3"/>
  <c r="Q26" i="3"/>
  <c r="O26" i="3"/>
  <c r="N26" i="3"/>
  <c r="L26" i="3"/>
  <c r="C26" i="3"/>
  <c r="Q25" i="3"/>
  <c r="O25" i="3"/>
  <c r="N25" i="3"/>
  <c r="L25" i="3"/>
  <c r="C25" i="3"/>
  <c r="Q24" i="3"/>
  <c r="O24" i="3"/>
  <c r="N24" i="3"/>
  <c r="L24" i="3"/>
  <c r="C24" i="3"/>
  <c r="Q23" i="3"/>
  <c r="O23" i="3"/>
  <c r="N23" i="3"/>
  <c r="L23" i="3"/>
  <c r="C23" i="3"/>
  <c r="Q22" i="3"/>
  <c r="O22" i="3"/>
  <c r="N22" i="3"/>
  <c r="L22" i="3"/>
  <c r="C22" i="3"/>
  <c r="Q21" i="3"/>
  <c r="O21" i="3"/>
  <c r="N21" i="3"/>
  <c r="L21" i="3"/>
  <c r="C21" i="3"/>
  <c r="Q20" i="3"/>
  <c r="O20" i="3"/>
  <c r="N20" i="3"/>
  <c r="L20" i="3"/>
  <c r="C20" i="3"/>
  <c r="Q19" i="3"/>
  <c r="O19" i="3"/>
  <c r="N19" i="3"/>
  <c r="L19" i="3"/>
  <c r="C19" i="3"/>
  <c r="Q18" i="3"/>
  <c r="O18" i="3"/>
  <c r="N18" i="3"/>
  <c r="L18" i="3"/>
  <c r="C18" i="3"/>
  <c r="Q17" i="3"/>
  <c r="O17" i="3"/>
  <c r="N17" i="3"/>
  <c r="L17" i="3"/>
  <c r="C17" i="3"/>
  <c r="Q16" i="3"/>
  <c r="O16" i="3"/>
  <c r="N16" i="3"/>
  <c r="L16" i="3"/>
  <c r="C16" i="3"/>
  <c r="Q15" i="3"/>
  <c r="O15" i="3"/>
  <c r="N15" i="3"/>
  <c r="L15" i="3"/>
  <c r="C15" i="3"/>
  <c r="Q14" i="3"/>
  <c r="O14" i="3"/>
  <c r="N14" i="3"/>
  <c r="L14" i="3"/>
  <c r="C14" i="3"/>
  <c r="Q13" i="3"/>
  <c r="O13" i="3"/>
  <c r="N13" i="3"/>
  <c r="L13" i="3"/>
  <c r="I13" i="3"/>
  <c r="H13" i="3"/>
  <c r="G13" i="3"/>
  <c r="E13" i="3"/>
  <c r="D13" i="3"/>
  <c r="C13" i="3"/>
  <c r="Q12" i="3"/>
  <c r="O12" i="3"/>
  <c r="N12" i="3"/>
  <c r="L12" i="3"/>
  <c r="C12" i="3"/>
  <c r="Q11" i="3"/>
  <c r="O11" i="3"/>
  <c r="N11" i="3"/>
  <c r="L11" i="3"/>
  <c r="I11" i="3"/>
  <c r="H11" i="3"/>
  <c r="G11" i="3"/>
  <c r="E11" i="3"/>
  <c r="D11" i="3"/>
  <c r="C11" i="3"/>
  <c r="Q10" i="3"/>
  <c r="O10" i="3"/>
  <c r="N10" i="3"/>
  <c r="L10" i="3"/>
  <c r="C10" i="3"/>
  <c r="Q9" i="3"/>
  <c r="O9" i="3"/>
  <c r="N9" i="3"/>
  <c r="L9" i="3"/>
  <c r="C9" i="3"/>
  <c r="Q8" i="3"/>
  <c r="O8" i="3"/>
  <c r="N8" i="3"/>
  <c r="L8" i="3"/>
  <c r="C8" i="3"/>
  <c r="Q7" i="3"/>
  <c r="O7" i="3"/>
  <c r="N7" i="3"/>
  <c r="L7" i="3"/>
  <c r="C7" i="3"/>
  <c r="Q6" i="3"/>
  <c r="O6" i="3"/>
  <c r="N6" i="3"/>
  <c r="L6" i="3"/>
  <c r="C6" i="3"/>
  <c r="Q5" i="3"/>
  <c r="O5" i="3"/>
  <c r="N5" i="3"/>
  <c r="L5" i="3"/>
  <c r="C5" i="3"/>
  <c r="Q4" i="3"/>
  <c r="O4" i="3"/>
  <c r="N4" i="3"/>
  <c r="L4" i="3"/>
  <c r="C4" i="3"/>
  <c r="Q3" i="3"/>
  <c r="O3" i="3"/>
  <c r="N3" i="3"/>
  <c r="L3" i="3"/>
  <c r="C3" i="3"/>
  <c r="Q2" i="3"/>
  <c r="O2" i="3"/>
  <c r="N2" i="3"/>
  <c r="L2" i="3"/>
  <c r="C2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G137" i="2" s="1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G129" i="2" s="1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G120" i="2" s="1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G104" i="2" s="1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27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32" i="3" s="1"/>
  <c r="E50" i="2"/>
  <c r="K49" i="2"/>
  <c r="F49" i="2"/>
  <c r="E49" i="2"/>
  <c r="K48" i="2"/>
  <c r="F48" i="2"/>
  <c r="E48" i="2"/>
  <c r="G48" i="2" s="1"/>
  <c r="K47" i="2"/>
  <c r="F47" i="2"/>
  <c r="E47" i="2"/>
  <c r="K46" i="2"/>
  <c r="F46" i="2"/>
  <c r="E46" i="2"/>
  <c r="K45" i="2"/>
  <c r="F45" i="2"/>
  <c r="E31" i="3" s="1"/>
  <c r="E45" i="2"/>
  <c r="K44" i="2"/>
  <c r="F44" i="2"/>
  <c r="E30" i="3" s="1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G474" i="2" l="1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46" i="3"/>
  <c r="G46" i="3"/>
  <c r="I46" i="3"/>
  <c r="G417" i="2"/>
  <c r="D46" i="3"/>
  <c r="H46" i="3"/>
  <c r="G418" i="2"/>
  <c r="E22" i="3"/>
  <c r="D22" i="3"/>
  <c r="G128" i="2"/>
  <c r="G80" i="2"/>
  <c r="P46" i="3"/>
  <c r="M46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G399" i="2" s="1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E45" i="3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45" i="3"/>
  <c r="P45" i="3"/>
  <c r="G285" i="2"/>
  <c r="G43" i="2"/>
  <c r="G279" i="2"/>
  <c r="G288" i="2"/>
  <c r="D45" i="3"/>
  <c r="D43" i="3"/>
  <c r="G270" i="2"/>
  <c r="J11" i="3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44" i="3"/>
  <c r="P44" i="3"/>
  <c r="P43" i="3"/>
  <c r="K13" i="3"/>
  <c r="J13" i="3"/>
  <c r="G243" i="2"/>
  <c r="G229" i="2"/>
  <c r="E43" i="3"/>
  <c r="G247" i="2"/>
  <c r="G245" i="2"/>
  <c r="G261" i="2"/>
  <c r="G249" i="2"/>
  <c r="G250" i="2"/>
  <c r="G255" i="2"/>
  <c r="D38" i="3"/>
  <c r="G130" i="2"/>
  <c r="G256" i="2"/>
  <c r="G105" i="2"/>
  <c r="G22" i="2"/>
  <c r="F13" i="3"/>
  <c r="M43" i="3"/>
  <c r="M39" i="3"/>
  <c r="M38" i="3"/>
  <c r="P41" i="3"/>
  <c r="M41" i="3"/>
  <c r="M42" i="3"/>
  <c r="G199" i="2"/>
  <c r="G175" i="2"/>
  <c r="G79" i="2"/>
  <c r="G180" i="2"/>
  <c r="E234" i="2"/>
  <c r="F241" i="2"/>
  <c r="E235" i="2"/>
  <c r="D39" i="3" s="1"/>
  <c r="F240" i="2"/>
  <c r="F242" i="2"/>
  <c r="E40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40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E37" i="3"/>
  <c r="G232" i="2"/>
  <c r="D37" i="3"/>
  <c r="G227" i="2"/>
  <c r="G219" i="2"/>
  <c r="G178" i="2"/>
  <c r="G207" i="2"/>
  <c r="E38" i="3"/>
  <c r="G205" i="2"/>
  <c r="P38" i="3"/>
  <c r="P39" i="3"/>
  <c r="P42" i="3"/>
  <c r="M40" i="3"/>
  <c r="P40" i="3"/>
  <c r="M37" i="3"/>
  <c r="P37" i="3"/>
  <c r="G220" i="2"/>
  <c r="P12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K11" i="3"/>
  <c r="G35" i="2"/>
  <c r="G132" i="2"/>
  <c r="G113" i="2"/>
  <c r="G94" i="2"/>
  <c r="G188" i="2"/>
  <c r="G54" i="2"/>
  <c r="G14" i="2"/>
  <c r="F11" i="3"/>
  <c r="M36" i="3"/>
  <c r="P36" i="3"/>
  <c r="M35" i="3"/>
  <c r="P35" i="3"/>
  <c r="G118" i="2"/>
  <c r="G41" i="2"/>
  <c r="P23" i="3"/>
  <c r="P8" i="3"/>
  <c r="P7" i="3"/>
  <c r="P10" i="3"/>
  <c r="P9" i="3"/>
  <c r="P5" i="3"/>
  <c r="P4" i="3"/>
  <c r="P6" i="3"/>
  <c r="P11" i="3"/>
  <c r="P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15" i="3"/>
  <c r="P3" i="3"/>
  <c r="P14" i="3"/>
  <c r="P34" i="3"/>
  <c r="P30" i="3"/>
  <c r="P31" i="3"/>
  <c r="P28" i="3"/>
  <c r="P26" i="3"/>
  <c r="P24" i="3"/>
  <c r="P22" i="3"/>
  <c r="P19" i="3"/>
  <c r="P18" i="3"/>
  <c r="P2" i="3"/>
  <c r="P16" i="3"/>
  <c r="P33" i="3"/>
  <c r="P32" i="3"/>
  <c r="P29" i="3"/>
  <c r="P27" i="3"/>
  <c r="P25" i="3"/>
  <c r="P21" i="3"/>
  <c r="P17" i="3"/>
  <c r="P20" i="3"/>
  <c r="G145" i="2"/>
  <c r="G33" i="2"/>
  <c r="G108" i="2"/>
  <c r="G89" i="2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10" i="3"/>
  <c r="F161" i="2"/>
  <c r="F162" i="2"/>
  <c r="F160" i="2"/>
  <c r="E3" i="3" s="1"/>
  <c r="F163" i="2"/>
  <c r="E34" i="3" s="1"/>
  <c r="E156" i="2"/>
  <c r="E155" i="2"/>
  <c r="E157" i="2"/>
  <c r="E158" i="2"/>
  <c r="E159" i="2"/>
  <c r="F164" i="2"/>
  <c r="E26" i="3" s="1"/>
  <c r="E163" i="2"/>
  <c r="E162" i="2"/>
  <c r="E164" i="2"/>
  <c r="D26" i="3" s="1"/>
  <c r="F159" i="2"/>
  <c r="F158" i="2"/>
  <c r="E5" i="3" s="1"/>
  <c r="F157" i="2"/>
  <c r="F155" i="2"/>
  <c r="F156" i="2"/>
  <c r="E160" i="2"/>
  <c r="E161" i="2"/>
  <c r="F170" i="2"/>
  <c r="E9" i="3" s="1"/>
  <c r="F172" i="2"/>
  <c r="E8" i="3" s="1"/>
  <c r="E166" i="2"/>
  <c r="E169" i="2"/>
  <c r="F173" i="2"/>
  <c r="E24" i="3" s="1"/>
  <c r="E168" i="2"/>
  <c r="E167" i="2"/>
  <c r="D19" i="3" s="1"/>
  <c r="F171" i="2"/>
  <c r="E25" i="3" s="1"/>
  <c r="F174" i="2"/>
  <c r="E15" i="3" s="1"/>
  <c r="E165" i="2"/>
  <c r="F166" i="2"/>
  <c r="E173" i="2"/>
  <c r="F165" i="2"/>
  <c r="E170" i="2"/>
  <c r="D9" i="3" s="1"/>
  <c r="E172" i="2"/>
  <c r="D8" i="3" s="1"/>
  <c r="E174" i="2"/>
  <c r="F169" i="2"/>
  <c r="E36" i="3" s="1"/>
  <c r="F167" i="2"/>
  <c r="E19" i="3" s="1"/>
  <c r="E171" i="2"/>
  <c r="F168" i="2"/>
  <c r="G61" i="2"/>
  <c r="M10" i="3"/>
  <c r="M9" i="3"/>
  <c r="M8" i="3"/>
  <c r="M7" i="3"/>
  <c r="M6" i="3"/>
  <c r="M5" i="3"/>
  <c r="M4" i="3"/>
  <c r="M3" i="3"/>
  <c r="M2" i="3"/>
  <c r="M21" i="3"/>
  <c r="M20" i="3"/>
  <c r="M19" i="3"/>
  <c r="M18" i="3"/>
  <c r="M16" i="3"/>
  <c r="M15" i="3"/>
  <c r="M12" i="3"/>
  <c r="M11" i="3"/>
  <c r="M13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17" i="3"/>
  <c r="M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G6" i="2"/>
  <c r="G5" i="2"/>
  <c r="G4" i="2"/>
  <c r="G3" i="2"/>
  <c r="G2" i="2"/>
  <c r="G391" i="2" l="1"/>
  <c r="G392" i="2"/>
  <c r="D44" i="3"/>
  <c r="E44" i="3"/>
  <c r="G395" i="2"/>
  <c r="G396" i="2"/>
  <c r="G398" i="2"/>
  <c r="G400" i="2"/>
  <c r="F46" i="3"/>
  <c r="K46" i="3"/>
  <c r="J46" i="3"/>
  <c r="F22" i="3"/>
  <c r="G394" i="2"/>
  <c r="D41" i="3"/>
  <c r="D4" i="3"/>
  <c r="D14" i="3"/>
  <c r="E14" i="3"/>
  <c r="E41" i="3"/>
  <c r="D42" i="3"/>
  <c r="E18" i="3"/>
  <c r="D33" i="3"/>
  <c r="E33" i="3"/>
  <c r="D21" i="3"/>
  <c r="D7" i="3"/>
  <c r="E7" i="3"/>
  <c r="E21" i="3"/>
  <c r="D18" i="3"/>
  <c r="H22" i="3"/>
  <c r="G22" i="3"/>
  <c r="J22" i="3" s="1"/>
  <c r="I22" i="3"/>
  <c r="K22" i="3" s="1"/>
  <c r="G393" i="2"/>
  <c r="G397" i="2"/>
  <c r="G401" i="2"/>
  <c r="G402" i="2"/>
  <c r="F45" i="3"/>
  <c r="I45" i="3"/>
  <c r="K45" i="3" s="1"/>
  <c r="G45" i="3"/>
  <c r="J45" i="3" s="1"/>
  <c r="H45" i="3"/>
  <c r="F43" i="3"/>
  <c r="F41" i="3"/>
  <c r="I43" i="3"/>
  <c r="K43" i="3" s="1"/>
  <c r="G43" i="3"/>
  <c r="J43" i="3" s="1"/>
  <c r="H43" i="3"/>
  <c r="I14" i="3"/>
  <c r="K14" i="3" s="1"/>
  <c r="F38" i="3"/>
  <c r="G233" i="2"/>
  <c r="G236" i="2"/>
  <c r="G241" i="2"/>
  <c r="G238" i="2"/>
  <c r="G242" i="2"/>
  <c r="G239" i="2"/>
  <c r="G240" i="2"/>
  <c r="E6" i="3"/>
  <c r="D17" i="3"/>
  <c r="E16" i="3"/>
  <c r="E12" i="3"/>
  <c r="E35" i="3"/>
  <c r="E23" i="3"/>
  <c r="F37" i="3"/>
  <c r="I37" i="3"/>
  <c r="K37" i="3" s="1"/>
  <c r="G37" i="3"/>
  <c r="J37" i="3" s="1"/>
  <c r="H37" i="3"/>
  <c r="E42" i="3"/>
  <c r="F42" i="3" s="1"/>
  <c r="G237" i="2"/>
  <c r="E39" i="3"/>
  <c r="F39" i="3" s="1"/>
  <c r="G235" i="2"/>
  <c r="E17" i="3"/>
  <c r="D12" i="3"/>
  <c r="D16" i="3"/>
  <c r="G234" i="2"/>
  <c r="E4" i="3"/>
  <c r="H38" i="3"/>
  <c r="I38" i="3"/>
  <c r="K38" i="3" s="1"/>
  <c r="G38" i="3"/>
  <c r="J38" i="3" s="1"/>
  <c r="F40" i="3"/>
  <c r="F29" i="3"/>
  <c r="F26" i="3"/>
  <c r="B1" i="6" a="1"/>
  <c r="F8" i="3"/>
  <c r="F10" i="3"/>
  <c r="G32" i="3"/>
  <c r="J32" i="3" s="1"/>
  <c r="I32" i="3"/>
  <c r="K32" i="3" s="1"/>
  <c r="H32" i="3"/>
  <c r="H31" i="3"/>
  <c r="G31" i="3"/>
  <c r="J31" i="3" s="1"/>
  <c r="I31" i="3"/>
  <c r="K31" i="3" s="1"/>
  <c r="G30" i="3"/>
  <c r="J30" i="3" s="1"/>
  <c r="H30" i="3"/>
  <c r="I30" i="3"/>
  <c r="K30" i="3" s="1"/>
  <c r="G173" i="2"/>
  <c r="G24" i="3" s="1"/>
  <c r="J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G159" i="2"/>
  <c r="G161" i="2"/>
  <c r="F19" i="3"/>
  <c r="D35" i="3"/>
  <c r="G155" i="2"/>
  <c r="D34" i="3"/>
  <c r="F34" i="3" s="1"/>
  <c r="G163" i="2"/>
  <c r="D36" i="3"/>
  <c r="F36" i="3" s="1"/>
  <c r="G169" i="2"/>
  <c r="G164" i="2"/>
  <c r="G168" i="2"/>
  <c r="G167" i="2"/>
  <c r="G19" i="3" s="1"/>
  <c r="J19" i="3" s="1"/>
  <c r="G165" i="2"/>
  <c r="G170" i="2"/>
  <c r="G172" i="2"/>
  <c r="G156" i="2"/>
  <c r="G157" i="2"/>
  <c r="G158" i="2"/>
  <c r="H5" i="3" s="1"/>
  <c r="D5" i="3"/>
  <c r="F5" i="3" s="1"/>
  <c r="G162" i="2"/>
  <c r="D6" i="3"/>
  <c r="G160" i="2"/>
  <c r="D3" i="3"/>
  <c r="F3" i="3" s="1"/>
  <c r="G166" i="2"/>
  <c r="D23" i="3"/>
  <c r="F9" i="3"/>
  <c r="F2" i="3"/>
  <c r="G27" i="3"/>
  <c r="J27" i="3" s="1"/>
  <c r="H27" i="3"/>
  <c r="I27" i="3"/>
  <c r="K27" i="3" s="1"/>
  <c r="G29" i="3"/>
  <c r="J29" i="3" s="1"/>
  <c r="H29" i="3"/>
  <c r="I29" i="3"/>
  <c r="K29" i="3" s="1"/>
  <c r="G28" i="3"/>
  <c r="J28" i="3" s="1"/>
  <c r="H28" i="3"/>
  <c r="I28" i="3"/>
  <c r="K28" i="3" s="1"/>
  <c r="H10" i="3"/>
  <c r="I10" i="3"/>
  <c r="K10" i="3" s="1"/>
  <c r="G10" i="3"/>
  <c r="J10" i="3" s="1"/>
  <c r="G20" i="3"/>
  <c r="J20" i="3" s="1"/>
  <c r="H20" i="3"/>
  <c r="I20" i="3"/>
  <c r="K20" i="3" s="1"/>
  <c r="G2" i="3"/>
  <c r="J2" i="3" s="1"/>
  <c r="H2" i="3"/>
  <c r="I2" i="3"/>
  <c r="K2" i="3" s="1"/>
  <c r="G18" i="3"/>
  <c r="J18" i="3" s="1"/>
  <c r="H18" i="3"/>
  <c r="I18" i="3"/>
  <c r="K18" i="3" s="1"/>
  <c r="H14" i="3" l="1"/>
  <c r="G14" i="3"/>
  <c r="J14" i="3" s="1"/>
  <c r="I41" i="3"/>
  <c r="K41" i="3" s="1"/>
  <c r="H41" i="3"/>
  <c r="G41" i="3"/>
  <c r="J41" i="3" s="1"/>
  <c r="H44" i="3"/>
  <c r="F14" i="3"/>
  <c r="I44" i="3"/>
  <c r="K44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44" i="3"/>
  <c r="J44" i="3" s="1"/>
  <c r="F44" i="3"/>
  <c r="F33" i="3"/>
  <c r="F21" i="3"/>
  <c r="F7" i="3"/>
  <c r="F18" i="3"/>
  <c r="F4" i="3"/>
  <c r="G21" i="3"/>
  <c r="J21" i="3" s="1"/>
  <c r="G5" i="3"/>
  <c r="J5" i="3" s="1"/>
  <c r="I5" i="3"/>
  <c r="K5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17" i="3"/>
  <c r="J17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17" i="3"/>
  <c r="G40" i="3"/>
  <c r="J40" i="3" s="1"/>
  <c r="H40" i="3"/>
  <c r="I40" i="3"/>
  <c r="K40" i="3" s="1"/>
  <c r="F12" i="3"/>
  <c r="F16" i="3"/>
  <c r="G16" i="3"/>
  <c r="J16" i="3" s="1"/>
  <c r="F35" i="3"/>
  <c r="F6" i="3"/>
  <c r="F23" i="3"/>
  <c r="H42" i="3"/>
  <c r="I42" i="3"/>
  <c r="K42" i="3" s="1"/>
  <c r="G42" i="3"/>
  <c r="J42" i="3" s="1"/>
  <c r="H39" i="3"/>
  <c r="I39" i="3"/>
  <c r="K39" i="3" s="1"/>
  <c r="G39" i="3"/>
  <c r="J39" i="3" s="1"/>
  <c r="G4" i="3"/>
  <c r="J4" i="3" s="1"/>
  <c r="H4" i="3"/>
  <c r="I4" i="3"/>
  <c r="K4" i="3" s="1"/>
  <c r="O2" i="6" a="1"/>
  <c r="W2" i="6" a="1"/>
  <c r="S2" i="6" a="1"/>
  <c r="J2" i="6" a="1"/>
  <c r="B42" i="6" s="1" a="1"/>
  <c r="G6" i="3"/>
  <c r="J6" i="3" s="1"/>
  <c r="H6" i="3"/>
  <c r="I6" i="3"/>
  <c r="K6" i="3" s="1"/>
  <c r="I12" i="3"/>
  <c r="K12" i="3" s="1"/>
  <c r="G12" i="3"/>
  <c r="J12" i="3" s="1"/>
  <c r="H12" i="3"/>
  <c r="I24" i="3"/>
  <c r="K24" i="3" s="1"/>
  <c r="H24" i="3"/>
  <c r="G3" i="3"/>
  <c r="J3" i="3" s="1"/>
  <c r="H3" i="3"/>
  <c r="I3" i="3"/>
  <c r="K3" i="3" s="1"/>
  <c r="G26" i="3"/>
  <c r="J26" i="3" s="1"/>
  <c r="H26" i="3"/>
  <c r="I26" i="3"/>
  <c r="K26" i="3" s="1"/>
  <c r="H21" i="3"/>
  <c r="I21" i="3"/>
  <c r="K21" i="3" s="1"/>
  <c r="H19" i="3"/>
  <c r="I19" i="3"/>
  <c r="K19" i="3" s="1"/>
  <c r="H9" i="3"/>
  <c r="I9" i="3"/>
  <c r="K9" i="3" s="1"/>
  <c r="G9" i="3"/>
  <c r="J9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8" i="3"/>
  <c r="J8" i="3" s="1"/>
  <c r="H8" i="3"/>
  <c r="I8" i="3"/>
  <c r="K8" i="3" s="1"/>
  <c r="H15" i="3"/>
  <c r="I15" i="3"/>
  <c r="K15" i="3" s="1"/>
  <c r="G7" i="3"/>
  <c r="J7" i="3" s="1"/>
  <c r="H7" i="3"/>
  <c r="I7" i="3"/>
  <c r="K7" i="3" s="1"/>
  <c r="H25" i="3"/>
  <c r="I25" i="3"/>
  <c r="K25" i="3" s="1"/>
  <c r="I17" i="3"/>
  <c r="K17" i="3" s="1"/>
  <c r="H17" i="3"/>
  <c r="G23" i="3"/>
  <c r="J23" i="3" s="1"/>
  <c r="H23" i="3"/>
  <c r="I23" i="3"/>
  <c r="K23" i="3" s="1"/>
  <c r="G33" i="3"/>
  <c r="J33" i="3" s="1"/>
  <c r="H33" i="3"/>
  <c r="I33" i="3"/>
  <c r="K33" i="3" s="1"/>
  <c r="H16" i="3"/>
  <c r="I16" i="3"/>
  <c r="K16" i="3" s="1"/>
  <c r="I35" i="3"/>
  <c r="K35" i="3" s="1"/>
  <c r="H35" i="3"/>
  <c r="G35" i="3"/>
  <c r="J35" i="3" s="1"/>
  <c r="G34" i="3"/>
  <c r="J34" i="3" s="1"/>
  <c r="H34" i="3"/>
  <c r="I34" i="3"/>
  <c r="K34" i="3" s="1"/>
  <c r="I36" i="3"/>
  <c r="K36" i="3" s="1"/>
  <c r="G36" i="3"/>
  <c r="J36" i="3" s="1"/>
  <c r="H3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<sst xmlns="http://schemas.openxmlformats.org/spreadsheetml/2006/main" count="1147" uniqueCount="113">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</sst>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27" workbookViewId="0">
      <selection activeCell="D42" sqref="D42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B42" s="2"/>
    </row>
    <row r="43" spans="1:7" x14ac:dyDescent="0.35">
      <c r="B43" s="2"/>
    </row>
    <row r="44" spans="1:7" x14ac:dyDescent="0.35">
      <c r="B44" s="2"/>
    </row>
    <row r="45" spans="1:7" x14ac:dyDescent="0.35">
      <c r="B45" s="2"/>
    </row>
    <row r="46" spans="1:7" x14ac:dyDescent="0.35">
      <c r="B46" s="2"/>
    </row>
    <row r="47" spans="1:7" x14ac:dyDescent="0.35">
      <c r="B47" s="2"/>
    </row>
    <row r="48" spans="1:7" x14ac:dyDescent="0.35">
      <c r="B48" s="2"/>
    </row>
    <row r="49" spans="2:2" x14ac:dyDescent="0.35">
      <c r="B49" s="2"/>
    </row>
    <row r="50" spans="2:2" x14ac:dyDescent="0.35">
      <c r="B50" s="2"/>
    </row>
    <row r="51" spans="2:2" x14ac:dyDescent="0.35">
      <c r="B51" s="2"/>
    </row>
    <row r="52" spans="2:2" x14ac:dyDescent="0.35">
      <c r="B52" s="2"/>
    </row>
    <row r="53" spans="2:2" x14ac:dyDescent="0.35">
      <c r="B53" s="2"/>
    </row>
    <row r="54" spans="2:2" x14ac:dyDescent="0.35">
      <c r="B54" s="2"/>
    </row>
    <row r="55" spans="2:2" x14ac:dyDescent="0.35">
      <c r="B55" s="2"/>
    </row>
    <row r="56" spans="2:2" x14ac:dyDescent="0.35">
      <c r="B56" s="2"/>
    </row>
    <row r="57" spans="2:2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4"/>
  <sheetViews>
    <sheetView topLeftCell="A459" workbookViewId="0">
      <selection activeCell="D470" sqref="D470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474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6"/>
  <sheetViews>
    <sheetView topLeftCell="A38" workbookViewId="0">
      <selection activeCell="C49" sqref="C4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>G2/C2</f>
        <v>0.5</v>
      </c>
      <c r="K2" s="3">
        <f>I2/C2</f>
        <v>0</v>
      </c>
      <c r="L2">
        <f>SUMIF('Team Lineups'!C:C,A2,'Team Lineups'!H:H)</f>
        <v>5</v>
      </c>
      <c r="M2">
        <f t="shared" ref="M2:M27" si="1">L2/C2</f>
        <v>2.5</v>
      </c>
      <c r="N2">
        <f>SUMIF('Team Lineups'!C:C,A2,'Team Lineups'!I:I)</f>
        <v>2</v>
      </c>
      <c r="O2">
        <f>COUNTIF(Matches!G:G,A2)</f>
        <v>2</v>
      </c>
      <c r="P2">
        <f t="shared" ref="P2:P27" si="2">O2/C2</f>
        <v>1</v>
      </c>
      <c r="Q2">
        <f>SUMIF('Team Lineups'!C:C,A2,'Team Lineups'!J:J)</f>
        <v>0</v>
      </c>
    </row>
    <row r="3" spans="1:17" x14ac:dyDescent="0.35">
      <c r="A3" t="s">
        <v>18</v>
      </c>
      <c r="C3">
        <f>COUNTIF('Team Lineups'!C:C,A3)</f>
        <v>12</v>
      </c>
      <c r="D3">
        <f>SUMIF('Team Lineups'!C:C,A3,'Team Lineups'!E:E)</f>
        <v>68</v>
      </c>
      <c r="E3">
        <f>SUMIF('Team Lineups'!C:C,A3,'Team Lineups'!F:F)</f>
        <v>66</v>
      </c>
      <c r="F3">
        <f t="shared" si="0"/>
        <v>2</v>
      </c>
      <c r="G3">
        <f>COUNTIFS('Team Lineups'!C:C,A3,'Team Lineups'!G:G,"Win")</f>
        <v>5</v>
      </c>
      <c r="H3">
        <f>COUNTIFS('Team Lineups'!C:C,A3,'Team Lineups'!G:G,"Draw")</f>
        <v>5</v>
      </c>
      <c r="I3">
        <f>COUNTIFS('Team Lineups'!C:C,A3,'Team Lineups'!G:G,"Loss")</f>
        <v>2</v>
      </c>
      <c r="J3" s="3">
        <f t="shared" ref="J3:J27" si="3">G3/C3</f>
        <v>0.41666666666666669</v>
      </c>
      <c r="K3" s="3">
        <f t="shared" ref="K3:K36" si="4">I3/C3</f>
        <v>0.16666666666666666</v>
      </c>
      <c r="L3">
        <f>SUMIF('Team Lineups'!C:C,A3,'Team Lineups'!H:H)</f>
        <v>11</v>
      </c>
      <c r="M3">
        <f t="shared" si="1"/>
        <v>0.91666666666666663</v>
      </c>
      <c r="N3">
        <f>SUMIF('Team Lineups'!C:C,A3,'Team Lineups'!I:I)</f>
        <v>6</v>
      </c>
      <c r="O3">
        <f>COUNTIF(Matches!G:G,A3)</f>
        <v>0</v>
      </c>
      <c r="P3">
        <f t="shared" si="2"/>
        <v>0</v>
      </c>
      <c r="Q3">
        <f>SUMIF('Team Lineups'!C:C,A3,'Team Lineups'!J:J)</f>
        <v>0</v>
      </c>
    </row>
    <row r="4" spans="1:17" x14ac:dyDescent="0.35">
      <c r="A4" t="s">
        <v>40</v>
      </c>
      <c r="C4">
        <f>COUNTIF('Team Lineups'!C:C,A4)</f>
        <v>17</v>
      </c>
      <c r="D4">
        <f>SUMIF('Team Lineups'!C:C,A4,'Team Lineups'!E:E)</f>
        <v>118</v>
      </c>
      <c r="E4">
        <f>SUMIF('Team Lineups'!C:C,A4,'Team Lineups'!F:F)</f>
        <v>117</v>
      </c>
      <c r="F4">
        <f t="shared" si="0"/>
        <v>1</v>
      </c>
      <c r="G4">
        <f>COUNTIFS('Team Lineups'!C:C,A4,'Team Lineups'!G:G,"Win")</f>
        <v>7</v>
      </c>
      <c r="H4">
        <f>COUNTIFS('Team Lineups'!C:C,A4,'Team Lineups'!G:G,"Draw")</f>
        <v>4</v>
      </c>
      <c r="I4">
        <f>COUNTIFS('Team Lineups'!C:C,A4,'Team Lineups'!G:G,"Loss")</f>
        <v>6</v>
      </c>
      <c r="J4" s="3">
        <f t="shared" si="3"/>
        <v>0.41176470588235292</v>
      </c>
      <c r="K4" s="3">
        <f t="shared" si="4"/>
        <v>0.35294117647058826</v>
      </c>
      <c r="L4">
        <f>SUMIF('Team Lineups'!C:C,A4,'Team Lineups'!H:H)</f>
        <v>9</v>
      </c>
      <c r="M4">
        <f t="shared" si="1"/>
        <v>0.52941176470588236</v>
      </c>
      <c r="N4">
        <f>SUMIF('Team Lineups'!C:C,A4,'Team Lineups'!I:I)</f>
        <v>5</v>
      </c>
      <c r="O4">
        <f>COUNTIF(Matches!G:G,A4)</f>
        <v>0</v>
      </c>
      <c r="P4">
        <f t="shared" si="2"/>
        <v>0</v>
      </c>
      <c r="Q4">
        <f>SUMIF('Team Lineups'!C:C,A4,'Team Lineups'!J:J)</f>
        <v>0</v>
      </c>
    </row>
    <row r="5" spans="1:17" x14ac:dyDescent="0.35">
      <c r="A5" t="s">
        <v>16</v>
      </c>
      <c r="C5">
        <f>COUNTIF('Team Lineups'!C:C,A5)</f>
        <v>18</v>
      </c>
      <c r="D5">
        <f>SUMIF('Team Lineups'!C:C,A5,'Team Lineups'!E:E)</f>
        <v>100</v>
      </c>
      <c r="E5">
        <f>SUMIF('Team Lineups'!C:C,A5,'Team Lineups'!F:F)</f>
        <v>120</v>
      </c>
      <c r="F5">
        <f t="shared" si="0"/>
        <v>-20</v>
      </c>
      <c r="G5">
        <f>COUNTIFS('Team Lineups'!C:C,A5,'Team Lineups'!G:G,"Win")</f>
        <v>4</v>
      </c>
      <c r="H5">
        <f>COUNTIFS('Team Lineups'!C:C,A5,'Team Lineups'!G:G,"Draw")</f>
        <v>3</v>
      </c>
      <c r="I5">
        <f>COUNTIFS('Team Lineups'!C:C,A5,'Team Lineups'!G:G,"Loss")</f>
        <v>11</v>
      </c>
      <c r="J5" s="3">
        <f t="shared" si="3"/>
        <v>0.22222222222222221</v>
      </c>
      <c r="K5" s="3">
        <f t="shared" si="4"/>
        <v>0.61111111111111116</v>
      </c>
      <c r="L5">
        <f>SUMIF('Team Lineups'!C:C,A5,'Team Lineups'!H:H)</f>
        <v>22</v>
      </c>
      <c r="M5">
        <f t="shared" si="1"/>
        <v>1.2222222222222223</v>
      </c>
      <c r="N5">
        <f>SUMIF('Team Lineups'!C:C,A5,'Team Lineups'!I:I)</f>
        <v>20</v>
      </c>
      <c r="O5">
        <f>COUNTIF(Matches!G:G,A5)</f>
        <v>2</v>
      </c>
      <c r="P5">
        <f t="shared" si="2"/>
        <v>0.1111111111111111</v>
      </c>
      <c r="Q5">
        <f>SUMIF('Team Lineups'!C:C,A5,'Team Lineups'!J:J)</f>
        <v>0</v>
      </c>
    </row>
    <row r="6" spans="1:17" x14ac:dyDescent="0.35">
      <c r="A6" t="s">
        <v>41</v>
      </c>
      <c r="C6">
        <f>COUNTIF('Team Lineups'!C:C,A6)</f>
        <v>16</v>
      </c>
      <c r="D6">
        <f>SUMIF('Team Lineups'!C:C,A6,'Team Lineups'!E:E)</f>
        <v>97</v>
      </c>
      <c r="E6">
        <f>SUMIF('Team Lineups'!C:C,A6,'Team Lineups'!F:F)</f>
        <v>88</v>
      </c>
      <c r="F6">
        <f t="shared" si="0"/>
        <v>9</v>
      </c>
      <c r="G6">
        <f>COUNTIFS('Team Lineups'!C:C,A6,'Team Lineups'!G:G,"Win")</f>
        <v>7</v>
      </c>
      <c r="H6">
        <f>COUNTIFS('Team Lineups'!C:C,A6,'Team Lineups'!G:G,"Draw")</f>
        <v>6</v>
      </c>
      <c r="I6">
        <f>COUNTIFS('Team Lineups'!C:C,A6,'Team Lineups'!G:G,"Loss")</f>
        <v>3</v>
      </c>
      <c r="J6" s="3">
        <f t="shared" si="3"/>
        <v>0.4375</v>
      </c>
      <c r="K6" s="3">
        <f t="shared" si="4"/>
        <v>0.1875</v>
      </c>
      <c r="L6">
        <f>SUMIF('Team Lineups'!C:C,A6,'Team Lineups'!H:H)</f>
        <v>18</v>
      </c>
      <c r="M6">
        <f t="shared" si="1"/>
        <v>1.125</v>
      </c>
      <c r="N6">
        <f>SUMIF('Team Lineups'!C:C,A6,'Team Lineups'!I:I)</f>
        <v>9</v>
      </c>
      <c r="O6">
        <f>COUNTIF(Matches!G:G,A6)</f>
        <v>1</v>
      </c>
      <c r="P6">
        <f t="shared" si="2"/>
        <v>6.25E-2</v>
      </c>
      <c r="Q6">
        <f>SUMIF('Team Lineups'!C:C,A6,'Team Lineups'!J:J)</f>
        <v>2</v>
      </c>
    </row>
    <row r="7" spans="1:17" x14ac:dyDescent="0.35">
      <c r="A7" t="s">
        <v>42</v>
      </c>
      <c r="C7">
        <f>COUNTIF('Team Lineups'!C:C,A7)</f>
        <v>26</v>
      </c>
      <c r="D7">
        <f>SUMIF('Team Lineups'!C:C,A7,'Team Lineups'!E:E)</f>
        <v>174</v>
      </c>
      <c r="E7">
        <f>SUMIF('Team Lineups'!C:C,A7,'Team Lineups'!F:F)</f>
        <v>189</v>
      </c>
      <c r="F7">
        <f t="shared" si="0"/>
        <v>-15</v>
      </c>
      <c r="G7">
        <f>COUNTIFS('Team Lineups'!C:C,A7,'Team Lineups'!G:G,"Win")</f>
        <v>9</v>
      </c>
      <c r="H7">
        <f>COUNTIFS('Team Lineups'!C:C,A7,'Team Lineups'!G:G,"Draw")</f>
        <v>4</v>
      </c>
      <c r="I7">
        <f>COUNTIFS('Team Lineups'!C:C,A7,'Team Lineups'!G:G,"Loss")</f>
        <v>12</v>
      </c>
      <c r="J7" s="3">
        <f t="shared" si="3"/>
        <v>0.34615384615384615</v>
      </c>
      <c r="K7" s="3">
        <f t="shared" si="4"/>
        <v>0.46153846153846156</v>
      </c>
      <c r="L7">
        <f>SUMIF('Team Lineups'!C:C,A7,'Team Lineups'!H:H)</f>
        <v>27</v>
      </c>
      <c r="M7">
        <f t="shared" si="1"/>
        <v>1.0384615384615385</v>
      </c>
      <c r="N7">
        <f>SUMIF('Team Lineups'!C:C,A7,'Team Lineups'!I:I)</f>
        <v>27</v>
      </c>
      <c r="O7">
        <f>COUNTIF(Matches!G:G,A7)</f>
        <v>3</v>
      </c>
      <c r="P7">
        <f t="shared" si="2"/>
        <v>0.11538461538461539</v>
      </c>
      <c r="Q7">
        <f>SUMIF('Team Lineups'!C:C,A7,'Team Lineups'!J:J)</f>
        <v>0</v>
      </c>
    </row>
    <row r="8" spans="1:17" x14ac:dyDescent="0.35">
      <c r="A8" t="s">
        <v>19</v>
      </c>
      <c r="C8">
        <f>COUNTIF('Team Lineups'!C:C,A8)</f>
        <v>21</v>
      </c>
      <c r="D8">
        <f>SUMIF('Team Lineups'!C:C,A8,'Team Lineups'!E:E)</f>
        <v>146</v>
      </c>
      <c r="E8">
        <f>SUMIF('Team Lineups'!C:C,A8,'Team Lineups'!F:F)</f>
        <v>138</v>
      </c>
      <c r="F8">
        <f t="shared" si="0"/>
        <v>8</v>
      </c>
      <c r="G8">
        <f>COUNTIFS('Team Lineups'!C:C,A8,'Team Lineups'!G:G,"Win")</f>
        <v>10</v>
      </c>
      <c r="H8">
        <f>COUNTIFS('Team Lineups'!C:C,A8,'Team Lineups'!G:G,"Draw")</f>
        <v>5</v>
      </c>
      <c r="I8">
        <f>COUNTIFS('Team Lineups'!C:C,A8,'Team Lineups'!G:G,"Loss")</f>
        <v>6</v>
      </c>
      <c r="J8" s="3">
        <f t="shared" si="3"/>
        <v>0.47619047619047616</v>
      </c>
      <c r="K8" s="3">
        <f t="shared" si="4"/>
        <v>0.2857142857142857</v>
      </c>
      <c r="L8">
        <f>SUMIF('Team Lineups'!C:C,A8,'Team Lineups'!H:H)</f>
        <v>43</v>
      </c>
      <c r="M8">
        <f t="shared" si="1"/>
        <v>2.0476190476190474</v>
      </c>
      <c r="N8">
        <f>SUMIF('Team Lineups'!C:C,A8,'Team Lineups'!I:I)</f>
        <v>25</v>
      </c>
      <c r="O8">
        <f>COUNTIF(Matches!G:G,A8)</f>
        <v>6</v>
      </c>
      <c r="P8">
        <f t="shared" si="2"/>
        <v>0.2857142857142857</v>
      </c>
      <c r="Q8">
        <f>SUMIF('Team Lineups'!C:C,A8,'Team Lineups'!J:J)</f>
        <v>0</v>
      </c>
    </row>
    <row r="9" spans="1:17" x14ac:dyDescent="0.35">
      <c r="A9" t="s">
        <v>43</v>
      </c>
      <c r="C9">
        <f>COUNTIF('Team Lineups'!C:C,A9)</f>
        <v>20</v>
      </c>
      <c r="D9">
        <f>SUMIF('Team Lineups'!C:C,A9,'Team Lineups'!E:E)</f>
        <v>108</v>
      </c>
      <c r="E9">
        <f>SUMIF('Team Lineups'!C:C,A9,'Team Lineups'!F:F)</f>
        <v>122</v>
      </c>
      <c r="F9">
        <f t="shared" si="0"/>
        <v>-14</v>
      </c>
      <c r="G9">
        <f>COUNTIFS('Team Lineups'!C:C,A9,'Team Lineups'!G:G,"Win")</f>
        <v>6</v>
      </c>
      <c r="H9">
        <f>COUNTIFS('Team Lineups'!C:C,A9,'Team Lineups'!G:G,"Draw")</f>
        <v>4</v>
      </c>
      <c r="I9">
        <f>COUNTIFS('Team Lineups'!C:C,A9,'Team Lineups'!G:G,"Loss")</f>
        <v>10</v>
      </c>
      <c r="J9" s="3">
        <f t="shared" si="3"/>
        <v>0.3</v>
      </c>
      <c r="K9" s="3">
        <f t="shared" si="4"/>
        <v>0.5</v>
      </c>
      <c r="L9">
        <f>SUMIF('Team Lineups'!C:C,A9,'Team Lineups'!H:H)</f>
        <v>12</v>
      </c>
      <c r="M9">
        <f t="shared" si="1"/>
        <v>0.6</v>
      </c>
      <c r="N9">
        <f>SUMIF('Team Lineups'!C:C,A9,'Team Lineups'!I:I)</f>
        <v>6</v>
      </c>
      <c r="O9">
        <f>COUNTIF(Matches!G:G,A9)</f>
        <v>1</v>
      </c>
      <c r="P9">
        <f t="shared" si="2"/>
        <v>0.05</v>
      </c>
      <c r="Q9">
        <f>SUMIF('Team Lineups'!C:C,A9,'Team Lineups'!J:J)</f>
        <v>0</v>
      </c>
    </row>
    <row r="10" spans="1:17" x14ac:dyDescent="0.35">
      <c r="A10" t="s">
        <v>44</v>
      </c>
      <c r="C10">
        <f>COUNTIF('Team Lineups'!C:C,A10)</f>
        <v>14</v>
      </c>
      <c r="D10">
        <f>SUMIF('Team Lineups'!C:C,A10,'Team Lineups'!E:E)</f>
        <v>80</v>
      </c>
      <c r="E10">
        <f>SUMIF('Team Lineups'!C:C,A10,'Team Lineups'!F:F)</f>
        <v>74</v>
      </c>
      <c r="F10">
        <f t="shared" si="0"/>
        <v>6</v>
      </c>
      <c r="G10">
        <f>COUNTIFS('Team Lineups'!C:C,A10,'Team Lineups'!G:G,"Win")</f>
        <v>7</v>
      </c>
      <c r="H10">
        <f>COUNTIFS('Team Lineups'!C:C,A10,'Team Lineups'!G:G,"Draw")</f>
        <v>3</v>
      </c>
      <c r="I10">
        <f>COUNTIFS('Team Lineups'!C:C,A10,'Team Lineups'!G:G,"Loss")</f>
        <v>4</v>
      </c>
      <c r="J10" s="3">
        <f t="shared" si="3"/>
        <v>0.5</v>
      </c>
      <c r="K10" s="3">
        <f t="shared" si="4"/>
        <v>0.2857142857142857</v>
      </c>
      <c r="L10">
        <f>SUMIF('Team Lineups'!C:C,A10,'Team Lineups'!H:H)</f>
        <v>21</v>
      </c>
      <c r="M10">
        <f t="shared" si="1"/>
        <v>1.5</v>
      </c>
      <c r="N10">
        <f>SUMIF('Team Lineups'!C:C,A10,'Team Lineups'!I:I)</f>
        <v>14</v>
      </c>
      <c r="O10">
        <f>COUNTIF(Matches!G:G,A10)</f>
        <v>2</v>
      </c>
      <c r="P10">
        <f t="shared" si="2"/>
        <v>0.14285714285714285</v>
      </c>
      <c r="Q10">
        <f>SUMIF('Team Lineups'!C:C,A10,'Team Lineups'!J:J)</f>
        <v>0</v>
      </c>
    </row>
    <row r="11" spans="1:17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3"/>
        <v>#DIV/0!</v>
      </c>
      <c r="K11" s="3" t="e">
        <f t="shared" si="4"/>
        <v>#DIV/0!</v>
      </c>
      <c r="L11">
        <f>SUMIF('Team Lineups'!C:C,A11,'Team Lineups'!H:H)</f>
        <v>0</v>
      </c>
      <c r="M11" t="e">
        <f t="shared" si="1"/>
        <v>#DIV/0!</v>
      </c>
      <c r="N11">
        <f>SUMIF('Team Lineups'!C:C,A11,'Team Lineups'!I:I)</f>
        <v>0</v>
      </c>
      <c r="O11">
        <f>COUNTIF(Matches!G:G,A11)</f>
        <v>0</v>
      </c>
      <c r="P11" t="e">
        <f t="shared" si="2"/>
        <v>#DIV/0!</v>
      </c>
      <c r="Q11">
        <f>SUMIF('Team Lineups'!C:C,A11,'Team Lineups'!J:J)</f>
        <v>0</v>
      </c>
    </row>
    <row r="12" spans="1:17" x14ac:dyDescent="0.35">
      <c r="A12" t="s">
        <v>46</v>
      </c>
      <c r="C12">
        <f>COUNTIF('Team Lineups'!C:C,A12)</f>
        <v>26</v>
      </c>
      <c r="D12">
        <f>SUMIF('Team Lineups'!C:C,A12,'Team Lineups'!E:E)</f>
        <v>178</v>
      </c>
      <c r="E12">
        <f>SUMIF('Team Lineups'!C:C,A12,'Team Lineups'!F:F)</f>
        <v>175</v>
      </c>
      <c r="F12">
        <f t="shared" si="0"/>
        <v>3</v>
      </c>
      <c r="G12">
        <f>COUNTIFS('Team Lineups'!C:C,A12,'Team Lineups'!G:G,"Win")</f>
        <v>10</v>
      </c>
      <c r="H12">
        <f>COUNTIFS('Team Lineups'!C:C,A12,'Team Lineups'!G:G,"Draw")</f>
        <v>3</v>
      </c>
      <c r="I12">
        <f>COUNTIFS('Team Lineups'!C:C,A12,'Team Lineups'!G:G,"Loss")</f>
        <v>13</v>
      </c>
      <c r="J12" s="3">
        <f t="shared" si="3"/>
        <v>0.38461538461538464</v>
      </c>
      <c r="K12" s="3">
        <f t="shared" si="4"/>
        <v>0.5</v>
      </c>
      <c r="L12">
        <f>SUMIF('Team Lineups'!C:C,A12,'Team Lineups'!H:H)</f>
        <v>46</v>
      </c>
      <c r="M12">
        <f t="shared" si="1"/>
        <v>1.7692307692307692</v>
      </c>
      <c r="N12">
        <f>SUMIF('Team Lineups'!C:C,A12,'Team Lineups'!I:I)</f>
        <v>15</v>
      </c>
      <c r="O12">
        <f>COUNTIF(Matches!G:G,A12)</f>
        <v>1</v>
      </c>
      <c r="P12">
        <f t="shared" si="2"/>
        <v>3.8461538461538464E-2</v>
      </c>
      <c r="Q12">
        <f>SUMIF('Team Lineups'!C:C,A12,'Team Lineups'!J:J)</f>
        <v>0</v>
      </c>
    </row>
    <row r="13" spans="1:17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3"/>
        <v>#DIV/0!</v>
      </c>
      <c r="K13" s="3" t="e">
        <f t="shared" si="4"/>
        <v>#DIV/0!</v>
      </c>
      <c r="L13">
        <f>SUMIF('Team Lineups'!C:C,A13,'Team Lineups'!H:H)</f>
        <v>0</v>
      </c>
      <c r="M13" t="e">
        <f t="shared" si="1"/>
        <v>#DIV/0!</v>
      </c>
      <c r="N13">
        <f>SUMIF('Team Lineups'!C:C,A13,'Team Lineups'!I:I)</f>
        <v>0</v>
      </c>
      <c r="O13">
        <f>COUNTIF(Matches!G:G,A13)</f>
        <v>0</v>
      </c>
      <c r="P13" t="e">
        <f t="shared" si="2"/>
        <v>#DIV/0!</v>
      </c>
      <c r="Q13">
        <f>SUMIF('Team Lineups'!C:C,A13,'Team Lineups'!J:J)</f>
        <v>0</v>
      </c>
    </row>
    <row r="14" spans="1:17" x14ac:dyDescent="0.35">
      <c r="A14" t="s">
        <v>48</v>
      </c>
      <c r="C14">
        <f>COUNTIF('Team Lineups'!C:C,A14)</f>
        <v>9</v>
      </c>
      <c r="D14">
        <f>SUMIF('Team Lineups'!C:C,A14,'Team Lineups'!E:E)</f>
        <v>68</v>
      </c>
      <c r="E14">
        <f>SUMIF('Team Lineups'!C:C,A14,'Team Lineups'!F:F)</f>
        <v>77</v>
      </c>
      <c r="F14">
        <f t="shared" si="0"/>
        <v>-9</v>
      </c>
      <c r="G14">
        <f>COUNTIFS('Team Lineups'!C:C,A14,'Team Lineups'!G:G,"Win")</f>
        <v>3</v>
      </c>
      <c r="H14">
        <f>COUNTIFS('Team Lineups'!C:C,A14,'Team Lineups'!G:G,"Draw")</f>
        <v>0</v>
      </c>
      <c r="I14">
        <f>COUNTIFS('Team Lineups'!C:C,A14,'Team Lineups'!G:G,"Loss")</f>
        <v>6</v>
      </c>
      <c r="J14" s="3">
        <f t="shared" si="3"/>
        <v>0.33333333333333331</v>
      </c>
      <c r="K14" s="3">
        <f t="shared" si="4"/>
        <v>0.66666666666666663</v>
      </c>
      <c r="L14">
        <f>SUMIF('Team Lineups'!C:C,A14,'Team Lineups'!H:H)</f>
        <v>3</v>
      </c>
      <c r="M14">
        <f t="shared" si="1"/>
        <v>0.33333333333333331</v>
      </c>
      <c r="N14">
        <f>SUMIF('Team Lineups'!C:C,A14,'Team Lineups'!I:I)</f>
        <v>7</v>
      </c>
      <c r="O14">
        <f>COUNTIF(Matches!G:G,A14)</f>
        <v>1</v>
      </c>
      <c r="P14">
        <f t="shared" si="2"/>
        <v>0.1111111111111111</v>
      </c>
      <c r="Q14">
        <f>SUMIF('Team Lineups'!C:C,A14,'Team Lineups'!J:J)</f>
        <v>0</v>
      </c>
    </row>
    <row r="15" spans="1:17" x14ac:dyDescent="0.35">
      <c r="A15" t="s">
        <v>49</v>
      </c>
      <c r="C15">
        <f>COUNTIF('Team Lineups'!C:C,A15)</f>
        <v>10</v>
      </c>
      <c r="D15">
        <f>SUMIF('Team Lineups'!C:C,A15,'Team Lineups'!E:E)</f>
        <v>74</v>
      </c>
      <c r="E15">
        <f>SUMIF('Team Lineups'!C:C,A15,'Team Lineups'!F:F)</f>
        <v>53</v>
      </c>
      <c r="F15">
        <f t="shared" si="0"/>
        <v>21</v>
      </c>
      <c r="G15">
        <f>COUNTIFS('Team Lineups'!C:C,A15,'Team Lineups'!G:G,"Win")</f>
        <v>5</v>
      </c>
      <c r="H15">
        <f>COUNTIFS('Team Lineups'!C:C,A15,'Team Lineups'!G:G,"Draw")</f>
        <v>3</v>
      </c>
      <c r="I15">
        <f>COUNTIFS('Team Lineups'!C:C,A15,'Team Lineups'!G:G,"Loss")</f>
        <v>2</v>
      </c>
      <c r="J15" s="3">
        <f t="shared" si="3"/>
        <v>0.5</v>
      </c>
      <c r="K15" s="3">
        <f t="shared" si="4"/>
        <v>0.2</v>
      </c>
      <c r="L15">
        <f>SUMIF('Team Lineups'!C:C,A15,'Team Lineups'!H:H)</f>
        <v>5</v>
      </c>
      <c r="M15">
        <f t="shared" si="1"/>
        <v>0.5</v>
      </c>
      <c r="N15">
        <f>SUMIF('Team Lineups'!C:C,A15,'Team Lineups'!I:I)</f>
        <v>8</v>
      </c>
      <c r="O15">
        <f>COUNTIF(Matches!G:G,A15)</f>
        <v>0</v>
      </c>
      <c r="P15">
        <f t="shared" si="2"/>
        <v>0</v>
      </c>
      <c r="Q15">
        <f>SUMIF('Team Lineups'!C:C,A15,'Team Lineups'!J:J)</f>
        <v>0</v>
      </c>
    </row>
    <row r="16" spans="1:17" x14ac:dyDescent="0.35">
      <c r="A16" t="s">
        <v>24</v>
      </c>
      <c r="C16">
        <f>COUNTIF('Team Lineups'!C:C,A16)</f>
        <v>20</v>
      </c>
      <c r="D16">
        <f>SUMIF('Team Lineups'!C:C,A16,'Team Lineups'!E:E)</f>
        <v>107</v>
      </c>
      <c r="E16">
        <f>SUMIF('Team Lineups'!C:C,A16,'Team Lineups'!F:F)</f>
        <v>127</v>
      </c>
      <c r="F16">
        <f t="shared" si="0"/>
        <v>-20</v>
      </c>
      <c r="G16">
        <f>COUNTIFS('Team Lineups'!C:C,A16,'Team Lineups'!G:G,"Win")</f>
        <v>5</v>
      </c>
      <c r="H16">
        <f>COUNTIFS('Team Lineups'!C:C,A16,'Team Lineups'!G:G,"Draw")</f>
        <v>5</v>
      </c>
      <c r="I16">
        <f>COUNTIFS('Team Lineups'!C:C,A16,'Team Lineups'!G:G,"Loss")</f>
        <v>10</v>
      </c>
      <c r="J16" s="3">
        <f t="shared" si="3"/>
        <v>0.25</v>
      </c>
      <c r="K16" s="3">
        <f t="shared" si="4"/>
        <v>0.5</v>
      </c>
      <c r="L16">
        <f>SUMIF('Team Lineups'!C:C,A16,'Team Lineups'!H:H)</f>
        <v>9</v>
      </c>
      <c r="M16">
        <f t="shared" si="1"/>
        <v>0.45</v>
      </c>
      <c r="N16">
        <f>SUMIF('Team Lineups'!C:C,A16,'Team Lineups'!I:I)</f>
        <v>5</v>
      </c>
      <c r="O16">
        <f>COUNTIF(Matches!G:G,A16)</f>
        <v>0</v>
      </c>
      <c r="P16">
        <f t="shared" si="2"/>
        <v>0</v>
      </c>
      <c r="Q16">
        <f>SUMIF('Team Lineups'!C:C,A16,'Team Lineups'!J:J)</f>
        <v>0</v>
      </c>
    </row>
    <row r="17" spans="1:17" x14ac:dyDescent="0.35">
      <c r="A17" t="s">
        <v>20</v>
      </c>
      <c r="C17">
        <f>COUNTIF('Team Lineups'!C:C,A17)</f>
        <v>22</v>
      </c>
      <c r="D17">
        <f>SUMIF('Team Lineups'!C:C,A17,'Team Lineups'!E:E)</f>
        <v>135</v>
      </c>
      <c r="E17">
        <f>SUMIF('Team Lineups'!C:C,A17,'Team Lineups'!F:F)</f>
        <v>128</v>
      </c>
      <c r="F17">
        <f t="shared" si="0"/>
        <v>7</v>
      </c>
      <c r="G17">
        <f>COUNTIFS('Team Lineups'!C:C,A17,'Team Lineups'!G:G,"Win")</f>
        <v>11</v>
      </c>
      <c r="H17">
        <f>COUNTIFS('Team Lineups'!C:C,A17,'Team Lineups'!G:G,"Draw")</f>
        <v>5</v>
      </c>
      <c r="I17">
        <f>COUNTIFS('Team Lineups'!C:C,A17,'Team Lineups'!G:G,"Loss")</f>
        <v>6</v>
      </c>
      <c r="J17" s="3">
        <f t="shared" si="3"/>
        <v>0.5</v>
      </c>
      <c r="K17" s="3">
        <f t="shared" si="4"/>
        <v>0.27272727272727271</v>
      </c>
      <c r="L17">
        <f>SUMIF('Team Lineups'!C:C,A17,'Team Lineups'!H:H)</f>
        <v>14</v>
      </c>
      <c r="M17">
        <f t="shared" si="1"/>
        <v>0.63636363636363635</v>
      </c>
      <c r="N17">
        <f>SUMIF('Team Lineups'!C:C,A17,'Team Lineups'!I:I)</f>
        <v>19</v>
      </c>
      <c r="O17">
        <f>COUNTIF(Matches!G:G,A17)</f>
        <v>1</v>
      </c>
      <c r="P17">
        <f t="shared" si="2"/>
        <v>4.5454545454545456E-2</v>
      </c>
      <c r="Q17">
        <f>SUMIF('Team Lineups'!C:C,A17,'Team Lineups'!J:J)</f>
        <v>1</v>
      </c>
    </row>
    <row r="18" spans="1:17" x14ac:dyDescent="0.35">
      <c r="A18" t="s">
        <v>21</v>
      </c>
      <c r="C18">
        <f>COUNTIF('Team Lineups'!C:C,A18)</f>
        <v>22</v>
      </c>
      <c r="D18">
        <f>SUMIF('Team Lineups'!C:C,A18,'Team Lineups'!E:E)</f>
        <v>155</v>
      </c>
      <c r="E18">
        <f>SUMIF('Team Lineups'!C:C,A18,'Team Lineups'!F:F)</f>
        <v>169</v>
      </c>
      <c r="F18">
        <f t="shared" si="0"/>
        <v>-14</v>
      </c>
      <c r="G18">
        <f>COUNTIFS('Team Lineups'!C:C,A18,'Team Lineups'!G:G,"Win")</f>
        <v>8</v>
      </c>
      <c r="H18">
        <f>COUNTIFS('Team Lineups'!C:C,A18,'Team Lineups'!G:G,"Draw")</f>
        <v>4</v>
      </c>
      <c r="I18">
        <f>COUNTIFS('Team Lineups'!C:C,A18,'Team Lineups'!G:G,"Loss")</f>
        <v>10</v>
      </c>
      <c r="J18" s="3">
        <f t="shared" si="3"/>
        <v>0.36363636363636365</v>
      </c>
      <c r="K18" s="3">
        <f t="shared" si="4"/>
        <v>0.45454545454545453</v>
      </c>
      <c r="L18">
        <f>SUMIF('Team Lineups'!C:C,A18,'Team Lineups'!H:H)</f>
        <v>12</v>
      </c>
      <c r="M18">
        <f t="shared" si="1"/>
        <v>0.54545454545454541</v>
      </c>
      <c r="N18">
        <f>SUMIF('Team Lineups'!C:C,A18,'Team Lineups'!I:I)</f>
        <v>11</v>
      </c>
      <c r="O18">
        <f>COUNTIF(Matches!G:G,A18)</f>
        <v>1</v>
      </c>
      <c r="P18">
        <f t="shared" si="2"/>
        <v>4.5454545454545456E-2</v>
      </c>
      <c r="Q18">
        <f>SUMIF('Team Lineups'!C:C,A18,'Team Lineups'!J:J)</f>
        <v>0</v>
      </c>
    </row>
    <row r="19" spans="1:17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3"/>
        <v>0.75</v>
      </c>
      <c r="K19" s="3">
        <f t="shared" si="4"/>
        <v>0</v>
      </c>
      <c r="L19">
        <f>SUMIF('Team Lineups'!C:C,A19,'Team Lineups'!H:H)</f>
        <v>8</v>
      </c>
      <c r="M19">
        <f t="shared" si="1"/>
        <v>2</v>
      </c>
      <c r="N19">
        <f>SUMIF('Team Lineups'!C:C,A19,'Team Lineups'!I:I)</f>
        <v>1</v>
      </c>
      <c r="O19">
        <f>COUNTIF(Matches!G:G,A19)</f>
        <v>0</v>
      </c>
      <c r="P19">
        <f t="shared" si="2"/>
        <v>0</v>
      </c>
      <c r="Q19">
        <f>SUMIF('Team Lineups'!C:C,A19,'Team Lineups'!J:J)</f>
        <v>0</v>
      </c>
    </row>
    <row r="20" spans="1:17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3"/>
        <v>0</v>
      </c>
      <c r="K20" s="3">
        <f t="shared" si="4"/>
        <v>0</v>
      </c>
      <c r="L20">
        <f>SUMIF('Team Lineups'!C:C,A20,'Team Lineups'!H:H)</f>
        <v>0</v>
      </c>
      <c r="M20">
        <f t="shared" si="1"/>
        <v>0</v>
      </c>
      <c r="N20">
        <f>SUMIF('Team Lineups'!C:C,A20,'Team Lineups'!I:I)</f>
        <v>0</v>
      </c>
      <c r="O20">
        <f>COUNTIF(Matches!G:G,A20)</f>
        <v>0</v>
      </c>
      <c r="P20">
        <f t="shared" si="2"/>
        <v>0</v>
      </c>
      <c r="Q20">
        <f>SUMIF('Team Lineups'!C:C,A20,'Team Lineups'!J:J)</f>
        <v>0</v>
      </c>
    </row>
    <row r="21" spans="1:17" x14ac:dyDescent="0.35">
      <c r="A21" t="s">
        <v>51</v>
      </c>
      <c r="C21">
        <f>COUNTIF('Team Lineups'!C:C,A21)</f>
        <v>9</v>
      </c>
      <c r="D21">
        <f>SUMIF('Team Lineups'!C:C,A21,'Team Lineups'!E:E)</f>
        <v>67</v>
      </c>
      <c r="E21">
        <f>SUMIF('Team Lineups'!C:C,A21,'Team Lineups'!F:F)</f>
        <v>75</v>
      </c>
      <c r="F21">
        <f t="shared" si="0"/>
        <v>-8</v>
      </c>
      <c r="G21">
        <f>COUNTIFS('Team Lineups'!C:C,A21,'Team Lineups'!G:G,"Win")</f>
        <v>3</v>
      </c>
      <c r="H21">
        <f>COUNTIFS('Team Lineups'!C:C,A21,'Team Lineups'!G:G,"Draw")</f>
        <v>1</v>
      </c>
      <c r="I21">
        <f>COUNTIFS('Team Lineups'!C:C,A21,'Team Lineups'!G:G,"Loss")</f>
        <v>5</v>
      </c>
      <c r="J21" s="3">
        <f t="shared" si="3"/>
        <v>0.33333333333333331</v>
      </c>
      <c r="K21" s="3">
        <f t="shared" si="4"/>
        <v>0.55555555555555558</v>
      </c>
      <c r="L21">
        <f>SUMIF('Team Lineups'!C:C,A21,'Team Lineups'!H:H)</f>
        <v>4</v>
      </c>
      <c r="M21">
        <f t="shared" si="1"/>
        <v>0.44444444444444442</v>
      </c>
      <c r="N21">
        <f>SUMIF('Team Lineups'!C:C,A21,'Team Lineups'!I:I)</f>
        <v>13</v>
      </c>
      <c r="O21">
        <f>COUNTIF(Matches!G:G,A21)</f>
        <v>0</v>
      </c>
      <c r="P21">
        <f t="shared" si="2"/>
        <v>0</v>
      </c>
      <c r="Q21">
        <f>SUMIF('Team Lineups'!C:C,A21,'Team Lineups'!J:J)</f>
        <v>1</v>
      </c>
    </row>
    <row r="22" spans="1:17" x14ac:dyDescent="0.35">
      <c r="A22" t="s">
        <v>52</v>
      </c>
      <c r="C22">
        <f>COUNTIF('Team Lineups'!C:C,A22)</f>
        <v>2</v>
      </c>
      <c r="D22">
        <f>SUMIF('Team Lineups'!C:C,A22,'Team Lineups'!E:E)</f>
        <v>9</v>
      </c>
      <c r="E22">
        <f>SUMIF('Team Lineups'!C:C,A22,'Team Lineups'!F:F)</f>
        <v>19</v>
      </c>
      <c r="F22">
        <f t="shared" si="0"/>
        <v>-10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2</v>
      </c>
      <c r="J22" s="3">
        <f t="shared" si="3"/>
        <v>0</v>
      </c>
      <c r="K22" s="3">
        <f t="shared" si="4"/>
        <v>1</v>
      </c>
      <c r="L22">
        <f>SUMIF('Team Lineups'!C:C,A22,'Team Lineups'!H:H)</f>
        <v>1</v>
      </c>
      <c r="M22">
        <f t="shared" si="1"/>
        <v>0.5</v>
      </c>
      <c r="N22">
        <f>SUMIF('Team Lineups'!C:C,A22,'Team Lineups'!I:I)</f>
        <v>3</v>
      </c>
      <c r="O22">
        <f>COUNTIF(Matches!G:G,A22)</f>
        <v>0</v>
      </c>
      <c r="P22">
        <f t="shared" si="2"/>
        <v>0</v>
      </c>
      <c r="Q22">
        <f>SUMIF('Team Lineups'!C:C,A22,'Team Lineups'!J:J)</f>
        <v>0</v>
      </c>
    </row>
    <row r="23" spans="1:17" x14ac:dyDescent="0.35">
      <c r="A23" t="s">
        <v>22</v>
      </c>
      <c r="C23">
        <f>COUNTIF('Team Lineups'!C:C,A23)</f>
        <v>27</v>
      </c>
      <c r="D23">
        <f>SUMIF('Team Lineups'!C:C,A23,'Team Lineups'!E:E)</f>
        <v>186</v>
      </c>
      <c r="E23">
        <f>SUMIF('Team Lineups'!C:C,A23,'Team Lineups'!F:F)</f>
        <v>160</v>
      </c>
      <c r="F23">
        <f t="shared" si="0"/>
        <v>26</v>
      </c>
      <c r="G23">
        <f>COUNTIFS('Team Lineups'!C:C,A23,'Team Lineups'!G:G,"Win")</f>
        <v>12</v>
      </c>
      <c r="H23">
        <f>COUNTIFS('Team Lineups'!C:C,A23,'Team Lineups'!G:G,"Draw")</f>
        <v>5</v>
      </c>
      <c r="I23">
        <f>COUNTIFS('Team Lineups'!C:C,A23,'Team Lineups'!G:G,"Loss")</f>
        <v>10</v>
      </c>
      <c r="J23" s="3">
        <f t="shared" si="3"/>
        <v>0.44444444444444442</v>
      </c>
      <c r="K23" s="3">
        <f t="shared" si="4"/>
        <v>0.37037037037037035</v>
      </c>
      <c r="L23">
        <f>SUMIF('Team Lineups'!C:C,A23,'Team Lineups'!H:H)</f>
        <v>37</v>
      </c>
      <c r="M23">
        <f t="shared" si="1"/>
        <v>1.3703703703703705</v>
      </c>
      <c r="N23">
        <f>SUMIF('Team Lineups'!C:C,A23,'Team Lineups'!I:I)</f>
        <v>12</v>
      </c>
      <c r="O23">
        <f>COUNTIF(Matches!G:G,A23)</f>
        <v>4</v>
      </c>
      <c r="P23">
        <f t="shared" si="2"/>
        <v>0.14814814814814814</v>
      </c>
      <c r="Q23">
        <f>SUMIF('Team Lineups'!C:C,A23,'Team Lineups'!J:J)</f>
        <v>1</v>
      </c>
    </row>
    <row r="24" spans="1:17" x14ac:dyDescent="0.35">
      <c r="A24" t="s">
        <v>25</v>
      </c>
      <c r="C24">
        <f>COUNTIF('Team Lineups'!C:C,A24)</f>
        <v>26</v>
      </c>
      <c r="D24">
        <f>SUMIF('Team Lineups'!C:C,A24,'Team Lineups'!E:E)</f>
        <v>168</v>
      </c>
      <c r="E24">
        <f>SUMIF('Team Lineups'!C:C,A24,'Team Lineups'!F:F)</f>
        <v>168</v>
      </c>
      <c r="F24">
        <f t="shared" si="0"/>
        <v>0</v>
      </c>
      <c r="G24">
        <f>COUNTIFS('Team Lineups'!C:C,A24,'Team Lineups'!G:G,"Win")</f>
        <v>10</v>
      </c>
      <c r="H24">
        <f>COUNTIFS('Team Lineups'!C:C,A24,'Team Lineups'!G:G,"Draw")</f>
        <v>5</v>
      </c>
      <c r="I24">
        <f>COUNTIFS('Team Lineups'!C:C,A24,'Team Lineups'!G:G,"Loss")</f>
        <v>11</v>
      </c>
      <c r="J24" s="3">
        <f t="shared" si="3"/>
        <v>0.38461538461538464</v>
      </c>
      <c r="K24" s="3">
        <f t="shared" si="4"/>
        <v>0.42307692307692307</v>
      </c>
      <c r="L24">
        <f>SUMIF('Team Lineups'!C:C,A24,'Team Lineups'!H:H)</f>
        <v>14</v>
      </c>
      <c r="M24">
        <f t="shared" si="1"/>
        <v>0.53846153846153844</v>
      </c>
      <c r="N24">
        <f>SUMIF('Team Lineups'!C:C,A24,'Team Lineups'!I:I)</f>
        <v>11</v>
      </c>
      <c r="O24">
        <f>COUNTIF(Matches!G:G,A24)</f>
        <v>0</v>
      </c>
      <c r="P24">
        <f t="shared" si="2"/>
        <v>0</v>
      </c>
      <c r="Q24">
        <f>SUMIF('Team Lineups'!C:C,A24,'Team Lineups'!J:J)</f>
        <v>0</v>
      </c>
    </row>
    <row r="25" spans="1:17" x14ac:dyDescent="0.35">
      <c r="A25" t="s">
        <v>53</v>
      </c>
      <c r="C25">
        <f>COUNTIF('Team Lineups'!C:C,A25)</f>
        <v>24</v>
      </c>
      <c r="D25">
        <f>SUMIF('Team Lineups'!C:C,A25,'Team Lineups'!E:E)</f>
        <v>159</v>
      </c>
      <c r="E25">
        <f>SUMIF('Team Lineups'!C:C,A25,'Team Lineups'!F:F)</f>
        <v>148</v>
      </c>
      <c r="F25">
        <f t="shared" si="0"/>
        <v>11</v>
      </c>
      <c r="G25">
        <f>COUNTIFS('Team Lineups'!C:C,A25,'Team Lineups'!G:G,"Win")</f>
        <v>12</v>
      </c>
      <c r="H25">
        <f>COUNTIFS('Team Lineups'!C:C,A25,'Team Lineups'!G:G,"Draw")</f>
        <v>4</v>
      </c>
      <c r="I25">
        <f>COUNTIFS('Team Lineups'!C:C,A25,'Team Lineups'!G:G,"Loss")</f>
        <v>8</v>
      </c>
      <c r="J25" s="3">
        <f t="shared" si="3"/>
        <v>0.5</v>
      </c>
      <c r="K25" s="3">
        <f t="shared" si="4"/>
        <v>0.33333333333333331</v>
      </c>
      <c r="L25">
        <f>SUMIF('Team Lineups'!C:C,A25,'Team Lineups'!H:H)</f>
        <v>31</v>
      </c>
      <c r="M25">
        <f t="shared" si="1"/>
        <v>1.2916666666666667</v>
      </c>
      <c r="N25">
        <f>SUMIF('Team Lineups'!C:C,A25,'Team Lineups'!I:I)</f>
        <v>12</v>
      </c>
      <c r="O25">
        <f>COUNTIF(Matches!G:G,A25)</f>
        <v>2</v>
      </c>
      <c r="P25">
        <f t="shared" si="2"/>
        <v>8.3333333333333329E-2</v>
      </c>
      <c r="Q25">
        <f>SUMIF('Team Lineups'!C:C,A25,'Team Lineups'!J:J)</f>
        <v>3</v>
      </c>
    </row>
    <row r="26" spans="1:17" x14ac:dyDescent="0.35">
      <c r="A26" t="s">
        <v>54</v>
      </c>
      <c r="C26">
        <f>COUNTIF('Team Lineups'!C:C,A26)</f>
        <v>12</v>
      </c>
      <c r="D26">
        <f>SUMIF('Team Lineups'!C:C,A26,'Team Lineups'!E:E)</f>
        <v>57</v>
      </c>
      <c r="E26">
        <f>SUMIF('Team Lineups'!C:C,A26,'Team Lineups'!F:F)</f>
        <v>67</v>
      </c>
      <c r="F26">
        <f t="shared" si="0"/>
        <v>-10</v>
      </c>
      <c r="G26">
        <f>COUNTIFS('Team Lineups'!C:C,A26,'Team Lineups'!G:G,"Win")</f>
        <v>3</v>
      </c>
      <c r="H26">
        <f>COUNTIFS('Team Lineups'!C:C,A26,'Team Lineups'!G:G,"Draw")</f>
        <v>2</v>
      </c>
      <c r="I26">
        <f>COUNTIFS('Team Lineups'!C:C,A26,'Team Lineups'!G:G,"Loss")</f>
        <v>7</v>
      </c>
      <c r="J26" s="3">
        <f t="shared" si="3"/>
        <v>0.25</v>
      </c>
      <c r="K26" s="3">
        <f t="shared" si="4"/>
        <v>0.58333333333333337</v>
      </c>
      <c r="L26">
        <f>SUMIF('Team Lineups'!C:C,A26,'Team Lineups'!H:H)</f>
        <v>3</v>
      </c>
      <c r="M26">
        <f t="shared" si="1"/>
        <v>0.25</v>
      </c>
      <c r="N26">
        <f>SUMIF('Team Lineups'!C:C,A26,'Team Lineups'!I:I)</f>
        <v>7</v>
      </c>
      <c r="O26">
        <f>COUNTIF(Matches!G:G,A26)</f>
        <v>2</v>
      </c>
      <c r="P26">
        <f t="shared" si="2"/>
        <v>0.16666666666666666</v>
      </c>
      <c r="Q26">
        <f>SUMIF('Team Lineups'!C:C,A26,'Team Lineups'!J:J)</f>
        <v>0</v>
      </c>
    </row>
    <row r="27" spans="1:17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3"/>
        <v>0</v>
      </c>
      <c r="K27" s="3">
        <f t="shared" si="4"/>
        <v>1</v>
      </c>
      <c r="L27">
        <f>SUMIF('Team Lineups'!C:C,A27,'Team Lineups'!H:H)</f>
        <v>0</v>
      </c>
      <c r="M27">
        <f t="shared" si="1"/>
        <v>0</v>
      </c>
      <c r="N27">
        <f>SUMIF('Team Lineups'!C:C,A27,'Team Lineups'!I:I)</f>
        <v>0</v>
      </c>
      <c r="O27">
        <f>COUNTIF(Matches!G:G,A27)</f>
        <v>0</v>
      </c>
      <c r="P27">
        <f t="shared" si="2"/>
        <v>0</v>
      </c>
      <c r="Q27">
        <f>SUMIF('Team Lineups'!C:C,A27,'Team Lineups'!J:J)</f>
        <v>0</v>
      </c>
    </row>
    <row r="28" spans="1:17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5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6">G28/C28</f>
        <v>1</v>
      </c>
      <c r="K28" s="3">
        <f t="shared" si="4"/>
        <v>0</v>
      </c>
      <c r="L28">
        <f>SUMIF('Team Lineups'!C:C,A28,'Team Lineups'!H:H)</f>
        <v>2</v>
      </c>
      <c r="M28">
        <f t="shared" ref="M28:M34" si="7">L28/C28</f>
        <v>2</v>
      </c>
      <c r="N28">
        <f>SUMIF('Team Lineups'!C:C,A28,'Team Lineups'!I:I)</f>
        <v>2</v>
      </c>
      <c r="O28">
        <f>COUNTIF(Matches!G:G,A28)</f>
        <v>0</v>
      </c>
      <c r="P28">
        <f t="shared" ref="P28:P34" si="8">O28/C28</f>
        <v>0</v>
      </c>
      <c r="Q28">
        <f>SUMIF('Team Lineups'!C:C,A28,'Team Lineups'!J:J)</f>
        <v>0</v>
      </c>
    </row>
    <row r="29" spans="1:17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5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6"/>
        <v>0.6</v>
      </c>
      <c r="K29" s="3">
        <f t="shared" si="4"/>
        <v>0.2</v>
      </c>
      <c r="L29">
        <f>SUMIF('Team Lineups'!C:C,A29,'Team Lineups'!H:H)</f>
        <v>4</v>
      </c>
      <c r="M29">
        <f t="shared" si="7"/>
        <v>0.8</v>
      </c>
      <c r="N29">
        <f>SUMIF('Team Lineups'!C:C,A29,'Team Lineups'!I:I)</f>
        <v>1</v>
      </c>
      <c r="O29">
        <f>COUNTIF(Matches!G:G,A29)</f>
        <v>0</v>
      </c>
      <c r="P29">
        <f t="shared" si="8"/>
        <v>0</v>
      </c>
      <c r="Q29">
        <f>SUMIF('Team Lineups'!C:C,A29,'Team Lineups'!J:J)</f>
        <v>0</v>
      </c>
    </row>
    <row r="30" spans="1:17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5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6"/>
        <v>0</v>
      </c>
      <c r="K30" s="3">
        <f t="shared" si="4"/>
        <v>1</v>
      </c>
      <c r="L30">
        <f>SUMIF('Team Lineups'!C:C,A30,'Team Lineups'!H:H)</f>
        <v>0</v>
      </c>
      <c r="M30">
        <f t="shared" si="7"/>
        <v>0</v>
      </c>
      <c r="N30">
        <f>SUMIF('Team Lineups'!C:C,A30,'Team Lineups'!I:I)</f>
        <v>0</v>
      </c>
      <c r="O30">
        <f>COUNTIF(Matches!G:G,A30)</f>
        <v>0</v>
      </c>
      <c r="P30">
        <f t="shared" si="8"/>
        <v>0</v>
      </c>
      <c r="Q30">
        <f>SUMIF('Team Lineups'!C:C,A30,'Team Lineups'!J:J)</f>
        <v>0</v>
      </c>
    </row>
    <row r="31" spans="1:17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5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6"/>
        <v>0</v>
      </c>
      <c r="K31" s="3">
        <f t="shared" si="4"/>
        <v>1</v>
      </c>
      <c r="L31">
        <f>SUMIF('Team Lineups'!C:C,A31,'Team Lineups'!H:H)</f>
        <v>1</v>
      </c>
      <c r="M31">
        <f t="shared" si="7"/>
        <v>1</v>
      </c>
      <c r="N31">
        <f>SUMIF('Team Lineups'!C:C,A31,'Team Lineups'!I:I)</f>
        <v>3</v>
      </c>
      <c r="O31">
        <f>COUNTIF(Matches!G:G,A31)</f>
        <v>0</v>
      </c>
      <c r="P31">
        <f t="shared" si="8"/>
        <v>0</v>
      </c>
      <c r="Q31">
        <f>SUMIF('Team Lineups'!C:C,A31,'Team Lineups'!J:J)</f>
        <v>0</v>
      </c>
    </row>
    <row r="32" spans="1:17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5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6"/>
        <v>1</v>
      </c>
      <c r="K32" s="3">
        <f t="shared" si="4"/>
        <v>0</v>
      </c>
      <c r="L32">
        <f>SUMIF('Team Lineups'!C:C,A32,'Team Lineups'!H:H)</f>
        <v>2</v>
      </c>
      <c r="M32">
        <f t="shared" si="7"/>
        <v>2</v>
      </c>
      <c r="N32">
        <f>SUMIF('Team Lineups'!C:C,A32,'Team Lineups'!I:I)</f>
        <v>3</v>
      </c>
      <c r="O32">
        <f>COUNTIF(Matches!G:G,A32)</f>
        <v>0</v>
      </c>
      <c r="P32">
        <f t="shared" si="8"/>
        <v>0</v>
      </c>
      <c r="Q32">
        <f>SUMIF('Team Lineups'!C:C,A32,'Team Lineups'!J:J)</f>
        <v>0</v>
      </c>
    </row>
    <row r="33" spans="1:17" x14ac:dyDescent="0.35">
      <c r="A33" t="s">
        <v>66</v>
      </c>
      <c r="C33">
        <f>COUNTIF('Team Lineups'!C:C,A33)</f>
        <v>21</v>
      </c>
      <c r="D33">
        <f>SUMIF('Team Lineups'!C:C,A33,'Team Lineups'!E:E)</f>
        <v>146</v>
      </c>
      <c r="E33">
        <f>SUMIF('Team Lineups'!C:C,A33,'Team Lineups'!F:F)</f>
        <v>150</v>
      </c>
      <c r="F33">
        <f t="shared" si="5"/>
        <v>-4</v>
      </c>
      <c r="G33">
        <f>COUNTIFS('Team Lineups'!C:C,A33,'Team Lineups'!G:G,"Win")</f>
        <v>9</v>
      </c>
      <c r="H33">
        <f>COUNTIFS('Team Lineups'!C:C,A33,'Team Lineups'!G:G,"Draw")</f>
        <v>4</v>
      </c>
      <c r="I33">
        <f>COUNTIFS('Team Lineups'!C:C,A33,'Team Lineups'!G:G,"Loss")</f>
        <v>8</v>
      </c>
      <c r="J33" s="3">
        <f t="shared" si="6"/>
        <v>0.42857142857142855</v>
      </c>
      <c r="K33" s="3">
        <f t="shared" si="4"/>
        <v>0.38095238095238093</v>
      </c>
      <c r="L33">
        <f>SUMIF('Team Lineups'!C:C,A33,'Team Lineups'!H:H)</f>
        <v>53</v>
      </c>
      <c r="M33">
        <f t="shared" si="7"/>
        <v>2.5238095238095237</v>
      </c>
      <c r="N33">
        <f>SUMIF('Team Lineups'!C:C,A33,'Team Lineups'!I:I)</f>
        <v>19</v>
      </c>
      <c r="O33">
        <f>COUNTIF(Matches!G:G,A33)</f>
        <v>2</v>
      </c>
      <c r="P33">
        <f t="shared" si="8"/>
        <v>9.5238095238095233E-2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11</v>
      </c>
      <c r="D34">
        <f>SUMIF('Team Lineups'!C:C,A34,'Team Lineups'!E:E)</f>
        <v>71</v>
      </c>
      <c r="E34">
        <f>SUMIF('Team Lineups'!C:C,A34,'Team Lineups'!F:F)</f>
        <v>53</v>
      </c>
      <c r="F34">
        <f t="shared" si="5"/>
        <v>18</v>
      </c>
      <c r="G34">
        <f>COUNTIFS('Team Lineups'!C:C,A34,'Team Lineups'!G:G,"Win")</f>
        <v>7</v>
      </c>
      <c r="H34">
        <f>COUNTIFS('Team Lineups'!C:C,A34,'Team Lineups'!G:G,"Draw")</f>
        <v>1</v>
      </c>
      <c r="I34">
        <f>COUNTIFS('Team Lineups'!C:C,A34,'Team Lineups'!G:G,"Loss")</f>
        <v>3</v>
      </c>
      <c r="J34" s="3">
        <f t="shared" si="6"/>
        <v>0.63636363636363635</v>
      </c>
      <c r="K34" s="3">
        <f t="shared" si="4"/>
        <v>0.27272727272727271</v>
      </c>
      <c r="L34">
        <f>SUMIF('Team Lineups'!C:C,A34,'Team Lineups'!H:H)</f>
        <v>16</v>
      </c>
      <c r="M34">
        <f t="shared" si="7"/>
        <v>1.4545454545454546</v>
      </c>
      <c r="N34">
        <f>SUMIF('Team Lineups'!C:C,A34,'Team Lineups'!I:I)</f>
        <v>8</v>
      </c>
      <c r="O34">
        <f>COUNTIF(Matches!G:G,A34)</f>
        <v>2</v>
      </c>
      <c r="P34">
        <f t="shared" si="8"/>
        <v>0.18181818181818182</v>
      </c>
      <c r="Q34">
        <f>SUMIF('Team Lineups'!C:C,A34,'Team Lineups'!J:J)</f>
        <v>0</v>
      </c>
    </row>
    <row r="35" spans="1:17" x14ac:dyDescent="0.35">
      <c r="A35" t="s">
        <v>77</v>
      </c>
      <c r="C35">
        <f>COUNTIF('Team Lineups'!C:C,A35)</f>
        <v>7</v>
      </c>
      <c r="D35">
        <f>SUMIF('Team Lineups'!C:C,A35,'Team Lineups'!E:E)</f>
        <v>35</v>
      </c>
      <c r="E35">
        <f>SUMIF('Team Lineups'!C:C,A35,'Team Lineups'!F:F)</f>
        <v>46</v>
      </c>
      <c r="F35">
        <f t="shared" ref="F35" si="9">D35-E35</f>
        <v>-11</v>
      </c>
      <c r="G35">
        <f>COUNTIFS('Team Lineups'!C:C,A35,'Team Lineups'!G:G,"Win")</f>
        <v>1</v>
      </c>
      <c r="H35">
        <f>COUNTIFS('Team Lineups'!C:C,A35,'Team Lineups'!G:G,"Draw")</f>
        <v>0</v>
      </c>
      <c r="I35">
        <f>COUNTIFS('Team Lineups'!C:C,A35,'Team Lineups'!G:G,"Loss")</f>
        <v>6</v>
      </c>
      <c r="J35" s="3">
        <f t="shared" ref="J35" si="10">G35/C35</f>
        <v>0.14285714285714285</v>
      </c>
      <c r="K35" s="3">
        <f t="shared" si="4"/>
        <v>0.8571428571428571</v>
      </c>
      <c r="L35">
        <f>SUMIF('Team Lineups'!C:C,A35,'Team Lineups'!H:H)</f>
        <v>3</v>
      </c>
      <c r="M35">
        <f t="shared" ref="M35" si="11">L35/C35</f>
        <v>0.42857142857142855</v>
      </c>
      <c r="N35">
        <f>SUMIF('Team Lineups'!C:C,A35,'Team Lineups'!I:I)</f>
        <v>2</v>
      </c>
      <c r="O35">
        <f>COUNTIF(Matches!G:G,A35)</f>
        <v>0</v>
      </c>
      <c r="P35">
        <f t="shared" ref="P35" si="12">O35/C35</f>
        <v>0</v>
      </c>
      <c r="Q35">
        <f>SUMIF('Team Lineups'!C:C,A35,'Team Lineups'!J:J)</f>
        <v>0</v>
      </c>
    </row>
    <row r="36" spans="1:17" x14ac:dyDescent="0.35">
      <c r="A36" t="s">
        <v>78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3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4">G36/C36</f>
        <v>0</v>
      </c>
      <c r="K36" s="3">
        <f t="shared" si="4"/>
        <v>0</v>
      </c>
      <c r="L36">
        <f>SUMIF('Team Lineups'!C:C,A36,'Team Lineups'!H:H)</f>
        <v>3</v>
      </c>
      <c r="M36">
        <f t="shared" ref="M36" si="15">L36/C36</f>
        <v>3</v>
      </c>
      <c r="N36">
        <f>SUMIF('Team Lineups'!C:C,A36,'Team Lineups'!I:I)</f>
        <v>0</v>
      </c>
      <c r="O36">
        <f>COUNTIF(Matches!G:G,A36)</f>
        <v>0</v>
      </c>
      <c r="P36">
        <f t="shared" ref="P36" si="16">O36/C36</f>
        <v>0</v>
      </c>
      <c r="Q36">
        <f>SUMIF('Team Lineups'!C:C,A36,'Team Lineups'!J:J)</f>
        <v>0</v>
      </c>
    </row>
    <row r="37" spans="1:17" x14ac:dyDescent="0.35">
      <c r="A37" t="s">
        <v>84</v>
      </c>
      <c r="C37">
        <f>COUNTIF('Team Lineups'!C:C,A37)</f>
        <v>9</v>
      </c>
      <c r="D37">
        <f>SUMIF('Team Lineups'!C:C,A37,'Team Lineups'!E:E)</f>
        <v>48</v>
      </c>
      <c r="E37">
        <f>SUMIF('Team Lineups'!C:C,A37,'Team Lineups'!F:F)</f>
        <v>56</v>
      </c>
      <c r="F37">
        <f t="shared" ref="F37:F42" si="17">D37-E37</f>
        <v>-8</v>
      </c>
      <c r="G37">
        <f>COUNTIFS('Team Lineups'!C:C,A37,'Team Lineups'!G:G,"Win")</f>
        <v>4</v>
      </c>
      <c r="H37">
        <f>COUNTIFS('Team Lineups'!C:C,A37,'Team Lineups'!G:G,"Draw")</f>
        <v>2</v>
      </c>
      <c r="I37">
        <f>COUNTIFS('Team Lineups'!C:C,A37,'Team Lineups'!G:G,"Loss")</f>
        <v>3</v>
      </c>
      <c r="J37" s="3">
        <f t="shared" ref="J37:J42" si="18">G37/C37</f>
        <v>0.44444444444444442</v>
      </c>
      <c r="K37" s="3">
        <f t="shared" ref="K37:K42" si="19">I37/C37</f>
        <v>0.33333333333333331</v>
      </c>
      <c r="L37">
        <f>SUMIF('Team Lineups'!C:C,A37,'Team Lineups'!H:H)</f>
        <v>7</v>
      </c>
      <c r="M37">
        <f t="shared" ref="M37:M42" si="20">L37/C37</f>
        <v>0.77777777777777779</v>
      </c>
      <c r="N37">
        <f>SUMIF('Team Lineups'!C:C,A37,'Team Lineups'!I:I)</f>
        <v>7</v>
      </c>
      <c r="O37">
        <f>COUNTIF(Matches!G:G,A37)</f>
        <v>0</v>
      </c>
      <c r="P37">
        <f t="shared" ref="P37:P42" si="21">O37/C37</f>
        <v>0</v>
      </c>
      <c r="Q37">
        <f>SUMIF('Team Lineups'!C:C,A37,'Team Lineups'!J:J)</f>
        <v>1</v>
      </c>
    </row>
    <row r="38" spans="1:17" x14ac:dyDescent="0.35">
      <c r="A38" t="s">
        <v>85</v>
      </c>
      <c r="C38">
        <f>COUNTIF('Team Lineups'!C:C,A38)</f>
        <v>3</v>
      </c>
      <c r="D38">
        <f>SUMIF('Team Lineups'!C:C,A38,'Team Lineups'!E:E)</f>
        <v>17</v>
      </c>
      <c r="E38">
        <f>SUMIF('Team Lineups'!C:C,A38,'Team Lineups'!F:F)</f>
        <v>15</v>
      </c>
      <c r="F38">
        <f t="shared" si="17"/>
        <v>2</v>
      </c>
      <c r="G38">
        <f>COUNTIFS('Team Lineups'!C:C,A38,'Team Lineups'!G:G,"Win")</f>
        <v>2</v>
      </c>
      <c r="H38">
        <f>COUNTIFS('Team Lineups'!C:C,A38,'Team Lineups'!G:G,"Draw")</f>
        <v>0</v>
      </c>
      <c r="I38">
        <f>COUNTIFS('Team Lineups'!C:C,A38,'Team Lineups'!G:G,"Loss")</f>
        <v>1</v>
      </c>
      <c r="J38" s="3">
        <f t="shared" si="18"/>
        <v>0.66666666666666663</v>
      </c>
      <c r="K38" s="3">
        <f t="shared" si="19"/>
        <v>0.33333333333333331</v>
      </c>
      <c r="L38">
        <f>SUMIF('Team Lineups'!C:C,A38,'Team Lineups'!H:H)</f>
        <v>5</v>
      </c>
      <c r="M38">
        <f t="shared" si="20"/>
        <v>1.6666666666666667</v>
      </c>
      <c r="N38">
        <f>SUMIF('Team Lineups'!C:C,A38,'Team Lineups'!I:I)</f>
        <v>0</v>
      </c>
      <c r="O38">
        <f>COUNTIF(Matches!G:G,A38)</f>
        <v>2</v>
      </c>
      <c r="P38">
        <f t="shared" si="21"/>
        <v>0.66666666666666663</v>
      </c>
      <c r="Q38">
        <f>SUMIF('Team Lineups'!C:C,A38,'Team Lineups'!J:J)</f>
        <v>0</v>
      </c>
    </row>
    <row r="39" spans="1:17" x14ac:dyDescent="0.35">
      <c r="A39" t="s">
        <v>86</v>
      </c>
      <c r="C39">
        <f>COUNTIF('Team Lineups'!C:C,A39)</f>
        <v>5</v>
      </c>
      <c r="D39">
        <f>SUMIF('Team Lineups'!C:C,A39,'Team Lineups'!E:E)</f>
        <v>33</v>
      </c>
      <c r="E39">
        <f>SUMIF('Team Lineups'!C:C,A39,'Team Lineups'!F:F)</f>
        <v>19</v>
      </c>
      <c r="F39">
        <f t="shared" si="17"/>
        <v>14</v>
      </c>
      <c r="G39">
        <f>COUNTIFS('Team Lineups'!C:C,A39,'Team Lineups'!G:G,"Win")</f>
        <v>3</v>
      </c>
      <c r="H39">
        <f>COUNTIFS('Team Lineups'!C:C,A39,'Team Lineups'!G:G,"Draw")</f>
        <v>0</v>
      </c>
      <c r="I39">
        <f>COUNTIFS('Team Lineups'!C:C,A39,'Team Lineups'!G:G,"Loss")</f>
        <v>2</v>
      </c>
      <c r="J39" s="3">
        <f t="shared" si="18"/>
        <v>0.6</v>
      </c>
      <c r="K39" s="3">
        <f t="shared" si="19"/>
        <v>0.4</v>
      </c>
      <c r="L39">
        <f>SUMIF('Team Lineups'!C:C,A39,'Team Lineups'!H:H)</f>
        <v>7</v>
      </c>
      <c r="M39">
        <f t="shared" si="20"/>
        <v>1.4</v>
      </c>
      <c r="N39">
        <f>SUMIF('Team Lineups'!C:C,A39,'Team Lineups'!I:I)</f>
        <v>2</v>
      </c>
      <c r="O39">
        <f>COUNTIF(Matches!G:G,A39)</f>
        <v>0</v>
      </c>
      <c r="P39">
        <f t="shared" si="21"/>
        <v>0</v>
      </c>
      <c r="Q39">
        <f>SUMIF('Team Lineups'!C:C,A39,'Team Lineups'!J:J)</f>
        <v>0</v>
      </c>
    </row>
    <row r="40" spans="1:17" x14ac:dyDescent="0.35">
      <c r="A40" t="s">
        <v>87</v>
      </c>
      <c r="C40">
        <f>COUNTIF('Team Lineups'!C:C,A40)</f>
        <v>2</v>
      </c>
      <c r="D40">
        <f>SUMIF('Team Lineups'!C:C,A40,'Team Lineups'!E:E)</f>
        <v>2</v>
      </c>
      <c r="E40">
        <f>SUMIF('Team Lineups'!C:C,A40,'Team Lineups'!F:F)</f>
        <v>9</v>
      </c>
      <c r="F40">
        <f t="shared" si="17"/>
        <v>-7</v>
      </c>
      <c r="G40">
        <f>COUNTIFS('Team Lineups'!C:C,A40,'Team Lineups'!G:G,"Win")</f>
        <v>0</v>
      </c>
      <c r="H40">
        <f>COUNTIFS('Team Lineups'!C:C,A40,'Team Lineups'!G:G,"Draw")</f>
        <v>0</v>
      </c>
      <c r="I40">
        <f>COUNTIFS('Team Lineups'!C:C,A40,'Team Lineups'!G:G,"Loss")</f>
        <v>2</v>
      </c>
      <c r="J40" s="3">
        <f t="shared" si="18"/>
        <v>0</v>
      </c>
      <c r="K40" s="3">
        <f t="shared" si="19"/>
        <v>1</v>
      </c>
      <c r="L40">
        <f>SUMIF('Team Lineups'!C:C,A40,'Team Lineups'!H:H)</f>
        <v>0</v>
      </c>
      <c r="M40">
        <f t="shared" si="20"/>
        <v>0</v>
      </c>
      <c r="N40">
        <f>SUMIF('Team Lineups'!C:C,A40,'Team Lineups'!I:I)</f>
        <v>1</v>
      </c>
      <c r="O40">
        <f>COUNTIF(Matches!G:G,A40)</f>
        <v>0</v>
      </c>
      <c r="P40">
        <f t="shared" si="21"/>
        <v>0</v>
      </c>
      <c r="Q40">
        <f>SUMIF('Team Lineups'!C:C,A40,'Team Lineups'!J:J)</f>
        <v>0</v>
      </c>
    </row>
    <row r="41" spans="1:17" x14ac:dyDescent="0.35">
      <c r="A41" t="s">
        <v>88</v>
      </c>
      <c r="C41">
        <f>COUNTIF('Team Lineups'!C:C,A41)</f>
        <v>13</v>
      </c>
      <c r="D41">
        <f>SUMIF('Team Lineups'!C:C,A41,'Team Lineups'!E:E)</f>
        <v>83</v>
      </c>
      <c r="E41">
        <f>SUMIF('Team Lineups'!C:C,A41,'Team Lineups'!F:F)</f>
        <v>87</v>
      </c>
      <c r="F41">
        <f t="shared" si="17"/>
        <v>-4</v>
      </c>
      <c r="G41">
        <f>COUNTIFS('Team Lineups'!C:C,A41,'Team Lineups'!G:G,"Win")</f>
        <v>4</v>
      </c>
      <c r="H41">
        <f>COUNTIFS('Team Lineups'!C:C,A41,'Team Lineups'!G:G,"Draw")</f>
        <v>3</v>
      </c>
      <c r="I41">
        <f>COUNTIFS('Team Lineups'!C:C,A41,'Team Lineups'!G:G,"Loss")</f>
        <v>6</v>
      </c>
      <c r="J41" s="3">
        <f t="shared" si="18"/>
        <v>0.30769230769230771</v>
      </c>
      <c r="K41" s="3">
        <f t="shared" si="19"/>
        <v>0.46153846153846156</v>
      </c>
      <c r="L41">
        <f>SUMIF('Team Lineups'!C:C,A41,'Team Lineups'!H:H)</f>
        <v>12</v>
      </c>
      <c r="M41">
        <f t="shared" si="20"/>
        <v>0.92307692307692313</v>
      </c>
      <c r="N41">
        <f>SUMIF('Team Lineups'!C:C,A41,'Team Lineups'!I:I)</f>
        <v>5</v>
      </c>
      <c r="O41">
        <f>COUNTIF(Matches!G:G,A41)</f>
        <v>0</v>
      </c>
      <c r="P41">
        <f t="shared" si="21"/>
        <v>0</v>
      </c>
      <c r="Q41">
        <f>SUMIF('Team Lineups'!C:C,A41,'Team Lineups'!J:J)</f>
        <v>0</v>
      </c>
    </row>
    <row r="42" spans="1:17" x14ac:dyDescent="0.35">
      <c r="A42" t="s">
        <v>89</v>
      </c>
      <c r="C42">
        <f>COUNTIF('Team Lineups'!C:C,A42)</f>
        <v>14</v>
      </c>
      <c r="D42">
        <f>SUMIF('Team Lineups'!C:C,A42,'Team Lineups'!E:E)</f>
        <v>100</v>
      </c>
      <c r="E42">
        <f>SUMIF('Team Lineups'!C:C,A42,'Team Lineups'!F:F)</f>
        <v>91</v>
      </c>
      <c r="F42">
        <f t="shared" si="17"/>
        <v>9</v>
      </c>
      <c r="G42">
        <f>COUNTIFS('Team Lineups'!C:C,A42,'Team Lineups'!G:G,"Win")</f>
        <v>7</v>
      </c>
      <c r="H42">
        <f>COUNTIFS('Team Lineups'!C:C,A42,'Team Lineups'!G:G,"Draw")</f>
        <v>3</v>
      </c>
      <c r="I42">
        <f>COUNTIFS('Team Lineups'!C:C,A42,'Team Lineups'!G:G,"Loss")</f>
        <v>4</v>
      </c>
      <c r="J42" s="3">
        <f t="shared" si="18"/>
        <v>0.5</v>
      </c>
      <c r="K42" s="3">
        <f t="shared" si="19"/>
        <v>0.2857142857142857</v>
      </c>
      <c r="L42">
        <f>SUMIF('Team Lineups'!C:C,A42,'Team Lineups'!H:H)</f>
        <v>31</v>
      </c>
      <c r="M42">
        <f t="shared" si="20"/>
        <v>2.2142857142857144</v>
      </c>
      <c r="N42">
        <f>SUMIF('Team Lineups'!C:C,A42,'Team Lineups'!I:I)</f>
        <v>12</v>
      </c>
      <c r="O42">
        <f>COUNTIF(Matches!G:G,A42)</f>
        <v>1</v>
      </c>
      <c r="P42">
        <f t="shared" si="21"/>
        <v>7.1428571428571425E-2</v>
      </c>
      <c r="Q42">
        <f>SUMIF('Team Lineups'!C:C,A42,'Team Lineups'!J:J)</f>
        <v>0</v>
      </c>
    </row>
    <row r="43" spans="1:17" x14ac:dyDescent="0.35">
      <c r="A43" t="s">
        <v>95</v>
      </c>
      <c r="C43">
        <f>COUNTIF('Team Lineups'!C:C,A43)</f>
        <v>2</v>
      </c>
      <c r="D43">
        <f>SUMIF('Team Lineups'!C:C,A43,'Team Lineups'!E:E)</f>
        <v>22</v>
      </c>
      <c r="E43">
        <f>SUMIF('Team Lineups'!C:C,A43,'Team Lineups'!F:F)</f>
        <v>16</v>
      </c>
      <c r="F43">
        <f t="shared" ref="F43" si="22">D43-E43</f>
        <v>6</v>
      </c>
      <c r="G43">
        <f>COUNTIFS('Team Lineups'!C:C,A43,'Team Lineups'!G:G,"Win")</f>
        <v>2</v>
      </c>
      <c r="H43">
        <f>COUNTIFS('Team Lineups'!C:C,A43,'Team Lineups'!G:G,"Draw")</f>
        <v>0</v>
      </c>
      <c r="I43">
        <f>COUNTIFS('Team Lineups'!C:C,A43,'Team Lineups'!G:G,"Loss")</f>
        <v>0</v>
      </c>
      <c r="J43" s="3">
        <f t="shared" ref="J43" si="23">G43/C43</f>
        <v>1</v>
      </c>
      <c r="K43" s="3">
        <f t="shared" ref="K43" si="24">I43/C43</f>
        <v>0</v>
      </c>
      <c r="L43">
        <f>SUMIF('Team Lineups'!C:C,A43,'Team Lineups'!H:H)</f>
        <v>5</v>
      </c>
      <c r="M43">
        <f t="shared" ref="M43" si="25">L43/C43</f>
        <v>2.5</v>
      </c>
      <c r="N43">
        <f>SUMIF('Team Lineups'!C:C,A43,'Team Lineups'!I:I)</f>
        <v>2</v>
      </c>
      <c r="O43">
        <f>COUNTIF(Matches!G:G,A43)</f>
        <v>0</v>
      </c>
      <c r="P43">
        <f t="shared" ref="P43" si="26">O43/C43</f>
        <v>0</v>
      </c>
      <c r="Q43">
        <f>SUMIF('Team Lineups'!C:C,A43,'Team Lineups'!J:J)</f>
        <v>0</v>
      </c>
    </row>
    <row r="44" spans="1:17" x14ac:dyDescent="0.35">
      <c r="A44" t="s">
        <v>98</v>
      </c>
      <c r="C44">
        <f>COUNTIF('Team Lineups'!C:C,A44)</f>
        <v>6</v>
      </c>
      <c r="D44">
        <f>SUMIF('Team Lineups'!C:C,A44,'Team Lineups'!E:E)</f>
        <v>56</v>
      </c>
      <c r="E44">
        <f>SUMIF('Team Lineups'!C:C,A44,'Team Lineups'!F:F)</f>
        <v>43</v>
      </c>
      <c r="F44">
        <f t="shared" ref="F44" si="27">D44-E44</f>
        <v>13</v>
      </c>
      <c r="G44">
        <f>COUNTIFS('Team Lineups'!C:C,A44,'Team Lineups'!G:G,"Win")</f>
        <v>4</v>
      </c>
      <c r="H44">
        <f>COUNTIFS('Team Lineups'!C:C,A44,'Team Lineups'!G:G,"Draw")</f>
        <v>0</v>
      </c>
      <c r="I44">
        <f>COUNTIFS('Team Lineups'!C:C,A44,'Team Lineups'!G:G,"Loss")</f>
        <v>2</v>
      </c>
      <c r="J44" s="3">
        <f t="shared" ref="J44" si="28">G44/C44</f>
        <v>0.66666666666666663</v>
      </c>
      <c r="K44" s="3">
        <f t="shared" ref="K44" si="29">I44/C44</f>
        <v>0.33333333333333331</v>
      </c>
      <c r="L44">
        <f>SUMIF('Team Lineups'!C:C,A44,'Team Lineups'!H:H)</f>
        <v>16</v>
      </c>
      <c r="M44">
        <f t="shared" ref="M44" si="30">L44/C44</f>
        <v>2.6666666666666665</v>
      </c>
      <c r="N44">
        <f>SUMIF('Team Lineups'!C:C,A44,'Team Lineups'!I:I)</f>
        <v>11</v>
      </c>
      <c r="O44">
        <f>COUNTIF(Matches!G:G,A44)</f>
        <v>2</v>
      </c>
      <c r="P44">
        <f t="shared" ref="P44" si="31">O44/C44</f>
        <v>0.33333333333333331</v>
      </c>
      <c r="Q44">
        <f>SUMIF('Team Lineups'!C:C,A44,'Team Lineups'!J:J)</f>
        <v>0</v>
      </c>
    </row>
    <row r="45" spans="1:17" x14ac:dyDescent="0.35">
      <c r="A45" t="s">
        <v>99</v>
      </c>
      <c r="C45">
        <f>COUNTIF('Team Lineups'!C:C,A45)</f>
        <v>8</v>
      </c>
      <c r="D45">
        <f>SUMIF('Team Lineups'!C:C,A45,'Team Lineups'!E:E)</f>
        <v>42</v>
      </c>
      <c r="E45">
        <f>SUMIF('Team Lineups'!C:C,A45,'Team Lineups'!F:F)</f>
        <v>48</v>
      </c>
      <c r="F45">
        <f t="shared" ref="F45" si="32">D45-E45</f>
        <v>-6</v>
      </c>
      <c r="G45">
        <f>COUNTIFS('Team Lineups'!C:C,A45,'Team Lineups'!G:G,"Win")</f>
        <v>3</v>
      </c>
      <c r="H45">
        <f>COUNTIFS('Team Lineups'!C:C,A45,'Team Lineups'!G:G,"Draw")</f>
        <v>1</v>
      </c>
      <c r="I45">
        <f>COUNTIFS('Team Lineups'!C:C,A45,'Team Lineups'!G:G,"Loss")</f>
        <v>4</v>
      </c>
      <c r="J45" s="3">
        <f t="shared" ref="J45" si="33">G45/C45</f>
        <v>0.375</v>
      </c>
      <c r="K45" s="3">
        <f t="shared" ref="K45" si="34">I45/C45</f>
        <v>0.5</v>
      </c>
      <c r="L45">
        <f>SUMIF('Team Lineups'!C:C,A45,'Team Lineups'!H:H)</f>
        <v>1</v>
      </c>
      <c r="M45">
        <f t="shared" ref="M45" si="35">L45/C45</f>
        <v>0.125</v>
      </c>
      <c r="N45">
        <f>SUMIF('Team Lineups'!C:C,A45,'Team Lineups'!I:I)</f>
        <v>1</v>
      </c>
      <c r="O45">
        <f>COUNTIF(Matches!G:G,A45)</f>
        <v>2</v>
      </c>
      <c r="P45">
        <f t="shared" ref="P45" si="36">O45/C45</f>
        <v>0.25</v>
      </c>
      <c r="Q45">
        <f>SUMIF('Team Lineups'!C:C,A45,'Team Lineups'!J:J)</f>
        <v>0</v>
      </c>
    </row>
    <row r="46" spans="1:17" x14ac:dyDescent="0.35">
      <c r="A46" t="s">
        <v>111</v>
      </c>
      <c r="C46">
        <f>COUNTIF('Team Lineups'!C:C,A46)</f>
        <v>1</v>
      </c>
      <c r="D46">
        <f>SUMIF('Team Lineups'!C:C,A46,'Team Lineups'!E:E)</f>
        <v>7</v>
      </c>
      <c r="E46">
        <f>SUMIF('Team Lineups'!C:C,A46,'Team Lineups'!F:F)</f>
        <v>9</v>
      </c>
      <c r="F46">
        <f t="shared" ref="F46" si="37">D46-E46</f>
        <v>-2</v>
      </c>
      <c r="G46">
        <f>COUNTIFS('Team Lineups'!C:C,A46,'Team Lineups'!G:G,"Win")</f>
        <v>0</v>
      </c>
      <c r="H46">
        <f>COUNTIFS('Team Lineups'!C:C,A46,'Team Lineups'!G:G,"Draw")</f>
        <v>0</v>
      </c>
      <c r="I46">
        <f>COUNTIFS('Team Lineups'!C:C,A46,'Team Lineups'!G:G,"Loss")</f>
        <v>1</v>
      </c>
      <c r="J46" s="3">
        <f t="shared" ref="J46" si="38">G46/C46</f>
        <v>0</v>
      </c>
      <c r="K46" s="3">
        <f t="shared" ref="K46" si="39">I46/C46</f>
        <v>1</v>
      </c>
      <c r="L46">
        <f>SUMIF('Team Lineups'!C:C,A46,'Team Lineups'!H:H)</f>
        <v>1</v>
      </c>
      <c r="M46">
        <f t="shared" ref="M46" si="40">L46/C46</f>
        <v>1</v>
      </c>
      <c r="N46">
        <f>SUMIF('Team Lineups'!C:C,A46,'Team Lineups'!I:I)</f>
        <v>1</v>
      </c>
      <c r="O46">
        <f>COUNTIF(Matches!G:G,A46)</f>
        <v>0</v>
      </c>
      <c r="P46">
        <f t="shared" ref="P46" si="41">O46/C46</f>
        <v>0</v>
      </c>
      <c r="Q46">
        <f>SUMIF('Team Lineups'!C:C,A46,'Team Lineups'!J:J)</f>
        <v>0</v>
      </c>
    </row>
  </sheetData>
  <autoFilter ref="A1:P27" xr:uid="{00000000-0001-0000-0200-000000000000}">
    <sortState xmlns:xlrd2="http://schemas.microsoft.com/office/spreadsheetml/2017/richdata2" ref="A2:P27">
      <sortCondition descending="1" ref="G2:G27"/>
      <sortCondition descending="1" ref="H2:H27"/>
      <sortCondition descending="1" ref="J2:J27"/>
      <sortCondition descending="1" ref="O2:O27"/>
      <sortCondition descending="1" ref="L2:L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45"/>
  <sheetViews>
    <sheetView tabSelected="1" topLeftCell="A31" workbookViewId="0">
      <selection activeCell="AF45" sqref="AF45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45">_xlfn.UNIQUE('Team Lineups'!C2:C500)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18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6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3</v>
      </c>
      <c r="G2" cm="1">
        <f t="array" ref="G2">SUMPRODUCT(('Team Lineups'!$K$2:$K$2000&lt;&gt;"")*('Team Lineups'!$C$2:$C$2000=$A2)*COUNTIFS('Team Lineups'!$K$2:$K$2000,'Team Lineups'!$K$2:$K$2000,'Team Lineups'!$C$2:$C$2000,G$1))</f>
        <v>6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9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3</v>
      </c>
      <c r="M2" cm="1">
        <f t="array" ref="M2">SUMPRODUCT(('Team Lineups'!$K$2:$K$2000&lt;&gt;"")*('Team Lineups'!$C$2:$C$2000=$A2)*COUNTIFS('Team Lineups'!$K$2:$K$2000,'Team Lineups'!$K$2:$K$2000,'Team Lineups'!$C$2:$C$2000,M$1))</f>
        <v>6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4</v>
      </c>
      <c r="R2" cm="1">
        <f t="array" ref="R2">SUMPRODUCT(('Team Lineups'!$K$2:$K$2000&lt;&gt;"")*('Team Lineups'!$C$2:$C$2000=$A2)*COUNTIFS('Team Lineups'!$K$2:$K$2000,'Team Lineups'!$K$2:$K$2000,'Team Lineups'!$C$2:$C$2000,R$1))</f>
        <v>2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2</v>
      </c>
      <c r="AA2" cm="1">
        <f t="array" ref="AA2">SUMPRODUCT(('Team Lineups'!$K$2:$K$2000&lt;&gt;"")*('Team Lineups'!$C$2:$C$2000=$A2)*COUNTIFS('Team Lineups'!$K$2:$K$2000,'Team Lineups'!$K$2:$K$2000,'Team Lineups'!$C$2:$C$2000,AA$1))</f>
        <v>4</v>
      </c>
      <c r="AB2" cm="1">
        <f t="array" ref="AB2">SUMPRODUCT(('Team Lineups'!$K$2:$K$2000&lt;&gt;"")*('Team Lineups'!$C$2:$C$2000=$A2)*COUNTIFS('Team Lineups'!$K$2:$K$2000,'Team Lineups'!$K$2:$K$2000,'Team Lineups'!$C$2:$C$2000,AB$1))</f>
        <v>1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3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2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1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6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21</v>
      </c>
      <c r="E4" cm="1">
        <f t="array" ref="E4">SUMPRODUCT(('Team Lineups'!$K$2:$K$2000&lt;&gt;"")*('Team Lineups'!$C$2:$C$2000=$A4)*COUNTIFS('Team Lineups'!$K$2:$K$2000,'Team Lineups'!$K$2:$K$2000,'Team Lineups'!$C$2:$C$2000,E$1))</f>
        <v>6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2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7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7</v>
      </c>
      <c r="M4" cm="1">
        <f t="array" ref="M4">SUMPRODUCT(('Team Lineups'!$K$2:$K$2000&lt;&gt;"")*('Team Lineups'!$C$2:$C$2000=$A4)*COUNTIFS('Team Lineups'!$K$2:$K$2000,'Team Lineups'!$K$2:$K$2000,'Team Lineups'!$C$2:$C$2000,M$1))</f>
        <v>5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4</v>
      </c>
      <c r="R4" cm="1">
        <f t="array" ref="R4">SUMPRODUCT(('Team Lineups'!$K$2:$K$2000&lt;&gt;"")*('Team Lineups'!$C$2:$C$2000=$A4)*COUNTIFS('Team Lineups'!$K$2:$K$2000,'Team Lineups'!$K$2:$K$2000,'Team Lineups'!$C$2:$C$2000,R$1))</f>
        <v>7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1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2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2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3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2</v>
      </c>
      <c r="AQ4" cm="1">
        <f t="array" ref="AQ4">SUMPRODUCT(('Team Lineups'!$K$2:$K$2000&lt;&gt;"")*('Team Lineups'!$C$2:$C$2000=$A4)*COUNTIFS('Team Lineups'!$K$2:$K$2000,'Team Lineups'!$K$2:$K$2000,'Team Lineups'!$C$2:$C$2000,AQ$1))</f>
        <v>0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6</v>
      </c>
      <c r="E5" cm="1">
        <f t="array" ref="E5">SUMPRODUCT(('Team Lineups'!$K$2:$K$2000&lt;&gt;"")*('Team Lineups'!$C$2:$C$2000=$A5)*COUNTIFS('Team Lineups'!$K$2:$K$2000,'Team Lineups'!$K$2:$K$2000,'Team Lineups'!$C$2:$C$2000,E$1))</f>
        <v>22</v>
      </c>
      <c r="F5" cm="1">
        <f t="array" ref="F5">SUMPRODUCT(('Team Lineups'!$K$2:$K$2000&lt;&gt;"")*('Team Lineups'!$C$2:$C$2000=$A5)*COUNTIFS('Team Lineups'!$K$2:$K$2000,'Team Lineups'!$K$2:$K$2000,'Team Lineups'!$C$2:$C$2000,F$1))</f>
        <v>9</v>
      </c>
      <c r="G5" cm="1">
        <f t="array" ref="G5">SUMPRODUCT(('Team Lineups'!$K$2:$K$2000&lt;&gt;"")*('Team Lineups'!$C$2:$C$2000=$A5)*COUNTIFS('Team Lineups'!$K$2:$K$2000,'Team Lineups'!$K$2:$K$2000,'Team Lineups'!$C$2:$C$2000,G$1))</f>
        <v>8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4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5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2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2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6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3</v>
      </c>
      <c r="AQ5" cm="1">
        <f t="array" ref="AQ5">SUMPRODUCT(('Team Lineups'!$K$2:$K$2000&lt;&gt;"")*('Team Lineups'!$C$2:$C$2000=$A5)*COUNTIFS('Team Lineups'!$K$2:$K$2000,'Team Lineups'!$K$2:$K$2000,'Team Lineups'!$C$2:$C$2000,AQ$1))</f>
        <v>1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3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9</v>
      </c>
      <c r="F6" cm="1">
        <f t="array" ref="F6">SUMPRODUCT(('Team Lineups'!$K$2:$K$2000&lt;&gt;"")*('Team Lineups'!$C$2:$C$2000=$A6)*COUNTIFS('Team Lineups'!$K$2:$K$2000,'Team Lineups'!$K$2:$K$2000,'Team Lineups'!$C$2:$C$2000,F$1))</f>
        <v>22</v>
      </c>
      <c r="G6" cm="1">
        <f t="array" ref="G6">SUMPRODUCT(('Team Lineups'!$K$2:$K$2000&lt;&gt;"")*('Team Lineups'!$C$2:$C$2000=$A6)*COUNTIFS('Team Lineups'!$K$2:$K$2000,'Team Lineups'!$K$2:$K$2000,'Team Lineups'!$C$2:$C$2000,G$1))</f>
        <v>3</v>
      </c>
      <c r="H6" cm="1">
        <f t="array" ref="H6">SUMPRODUCT(('Team Lineups'!$K$2:$K$2000&lt;&gt;"")*('Team Lineups'!$C$2:$C$2000=$A6)*COUNTIFS('Team Lineups'!$K$2:$K$2000,'Team Lineups'!$K$2:$K$2000,'Team Lineups'!$C$2:$C$2000,H$1))</f>
        <v>4</v>
      </c>
      <c r="I6" cm="1">
        <f t="array" ref="I6">SUMPRODUCT(('Team Lineups'!$K$2:$K$2000&lt;&gt;"")*('Team Lineups'!$C$2:$C$2000=$A6)*COUNTIFS('Team Lineups'!$K$2:$K$2000,'Team Lineups'!$K$2:$K$2000,'Team Lineups'!$C$2:$C$2000,I$1))</f>
        <v>6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8</v>
      </c>
      <c r="M6" cm="1">
        <f t="array" ref="M6">SUMPRODUCT(('Team Lineups'!$K$2:$K$2000&lt;&gt;"")*('Team Lineups'!$C$2:$C$2000=$A6)*COUNTIFS('Team Lineups'!$K$2:$K$2000,'Team Lineups'!$K$2:$K$2000,'Team Lineups'!$C$2:$C$2000,M$1))</f>
        <v>9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8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6</v>
      </c>
      <c r="AB6" cm="1">
        <f t="array" ref="AB6">SUMPRODUCT(('Team Lineups'!$K$2:$K$2000&lt;&gt;"")*('Team Lineups'!$C$2:$C$2000=$A6)*COUNTIFS('Team Lineups'!$K$2:$K$2000,'Team Lineups'!$K$2:$K$2000,'Team Lineups'!$C$2:$C$2000,AB$1))</f>
        <v>3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2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1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6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2</v>
      </c>
      <c r="E7" cm="1">
        <f t="array" ref="E7">SUMPRODUCT(('Team Lineups'!$K$2:$K$2000&lt;&gt;"")*('Team Lineups'!$C$2:$C$2000=$A7)*COUNTIFS('Team Lineups'!$K$2:$K$2000,'Team Lineups'!$K$2:$K$2000,'Team Lineups'!$C$2:$C$2000,E$1))</f>
        <v>8</v>
      </c>
      <c r="F7" cm="1">
        <f t="array" ref="F7">SUMPRODUCT(('Team Lineups'!$K$2:$K$2000&lt;&gt;"")*('Team Lineups'!$C$2:$C$2000=$A7)*COUNTIFS('Team Lineups'!$K$2:$K$2000,'Team Lineups'!$K$2:$K$2000,'Team Lineups'!$C$2:$C$2000,F$1))</f>
        <v>3</v>
      </c>
      <c r="G7" cm="1">
        <f t="array" ref="G7">SUMPRODUCT(('Team Lineups'!$K$2:$K$2000&lt;&gt;"")*('Team Lineups'!$C$2:$C$2000=$A7)*COUNTIFS('Team Lineups'!$K$2:$K$2000,'Team Lineups'!$K$2:$K$2000,'Team Lineups'!$C$2:$C$2000,G$1))</f>
        <v>27</v>
      </c>
      <c r="H7" cm="1">
        <f t="array" ref="H7">SUMPRODUCT(('Team Lineups'!$K$2:$K$2000&lt;&gt;"")*('Team Lineups'!$C$2:$C$2000=$A7)*COUNTIFS('Team Lineups'!$K$2:$K$2000,'Team Lineups'!$K$2:$K$2000,'Team Lineups'!$C$2:$C$2000,H$1))</f>
        <v>5</v>
      </c>
      <c r="I7" cm="1">
        <f t="array" ref="I7">SUMPRODUCT(('Team Lineups'!$K$2:$K$2000&lt;&gt;"")*('Team Lineups'!$C$2:$C$2000=$A7)*COUNTIFS('Team Lineups'!$K$2:$K$2000,'Team Lineups'!$K$2:$K$2000,'Team Lineups'!$C$2:$C$2000,I$1))</f>
        <v>8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5</v>
      </c>
      <c r="M7" cm="1">
        <f t="array" ref="M7">SUMPRODUCT(('Team Lineups'!$K$2:$K$2000&lt;&gt;"")*('Team Lineups'!$C$2:$C$2000=$A7)*COUNTIFS('Team Lineups'!$K$2:$K$2000,'Team Lineups'!$K$2:$K$2000,'Team Lineups'!$C$2:$C$2000,M$1))</f>
        <v>11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2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8</v>
      </c>
      <c r="R7" cm="1">
        <f t="array" ref="R7">SUMPRODUCT(('Team Lineups'!$K$2:$K$2000&lt;&gt;"")*('Team Lineups'!$C$2:$C$2000=$A7)*COUNTIFS('Team Lineups'!$K$2:$K$2000,'Team Lineups'!$K$2:$K$2000,'Team Lineups'!$C$2:$C$2000,R$1))</f>
        <v>7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8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5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2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2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6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3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4</v>
      </c>
      <c r="G8" cm="1">
        <f t="array" ref="G8">SUMPRODUCT(('Team Lineups'!$K$2:$K$2000&lt;&gt;"")*('Team Lineups'!$C$2:$C$2000=$A8)*COUNTIFS('Team Lineups'!$K$2:$K$2000,'Team Lineups'!$K$2:$K$2000,'Team Lineups'!$C$2:$C$2000,G$1))</f>
        <v>5</v>
      </c>
      <c r="H8" cm="1">
        <f t="array" ref="H8">SUMPRODUCT(('Team Lineups'!$K$2:$K$2000&lt;&gt;"")*('Team Lineups'!$C$2:$C$2000=$A8)*COUNTIFS('Team Lineups'!$K$2:$K$2000,'Team Lineups'!$K$2:$K$2000,'Team Lineups'!$C$2:$C$2000,H$1))</f>
        <v>20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2</v>
      </c>
      <c r="M8" cm="1">
        <f t="array" ref="M8">SUMPRODUCT(('Team Lineups'!$K$2:$K$2000&lt;&gt;"")*('Team Lineups'!$C$2:$C$2000=$A8)*COUNTIFS('Team Lineups'!$K$2:$K$2000,'Team Lineups'!$K$2:$K$2000,'Team Lineups'!$C$2:$C$2000,M$1))</f>
        <v>8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5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11</v>
      </c>
      <c r="R8" cm="1">
        <f t="array" ref="R8">SUMPRODUCT(('Team Lineups'!$K$2:$K$2000&lt;&gt;"")*('Team Lineups'!$C$2:$C$2000=$A8)*COUNTIFS('Team Lineups'!$K$2:$K$2000,'Team Lineups'!$K$2:$K$2000,'Team Lineups'!$C$2:$C$2000,R$1))</f>
        <v>6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3</v>
      </c>
      <c r="AA8" cm="1">
        <f t="array" ref="AA8">SUMPRODUCT(('Team Lineups'!$K$2:$K$2000&lt;&gt;"")*('Team Lineups'!$C$2:$C$2000=$A8)*COUNTIFS('Team Lineups'!$K$2:$K$2000,'Team Lineups'!$K$2:$K$2000,'Team Lineups'!$C$2:$C$2000,AA$1))</f>
        <v>3</v>
      </c>
      <c r="AB8" cm="1">
        <f t="array" ref="AB8">SUMPRODUCT(('Team Lineups'!$K$2:$K$2000&lt;&gt;"")*('Team Lineups'!$C$2:$C$2000=$A8)*COUNTIFS('Team Lineups'!$K$2:$K$2000,'Team Lineups'!$K$2:$K$2000,'Team Lineups'!$C$2:$C$2000,AB$1))</f>
        <v>6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3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1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0</v>
      </c>
      <c r="AP8" cm="1">
        <f t="array" ref="AP8">SUMPRODUCT(('Team Lineups'!$K$2:$K$2000&lt;&gt;"")*('Team Lineups'!$C$2:$C$2000=$A8)*COUNTIFS('Team Lineups'!$K$2:$K$2000,'Team Lineups'!$K$2:$K$2000,'Team Lineups'!$C$2:$C$2000,AP$1))</f>
        <v>1</v>
      </c>
      <c r="AQ8" cm="1">
        <f t="array" ref="AQ8">SUMPRODUCT(('Team Lineups'!$K$2:$K$2000&lt;&gt;"")*('Team Lineups'!$C$2:$C$2000=$A8)*COUNTIFS('Team Lineups'!$K$2:$K$2000,'Team Lineups'!$K$2:$K$2000,'Team Lineups'!$C$2:$C$2000,AQ$1))</f>
        <v>0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9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7</v>
      </c>
      <c r="E9" cm="1">
        <f t="array" ref="E9">SUMPRODUCT(('Team Lineups'!$K$2:$K$2000&lt;&gt;"")*('Team Lineups'!$C$2:$C$2000=$A9)*COUNTIFS('Team Lineups'!$K$2:$K$2000,'Team Lineups'!$K$2:$K$2000,'Team Lineups'!$C$2:$C$2000,E$1))</f>
        <v>4</v>
      </c>
      <c r="F9" cm="1">
        <f t="array" ref="F9">SUMPRODUCT(('Team Lineups'!$K$2:$K$2000&lt;&gt;"")*('Team Lineups'!$C$2:$C$2000=$A9)*COUNTIFS('Team Lineups'!$K$2:$K$2000,'Team Lineups'!$K$2:$K$2000,'Team Lineups'!$C$2:$C$2000,F$1))</f>
        <v>6</v>
      </c>
      <c r="G9" cm="1">
        <f t="array" ref="G9">SUMPRODUCT(('Team Lineups'!$K$2:$K$2000&lt;&gt;"")*('Team Lineups'!$C$2:$C$2000=$A9)*COUNTIFS('Team Lineups'!$K$2:$K$2000,'Team Lineups'!$K$2:$K$2000,'Team Lineups'!$C$2:$C$2000,G$1))</f>
        <v>8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26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8</v>
      </c>
      <c r="M9" cm="1">
        <f t="array" ref="M9">SUMPRODUCT(('Team Lineups'!$K$2:$K$2000&lt;&gt;"")*('Team Lineups'!$C$2:$C$2000=$A9)*COUNTIFS('Team Lineups'!$K$2:$K$2000,'Team Lineups'!$K$2:$K$2000,'Team Lineups'!$C$2:$C$2000,M$1))</f>
        <v>8</v>
      </c>
      <c r="N9" cm="1">
        <f t="array" ref="N9">SUMPRODUCT(('Team Lineups'!$K$2:$K$2000&lt;&gt;"")*('Team Lineups'!$C$2:$C$2000=$A9)*COUNTIFS('Team Lineups'!$K$2:$K$2000,'Team Lineups'!$K$2:$K$2000,'Team Lineups'!$C$2:$C$2000,N$1))</f>
        <v>6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6</v>
      </c>
      <c r="R9" cm="1">
        <f t="array" ref="R9">SUMPRODUCT(('Team Lineups'!$K$2:$K$2000&lt;&gt;"")*('Team Lineups'!$C$2:$C$2000=$A9)*COUNTIFS('Team Lineups'!$K$2:$K$2000,'Team Lineups'!$K$2:$K$2000,'Team Lineups'!$C$2:$C$2000,R$1))</f>
        <v>5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4</v>
      </c>
      <c r="AA9" cm="1">
        <f t="array" ref="AA9">SUMPRODUCT(('Team Lineups'!$K$2:$K$2000&lt;&gt;"")*('Team Lineups'!$C$2:$C$2000=$A9)*COUNTIFS('Team Lineups'!$K$2:$K$2000,'Team Lineups'!$K$2:$K$2000,'Team Lineups'!$C$2:$C$2000,AA$1))</f>
        <v>8</v>
      </c>
      <c r="AB9" cm="1">
        <f t="array" ref="AB9">SUMPRODUCT(('Team Lineups'!$K$2:$K$2000&lt;&gt;"")*('Team Lineups'!$C$2:$C$2000=$A9)*COUNTIFS('Team Lineups'!$K$2:$K$2000,'Team Lineups'!$K$2:$K$2000,'Team Lineups'!$C$2:$C$2000,AB$1))</f>
        <v>3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6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0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6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2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1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3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7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8</v>
      </c>
      <c r="G12" cm="1">
        <f t="array" ref="G12">SUMPRODUCT(('Team Lineups'!$K$2:$K$2000&lt;&gt;"")*('Team Lineups'!$C$2:$C$2000=$A12)*COUNTIFS('Team Lineups'!$K$2:$K$2000,'Team Lineups'!$K$2:$K$2000,'Team Lineups'!$C$2:$C$2000,G$1))</f>
        <v>5</v>
      </c>
      <c r="H12" cm="1">
        <f t="array" ref="H12">SUMPRODUCT(('Team Lineups'!$K$2:$K$2000&lt;&gt;"")*('Team Lineups'!$C$2:$C$2000=$A12)*COUNTIFS('Team Lineups'!$K$2:$K$2000,'Team Lineups'!$K$2:$K$2000,'Team Lineups'!$C$2:$C$2000,H$1))</f>
        <v>2</v>
      </c>
      <c r="I12" cm="1">
        <f t="array" ref="I12">SUMPRODUCT(('Team Lineups'!$K$2:$K$2000&lt;&gt;"")*('Team Lineups'!$C$2:$C$2000=$A12)*COUNTIFS('Team Lineups'!$K$2:$K$2000,'Team Lineups'!$K$2:$K$2000,'Team Lineups'!$C$2:$C$2000,I$1))</f>
        <v>8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24</v>
      </c>
      <c r="M12" cm="1">
        <f t="array" ref="M12">SUMPRODUCT(('Team Lineups'!$K$2:$K$2000&lt;&gt;"")*('Team Lineups'!$C$2:$C$2000=$A12)*COUNTIFS('Team Lineups'!$K$2:$K$2000,'Team Lineups'!$K$2:$K$2000,'Team Lineups'!$C$2:$C$2000,M$1))</f>
        <v>7</v>
      </c>
      <c r="N12" cm="1">
        <f t="array" ref="N12">SUMPRODUCT(('Team Lineups'!$K$2:$K$2000&lt;&gt;"")*('Team Lineups'!$C$2:$C$2000=$A12)*COUNTIFS('Team Lineups'!$K$2:$K$2000,'Team Lineups'!$K$2:$K$2000,'Team Lineups'!$C$2:$C$2000,N$1))</f>
        <v>7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7</v>
      </c>
      <c r="R12" cm="1">
        <f t="array" ref="R12">SUMPRODUCT(('Team Lineups'!$K$2:$K$2000&lt;&gt;"")*('Team Lineups'!$C$2:$C$2000=$A12)*COUNTIFS('Team Lineups'!$K$2:$K$2000,'Team Lineups'!$K$2:$K$2000,'Team Lineups'!$C$2:$C$2000,R$1))</f>
        <v>3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6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4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2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4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0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1</v>
      </c>
      <c r="AQ12" cm="1">
        <f t="array" ref="AQ12">SUMPRODUCT(('Team Lineups'!$K$2:$K$2000&lt;&gt;"")*('Team Lineups'!$C$2:$C$2000=$A12)*COUNTIFS('Team Lineups'!$K$2:$K$2000,'Team Lineups'!$K$2:$K$2000,'Team Lineups'!$C$2:$C$2000,AQ$1))</f>
        <v>2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6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5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9</v>
      </c>
      <c r="G13" cm="1">
        <f t="array" ref="G13">SUMPRODUCT(('Team Lineups'!$K$2:$K$2000&lt;&gt;"")*('Team Lineups'!$C$2:$C$2000=$A13)*COUNTIFS('Team Lineups'!$K$2:$K$2000,'Team Lineups'!$K$2:$K$2000,'Team Lineups'!$C$2:$C$2000,G$1))</f>
        <v>11</v>
      </c>
      <c r="H13" cm="1">
        <f t="array" ref="H13">SUMPRODUCT(('Team Lineups'!$K$2:$K$2000&lt;&gt;"")*('Team Lineups'!$C$2:$C$2000=$A13)*COUNTIFS('Team Lineups'!$K$2:$K$2000,'Team Lineups'!$K$2:$K$2000,'Team Lineups'!$C$2:$C$2000,H$1))</f>
        <v>8</v>
      </c>
      <c r="I13" cm="1">
        <f t="array" ref="I13">SUMPRODUCT(('Team Lineups'!$K$2:$K$2000&lt;&gt;"")*('Team Lineups'!$C$2:$C$2000=$A13)*COUNTIFS('Team Lineups'!$K$2:$K$2000,'Team Lineups'!$K$2:$K$2000,'Team Lineups'!$C$2:$C$2000,I$1))</f>
        <v>8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7</v>
      </c>
      <c r="M13" cm="1">
        <f t="array" ref="M13">SUMPRODUCT(('Team Lineups'!$K$2:$K$2000&lt;&gt;"")*('Team Lineups'!$C$2:$C$2000=$A13)*COUNTIFS('Team Lineups'!$K$2:$K$2000,'Team Lineups'!$K$2:$K$2000,'Team Lineups'!$C$2:$C$2000,M$1))</f>
        <v>26</v>
      </c>
      <c r="N13" cm="1">
        <f t="array" ref="N13">SUMPRODUCT(('Team Lineups'!$K$2:$K$2000&lt;&gt;"")*('Team Lineups'!$C$2:$C$2000=$A13)*COUNTIFS('Team Lineups'!$K$2:$K$2000,'Team Lineups'!$K$2:$K$2000,'Team Lineups'!$C$2:$C$2000,N$1))</f>
        <v>5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10</v>
      </c>
      <c r="R13" cm="1">
        <f t="array" ref="R13">SUMPRODUCT(('Team Lineups'!$K$2:$K$2000&lt;&gt;"")*('Team Lineups'!$C$2:$C$2000=$A13)*COUNTIFS('Team Lineups'!$K$2:$K$2000,'Team Lineups'!$K$2:$K$2000,'Team Lineups'!$C$2:$C$2000,R$1))</f>
        <v>7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6</v>
      </c>
      <c r="AA13" cm="1">
        <f t="array" ref="AA13">SUMPRODUCT(('Team Lineups'!$K$2:$K$2000&lt;&gt;"")*('Team Lineups'!$C$2:$C$2000=$A13)*COUNTIFS('Team Lineups'!$K$2:$K$2000,'Team Lineups'!$K$2:$K$2000,'Team Lineups'!$C$2:$C$2000,AA$1))</f>
        <v>6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3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2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2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4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2</v>
      </c>
      <c r="AQ13" cm="1">
        <f t="array" ref="AQ13">SUMPRODUCT(('Team Lineups'!$K$2:$K$2000&lt;&gt;"")*('Team Lineups'!$C$2:$C$2000=$A13)*COUNTIFS('Team Lineups'!$K$2:$K$2000,'Team Lineups'!$K$2:$K$2000,'Team Lineups'!$C$2:$C$2000,AQ$1))</f>
        <v>0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6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7</v>
      </c>
      <c r="M14" cm="1">
        <f t="array" ref="M14">SUMPRODUCT(('Team Lineups'!$K$2:$K$2000&lt;&gt;"")*('Team Lineups'!$C$2:$C$2000=$A14)*COUNTIFS('Team Lineups'!$K$2:$K$2000,'Team Lineups'!$K$2:$K$2000,'Team Lineups'!$C$2:$C$2000,M$1))</f>
        <v>5</v>
      </c>
      <c r="N14" cm="1">
        <f t="array" ref="N14">SUMPRODUCT(('Team Lineups'!$K$2:$K$2000&lt;&gt;"")*('Team Lineups'!$C$2:$C$2000=$A14)*COUNTIFS('Team Lineups'!$K$2:$K$2000,'Team Lineups'!$K$2:$K$2000,'Team Lineups'!$C$2:$C$2000,N$1))</f>
        <v>20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5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5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2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4</v>
      </c>
      <c r="AQ14" cm="1">
        <f t="array" ref="AQ14">SUMPRODUCT(('Team Lineups'!$K$2:$K$2000&lt;&gt;"")*('Team Lineups'!$C$2:$C$2000=$A14)*COUNTIFS('Team Lineups'!$K$2:$K$2000,'Team Lineups'!$K$2:$K$2000,'Team Lineups'!$C$2:$C$2000,AQ$1))</f>
        <v>1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2</v>
      </c>
      <c r="H15" cm="1">
        <f t="array" ref="H15">SUMPRODUCT(('Team Lineups'!$K$2:$K$2000&lt;&gt;"")*('Team Lineups'!$C$2:$C$2000=$A15)*COUNTIFS('Team Lineups'!$K$2:$K$2000,'Team Lineups'!$K$2:$K$2000,'Team Lineups'!$C$2:$C$2000,H$1))</f>
        <v>5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12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8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3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3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0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1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1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0</v>
      </c>
      <c r="AQ15" cm="1">
        <f t="array" ref="AQ15">SUMPRODUCT(('Team Lineups'!$K$2:$K$2000&lt;&gt;"")*('Team Lineups'!$C$2:$C$2000=$A15)*COUNTIFS('Team Lineups'!$K$2:$K$2000,'Team Lineups'!$K$2:$K$2000,'Team Lineups'!$C$2:$C$2000,AQ$1))</f>
        <v>0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cm="1">
        <f t="array" ref="P16">SUMPRODUCT(('Team Lineups'!$K$2:$K$2000&lt;&gt;"")*('Team Lineups'!$C$2:$C$2000=$A16)*COUNTIFS('Team Lineups'!$K$2:$K$2000,'Team Lineups'!$K$2:$K$2000,'Team Lineups'!$C$2:$C$2000,P$1))</f>
        <v>4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0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</row>
    <row r="17" spans="1:44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4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4</v>
      </c>
      <c r="E17" cm="1">
        <f t="array" ref="E17">SUMPRODUCT(('Team Lineups'!$K$2:$K$2000&lt;&gt;"")*('Team Lineups'!$C$2:$C$2000=$A17)*COUNTIFS('Team Lineups'!$K$2:$K$2000,'Team Lineups'!$K$2:$K$2000,'Team Lineups'!$C$2:$C$2000,E$1))</f>
        <v>5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8</v>
      </c>
      <c r="H17" cm="1">
        <f t="array" ref="H17">SUMPRODUCT(('Team Lineups'!$K$2:$K$2000&lt;&gt;"")*('Team Lineups'!$C$2:$C$2000=$A17)*COUNTIFS('Team Lineups'!$K$2:$K$2000,'Team Lineups'!$K$2:$K$2000,'Team Lineups'!$C$2:$C$2000,H$1))</f>
        <v>11</v>
      </c>
      <c r="I17" cm="1">
        <f t="array" ref="I17">SUMPRODUCT(('Team Lineups'!$K$2:$K$2000&lt;&gt;"")*('Team Lineups'!$C$2:$C$2000=$A17)*COUNTIFS('Team Lineups'!$K$2:$K$2000,'Team Lineups'!$K$2:$K$2000,'Team Lineups'!$C$2:$C$2000,I$1))</f>
        <v>6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7</v>
      </c>
      <c r="M17" cm="1">
        <f t="array" ref="M17">SUMPRODUCT(('Team Lineups'!$K$2:$K$2000&lt;&gt;"")*('Team Lineups'!$C$2:$C$2000=$A17)*COUNTIFS('Team Lineups'!$K$2:$K$2000,'Team Lineups'!$K$2:$K$2000,'Team Lineups'!$C$2:$C$2000,M$1))</f>
        <v>10</v>
      </c>
      <c r="N17" cm="1">
        <f t="array" ref="N17">SUMPRODUCT(('Team Lineups'!$K$2:$K$2000&lt;&gt;"")*('Team Lineups'!$C$2:$C$2000=$A17)*COUNTIFS('Team Lineups'!$K$2:$K$2000,'Team Lineups'!$K$2:$K$2000,'Team Lineups'!$C$2:$C$2000,N$1))</f>
        <v>5</v>
      </c>
      <c r="O17" cm="1">
        <f t="array" ref="O17">SUMPRODUCT(('Team Lineups'!$K$2:$K$2000&lt;&gt;"")*('Team Lineups'!$C$2:$C$2000=$A17)*COUNTIFS('Team Lineups'!$K$2:$K$2000,'Team Lineups'!$K$2:$K$2000,'Team Lineups'!$C$2:$C$2000,O$1))</f>
        <v>8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26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2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1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2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4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3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2</v>
      </c>
      <c r="AQ17" cm="1">
        <f t="array" ref="AQ17">SUMPRODUCT(('Team Lineups'!$K$2:$K$2000&lt;&gt;"")*('Team Lineups'!$C$2:$C$2000=$A17)*COUNTIFS('Team Lineups'!$K$2:$K$2000,'Team Lineups'!$K$2:$K$2000,'Team Lineups'!$C$2:$C$2000,AQ$1))</f>
        <v>1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</row>
    <row r="18" spans="1:44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2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7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8</v>
      </c>
      <c r="G18" cm="1">
        <f t="array" ref="G18">SUMPRODUCT(('Team Lineups'!$K$2:$K$2000&lt;&gt;"")*('Team Lineups'!$C$2:$C$2000=$A18)*COUNTIFS('Team Lineups'!$K$2:$K$2000,'Team Lineups'!$K$2:$K$2000,'Team Lineups'!$C$2:$C$2000,G$1))</f>
        <v>7</v>
      </c>
      <c r="H18" cm="1">
        <f t="array" ref="H18">SUMPRODUCT(('Team Lineups'!$K$2:$K$2000&lt;&gt;"")*('Team Lineups'!$C$2:$C$2000=$A18)*COUNTIFS('Team Lineups'!$K$2:$K$2000,'Team Lineups'!$K$2:$K$2000,'Team Lineups'!$C$2:$C$2000,H$1))</f>
        <v>6</v>
      </c>
      <c r="I18" cm="1">
        <f t="array" ref="I18">SUMPRODUCT(('Team Lineups'!$K$2:$K$2000&lt;&gt;"")*('Team Lineups'!$C$2:$C$2000=$A18)*COUNTIFS('Team Lineups'!$K$2:$K$2000,'Team Lineups'!$K$2:$K$2000,'Team Lineups'!$C$2:$C$2000,I$1))</f>
        <v>5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3</v>
      </c>
      <c r="M18" cm="1">
        <f t="array" ref="M18">SUMPRODUCT(('Team Lineups'!$K$2:$K$2000&lt;&gt;"")*('Team Lineups'!$C$2:$C$2000=$A18)*COUNTIFS('Team Lineups'!$K$2:$K$2000,'Team Lineups'!$K$2:$K$2000,'Team Lineups'!$C$2:$C$2000,M$1))</f>
        <v>7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cm="1">
        <f t="array" ref="R18">SUMPRODUCT(('Team Lineups'!$K$2:$K$2000&lt;&gt;"")*('Team Lineups'!$C$2:$C$2000=$A18)*COUNTIFS('Team Lineups'!$K$2:$K$2000,'Team Lineups'!$K$2:$K$2000,'Team Lineups'!$C$2:$C$2000,R$1))</f>
        <v>17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5</v>
      </c>
      <c r="AB18" cm="1">
        <f t="array" ref="AB18">SUMPRODUCT(('Team Lineups'!$K$2:$K$2000&lt;&gt;"")*('Team Lineups'!$C$2:$C$2000=$A18)*COUNTIFS('Team Lineups'!$K$2:$K$2000,'Team Lineups'!$K$2:$K$2000,'Team Lineups'!$C$2:$C$2000,AB$1))</f>
        <v>4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0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8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1</v>
      </c>
      <c r="AQ18" cm="1">
        <f t="array" ref="AQ18">SUMPRODUCT(('Team Lineups'!$K$2:$K$2000&lt;&gt;"")*('Team Lineups'!$C$2:$C$2000=$A18)*COUNTIFS('Team Lineups'!$K$2:$K$2000,'Team Lineups'!$K$2:$K$2000,'Team Lineups'!$C$2:$C$2000,AQ$1))</f>
        <v>0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</row>
    <row r="19" spans="1:44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</row>
    <row r="20" spans="1:44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</row>
    <row r="21" spans="1:44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</row>
    <row r="22" spans="1:44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</row>
    <row r="23" spans="1:44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1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0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0</v>
      </c>
      <c r="AP23" cm="1">
        <f t="array" ref="AP23">SUMPRODUCT(('Team Lineups'!$K$2:$K$2000&lt;&gt;"")*('Team Lineups'!$C$2:$C$2000=$A23)*COUNTIFS('Team Lineups'!$K$2:$K$2000,'Team Lineups'!$K$2:$K$2000,'Team Lineups'!$C$2:$C$2000,AP$1))</f>
        <v>0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</row>
    <row r="24" spans="1:44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</row>
    <row r="25" spans="1:44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</row>
    <row r="26" spans="1:44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2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1</v>
      </c>
      <c r="E26" cm="1">
        <f t="array" ref="E26">SUMPRODUCT(('Team Lineups'!$K$2:$K$2000&lt;&gt;"")*('Team Lineups'!$C$2:$C$2000=$A26)*COUNTIFS('Team Lineups'!$K$2:$K$2000,'Team Lineups'!$K$2:$K$2000,'Team Lineups'!$C$2:$C$2000,E$1))</f>
        <v>2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3</v>
      </c>
      <c r="I26" cm="1">
        <f t="array" ref="I26">SUMPRODUCT(('Team Lineups'!$K$2:$K$2000&lt;&gt;"")*('Team Lineups'!$C$2:$C$2000=$A26)*COUNTIFS('Team Lineups'!$K$2:$K$2000,'Team Lineups'!$K$2:$K$2000,'Team Lineups'!$C$2:$C$2000,I$1))</f>
        <v>4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6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2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9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0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0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4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0</v>
      </c>
      <c r="AQ26" cm="1">
        <f t="array" ref="AQ26">SUMPRODUCT(('Team Lineups'!$K$2:$K$2000&lt;&gt;"")*('Team Lineups'!$C$2:$C$2000=$A26)*COUNTIFS('Team Lineups'!$K$2:$K$2000,'Team Lineups'!$K$2:$K$2000,'Team Lineups'!$C$2:$C$2000,AQ$1))</f>
        <v>0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</row>
    <row r="27" spans="1:44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4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6</v>
      </c>
      <c r="G27" cm="1">
        <f t="array" ref="G27">SUMPRODUCT(('Team Lineups'!$K$2:$K$2000&lt;&gt;"")*('Team Lineups'!$C$2:$C$2000=$A27)*COUNTIFS('Team Lineups'!$K$2:$K$2000,'Team Lineups'!$K$2:$K$2000,'Team Lineups'!$C$2:$C$2000,G$1))</f>
        <v>8</v>
      </c>
      <c r="H27" cm="1">
        <f t="array" ref="H27">SUMPRODUCT(('Team Lineups'!$K$2:$K$2000&lt;&gt;"")*('Team Lineups'!$C$2:$C$2000=$A27)*COUNTIFS('Team Lineups'!$K$2:$K$2000,'Team Lineups'!$K$2:$K$2000,'Team Lineups'!$C$2:$C$2000,H$1))</f>
        <v>3</v>
      </c>
      <c r="I27" cm="1">
        <f t="array" ref="I27">SUMPRODUCT(('Team Lineups'!$K$2:$K$2000&lt;&gt;"")*('Team Lineups'!$C$2:$C$2000=$A27)*COUNTIFS('Team Lineups'!$K$2:$K$2000,'Team Lineups'!$K$2:$K$2000,'Team Lineups'!$C$2:$C$2000,I$1))</f>
        <v>8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6</v>
      </c>
      <c r="M27" cm="1">
        <f t="array" ref="M27">SUMPRODUCT(('Team Lineups'!$K$2:$K$2000&lt;&gt;"")*('Team Lineups'!$C$2:$C$2000=$A27)*COUNTIFS('Team Lineups'!$K$2:$K$2000,'Team Lineups'!$K$2:$K$2000,'Team Lineups'!$C$2:$C$2000,M$1))</f>
        <v>6</v>
      </c>
      <c r="N27" cm="1">
        <f t="array" ref="N27">SUMPRODUCT(('Team Lineups'!$K$2:$K$2000&lt;&gt;"")*('Team Lineups'!$C$2:$C$2000=$A27)*COUNTIFS('Team Lineups'!$K$2:$K$2000,'Team Lineups'!$K$2:$K$2000,'Team Lineups'!$C$2:$C$2000,N$1))</f>
        <v>5</v>
      </c>
      <c r="O27" cm="1">
        <f t="array" ref="O27">SUMPRODUCT(('Team Lineups'!$K$2:$K$2000&lt;&gt;"")*('Team Lineups'!$C$2:$C$2000=$A27)*COUNTIFS('Team Lineups'!$K$2:$K$2000,'Team Lineups'!$K$2:$K$2000,'Team Lineups'!$C$2:$C$2000,O$1))</f>
        <v>3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5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21</v>
      </c>
      <c r="AB27" cm="1">
        <f t="array" ref="AB27">SUMPRODUCT(('Team Lineups'!$K$2:$K$2000&lt;&gt;"")*('Team Lineups'!$C$2:$C$2000=$A27)*COUNTIFS('Team Lineups'!$K$2:$K$2000,'Team Lineups'!$K$2:$K$2000,'Team Lineups'!$C$2:$C$2000,AB$1))</f>
        <v>6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6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3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2</v>
      </c>
      <c r="AQ27" cm="1">
        <f t="array" ref="AQ27">SUMPRODUCT(('Team Lineups'!$K$2:$K$2000&lt;&gt;"")*('Team Lineups'!$C$2:$C$2000=$A27)*COUNTIFS('Team Lineups'!$K$2:$K$2000,'Team Lineups'!$K$2:$K$2000,'Team Lineups'!$C$2:$C$2000,AQ$1))</f>
        <v>0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</row>
    <row r="28" spans="1:44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1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2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3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6</v>
      </c>
      <c r="I28" cm="1">
        <f t="array" ref="I28">SUMPRODUCT(('Team Lineups'!$K$2:$K$2000&lt;&gt;"")*('Team Lineups'!$C$2:$C$2000=$A28)*COUNTIFS('Team Lineups'!$K$2:$K$2000,'Team Lineups'!$K$2:$K$2000,'Team Lineups'!$C$2:$C$2000,I$1))</f>
        <v>3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4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6</v>
      </c>
      <c r="AB28" cm="1">
        <f t="array" ref="AB28">SUMPRODUCT(('Team Lineups'!$K$2:$K$2000&lt;&gt;"")*('Team Lineups'!$C$2:$C$2000=$A28)*COUNTIFS('Team Lineups'!$K$2:$K$2000,'Team Lineups'!$K$2:$K$2000,'Team Lineups'!$C$2:$C$2000,AB$1))</f>
        <v>16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2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5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0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0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</row>
    <row r="29" spans="1:44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</row>
    <row r="30" spans="1:44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5</v>
      </c>
      <c r="H30" cm="1">
        <f t="array" ref="H30">SUMPRODUCT(('Team Lineups'!$K$2:$K$2000&lt;&gt;"")*('Team Lineups'!$C$2:$C$2000=$A30)*COUNTIFS('Team Lineups'!$K$2:$K$2000,'Team Lineups'!$K$2:$K$2000,'Team Lineups'!$C$2:$C$2000,H$1))</f>
        <v>3</v>
      </c>
      <c r="I30" cm="1">
        <f t="array" ref="I30">SUMPRODUCT(('Team Lineups'!$K$2:$K$2000&lt;&gt;"")*('Team Lineups'!$C$2:$C$2000=$A30)*COUNTIFS('Team Lineups'!$K$2:$K$2000,'Team Lineups'!$K$2:$K$2000,'Team Lineups'!$C$2:$C$2000,I$1))</f>
        <v>6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4</v>
      </c>
      <c r="M30" cm="1">
        <f t="array" ref="M30">SUMPRODUCT(('Team Lineups'!$K$2:$K$2000&lt;&gt;"")*('Team Lineups'!$C$2:$C$2000=$A30)*COUNTIFS('Team Lineups'!$K$2:$K$2000,'Team Lineups'!$K$2:$K$2000,'Team Lineups'!$C$2:$C$2000,M$1))</f>
        <v>3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3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1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11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1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2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2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1</v>
      </c>
      <c r="AP30" cm="1">
        <f t="array" ref="AP30">SUMPRODUCT(('Team Lineups'!$K$2:$K$2000&lt;&gt;"")*('Team Lineups'!$C$2:$C$2000=$A30)*COUNTIFS('Team Lineups'!$K$2:$K$2000,'Team Lineups'!$K$2:$K$2000,'Team Lineups'!$C$2:$C$2000,AP$1))</f>
        <v>1</v>
      </c>
      <c r="AQ30" cm="1">
        <f t="array" ref="AQ30">SUMPRODUCT(('Team Lineups'!$K$2:$K$2000&lt;&gt;"")*('Team Lineups'!$C$2:$C$2000=$A30)*COUNTIFS('Team Lineups'!$K$2:$K$2000,'Team Lineups'!$K$2:$K$2000,'Team Lineups'!$C$2:$C$2000,AQ$1))</f>
        <v>0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</row>
    <row r="31" spans="1:44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</row>
    <row r="32" spans="1:44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</row>
    <row r="33" spans="1:44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2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2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0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2</v>
      </c>
      <c r="M33" cm="1">
        <f t="array" ref="M33">SUMPRODUCT(('Team Lineups'!$K$2:$K$2000&lt;&gt;"")*('Team Lineups'!$C$2:$C$2000=$A33)*COUNTIFS('Team Lineups'!$K$2:$K$2000,'Team Lineups'!$K$2:$K$2000,'Team Lineups'!$C$2:$C$2000,M$1))</f>
        <v>2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0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2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0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1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9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0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4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</row>
    <row r="34" spans="1:44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</row>
    <row r="35" spans="1:44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</row>
    <row r="36" spans="1:44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3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2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2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6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4</v>
      </c>
      <c r="M36" cm="1">
        <f t="array" ref="M36">SUMPRODUCT(('Team Lineups'!$K$2:$K$2000&lt;&gt;"")*('Team Lineups'!$C$2:$C$2000=$A36)*COUNTIFS('Team Lineups'!$K$2:$K$2000,'Team Lineups'!$K$2:$K$2000,'Team Lineups'!$C$2:$C$2000,M$1))</f>
        <v>2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1</v>
      </c>
      <c r="P36" cm="1">
        <f t="array" ref="P36">SUMPRODUCT(('Team Lineups'!$K$2:$K$2000&lt;&gt;"")*('Team Lineups'!$C$2:$C$2000=$A36)*COUNTIFS('Team Lineups'!$K$2:$K$2000,'Team Lineups'!$K$2:$K$2000,'Team Lineups'!$C$2:$C$2000,P$1))</f>
        <v>0</v>
      </c>
      <c r="Q36" cm="1">
        <f t="array" ref="Q36">SUMPRODUCT(('Team Lineups'!$K$2:$K$2000&lt;&gt;"")*('Team Lineups'!$C$2:$C$2000=$A36)*COUNTIFS('Team Lineups'!$K$2:$K$2000,'Team Lineups'!$K$2:$K$2000,'Team Lineups'!$C$2:$C$2000,Q$1))</f>
        <v>4</v>
      </c>
      <c r="R36" cm="1">
        <f t="array" ref="R36">SUMPRODUCT(('Team Lineups'!$K$2:$K$2000&lt;&gt;"")*('Team Lineups'!$C$2:$C$2000=$A36)*COUNTIFS('Team Lineups'!$K$2:$K$2000,'Team Lineups'!$K$2:$K$2000,'Team Lineups'!$C$2:$C$2000,R$1))</f>
        <v>0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0</v>
      </c>
      <c r="AA36" cm="1">
        <f t="array" ref="AA36">SUMPRODUCT(('Team Lineups'!$K$2:$K$2000&lt;&gt;"")*('Team Lineups'!$C$2:$C$2000=$A36)*COUNTIFS('Team Lineups'!$K$2:$K$2000,'Team Lineups'!$K$2:$K$2000,'Team Lineups'!$C$2:$C$2000,AA$1))</f>
        <v>6</v>
      </c>
      <c r="AB36" cm="1">
        <f t="array" ref="AB36">SUMPRODUCT(('Team Lineups'!$K$2:$K$2000&lt;&gt;"")*('Team Lineups'!$C$2:$C$2000=$A36)*COUNTIFS('Team Lineups'!$K$2:$K$2000,'Team Lineups'!$K$2:$K$2000,'Team Lineups'!$C$2:$C$2000,AB$1))</f>
        <v>2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2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13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1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3</v>
      </c>
      <c r="AQ36" cm="1">
        <f t="array" ref="AQ36">SUMPRODUCT(('Team Lineups'!$K$2:$K$2000&lt;&gt;"")*('Team Lineups'!$C$2:$C$2000=$A36)*COUNTIFS('Team Lineups'!$K$2:$K$2000,'Team Lineups'!$K$2:$K$2000,'Team Lineups'!$C$2:$C$2000,AQ$1))</f>
        <v>1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</row>
    <row r="37" spans="1:44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</row>
    <row r="38" spans="1:44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2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3</v>
      </c>
      <c r="E38" cm="1">
        <f t="array" ref="E38">SUMPRODUCT(('Team Lineups'!$K$2:$K$2000&lt;&gt;"")*('Team Lineups'!$C$2:$C$2000=$A38)*COUNTIFS('Team Lineups'!$K$2:$K$2000,'Team Lineups'!$K$2:$K$2000,'Team Lineups'!$C$2:$C$2000,E$1))</f>
        <v>6</v>
      </c>
      <c r="F38" cm="1">
        <f t="array" ref="F38">SUMPRODUCT(('Team Lineups'!$K$2:$K$2000&lt;&gt;"")*('Team Lineups'!$C$2:$C$2000=$A38)*COUNTIFS('Team Lineups'!$K$2:$K$2000,'Team Lineups'!$K$2:$K$2000,'Team Lineups'!$C$2:$C$2000,F$1))</f>
        <v>2</v>
      </c>
      <c r="G38" cm="1">
        <f t="array" ref="G38">SUMPRODUCT(('Team Lineups'!$K$2:$K$2000&lt;&gt;"")*('Team Lineups'!$C$2:$C$2000=$A38)*COUNTIFS('Team Lineups'!$K$2:$K$2000,'Team Lineups'!$K$2:$K$2000,'Team Lineups'!$C$2:$C$2000,G$1))</f>
        <v>6</v>
      </c>
      <c r="H38" cm="1">
        <f t="array" ref="H38">SUMPRODUCT(('Team Lineups'!$K$2:$K$2000&lt;&gt;"")*('Team Lineups'!$C$2:$C$2000=$A38)*COUNTIFS('Team Lineups'!$K$2:$K$2000,'Team Lineups'!$K$2:$K$2000,'Team Lineups'!$C$2:$C$2000,H$1))</f>
        <v>1</v>
      </c>
      <c r="I38" cm="1">
        <f t="array" ref="I38">SUMPRODUCT(('Team Lineups'!$K$2:$K$2000&lt;&gt;"")*('Team Lineups'!$C$2:$C$2000=$A38)*COUNTIFS('Team Lineups'!$K$2:$K$2000,'Team Lineups'!$K$2:$K$2000,'Team Lineups'!$C$2:$C$2000,I$1))</f>
        <v>2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0</v>
      </c>
      <c r="M38" cm="1">
        <f t="array" ref="M38">SUMPRODUCT(('Team Lineups'!$K$2:$K$2000&lt;&gt;"")*('Team Lineups'!$C$2:$C$2000=$A38)*COUNTIFS('Team Lineups'!$K$2:$K$2000,'Team Lineups'!$K$2:$K$2000,'Team Lineups'!$C$2:$C$2000,M$1))</f>
        <v>4</v>
      </c>
      <c r="N38" cm="1">
        <f t="array" ref="N38">SUMPRODUCT(('Team Lineups'!$K$2:$K$2000&lt;&gt;"")*('Team Lineups'!$C$2:$C$2000=$A38)*COUNTIFS('Team Lineups'!$K$2:$K$2000,'Team Lineups'!$K$2:$K$2000,'Team Lineups'!$C$2:$C$2000,N$1))</f>
        <v>2</v>
      </c>
      <c r="O38" cm="1">
        <f t="array" ref="O38">SUMPRODUCT(('Team Lineups'!$K$2:$K$2000&lt;&gt;"")*('Team Lineups'!$C$2:$C$2000=$A38)*COUNTIFS('Team Lineups'!$K$2:$K$2000,'Team Lineups'!$K$2:$K$2000,'Team Lineups'!$C$2:$C$2000,O$1))</f>
        <v>1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3</v>
      </c>
      <c r="R38" cm="1">
        <f t="array" ref="R38">SUMPRODUCT(('Team Lineups'!$K$2:$K$2000&lt;&gt;"")*('Team Lineups'!$C$2:$C$2000=$A38)*COUNTIFS('Team Lineups'!$K$2:$K$2000,'Team Lineups'!$K$2:$K$2000,'Team Lineups'!$C$2:$C$2000,R$1))</f>
        <v>8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0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4</v>
      </c>
      <c r="AA38" cm="1">
        <f t="array" ref="AA38">SUMPRODUCT(('Team Lineups'!$K$2:$K$2000&lt;&gt;"")*('Team Lineups'!$C$2:$C$2000=$A38)*COUNTIFS('Team Lineups'!$K$2:$K$2000,'Team Lineups'!$K$2:$K$2000,'Team Lineups'!$C$2:$C$2000,AA$1))</f>
        <v>3</v>
      </c>
      <c r="AB38" cm="1">
        <f t="array" ref="AB38">SUMPRODUCT(('Team Lineups'!$K$2:$K$2000&lt;&gt;"")*('Team Lineups'!$C$2:$C$2000=$A38)*COUNTIFS('Team Lineups'!$K$2:$K$2000,'Team Lineups'!$K$2:$K$2000,'Team Lineups'!$C$2:$C$2000,AB$1))</f>
        <v>5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2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0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1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14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0</v>
      </c>
      <c r="AP38" cm="1">
        <f t="array" ref="AP38">SUMPRODUCT(('Team Lineups'!$K$2:$K$2000&lt;&gt;"")*('Team Lineups'!$C$2:$C$2000=$A38)*COUNTIFS('Team Lineups'!$K$2:$K$2000,'Team Lineups'!$K$2:$K$2000,'Team Lineups'!$C$2:$C$2000,AP$1))</f>
        <v>3</v>
      </c>
      <c r="AQ38" cm="1">
        <f t="array" ref="AQ38">SUMPRODUCT(('Team Lineups'!$K$2:$K$2000&lt;&gt;"")*('Team Lineups'!$C$2:$C$2000=$A38)*COUNTIFS('Team Lineups'!$K$2:$K$2000,'Team Lineups'!$K$2:$K$2000,'Team Lineups'!$C$2:$C$2000,AQ$1))</f>
        <v>0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</row>
    <row r="39" spans="1:44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</row>
    <row r="40" spans="1:44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</row>
    <row r="41" spans="1:44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0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0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0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1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0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6</v>
      </c>
      <c r="AP41" cm="1">
        <f t="array" ref="AP41">SUMPRODUCT(('Team Lineups'!$K$2:$K$2000&lt;&gt;"")*('Team Lineups'!$C$2:$C$2000=$A41)*COUNTIFS('Team Lineups'!$K$2:$K$2000,'Team Lineups'!$K$2:$K$2000,'Team Lineups'!$C$2:$C$2000,AP$1))</f>
        <v>1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</row>
    <row r="42" spans="1:44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1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2</v>
      </c>
      <c r="E42" cm="1">
        <f t="array" ref="E42">SUMPRODUCT(('Team Lineups'!$K$2:$K$2000&lt;&gt;"")*('Team Lineups'!$C$2:$C$2000=$A42)*COUNTIFS('Team Lineups'!$K$2:$K$2000,'Team Lineups'!$K$2:$K$2000,'Team Lineups'!$C$2:$C$2000,E$1))</f>
        <v>3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3</v>
      </c>
      <c r="H42" cm="1">
        <f t="array" ref="H42">SUMPRODUCT(('Team Lineups'!$K$2:$K$2000&lt;&gt;"")*('Team Lineups'!$C$2:$C$2000=$A42)*COUNTIFS('Team Lineups'!$K$2:$K$2000,'Team Lineups'!$K$2:$K$2000,'Team Lineups'!$C$2:$C$2000,H$1))</f>
        <v>1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1</v>
      </c>
      <c r="M42" cm="1">
        <f t="array" ref="M42">SUMPRODUCT(('Team Lineups'!$K$2:$K$2000&lt;&gt;"")*('Team Lineups'!$C$2:$C$2000=$A42)*COUNTIFS('Team Lineups'!$K$2:$K$2000,'Team Lineups'!$K$2:$K$2000,'Team Lineups'!$C$2:$C$2000,M$1))</f>
        <v>2</v>
      </c>
      <c r="N42" cm="1">
        <f t="array" ref="N42">SUMPRODUCT(('Team Lineups'!$K$2:$K$2000&lt;&gt;"")*('Team Lineups'!$C$2:$C$2000=$A42)*COUNTIFS('Team Lineups'!$K$2:$K$2000,'Team Lineups'!$K$2:$K$2000,'Team Lineups'!$C$2:$C$2000,N$1))</f>
        <v>4</v>
      </c>
      <c r="O42" cm="1">
        <f t="array" ref="O42">SUMPRODUCT(('Team Lineups'!$K$2:$K$2000&lt;&gt;"")*('Team Lineups'!$C$2:$C$2000=$A42)*COUNTIFS('Team Lineups'!$K$2:$K$2000,'Team Lineups'!$K$2:$K$2000,'Team Lineups'!$C$2:$C$2000,O$1))</f>
        <v>0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2</v>
      </c>
      <c r="R42" cm="1">
        <f t="array" ref="R42">SUMPRODUCT(('Team Lineups'!$K$2:$K$2000&lt;&gt;"")*('Team Lineups'!$C$2:$C$2000=$A42)*COUNTIFS('Team Lineups'!$K$2:$K$2000,'Team Lineups'!$K$2:$K$2000,'Team Lineups'!$C$2:$C$2000,R$1))</f>
        <v>1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0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0</v>
      </c>
      <c r="AA42" cm="1">
        <f t="array" ref="AA42">SUMPRODUCT(('Team Lineups'!$K$2:$K$2000&lt;&gt;"")*('Team Lineups'!$C$2:$C$2000=$A42)*COUNTIFS('Team Lineups'!$K$2:$K$2000,'Team Lineups'!$K$2:$K$2000,'Team Lineups'!$C$2:$C$2000,AA$1))</f>
        <v>2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1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4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3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3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1</v>
      </c>
      <c r="AP42" cm="1">
        <f t="array" ref="AP42">SUMPRODUCT(('Team Lineups'!$K$2:$K$2000&lt;&gt;"")*('Team Lineups'!$C$2:$C$2000=$A42)*COUNTIFS('Team Lineups'!$K$2:$K$2000,'Team Lineups'!$K$2:$K$2000,'Team Lineups'!$C$2:$C$2000,AP$1))</f>
        <v>8</v>
      </c>
      <c r="AQ42" cm="1">
        <f t="array" ref="AQ42">SUMPRODUCT(('Team Lineups'!$K$2:$K$2000&lt;&gt;"")*('Team Lineups'!$C$2:$C$2000=$A42)*COUNTIFS('Team Lineups'!$K$2:$K$2000,'Team Lineups'!$K$2:$K$2000,'Team Lineups'!$C$2:$C$2000,AQ$1))</f>
        <v>0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</row>
    <row r="43" spans="1:44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0</v>
      </c>
      <c r="E43" cm="1">
        <f t="array" ref="E43">SUMPRODUCT(('Team Lineups'!$K$2:$K$2000&lt;&gt;"")*('Team Lineups'!$C$2:$C$2000=$A43)*COUNTIFS('Team Lineups'!$K$2:$K$2000,'Team Lineups'!$K$2:$K$2000,'Team Lineups'!$C$2:$C$2000,E$1))</f>
        <v>1</v>
      </c>
      <c r="F43" cm="1">
        <f t="array" ref="F43">SUMPRODUCT(('Team Lineups'!$K$2:$K$2000&lt;&gt;"")*('Team Lineups'!$C$2:$C$2000=$A43)*COUNTIFS('Team Lineups'!$K$2:$K$2000,'Team Lineups'!$K$2:$K$2000,'Team Lineups'!$C$2:$C$2000,F$1))</f>
        <v>1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0</v>
      </c>
      <c r="I43" cm="1">
        <f t="array" ref="I43">SUMPRODUCT(('Team Lineups'!$K$2:$K$2000&lt;&gt;"")*('Team Lineups'!$C$2:$C$2000=$A43)*COUNTIFS('Team Lineups'!$K$2:$K$2000,'Team Lineups'!$K$2:$K$2000,'Team Lineups'!$C$2:$C$2000,I$1))</f>
        <v>1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2</v>
      </c>
      <c r="M43" cm="1">
        <f t="array" ref="M43">SUMPRODUCT(('Team Lineups'!$K$2:$K$2000&lt;&gt;"")*('Team Lineups'!$C$2:$C$2000=$A43)*COUNTIFS('Team Lineups'!$K$2:$K$2000,'Team Lineups'!$K$2:$K$2000,'Team Lineups'!$C$2:$C$2000,M$1))</f>
        <v>0</v>
      </c>
      <c r="N43" cm="1">
        <f t="array" ref="N43">SUMPRODUCT(('Team Lineups'!$K$2:$K$2000&lt;&gt;"")*('Team Lineups'!$C$2:$C$2000=$A43)*COUNTIFS('Team Lineups'!$K$2:$K$2000,'Team Lineups'!$K$2:$K$2000,'Team Lineups'!$C$2:$C$2000,N$1))</f>
        <v>1</v>
      </c>
      <c r="O43" cm="1">
        <f t="array" ref="O43">SUMPRODUCT(('Team Lineups'!$K$2:$K$2000&lt;&gt;"")*('Team Lineups'!$C$2:$C$2000=$A43)*COUNTIFS('Team Lineups'!$K$2:$K$2000,'Team Lineups'!$K$2:$K$2000,'Team Lineups'!$C$2:$C$2000,O$1))</f>
        <v>0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1</v>
      </c>
      <c r="R43" cm="1">
        <f t="array" ref="R43">SUMPRODUCT(('Team Lineups'!$K$2:$K$2000&lt;&gt;"")*('Team Lineups'!$C$2:$C$2000=$A43)*COUNTIFS('Team Lineups'!$K$2:$K$2000,'Team Lineups'!$K$2:$K$2000,'Team Lineups'!$C$2:$C$2000,R$1))</f>
        <v>0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0</v>
      </c>
      <c r="AA43" cm="1">
        <f t="array" ref="AA43">SUMPRODUCT(('Team Lineups'!$K$2:$K$2000&lt;&gt;"")*('Team Lineups'!$C$2:$C$2000=$A43)*COUNTIFS('Team Lineups'!$K$2:$K$2000,'Team Lineups'!$K$2:$K$2000,'Team Lineups'!$C$2:$C$2000,AA$1))</f>
        <v>0</v>
      </c>
      <c r="AB43" cm="1">
        <f t="array" ref="AB43">SUMPRODUCT(('Team Lineups'!$K$2:$K$2000&lt;&gt;"")*('Team Lineups'!$C$2:$C$2000=$A43)*COUNTIFS('Team Lineups'!$K$2:$K$2000,'Team Lineups'!$K$2:$K$2000,'Team Lineups'!$C$2:$C$2000,AB$1))</f>
        <v>0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0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1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0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0</v>
      </c>
      <c r="AQ43" cm="1">
        <f t="array" ref="AQ43">SUMPRODUCT(('Team Lineups'!$K$2:$K$2000&lt;&gt;"")*('Team Lineups'!$C$2:$C$2000=$A43)*COUNTIFS('Team Lineups'!$K$2:$K$2000,'Team Lineups'!$K$2:$K$2000,'Team Lineups'!$C$2:$C$2000,AQ$1))</f>
        <v>2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</row>
    <row r="44" spans="1:44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</row>
    <row r="45" spans="1:44" x14ac:dyDescent="0.35">
      <c r="A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2026-07-01T11:02:18Z</dcterms:modified>
</cp:coreProperties>
</file>