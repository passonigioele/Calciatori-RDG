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CAC51908-1DE6-4C97-83D0-426D0E28D8A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Players" sheetId="3" r:id="rId1"/>
    <sheet name="Matches" sheetId="1" r:id="rId2"/>
    <sheet name="Team Lineups" sheetId="2" r:id="rId3"/>
    <sheet name="Sheet2" sheetId="6" r:id="rId4"/>
  </sheets>
  <definedNames>
    <definedName name="_xlnm._FilterDatabase" localSheetId="0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17" i="2" l="1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E717" i="2"/>
  <c r="F717" i="2"/>
  <c r="G717" i="2"/>
  <c r="E718" i="2"/>
  <c r="F718" i="2"/>
  <c r="G718" i="2"/>
  <c r="E719" i="2"/>
  <c r="F719" i="2"/>
  <c r="G719" i="2"/>
  <c r="E720" i="2"/>
  <c r="F720" i="2"/>
  <c r="G720" i="2"/>
  <c r="E721" i="2"/>
  <c r="F721" i="2"/>
  <c r="G721" i="2"/>
  <c r="E722" i="2"/>
  <c r="F722" i="2"/>
  <c r="G722" i="2"/>
  <c r="E723" i="2"/>
  <c r="F723" i="2"/>
  <c r="G723" i="2"/>
  <c r="E724" i="2"/>
  <c r="F724" i="2"/>
  <c r="G724" i="2"/>
  <c r="E725" i="2"/>
  <c r="F725" i="2"/>
  <c r="G725" i="2"/>
  <c r="E726" i="2"/>
  <c r="F726" i="2"/>
  <c r="G726" i="2"/>
  <c r="E727" i="2"/>
  <c r="F727" i="2"/>
  <c r="G727" i="2"/>
  <c r="E728" i="2"/>
  <c r="F728" i="2"/>
  <c r="G728" i="2"/>
  <c r="E729" i="2"/>
  <c r="F729" i="2"/>
  <c r="G729" i="2"/>
  <c r="E730" i="2"/>
  <c r="F730" i="2"/>
  <c r="G730" i="2"/>
  <c r="E62" i="1"/>
  <c r="F62" i="1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E703" i="2"/>
  <c r="F703" i="2"/>
  <c r="E704" i="2"/>
  <c r="F704" i="2"/>
  <c r="E705" i="2"/>
  <c r="F705" i="2"/>
  <c r="E706" i="2"/>
  <c r="F706" i="2"/>
  <c r="E707" i="2"/>
  <c r="F707" i="2"/>
  <c r="G707" i="2" s="1"/>
  <c r="E708" i="2"/>
  <c r="F708" i="2"/>
  <c r="G708" i="2" s="1"/>
  <c r="E709" i="2"/>
  <c r="F709" i="2"/>
  <c r="E710" i="2"/>
  <c r="F710" i="2"/>
  <c r="E711" i="2"/>
  <c r="F711" i="2"/>
  <c r="E712" i="2"/>
  <c r="F712" i="2"/>
  <c r="E713" i="2"/>
  <c r="F713" i="2"/>
  <c r="G713" i="2" s="1"/>
  <c r="E714" i="2"/>
  <c r="F714" i="2"/>
  <c r="E715" i="2"/>
  <c r="F715" i="2"/>
  <c r="E716" i="2"/>
  <c r="F716" i="2"/>
  <c r="G716" i="2" s="1"/>
  <c r="E61" i="1"/>
  <c r="F61" i="1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E687" i="2"/>
  <c r="F687" i="2"/>
  <c r="E688" i="2"/>
  <c r="F688" i="2"/>
  <c r="E689" i="2"/>
  <c r="F689" i="2"/>
  <c r="E690" i="2"/>
  <c r="F690" i="2"/>
  <c r="G690" i="2" s="1"/>
  <c r="E691" i="2"/>
  <c r="F691" i="2"/>
  <c r="G691" i="2" s="1"/>
  <c r="E692" i="2"/>
  <c r="F692" i="2"/>
  <c r="E693" i="2"/>
  <c r="F693" i="2"/>
  <c r="E694" i="2"/>
  <c r="F694" i="2"/>
  <c r="E695" i="2"/>
  <c r="F695" i="2"/>
  <c r="E696" i="2"/>
  <c r="F696" i="2"/>
  <c r="E697" i="2"/>
  <c r="F697" i="2"/>
  <c r="E698" i="2"/>
  <c r="F698" i="2"/>
  <c r="E699" i="2"/>
  <c r="F699" i="2"/>
  <c r="G699" i="2" s="1"/>
  <c r="E700" i="2"/>
  <c r="F700" i="2"/>
  <c r="E701" i="2"/>
  <c r="F701" i="2"/>
  <c r="E702" i="2"/>
  <c r="F702" i="2"/>
  <c r="C52" i="3"/>
  <c r="D52" i="3"/>
  <c r="E52" i="3"/>
  <c r="L52" i="3"/>
  <c r="M52" i="3" s="1"/>
  <c r="N52" i="3"/>
  <c r="O52" i="3"/>
  <c r="P52" i="3" s="1"/>
  <c r="Q52" i="3"/>
  <c r="F60" i="1"/>
  <c r="E60" i="1"/>
  <c r="K675" i="2"/>
  <c r="K676" i="2"/>
  <c r="K677" i="2"/>
  <c r="K678" i="2"/>
  <c r="K679" i="2"/>
  <c r="K680" i="2"/>
  <c r="K681" i="2"/>
  <c r="K682" i="2"/>
  <c r="K683" i="2"/>
  <c r="K684" i="2"/>
  <c r="K685" i="2"/>
  <c r="K686" i="2"/>
  <c r="E675" i="2"/>
  <c r="F675" i="2"/>
  <c r="E676" i="2"/>
  <c r="F676" i="2"/>
  <c r="G676" i="2" s="1"/>
  <c r="E677" i="2"/>
  <c r="F677" i="2"/>
  <c r="E678" i="2"/>
  <c r="F678" i="2"/>
  <c r="E679" i="2"/>
  <c r="F679" i="2"/>
  <c r="E680" i="2"/>
  <c r="F680" i="2"/>
  <c r="E681" i="2"/>
  <c r="F681" i="2"/>
  <c r="E682" i="2"/>
  <c r="F682" i="2"/>
  <c r="E683" i="2"/>
  <c r="F683" i="2"/>
  <c r="E684" i="2"/>
  <c r="F684" i="2"/>
  <c r="E685" i="2"/>
  <c r="F685" i="2"/>
  <c r="E686" i="2"/>
  <c r="F686" i="2"/>
  <c r="F59" i="1"/>
  <c r="E59" i="1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E639" i="2"/>
  <c r="F639" i="2"/>
  <c r="E640" i="2"/>
  <c r="F640" i="2"/>
  <c r="E641" i="2"/>
  <c r="F641" i="2"/>
  <c r="E642" i="2"/>
  <c r="F642" i="2"/>
  <c r="E643" i="2"/>
  <c r="F643" i="2"/>
  <c r="E644" i="2"/>
  <c r="F644" i="2"/>
  <c r="E645" i="2"/>
  <c r="F645" i="2"/>
  <c r="E646" i="2"/>
  <c r="F646" i="2"/>
  <c r="E647" i="2"/>
  <c r="F647" i="2"/>
  <c r="E648" i="2"/>
  <c r="F648" i="2"/>
  <c r="E649" i="2"/>
  <c r="F649" i="2"/>
  <c r="E650" i="2"/>
  <c r="F650" i="2"/>
  <c r="E651" i="2"/>
  <c r="F651" i="2"/>
  <c r="E652" i="2"/>
  <c r="F652" i="2"/>
  <c r="E653" i="2"/>
  <c r="F653" i="2"/>
  <c r="G653" i="2" s="1"/>
  <c r="E654" i="2"/>
  <c r="F654" i="2"/>
  <c r="E655" i="2"/>
  <c r="F655" i="2"/>
  <c r="E656" i="2"/>
  <c r="F656" i="2"/>
  <c r="E657" i="2"/>
  <c r="F657" i="2"/>
  <c r="E658" i="2"/>
  <c r="F658" i="2"/>
  <c r="E659" i="2"/>
  <c r="F659" i="2"/>
  <c r="E660" i="2"/>
  <c r="F660" i="2"/>
  <c r="E661" i="2"/>
  <c r="F661" i="2"/>
  <c r="E662" i="2"/>
  <c r="F662" i="2"/>
  <c r="E663" i="2"/>
  <c r="F663" i="2"/>
  <c r="E664" i="2"/>
  <c r="F664" i="2"/>
  <c r="E665" i="2"/>
  <c r="F665" i="2"/>
  <c r="E666" i="2"/>
  <c r="F666" i="2"/>
  <c r="E667" i="2"/>
  <c r="F667" i="2"/>
  <c r="E668" i="2"/>
  <c r="F668" i="2"/>
  <c r="E669" i="2"/>
  <c r="F669" i="2"/>
  <c r="E670" i="2"/>
  <c r="F670" i="2"/>
  <c r="E671" i="2"/>
  <c r="F671" i="2"/>
  <c r="E672" i="2"/>
  <c r="F672" i="2"/>
  <c r="E673" i="2"/>
  <c r="F673" i="2"/>
  <c r="E674" i="2"/>
  <c r="F674" i="2"/>
  <c r="K639" i="2"/>
  <c r="E57" i="1"/>
  <c r="F57" i="1"/>
  <c r="E58" i="1"/>
  <c r="F58" i="1"/>
  <c r="E56" i="1"/>
  <c r="F56" i="1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E619" i="2"/>
  <c r="F619" i="2"/>
  <c r="E620" i="2"/>
  <c r="F620" i="2"/>
  <c r="E621" i="2"/>
  <c r="F621" i="2"/>
  <c r="E622" i="2"/>
  <c r="F622" i="2"/>
  <c r="E623" i="2"/>
  <c r="F623" i="2"/>
  <c r="E624" i="2"/>
  <c r="F624" i="2"/>
  <c r="E625" i="2"/>
  <c r="F625" i="2"/>
  <c r="E626" i="2"/>
  <c r="F626" i="2"/>
  <c r="E627" i="2"/>
  <c r="F627" i="2"/>
  <c r="E628" i="2"/>
  <c r="F628" i="2"/>
  <c r="E629" i="2"/>
  <c r="F629" i="2"/>
  <c r="E630" i="2"/>
  <c r="F630" i="2"/>
  <c r="E631" i="2"/>
  <c r="F631" i="2"/>
  <c r="E632" i="2"/>
  <c r="F632" i="2"/>
  <c r="E633" i="2"/>
  <c r="F633" i="2"/>
  <c r="E634" i="2"/>
  <c r="F634" i="2"/>
  <c r="E635" i="2"/>
  <c r="F635" i="2"/>
  <c r="E636" i="2"/>
  <c r="F636" i="2"/>
  <c r="E637" i="2"/>
  <c r="F637" i="2"/>
  <c r="E638" i="2"/>
  <c r="D51" i="3" s="1"/>
  <c r="F638" i="2"/>
  <c r="E51" i="3" s="1"/>
  <c r="K619" i="2"/>
  <c r="E54" i="1"/>
  <c r="F54" i="1"/>
  <c r="E55" i="1"/>
  <c r="F55" i="1"/>
  <c r="A2" i="6" a="1"/>
  <c r="C51" i="3"/>
  <c r="L51" i="3"/>
  <c r="N51" i="3"/>
  <c r="O51" i="3"/>
  <c r="Q51" i="3"/>
  <c r="K607" i="2"/>
  <c r="K608" i="2"/>
  <c r="K609" i="2"/>
  <c r="K610" i="2"/>
  <c r="K611" i="2"/>
  <c r="K612" i="2"/>
  <c r="K613" i="2"/>
  <c r="K614" i="2"/>
  <c r="K615" i="2"/>
  <c r="K616" i="2"/>
  <c r="K617" i="2"/>
  <c r="K618" i="2"/>
  <c r="E603" i="2"/>
  <c r="F603" i="2"/>
  <c r="G603" i="2" s="1"/>
  <c r="E604" i="2"/>
  <c r="F604" i="2"/>
  <c r="E605" i="2"/>
  <c r="F605" i="2"/>
  <c r="E606" i="2"/>
  <c r="F606" i="2"/>
  <c r="E607" i="2"/>
  <c r="F607" i="2"/>
  <c r="E608" i="2"/>
  <c r="F608" i="2"/>
  <c r="E609" i="2"/>
  <c r="F609" i="2"/>
  <c r="E610" i="2"/>
  <c r="F610" i="2"/>
  <c r="G610" i="2" s="1"/>
  <c r="E611" i="2"/>
  <c r="F611" i="2"/>
  <c r="E612" i="2"/>
  <c r="F612" i="2"/>
  <c r="E613" i="2"/>
  <c r="F613" i="2"/>
  <c r="E614" i="2"/>
  <c r="F614" i="2"/>
  <c r="E615" i="2"/>
  <c r="F615" i="2"/>
  <c r="E616" i="2"/>
  <c r="F616" i="2"/>
  <c r="E617" i="2"/>
  <c r="F617" i="2"/>
  <c r="E618" i="2"/>
  <c r="F618" i="2"/>
  <c r="K606" i="2"/>
  <c r="K605" i="2"/>
  <c r="K604" i="2"/>
  <c r="K603" i="2"/>
  <c r="E53" i="1"/>
  <c r="F53" i="1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E589" i="2"/>
  <c r="F589" i="2"/>
  <c r="E590" i="2"/>
  <c r="F590" i="2"/>
  <c r="E591" i="2"/>
  <c r="F591" i="2"/>
  <c r="E592" i="2"/>
  <c r="F592" i="2"/>
  <c r="E593" i="2"/>
  <c r="F593" i="2"/>
  <c r="E594" i="2"/>
  <c r="F594" i="2"/>
  <c r="G594" i="2" s="1"/>
  <c r="E595" i="2"/>
  <c r="F595" i="2"/>
  <c r="E596" i="2"/>
  <c r="F596" i="2"/>
  <c r="E597" i="2"/>
  <c r="F597" i="2"/>
  <c r="E598" i="2"/>
  <c r="F598" i="2"/>
  <c r="E599" i="2"/>
  <c r="F599" i="2"/>
  <c r="E600" i="2"/>
  <c r="F600" i="2"/>
  <c r="G600" i="2" s="1"/>
  <c r="E601" i="2"/>
  <c r="F601" i="2"/>
  <c r="E602" i="2"/>
  <c r="F602" i="2"/>
  <c r="E52" i="1"/>
  <c r="F52" i="1"/>
  <c r="C50" i="3"/>
  <c r="D50" i="3"/>
  <c r="E50" i="3"/>
  <c r="L50" i="3"/>
  <c r="N50" i="3"/>
  <c r="O50" i="3"/>
  <c r="Q50" i="3"/>
  <c r="E51" i="1"/>
  <c r="F51" i="1"/>
  <c r="F577" i="2" s="1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F578" i="2"/>
  <c r="F579" i="2"/>
  <c r="F580" i="2"/>
  <c r="F581" i="2"/>
  <c r="F582" i="2"/>
  <c r="F583" i="2"/>
  <c r="F584" i="2"/>
  <c r="F585" i="2"/>
  <c r="F586" i="2"/>
  <c r="F587" i="2"/>
  <c r="F588" i="2"/>
  <c r="E577" i="2"/>
  <c r="E578" i="2"/>
  <c r="E579" i="2"/>
  <c r="E580" i="2"/>
  <c r="E581" i="2"/>
  <c r="E582" i="2"/>
  <c r="E583" i="2"/>
  <c r="E584" i="2"/>
  <c r="G584" i="2" s="1"/>
  <c r="E585" i="2"/>
  <c r="E586" i="2"/>
  <c r="E587" i="2"/>
  <c r="E588" i="2"/>
  <c r="E575" i="2"/>
  <c r="F575" i="2"/>
  <c r="E576" i="2"/>
  <c r="F576" i="2"/>
  <c r="G582" i="2"/>
  <c r="G585" i="2"/>
  <c r="G587" i="2"/>
  <c r="G588" i="2"/>
  <c r="K575" i="2"/>
  <c r="E50" i="1"/>
  <c r="F50" i="1"/>
  <c r="E555" i="2"/>
  <c r="F555" i="2"/>
  <c r="E556" i="2"/>
  <c r="F556" i="2"/>
  <c r="E557" i="2"/>
  <c r="F557" i="2"/>
  <c r="E558" i="2"/>
  <c r="F558" i="2"/>
  <c r="E559" i="2"/>
  <c r="F559" i="2"/>
  <c r="E560" i="2"/>
  <c r="F560" i="2"/>
  <c r="E561" i="2"/>
  <c r="F561" i="2"/>
  <c r="E562" i="2"/>
  <c r="F562" i="2"/>
  <c r="E563" i="2"/>
  <c r="F563" i="2"/>
  <c r="E564" i="2"/>
  <c r="F564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55" i="2"/>
  <c r="E49" i="1"/>
  <c r="F49" i="1"/>
  <c r="E541" i="2"/>
  <c r="F541" i="2"/>
  <c r="E542" i="2"/>
  <c r="F542" i="2"/>
  <c r="E543" i="2"/>
  <c r="F543" i="2"/>
  <c r="E544" i="2"/>
  <c r="F544" i="2"/>
  <c r="E545" i="2"/>
  <c r="F545" i="2"/>
  <c r="E546" i="2"/>
  <c r="F546" i="2"/>
  <c r="E547" i="2"/>
  <c r="F547" i="2"/>
  <c r="E548" i="2"/>
  <c r="F548" i="2"/>
  <c r="E549" i="2"/>
  <c r="F549" i="2"/>
  <c r="E550" i="2"/>
  <c r="F550" i="2"/>
  <c r="E551" i="2"/>
  <c r="F551" i="2"/>
  <c r="E552" i="2"/>
  <c r="F552" i="2"/>
  <c r="E553" i="2"/>
  <c r="F553" i="2"/>
  <c r="E554" i="2"/>
  <c r="F554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E48" i="1"/>
  <c r="F48" i="1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E527" i="2"/>
  <c r="F527" i="2"/>
  <c r="E528" i="2"/>
  <c r="F528" i="2"/>
  <c r="E529" i="2"/>
  <c r="F529" i="2"/>
  <c r="E530" i="2"/>
  <c r="F530" i="2"/>
  <c r="E531" i="2"/>
  <c r="F531" i="2"/>
  <c r="E532" i="2"/>
  <c r="F532" i="2"/>
  <c r="E533" i="2"/>
  <c r="F533" i="2"/>
  <c r="E534" i="2"/>
  <c r="F534" i="2"/>
  <c r="E535" i="2"/>
  <c r="F535" i="2"/>
  <c r="E536" i="2"/>
  <c r="F536" i="2"/>
  <c r="E537" i="2"/>
  <c r="F537" i="2"/>
  <c r="E538" i="2"/>
  <c r="F538" i="2"/>
  <c r="E539" i="2"/>
  <c r="F539" i="2"/>
  <c r="E540" i="2"/>
  <c r="F540" i="2"/>
  <c r="K527" i="2"/>
  <c r="E47" i="1"/>
  <c r="F47" i="1"/>
  <c r="C31" i="3"/>
  <c r="L31" i="3"/>
  <c r="N31" i="3"/>
  <c r="O31" i="3"/>
  <c r="Q49" i="3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E507" i="2"/>
  <c r="F507" i="2"/>
  <c r="E508" i="2"/>
  <c r="F508" i="2"/>
  <c r="E509" i="2"/>
  <c r="F509" i="2"/>
  <c r="E510" i="2"/>
  <c r="F510" i="2"/>
  <c r="E511" i="2"/>
  <c r="F511" i="2"/>
  <c r="E512" i="2"/>
  <c r="F512" i="2"/>
  <c r="E513" i="2"/>
  <c r="F513" i="2"/>
  <c r="E514" i="2"/>
  <c r="F514" i="2"/>
  <c r="E515" i="2"/>
  <c r="F515" i="2"/>
  <c r="E516" i="2"/>
  <c r="F516" i="2"/>
  <c r="E517" i="2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E525" i="2"/>
  <c r="F525" i="2"/>
  <c r="E526" i="2"/>
  <c r="F526" i="2"/>
  <c r="C49" i="3"/>
  <c r="D49" i="3"/>
  <c r="L49" i="3"/>
  <c r="N49" i="3"/>
  <c r="O49" i="3"/>
  <c r="Q48" i="3"/>
  <c r="E45" i="1"/>
  <c r="F45" i="1"/>
  <c r="E46" i="1"/>
  <c r="F46" i="1"/>
  <c r="K496" i="2"/>
  <c r="K497" i="2"/>
  <c r="K498" i="2"/>
  <c r="K499" i="2"/>
  <c r="K500" i="2"/>
  <c r="K501" i="2"/>
  <c r="K502" i="2"/>
  <c r="K503" i="2"/>
  <c r="K504" i="2"/>
  <c r="K505" i="2"/>
  <c r="K506" i="2"/>
  <c r="C48" i="3"/>
  <c r="L48" i="3"/>
  <c r="N48" i="3"/>
  <c r="O48" i="3"/>
  <c r="Q47" i="3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F494" i="2"/>
  <c r="K495" i="2"/>
  <c r="E44" i="1"/>
  <c r="F44" i="1"/>
  <c r="E475" i="2"/>
  <c r="F475" i="2"/>
  <c r="E476" i="2"/>
  <c r="F476" i="2"/>
  <c r="E477" i="2"/>
  <c r="F477" i="2"/>
  <c r="E478" i="2"/>
  <c r="F478" i="2"/>
  <c r="E479" i="2"/>
  <c r="F479" i="2"/>
  <c r="E480" i="2"/>
  <c r="F480" i="2"/>
  <c r="E481" i="2"/>
  <c r="F481" i="2"/>
  <c r="E482" i="2"/>
  <c r="F482" i="2"/>
  <c r="E483" i="2"/>
  <c r="F483" i="2"/>
  <c r="E484" i="2"/>
  <c r="F484" i="2"/>
  <c r="E485" i="2"/>
  <c r="F485" i="2"/>
  <c r="E486" i="2"/>
  <c r="F486" i="2"/>
  <c r="E487" i="2"/>
  <c r="F487" i="2"/>
  <c r="E488" i="2"/>
  <c r="F488" i="2"/>
  <c r="E489" i="2"/>
  <c r="F489" i="2"/>
  <c r="E490" i="2"/>
  <c r="F490" i="2"/>
  <c r="E491" i="2"/>
  <c r="F491" i="2"/>
  <c r="E492" i="2"/>
  <c r="F492" i="2"/>
  <c r="E493" i="2"/>
  <c r="F493" i="2"/>
  <c r="E494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80" i="2"/>
  <c r="K479" i="2"/>
  <c r="K478" i="2"/>
  <c r="K477" i="2"/>
  <c r="K476" i="2"/>
  <c r="K475" i="2"/>
  <c r="E42" i="1"/>
  <c r="F42" i="1"/>
  <c r="E43" i="1"/>
  <c r="F43" i="1"/>
  <c r="K463" i="2"/>
  <c r="K464" i="2"/>
  <c r="K465" i="2"/>
  <c r="K466" i="2"/>
  <c r="K467" i="2"/>
  <c r="K468" i="2"/>
  <c r="K469" i="2"/>
  <c r="K470" i="2"/>
  <c r="K471" i="2"/>
  <c r="K472" i="2"/>
  <c r="K473" i="2"/>
  <c r="K474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1" i="1"/>
  <c r="F41" i="1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49" i="2"/>
  <c r="E40" i="1"/>
  <c r="F40" i="1"/>
  <c r="K438" i="2"/>
  <c r="K439" i="2"/>
  <c r="K440" i="2"/>
  <c r="K441" i="2"/>
  <c r="K442" i="2"/>
  <c r="K443" i="2"/>
  <c r="K444" i="2"/>
  <c r="K445" i="2"/>
  <c r="K446" i="2"/>
  <c r="K447" i="2"/>
  <c r="K448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K437" i="2"/>
  <c r="E39" i="1"/>
  <c r="F39" i="1"/>
  <c r="C7" i="3"/>
  <c r="L7" i="3"/>
  <c r="N7" i="3"/>
  <c r="O7" i="3"/>
  <c r="Q46" i="3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G427" i="2" s="1"/>
  <c r="E428" i="2"/>
  <c r="F428" i="2"/>
  <c r="E429" i="2"/>
  <c r="F429" i="2"/>
  <c r="E430" i="2"/>
  <c r="F430" i="2"/>
  <c r="E431" i="2"/>
  <c r="F431" i="2"/>
  <c r="E432" i="2"/>
  <c r="F432" i="2"/>
  <c r="E433" i="2"/>
  <c r="F433" i="2"/>
  <c r="E434" i="2"/>
  <c r="F434" i="2"/>
  <c r="E435" i="2"/>
  <c r="F435" i="2"/>
  <c r="E436" i="2"/>
  <c r="F43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E37" i="1"/>
  <c r="F37" i="1"/>
  <c r="E38" i="1"/>
  <c r="F38" i="1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K403" i="2"/>
  <c r="E36" i="1"/>
  <c r="F36" i="1"/>
  <c r="E35" i="1"/>
  <c r="F35" i="1"/>
  <c r="K391" i="2"/>
  <c r="K392" i="2"/>
  <c r="K393" i="2"/>
  <c r="K394" i="2"/>
  <c r="K395" i="2"/>
  <c r="K396" i="2"/>
  <c r="K397" i="2"/>
  <c r="K398" i="2"/>
  <c r="K399" i="2"/>
  <c r="K400" i="2"/>
  <c r="K401" i="2"/>
  <c r="K402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E34" i="1"/>
  <c r="F34" i="1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K359" i="2"/>
  <c r="E33" i="1"/>
  <c r="F33" i="1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1" i="1"/>
  <c r="F31" i="1"/>
  <c r="E32" i="1"/>
  <c r="F32" i="1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12" i="3"/>
  <c r="L12" i="3"/>
  <c r="N12" i="3"/>
  <c r="O12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36" i="3"/>
  <c r="L36" i="3"/>
  <c r="N36" i="3"/>
  <c r="O36" i="3"/>
  <c r="Q44" i="3"/>
  <c r="E24" i="1"/>
  <c r="F24" i="1"/>
  <c r="E25" i="1"/>
  <c r="F25" i="1"/>
  <c r="C47" i="3"/>
  <c r="L47" i="3"/>
  <c r="N47" i="3"/>
  <c r="O47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22" i="3"/>
  <c r="L22" i="3"/>
  <c r="N22" i="3"/>
  <c r="O22" i="3"/>
  <c r="Q37" i="3"/>
  <c r="C30" i="3"/>
  <c r="L30" i="3"/>
  <c r="N30" i="3"/>
  <c r="O30" i="3"/>
  <c r="Q38" i="3"/>
  <c r="C25" i="3"/>
  <c r="L25" i="3"/>
  <c r="N25" i="3"/>
  <c r="O25" i="3"/>
  <c r="Q39" i="3"/>
  <c r="C6" i="3"/>
  <c r="L6" i="3"/>
  <c r="N6" i="3"/>
  <c r="O6" i="3"/>
  <c r="Q40" i="3"/>
  <c r="C18" i="3"/>
  <c r="L18" i="3"/>
  <c r="N18" i="3"/>
  <c r="O18" i="3"/>
  <c r="Q41" i="3"/>
  <c r="C26" i="3"/>
  <c r="L26" i="3"/>
  <c r="N26" i="3"/>
  <c r="O26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46" i="3"/>
  <c r="L46" i="3"/>
  <c r="N46" i="3"/>
  <c r="O46" i="3"/>
  <c r="Q36" i="3"/>
  <c r="K164" i="2"/>
  <c r="K163" i="2"/>
  <c r="K162" i="2"/>
  <c r="K161" i="2"/>
  <c r="K160" i="2"/>
  <c r="K159" i="2"/>
  <c r="K158" i="2"/>
  <c r="K157" i="2"/>
  <c r="K156" i="2"/>
  <c r="K155" i="2"/>
  <c r="C8" i="3"/>
  <c r="L8" i="3"/>
  <c r="N8" i="3"/>
  <c r="O8" i="3"/>
  <c r="Q35" i="3"/>
  <c r="Q34" i="3"/>
  <c r="O34" i="3"/>
  <c r="N34" i="3"/>
  <c r="L34" i="3"/>
  <c r="C34" i="3"/>
  <c r="Q33" i="3"/>
  <c r="O24" i="3"/>
  <c r="N24" i="3"/>
  <c r="L24" i="3"/>
  <c r="C24" i="3"/>
  <c r="Q32" i="3"/>
  <c r="O45" i="3"/>
  <c r="N45" i="3"/>
  <c r="L45" i="3"/>
  <c r="C45" i="3"/>
  <c r="Q31" i="3"/>
  <c r="O5" i="3"/>
  <c r="N5" i="3"/>
  <c r="L5" i="3"/>
  <c r="C5" i="3"/>
  <c r="Q30" i="3"/>
  <c r="O16" i="3"/>
  <c r="N16" i="3"/>
  <c r="L16" i="3"/>
  <c r="C16" i="3"/>
  <c r="Q29" i="3"/>
  <c r="O38" i="3"/>
  <c r="N38" i="3"/>
  <c r="L38" i="3"/>
  <c r="C38" i="3"/>
  <c r="Q28" i="3"/>
  <c r="O44" i="3"/>
  <c r="N44" i="3"/>
  <c r="L44" i="3"/>
  <c r="C44" i="3"/>
  <c r="Q27" i="3"/>
  <c r="O4" i="3"/>
  <c r="N4" i="3"/>
  <c r="L4" i="3"/>
  <c r="C4" i="3"/>
  <c r="Q26" i="3"/>
  <c r="O11" i="3"/>
  <c r="N11" i="3"/>
  <c r="L11" i="3"/>
  <c r="C11" i="3"/>
  <c r="Q25" i="3"/>
  <c r="O29" i="3"/>
  <c r="N29" i="3"/>
  <c r="L29" i="3"/>
  <c r="C29" i="3"/>
  <c r="Q24" i="3"/>
  <c r="O21" i="3"/>
  <c r="N21" i="3"/>
  <c r="L21" i="3"/>
  <c r="C21" i="3"/>
  <c r="Q23" i="3"/>
  <c r="O32" i="3"/>
  <c r="N32" i="3"/>
  <c r="L32" i="3"/>
  <c r="C32" i="3"/>
  <c r="Q22" i="3"/>
  <c r="O3" i="3"/>
  <c r="N3" i="3"/>
  <c r="L3" i="3"/>
  <c r="C3" i="3"/>
  <c r="Q21" i="3"/>
  <c r="O10" i="3"/>
  <c r="N10" i="3"/>
  <c r="L10" i="3"/>
  <c r="C10" i="3"/>
  <c r="Q20" i="3"/>
  <c r="O43" i="3"/>
  <c r="N43" i="3"/>
  <c r="L43" i="3"/>
  <c r="C43" i="3"/>
  <c r="Q19" i="3"/>
  <c r="O42" i="3"/>
  <c r="N42" i="3"/>
  <c r="L42" i="3"/>
  <c r="C42" i="3"/>
  <c r="Q18" i="3"/>
  <c r="O20" i="3"/>
  <c r="N20" i="3"/>
  <c r="L20" i="3"/>
  <c r="C20" i="3"/>
  <c r="Q17" i="3"/>
  <c r="O28" i="3"/>
  <c r="N28" i="3"/>
  <c r="L28" i="3"/>
  <c r="C28" i="3"/>
  <c r="Q16" i="3"/>
  <c r="O17" i="3"/>
  <c r="N17" i="3"/>
  <c r="L17" i="3"/>
  <c r="C17" i="3"/>
  <c r="Q15" i="3"/>
  <c r="O37" i="3"/>
  <c r="N37" i="3"/>
  <c r="L37" i="3"/>
  <c r="C37" i="3"/>
  <c r="Q14" i="3"/>
  <c r="O9" i="3"/>
  <c r="N9" i="3"/>
  <c r="L9" i="3"/>
  <c r="C9" i="3"/>
  <c r="Q13" i="3"/>
  <c r="O2" i="3"/>
  <c r="N2" i="3"/>
  <c r="L2" i="3"/>
  <c r="I2" i="3"/>
  <c r="H2" i="3"/>
  <c r="G2" i="3"/>
  <c r="E2" i="3"/>
  <c r="D2" i="3"/>
  <c r="C2" i="3"/>
  <c r="Q12" i="3"/>
  <c r="O14" i="3"/>
  <c r="N14" i="3"/>
  <c r="L14" i="3"/>
  <c r="C14" i="3"/>
  <c r="Q11" i="3"/>
  <c r="O41" i="3"/>
  <c r="N41" i="3"/>
  <c r="L41" i="3"/>
  <c r="C41" i="3"/>
  <c r="Q10" i="3"/>
  <c r="O33" i="3"/>
  <c r="N33" i="3"/>
  <c r="L33" i="3"/>
  <c r="C33" i="3"/>
  <c r="Q9" i="3"/>
  <c r="O15" i="3"/>
  <c r="N15" i="3"/>
  <c r="L15" i="3"/>
  <c r="C15" i="3"/>
  <c r="Q8" i="3"/>
  <c r="O27" i="3"/>
  <c r="N27" i="3"/>
  <c r="L27" i="3"/>
  <c r="C27" i="3"/>
  <c r="Q7" i="3"/>
  <c r="O19" i="3"/>
  <c r="N19" i="3"/>
  <c r="L19" i="3"/>
  <c r="C19" i="3"/>
  <c r="Q6" i="3"/>
  <c r="O35" i="3"/>
  <c r="N35" i="3"/>
  <c r="L35" i="3"/>
  <c r="C35" i="3"/>
  <c r="Q5" i="3"/>
  <c r="O13" i="3"/>
  <c r="N13" i="3"/>
  <c r="L13" i="3"/>
  <c r="C13" i="3"/>
  <c r="Q4" i="3"/>
  <c r="O23" i="3"/>
  <c r="N23" i="3"/>
  <c r="L23" i="3"/>
  <c r="C23" i="3"/>
  <c r="Q3" i="3"/>
  <c r="O39" i="3"/>
  <c r="N39" i="3"/>
  <c r="L39" i="3"/>
  <c r="C39" i="3"/>
  <c r="Q2" i="3"/>
  <c r="O40" i="3"/>
  <c r="N40" i="3"/>
  <c r="L40" i="3"/>
  <c r="C40" i="3"/>
  <c r="K154" i="2"/>
  <c r="F154" i="2"/>
  <c r="E154" i="2"/>
  <c r="K153" i="2"/>
  <c r="F153" i="2"/>
  <c r="E153" i="2"/>
  <c r="K152" i="2"/>
  <c r="F152" i="2"/>
  <c r="E152" i="2"/>
  <c r="K151" i="2"/>
  <c r="F151" i="2"/>
  <c r="E151" i="2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K142" i="2"/>
  <c r="F142" i="2"/>
  <c r="E142" i="2"/>
  <c r="K141" i="2"/>
  <c r="F141" i="2"/>
  <c r="E141" i="2"/>
  <c r="K140" i="2"/>
  <c r="F140" i="2"/>
  <c r="E140" i="2"/>
  <c r="K139" i="2"/>
  <c r="F139" i="2"/>
  <c r="E139" i="2"/>
  <c r="K138" i="2"/>
  <c r="F138" i="2"/>
  <c r="E138" i="2"/>
  <c r="K137" i="2"/>
  <c r="F137" i="2"/>
  <c r="E137" i="2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K128" i="2"/>
  <c r="F128" i="2"/>
  <c r="E128" i="2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K122" i="2"/>
  <c r="F122" i="2"/>
  <c r="E122" i="2"/>
  <c r="K121" i="2"/>
  <c r="F121" i="2"/>
  <c r="E121" i="2"/>
  <c r="K120" i="2"/>
  <c r="F120" i="2"/>
  <c r="E120" i="2"/>
  <c r="K119" i="2"/>
  <c r="F119" i="2"/>
  <c r="E119" i="2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K106" i="2"/>
  <c r="F106" i="2"/>
  <c r="E106" i="2"/>
  <c r="K105" i="2"/>
  <c r="F105" i="2"/>
  <c r="E105" i="2"/>
  <c r="K104" i="2"/>
  <c r="F104" i="2"/>
  <c r="E104" i="2"/>
  <c r="K103" i="2"/>
  <c r="F103" i="2"/>
  <c r="E103" i="2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K98" i="2"/>
  <c r="F98" i="2"/>
  <c r="E98" i="2"/>
  <c r="K97" i="2"/>
  <c r="F97" i="2"/>
  <c r="E97" i="2"/>
  <c r="K96" i="2"/>
  <c r="F96" i="2"/>
  <c r="E4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45" i="3" s="1"/>
  <c r="E50" i="2"/>
  <c r="K49" i="2"/>
  <c r="F49" i="2"/>
  <c r="E49" i="2"/>
  <c r="K48" i="2"/>
  <c r="F48" i="2"/>
  <c r="E48" i="2"/>
  <c r="K47" i="2"/>
  <c r="F47" i="2"/>
  <c r="E47" i="2"/>
  <c r="K46" i="2"/>
  <c r="F46" i="2"/>
  <c r="E46" i="2"/>
  <c r="K45" i="2"/>
  <c r="F45" i="2"/>
  <c r="E5" i="3" s="1"/>
  <c r="E45" i="2"/>
  <c r="K44" i="2"/>
  <c r="F44" i="2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44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B13" i="2"/>
  <c r="K12" i="2"/>
  <c r="F12" i="2"/>
  <c r="E12" i="2"/>
  <c r="B12" i="2"/>
  <c r="K11" i="2"/>
  <c r="F11" i="2"/>
  <c r="E43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G703" i="2" l="1"/>
  <c r="G704" i="2"/>
  <c r="G152" i="2"/>
  <c r="G705" i="2"/>
  <c r="G706" i="2"/>
  <c r="G709" i="2"/>
  <c r="G710" i="2"/>
  <c r="G711" i="2"/>
  <c r="G712" i="2"/>
  <c r="G714" i="2"/>
  <c r="G715" i="2"/>
  <c r="G687" i="2"/>
  <c r="G688" i="2"/>
  <c r="G689" i="2"/>
  <c r="G692" i="2"/>
  <c r="G693" i="2"/>
  <c r="G694" i="2"/>
  <c r="G695" i="2"/>
  <c r="G696" i="2"/>
  <c r="G697" i="2"/>
  <c r="G698" i="2"/>
  <c r="G700" i="2"/>
  <c r="G701" i="2"/>
  <c r="G702" i="2"/>
  <c r="G677" i="2"/>
  <c r="H52" i="3"/>
  <c r="I52" i="3"/>
  <c r="K52" i="3" s="1"/>
  <c r="G52" i="3"/>
  <c r="J52" i="3" s="1"/>
  <c r="F52" i="3"/>
  <c r="G675" i="2"/>
  <c r="G678" i="2"/>
  <c r="G679" i="2"/>
  <c r="G680" i="2"/>
  <c r="G681" i="2"/>
  <c r="G682" i="2"/>
  <c r="G683" i="2"/>
  <c r="G684" i="2"/>
  <c r="G685" i="2"/>
  <c r="G686" i="2"/>
  <c r="G639" i="2"/>
  <c r="G640" i="2"/>
  <c r="G641" i="2"/>
  <c r="G642" i="2"/>
  <c r="G515" i="2"/>
  <c r="E49" i="3"/>
  <c r="F49" i="3" s="1"/>
  <c r="G643" i="2"/>
  <c r="G644" i="2"/>
  <c r="G645" i="2"/>
  <c r="G646" i="2"/>
  <c r="G647" i="2"/>
  <c r="G648" i="2"/>
  <c r="G649" i="2"/>
  <c r="G524" i="2"/>
  <c r="G652" i="2"/>
  <c r="G650" i="2"/>
  <c r="G651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19" i="2"/>
  <c r="M51" i="3"/>
  <c r="G562" i="2"/>
  <c r="E41" i="3"/>
  <c r="D41" i="3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M50" i="3"/>
  <c r="P50" i="3"/>
  <c r="G612" i="2"/>
  <c r="G605" i="2"/>
  <c r="G613" i="2"/>
  <c r="G563" i="2"/>
  <c r="G508" i="2"/>
  <c r="G511" i="2"/>
  <c r="G618" i="2"/>
  <c r="G615" i="2"/>
  <c r="G611" i="2"/>
  <c r="G547" i="2"/>
  <c r="G538" i="2"/>
  <c r="G593" i="2"/>
  <c r="G548" i="2"/>
  <c r="G608" i="2"/>
  <c r="G589" i="2"/>
  <c r="G609" i="2"/>
  <c r="G616" i="2"/>
  <c r="G604" i="2"/>
  <c r="G607" i="2"/>
  <c r="F51" i="3"/>
  <c r="G614" i="2"/>
  <c r="G617" i="2"/>
  <c r="G606" i="2"/>
  <c r="P51" i="3"/>
  <c r="G592" i="2"/>
  <c r="G597" i="2"/>
  <c r="G590" i="2"/>
  <c r="G591" i="2"/>
  <c r="G595" i="2"/>
  <c r="G596" i="2"/>
  <c r="G598" i="2"/>
  <c r="G602" i="2"/>
  <c r="G599" i="2"/>
  <c r="G601" i="2"/>
  <c r="I50" i="3"/>
  <c r="K50" i="3" s="1"/>
  <c r="H50" i="3"/>
  <c r="G50" i="3"/>
  <c r="J50" i="3" s="1"/>
  <c r="G577" i="2"/>
  <c r="G578" i="2"/>
  <c r="G580" i="2"/>
  <c r="G583" i="2"/>
  <c r="F50" i="3"/>
  <c r="G586" i="2"/>
  <c r="G581" i="2"/>
  <c r="G576" i="2"/>
  <c r="G535" i="2"/>
  <c r="G129" i="2"/>
  <c r="G575" i="2"/>
  <c r="G579" i="2"/>
  <c r="G564" i="2"/>
  <c r="G536" i="2"/>
  <c r="G526" i="2"/>
  <c r="G561" i="2"/>
  <c r="E565" i="2"/>
  <c r="E566" i="2"/>
  <c r="E568" i="2"/>
  <c r="E569" i="2"/>
  <c r="F570" i="2"/>
  <c r="F571" i="2"/>
  <c r="E22" i="3" s="1"/>
  <c r="F572" i="2"/>
  <c r="E12" i="3" s="1"/>
  <c r="F573" i="2"/>
  <c r="F574" i="2"/>
  <c r="E567" i="2"/>
  <c r="F566" i="2"/>
  <c r="E31" i="3" s="1"/>
  <c r="F567" i="2"/>
  <c r="E570" i="2"/>
  <c r="F568" i="2"/>
  <c r="F569" i="2"/>
  <c r="E571" i="2"/>
  <c r="D22" i="3" s="1"/>
  <c r="E572" i="2"/>
  <c r="E573" i="2"/>
  <c r="E574" i="2"/>
  <c r="F565" i="2"/>
  <c r="G555" i="2"/>
  <c r="G556" i="2"/>
  <c r="G557" i="2"/>
  <c r="G558" i="2"/>
  <c r="G559" i="2"/>
  <c r="G560" i="2"/>
  <c r="G546" i="2"/>
  <c r="G549" i="2"/>
  <c r="G533" i="2"/>
  <c r="G530" i="2"/>
  <c r="G541" i="2"/>
  <c r="G543" i="2"/>
  <c r="G551" i="2"/>
  <c r="G507" i="2"/>
  <c r="G513" i="2"/>
  <c r="G69" i="2"/>
  <c r="G542" i="2"/>
  <c r="G545" i="2"/>
  <c r="G431" i="2"/>
  <c r="G554" i="2"/>
  <c r="G544" i="2"/>
  <c r="G534" i="2"/>
  <c r="G553" i="2"/>
  <c r="G510" i="2"/>
  <c r="G509" i="2"/>
  <c r="G552" i="2"/>
  <c r="G550" i="2"/>
  <c r="G528" i="2"/>
  <c r="G540" i="2"/>
  <c r="G532" i="2"/>
  <c r="G537" i="2"/>
  <c r="G527" i="2"/>
  <c r="G531" i="2"/>
  <c r="G529" i="2"/>
  <c r="G539" i="2"/>
  <c r="G104" i="2"/>
  <c r="G88" i="2"/>
  <c r="G525" i="2"/>
  <c r="G512" i="2"/>
  <c r="G514" i="2"/>
  <c r="G516" i="2"/>
  <c r="G517" i="2"/>
  <c r="G518" i="2"/>
  <c r="G519" i="2"/>
  <c r="G520" i="2"/>
  <c r="G521" i="2"/>
  <c r="G522" i="2"/>
  <c r="G523" i="2"/>
  <c r="G137" i="2"/>
  <c r="G120" i="2"/>
  <c r="E16" i="3"/>
  <c r="P31" i="3"/>
  <c r="M31" i="3"/>
  <c r="M49" i="3"/>
  <c r="P49" i="3"/>
  <c r="G483" i="2"/>
  <c r="G479" i="2"/>
  <c r="G480" i="2"/>
  <c r="G481" i="2"/>
  <c r="G478" i="2"/>
  <c r="G482" i="2"/>
  <c r="G477" i="2"/>
  <c r="G485" i="2"/>
  <c r="G486" i="2"/>
  <c r="G487" i="2"/>
  <c r="G488" i="2"/>
  <c r="G489" i="2"/>
  <c r="G484" i="2"/>
  <c r="E48" i="3"/>
  <c r="G476" i="2"/>
  <c r="D48" i="3"/>
  <c r="G494" i="2"/>
  <c r="G475" i="2"/>
  <c r="M48" i="3"/>
  <c r="P48" i="3"/>
  <c r="G497" i="2"/>
  <c r="G498" i="2"/>
  <c r="G501" i="2"/>
  <c r="G505" i="2"/>
  <c r="G495" i="2"/>
  <c r="G500" i="2"/>
  <c r="G504" i="2"/>
  <c r="G506" i="2"/>
  <c r="G496" i="2"/>
  <c r="G499" i="2"/>
  <c r="G502" i="2"/>
  <c r="G503" i="2"/>
  <c r="G492" i="2"/>
  <c r="G491" i="2"/>
  <c r="G490" i="2"/>
  <c r="G493" i="2"/>
  <c r="G13" i="2"/>
  <c r="G440" i="2"/>
  <c r="G420" i="2"/>
  <c r="G48" i="2"/>
  <c r="G448" i="2"/>
  <c r="G463" i="2"/>
  <c r="G464" i="2"/>
  <c r="G466" i="2"/>
  <c r="G467" i="2"/>
  <c r="G473" i="2"/>
  <c r="G452" i="2"/>
  <c r="G438" i="2"/>
  <c r="G439" i="2"/>
  <c r="G441" i="2"/>
  <c r="G379" i="2"/>
  <c r="G465" i="2"/>
  <c r="G468" i="2"/>
  <c r="G469" i="2"/>
  <c r="G470" i="2"/>
  <c r="G471" i="2"/>
  <c r="G472" i="2"/>
  <c r="G450" i="2"/>
  <c r="G451" i="2"/>
  <c r="G437" i="2"/>
  <c r="G442" i="2"/>
  <c r="G443" i="2"/>
  <c r="G444" i="2"/>
  <c r="G445" i="2"/>
  <c r="G446" i="2"/>
  <c r="G474" i="2"/>
  <c r="G449" i="2"/>
  <c r="G447" i="2"/>
  <c r="G453" i="2"/>
  <c r="G454" i="2"/>
  <c r="G457" i="2"/>
  <c r="G462" i="2"/>
  <c r="G455" i="2"/>
  <c r="G459" i="2"/>
  <c r="G460" i="2"/>
  <c r="G456" i="2"/>
  <c r="G458" i="2"/>
  <c r="G461" i="2"/>
  <c r="G421" i="2"/>
  <c r="G429" i="2"/>
  <c r="G419" i="2"/>
  <c r="G422" i="2"/>
  <c r="G423" i="2"/>
  <c r="G424" i="2"/>
  <c r="G425" i="2"/>
  <c r="G426" i="2"/>
  <c r="G428" i="2"/>
  <c r="G430" i="2"/>
  <c r="G432" i="2"/>
  <c r="G433" i="2"/>
  <c r="G434" i="2"/>
  <c r="G435" i="2"/>
  <c r="G436" i="2"/>
  <c r="G403" i="2"/>
  <c r="G153" i="2"/>
  <c r="E7" i="3"/>
  <c r="G417" i="2"/>
  <c r="D7" i="3"/>
  <c r="G418" i="2"/>
  <c r="E3" i="3"/>
  <c r="D3" i="3"/>
  <c r="G128" i="2"/>
  <c r="G80" i="2"/>
  <c r="P7" i="3"/>
  <c r="M7" i="3"/>
  <c r="G406" i="2"/>
  <c r="G407" i="2"/>
  <c r="G408" i="2"/>
  <c r="G410" i="2"/>
  <c r="G411" i="2"/>
  <c r="G415" i="2"/>
  <c r="G405" i="2"/>
  <c r="G409" i="2"/>
  <c r="G413" i="2"/>
  <c r="G416" i="2"/>
  <c r="G404" i="2"/>
  <c r="G412" i="2"/>
  <c r="G414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G362" i="2"/>
  <c r="G374" i="2"/>
  <c r="G381" i="2"/>
  <c r="G389" i="2"/>
  <c r="G377" i="2"/>
  <c r="G386" i="2"/>
  <c r="G390" i="2"/>
  <c r="G385" i="2"/>
  <c r="G378" i="2"/>
  <c r="G382" i="2"/>
  <c r="G376" i="2"/>
  <c r="G387" i="2"/>
  <c r="G375" i="2"/>
  <c r="G384" i="2"/>
  <c r="G383" i="2"/>
  <c r="G388" i="2"/>
  <c r="G380" i="2"/>
  <c r="G63" i="2"/>
  <c r="G367" i="2"/>
  <c r="G361" i="2"/>
  <c r="G363" i="2"/>
  <c r="G372" i="2"/>
  <c r="G366" i="2"/>
  <c r="G359" i="2"/>
  <c r="G370" i="2"/>
  <c r="G368" i="2"/>
  <c r="G373" i="2"/>
  <c r="G371" i="2"/>
  <c r="G360" i="2"/>
  <c r="G365" i="2"/>
  <c r="G99" i="2"/>
  <c r="G103" i="2"/>
  <c r="G107" i="2"/>
  <c r="G119" i="2"/>
  <c r="G123" i="2"/>
  <c r="G139" i="2"/>
  <c r="G143" i="2"/>
  <c r="G151" i="2"/>
  <c r="G364" i="2"/>
  <c r="G369" i="2"/>
  <c r="G357" i="2"/>
  <c r="G345" i="2"/>
  <c r="G353" i="2"/>
  <c r="G347" i="2"/>
  <c r="G341" i="2"/>
  <c r="G349" i="2"/>
  <c r="G348" i="2"/>
  <c r="G342" i="2"/>
  <c r="G339" i="2"/>
  <c r="G356" i="2"/>
  <c r="G344" i="2"/>
  <c r="G331" i="2"/>
  <c r="G355" i="2"/>
  <c r="G343" i="2"/>
  <c r="G334" i="2"/>
  <c r="G337" i="2"/>
  <c r="G351" i="2"/>
  <c r="G340" i="2"/>
  <c r="G350" i="2"/>
  <c r="G346" i="2"/>
  <c r="G354" i="2"/>
  <c r="G352" i="2"/>
  <c r="G358" i="2"/>
  <c r="G335" i="2"/>
  <c r="G324" i="2"/>
  <c r="G326" i="2"/>
  <c r="G325" i="2"/>
  <c r="G319" i="2"/>
  <c r="G322" i="2"/>
  <c r="G321" i="2"/>
  <c r="G323" i="2"/>
  <c r="G330" i="2"/>
  <c r="G338" i="2"/>
  <c r="G333" i="2"/>
  <c r="G327" i="2"/>
  <c r="G332" i="2"/>
  <c r="G336" i="2"/>
  <c r="G329" i="2"/>
  <c r="G320" i="2"/>
  <c r="G328" i="2"/>
  <c r="G290" i="2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12" i="3"/>
  <c r="P12" i="3"/>
  <c r="G285" i="2"/>
  <c r="G43" i="2"/>
  <c r="G279" i="2"/>
  <c r="G288" i="2"/>
  <c r="D47" i="3"/>
  <c r="G270" i="2"/>
  <c r="G276" i="2"/>
  <c r="G254" i="2"/>
  <c r="G253" i="2"/>
  <c r="G259" i="2"/>
  <c r="G30" i="2"/>
  <c r="G271" i="2"/>
  <c r="G273" i="2"/>
  <c r="G275" i="2"/>
  <c r="G282" i="2"/>
  <c r="G264" i="2"/>
  <c r="G248" i="2"/>
  <c r="G265" i="2"/>
  <c r="G268" i="2"/>
  <c r="G252" i="2"/>
  <c r="G257" i="2"/>
  <c r="G262" i="2"/>
  <c r="G228" i="2"/>
  <c r="G230" i="2"/>
  <c r="G263" i="2"/>
  <c r="G98" i="2"/>
  <c r="G251" i="2"/>
  <c r="G73" i="2"/>
  <c r="G37" i="2"/>
  <c r="G28" i="2"/>
  <c r="G258" i="2"/>
  <c r="M36" i="3"/>
  <c r="P36" i="3"/>
  <c r="P47" i="3"/>
  <c r="K2" i="3"/>
  <c r="J2" i="3"/>
  <c r="G243" i="2"/>
  <c r="G229" i="2"/>
  <c r="E47" i="3"/>
  <c r="G247" i="2"/>
  <c r="G245" i="2"/>
  <c r="G261" i="2"/>
  <c r="G249" i="2"/>
  <c r="G250" i="2"/>
  <c r="G255" i="2"/>
  <c r="D30" i="3"/>
  <c r="G130" i="2"/>
  <c r="G256" i="2"/>
  <c r="G105" i="2"/>
  <c r="G22" i="2"/>
  <c r="F2" i="3"/>
  <c r="M47" i="3"/>
  <c r="M25" i="3"/>
  <c r="M30" i="3"/>
  <c r="P18" i="3"/>
  <c r="M18" i="3"/>
  <c r="M26" i="3"/>
  <c r="G199" i="2"/>
  <c r="G175" i="2"/>
  <c r="G79" i="2"/>
  <c r="G180" i="2"/>
  <c r="E234" i="2"/>
  <c r="F241" i="2"/>
  <c r="E235" i="2"/>
  <c r="D25" i="3" s="1"/>
  <c r="F240" i="2"/>
  <c r="F242" i="2"/>
  <c r="E6" i="3" s="1"/>
  <c r="E233" i="2"/>
  <c r="F239" i="2"/>
  <c r="E237" i="2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6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G232" i="2"/>
  <c r="G227" i="2"/>
  <c r="G219" i="2"/>
  <c r="G178" i="2"/>
  <c r="G207" i="2"/>
  <c r="E30" i="3"/>
  <c r="G205" i="2"/>
  <c r="P30" i="3"/>
  <c r="P25" i="3"/>
  <c r="P26" i="3"/>
  <c r="M6" i="3"/>
  <c r="P6" i="3"/>
  <c r="M22" i="3"/>
  <c r="P22" i="3"/>
  <c r="G220" i="2"/>
  <c r="P14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G35" i="2"/>
  <c r="G132" i="2"/>
  <c r="G113" i="2"/>
  <c r="G94" i="2"/>
  <c r="G188" i="2"/>
  <c r="G54" i="2"/>
  <c r="G14" i="2"/>
  <c r="M46" i="3"/>
  <c r="P46" i="3"/>
  <c r="M8" i="3"/>
  <c r="P8" i="3"/>
  <c r="G118" i="2"/>
  <c r="G41" i="2"/>
  <c r="P32" i="3"/>
  <c r="P27" i="3"/>
  <c r="P19" i="3"/>
  <c r="P33" i="3"/>
  <c r="P15" i="3"/>
  <c r="P13" i="3"/>
  <c r="P23" i="3"/>
  <c r="P35" i="3"/>
  <c r="P41" i="3"/>
  <c r="P2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37" i="3"/>
  <c r="P39" i="3"/>
  <c r="P9" i="3"/>
  <c r="P34" i="3"/>
  <c r="P16" i="3"/>
  <c r="P5" i="3"/>
  <c r="P44" i="3"/>
  <c r="P11" i="3"/>
  <c r="P21" i="3"/>
  <c r="P3" i="3"/>
  <c r="P42" i="3"/>
  <c r="P20" i="3"/>
  <c r="P40" i="3"/>
  <c r="P17" i="3"/>
  <c r="P24" i="3"/>
  <c r="P45" i="3"/>
  <c r="P38" i="3"/>
  <c r="P4" i="3"/>
  <c r="P29" i="3"/>
  <c r="P10" i="3"/>
  <c r="P28" i="3"/>
  <c r="P43" i="3"/>
  <c r="G145" i="2"/>
  <c r="G33" i="2"/>
  <c r="G108" i="2"/>
  <c r="G89" i="2"/>
  <c r="G68" i="2"/>
  <c r="G50" i="2"/>
  <c r="D45" i="3"/>
  <c r="F45" i="3" s="1"/>
  <c r="G45" i="2"/>
  <c r="D5" i="3"/>
  <c r="F5" i="3" s="1"/>
  <c r="G44" i="2"/>
  <c r="D16" i="3"/>
  <c r="G76" i="2"/>
  <c r="G136" i="2"/>
  <c r="G92" i="2"/>
  <c r="G83" i="2"/>
  <c r="G53" i="2"/>
  <c r="G95" i="2"/>
  <c r="G82" i="2"/>
  <c r="E38" i="3"/>
  <c r="E33" i="3"/>
  <c r="F161" i="2"/>
  <c r="F162" i="2"/>
  <c r="F160" i="2"/>
  <c r="E39" i="3" s="1"/>
  <c r="F163" i="2"/>
  <c r="E156" i="2"/>
  <c r="E155" i="2"/>
  <c r="E157" i="2"/>
  <c r="E158" i="2"/>
  <c r="E159" i="2"/>
  <c r="F164" i="2"/>
  <c r="E163" i="2"/>
  <c r="E162" i="2"/>
  <c r="E164" i="2"/>
  <c r="F159" i="2"/>
  <c r="F158" i="2"/>
  <c r="E13" i="3" s="1"/>
  <c r="F157" i="2"/>
  <c r="F155" i="2"/>
  <c r="F156" i="2"/>
  <c r="E160" i="2"/>
  <c r="E161" i="2"/>
  <c r="F170" i="2"/>
  <c r="E15" i="3" s="1"/>
  <c r="F172" i="2"/>
  <c r="E27" i="3" s="1"/>
  <c r="E166" i="2"/>
  <c r="E169" i="2"/>
  <c r="F173" i="2"/>
  <c r="E21" i="3" s="1"/>
  <c r="E168" i="2"/>
  <c r="E167" i="2"/>
  <c r="D42" i="3" s="1"/>
  <c r="F171" i="2"/>
  <c r="E29" i="3" s="1"/>
  <c r="F174" i="2"/>
  <c r="E37" i="3" s="1"/>
  <c r="E165" i="2"/>
  <c r="F166" i="2"/>
  <c r="E173" i="2"/>
  <c r="F165" i="2"/>
  <c r="E170" i="2"/>
  <c r="D15" i="3" s="1"/>
  <c r="E172" i="2"/>
  <c r="D27" i="3" s="1"/>
  <c r="E174" i="2"/>
  <c r="F169" i="2"/>
  <c r="E46" i="3" s="1"/>
  <c r="F167" i="2"/>
  <c r="E42" i="3" s="1"/>
  <c r="E171" i="2"/>
  <c r="F168" i="2"/>
  <c r="G61" i="2"/>
  <c r="M33" i="3"/>
  <c r="M15" i="3"/>
  <c r="M27" i="3"/>
  <c r="M19" i="3"/>
  <c r="M35" i="3"/>
  <c r="M13" i="3"/>
  <c r="M23" i="3"/>
  <c r="M39" i="3"/>
  <c r="M40" i="3"/>
  <c r="M10" i="3"/>
  <c r="M43" i="3"/>
  <c r="M42" i="3"/>
  <c r="M20" i="3"/>
  <c r="M17" i="3"/>
  <c r="M37" i="3"/>
  <c r="M14" i="3"/>
  <c r="M41" i="3"/>
  <c r="M2" i="3"/>
  <c r="M34" i="3"/>
  <c r="M24" i="3"/>
  <c r="M45" i="3"/>
  <c r="M5" i="3"/>
  <c r="M16" i="3"/>
  <c r="M38" i="3"/>
  <c r="M44" i="3"/>
  <c r="M4" i="3"/>
  <c r="M11" i="3"/>
  <c r="M29" i="3"/>
  <c r="M21" i="3"/>
  <c r="M32" i="3"/>
  <c r="M3" i="3"/>
  <c r="M28" i="3"/>
  <c r="M9" i="3"/>
  <c r="G149" i="2"/>
  <c r="G90" i="2"/>
  <c r="G58" i="2"/>
  <c r="G47" i="2"/>
  <c r="G20" i="2"/>
  <c r="E40" i="3"/>
  <c r="G96" i="2"/>
  <c r="D4" i="3"/>
  <c r="F4" i="3" s="1"/>
  <c r="G84" i="2"/>
  <c r="G55" i="2"/>
  <c r="D38" i="3"/>
  <c r="G40" i="2"/>
  <c r="G39" i="2"/>
  <c r="D44" i="3"/>
  <c r="F44" i="3" s="1"/>
  <c r="G34" i="2"/>
  <c r="D33" i="3"/>
  <c r="G27" i="2"/>
  <c r="G25" i="2"/>
  <c r="G24" i="2"/>
  <c r="G23" i="2"/>
  <c r="G18" i="2"/>
  <c r="G16" i="2"/>
  <c r="G15" i="2"/>
  <c r="G12" i="2"/>
  <c r="D43" i="3"/>
  <c r="F43" i="3" s="1"/>
  <c r="G11" i="2"/>
  <c r="D40" i="3"/>
  <c r="G10" i="2"/>
  <c r="G9" i="2"/>
  <c r="G8" i="2"/>
  <c r="G7" i="2"/>
  <c r="G6" i="2"/>
  <c r="G5" i="2"/>
  <c r="G4" i="2"/>
  <c r="G3" i="2"/>
  <c r="G2" i="2"/>
  <c r="G569" i="2" l="1"/>
  <c r="G49" i="3"/>
  <c r="J49" i="3" s="1"/>
  <c r="H49" i="3"/>
  <c r="I49" i="3"/>
  <c r="K49" i="3" s="1"/>
  <c r="G574" i="2"/>
  <c r="G565" i="2"/>
  <c r="D31" i="3"/>
  <c r="F31" i="3" s="1"/>
  <c r="G566" i="2"/>
  <c r="H31" i="3" s="1"/>
  <c r="F41" i="3"/>
  <c r="I51" i="3"/>
  <c r="K51" i="3" s="1"/>
  <c r="H51" i="3"/>
  <c r="G51" i="3"/>
  <c r="J51" i="3" s="1"/>
  <c r="G567" i="2"/>
  <c r="G573" i="2"/>
  <c r="G568" i="2"/>
  <c r="D12" i="3"/>
  <c r="F12" i="3" s="1"/>
  <c r="G572" i="2"/>
  <c r="G12" i="3" s="1"/>
  <c r="J12" i="3" s="1"/>
  <c r="E34" i="3"/>
  <c r="G570" i="2"/>
  <c r="G571" i="2"/>
  <c r="E11" i="3"/>
  <c r="D11" i="3"/>
  <c r="G31" i="3"/>
  <c r="J31" i="3" s="1"/>
  <c r="I31" i="3"/>
  <c r="K31" i="3" s="1"/>
  <c r="H7" i="3"/>
  <c r="G7" i="3"/>
  <c r="J7" i="3" s="1"/>
  <c r="I7" i="3"/>
  <c r="K7" i="3" s="1"/>
  <c r="F48" i="3"/>
  <c r="F16" i="3"/>
  <c r="I41" i="3"/>
  <c r="K41" i="3" s="1"/>
  <c r="H41" i="3"/>
  <c r="G41" i="3"/>
  <c r="J41" i="3" s="1"/>
  <c r="G48" i="3"/>
  <c r="J48" i="3" s="1"/>
  <c r="H48" i="3"/>
  <c r="I48" i="3"/>
  <c r="K48" i="3" s="1"/>
  <c r="G399" i="2"/>
  <c r="G391" i="2"/>
  <c r="G392" i="2"/>
  <c r="D36" i="3"/>
  <c r="E36" i="3"/>
  <c r="G395" i="2"/>
  <c r="G396" i="2"/>
  <c r="G398" i="2"/>
  <c r="G400" i="2"/>
  <c r="F7" i="3"/>
  <c r="F3" i="3"/>
  <c r="G394" i="2"/>
  <c r="D18" i="3"/>
  <c r="D23" i="3"/>
  <c r="D9" i="3"/>
  <c r="E9" i="3"/>
  <c r="E18" i="3"/>
  <c r="D26" i="3"/>
  <c r="E20" i="3"/>
  <c r="D24" i="3"/>
  <c r="E24" i="3"/>
  <c r="D10" i="3"/>
  <c r="D19" i="3"/>
  <c r="E19" i="3"/>
  <c r="E10" i="3"/>
  <c r="D20" i="3"/>
  <c r="H3" i="3"/>
  <c r="G3" i="3"/>
  <c r="J3" i="3" s="1"/>
  <c r="I3" i="3"/>
  <c r="K3" i="3" s="1"/>
  <c r="G393" i="2"/>
  <c r="G397" i="2"/>
  <c r="G401" i="2"/>
  <c r="G402" i="2"/>
  <c r="F47" i="3"/>
  <c r="I47" i="3"/>
  <c r="K47" i="3" s="1"/>
  <c r="G47" i="3"/>
  <c r="J47" i="3" s="1"/>
  <c r="H47" i="3"/>
  <c r="F30" i="3"/>
  <c r="G233" i="2"/>
  <c r="G236" i="2"/>
  <c r="G241" i="2"/>
  <c r="G238" i="2"/>
  <c r="G242" i="2"/>
  <c r="G239" i="2"/>
  <c r="G240" i="2"/>
  <c r="E35" i="3"/>
  <c r="D28" i="3"/>
  <c r="E17" i="3"/>
  <c r="E14" i="3"/>
  <c r="E8" i="3"/>
  <c r="E32" i="3"/>
  <c r="F22" i="3"/>
  <c r="E26" i="3"/>
  <c r="G237" i="2"/>
  <c r="E25" i="3"/>
  <c r="F25" i="3" s="1"/>
  <c r="G235" i="2"/>
  <c r="E28" i="3"/>
  <c r="D14" i="3"/>
  <c r="D17" i="3"/>
  <c r="G234" i="2"/>
  <c r="E23" i="3"/>
  <c r="H30" i="3"/>
  <c r="I30" i="3"/>
  <c r="K30" i="3" s="1"/>
  <c r="G30" i="3"/>
  <c r="J30" i="3" s="1"/>
  <c r="F6" i="3"/>
  <c r="F38" i="3"/>
  <c r="B1" i="6" a="1"/>
  <c r="F27" i="3"/>
  <c r="F33" i="3"/>
  <c r="G45" i="3"/>
  <c r="J45" i="3" s="1"/>
  <c r="I45" i="3"/>
  <c r="K45" i="3" s="1"/>
  <c r="H45" i="3"/>
  <c r="H5" i="3"/>
  <c r="G5" i="3"/>
  <c r="J5" i="3" s="1"/>
  <c r="I5" i="3"/>
  <c r="K5" i="3" s="1"/>
  <c r="G16" i="3"/>
  <c r="J16" i="3" s="1"/>
  <c r="H16" i="3"/>
  <c r="I16" i="3"/>
  <c r="K16" i="3" s="1"/>
  <c r="G173" i="2"/>
  <c r="G21" i="3" s="1"/>
  <c r="J21" i="3" s="1"/>
  <c r="D21" i="3"/>
  <c r="F21" i="3" s="1"/>
  <c r="G174" i="2"/>
  <c r="G37" i="3" s="1"/>
  <c r="J37" i="3" s="1"/>
  <c r="D37" i="3"/>
  <c r="F37" i="3" s="1"/>
  <c r="G171" i="2"/>
  <c r="G29" i="3" s="1"/>
  <c r="J29" i="3" s="1"/>
  <c r="D29" i="3"/>
  <c r="F29" i="3" s="1"/>
  <c r="G159" i="2"/>
  <c r="G161" i="2"/>
  <c r="F42" i="3"/>
  <c r="D8" i="3"/>
  <c r="G155" i="2"/>
  <c r="D34" i="3"/>
  <c r="G163" i="2"/>
  <c r="D46" i="3"/>
  <c r="F46" i="3" s="1"/>
  <c r="G169" i="2"/>
  <c r="G164" i="2"/>
  <c r="G168" i="2"/>
  <c r="G167" i="2"/>
  <c r="G42" i="3" s="1"/>
  <c r="J42" i="3" s="1"/>
  <c r="G165" i="2"/>
  <c r="G170" i="2"/>
  <c r="G172" i="2"/>
  <c r="G156" i="2"/>
  <c r="G157" i="2"/>
  <c r="G158" i="2"/>
  <c r="H13" i="3" s="1"/>
  <c r="D13" i="3"/>
  <c r="F13" i="3" s="1"/>
  <c r="G162" i="2"/>
  <c r="D35" i="3"/>
  <c r="G160" i="2"/>
  <c r="D39" i="3"/>
  <c r="F39" i="3" s="1"/>
  <c r="G166" i="2"/>
  <c r="D32" i="3"/>
  <c r="F15" i="3"/>
  <c r="F40" i="3"/>
  <c r="G4" i="3"/>
  <c r="J4" i="3" s="1"/>
  <c r="H4" i="3"/>
  <c r="I4" i="3"/>
  <c r="K4" i="3" s="1"/>
  <c r="G38" i="3"/>
  <c r="J38" i="3" s="1"/>
  <c r="H38" i="3"/>
  <c r="I38" i="3"/>
  <c r="K38" i="3" s="1"/>
  <c r="G44" i="3"/>
  <c r="J44" i="3" s="1"/>
  <c r="H44" i="3"/>
  <c r="I44" i="3"/>
  <c r="K44" i="3" s="1"/>
  <c r="H33" i="3"/>
  <c r="I33" i="3"/>
  <c r="K33" i="3" s="1"/>
  <c r="G33" i="3"/>
  <c r="J33" i="3" s="1"/>
  <c r="G43" i="3"/>
  <c r="J43" i="3" s="1"/>
  <c r="H43" i="3"/>
  <c r="I43" i="3"/>
  <c r="K43" i="3" s="1"/>
  <c r="G40" i="3"/>
  <c r="J40" i="3" s="1"/>
  <c r="H40" i="3"/>
  <c r="I40" i="3"/>
  <c r="K40" i="3" s="1"/>
  <c r="AY22" i="6" l="1" a="1"/>
  <c r="AY32" i="6" a="1"/>
  <c r="AY38" i="6" a="1"/>
  <c r="AY47" i="6" a="1"/>
  <c r="G51" i="6" a="1"/>
  <c r="R51" i="6" a="1"/>
  <c r="Z51" i="6" a="1"/>
  <c r="AJ51" i="6" a="1"/>
  <c r="AT51" i="6" a="1"/>
  <c r="AY30" i="6" a="1"/>
  <c r="AY40" i="6" a="1"/>
  <c r="B51" i="6" a="1"/>
  <c r="M51" i="6" a="1"/>
  <c r="W51" i="6" a="1"/>
  <c r="AH51" i="6" a="1"/>
  <c r="AS51" i="6" a="1"/>
  <c r="AY27" i="6" a="1"/>
  <c r="AY37" i="6" a="1"/>
  <c r="AY48" i="6" a="1"/>
  <c r="I51" i="6" a="1"/>
  <c r="S51" i="6" a="1"/>
  <c r="AF51" i="6" a="1"/>
  <c r="AQ51" i="6" a="1"/>
  <c r="AY25" i="6" a="1"/>
  <c r="AY35" i="6" a="1"/>
  <c r="AY44" i="6" a="1"/>
  <c r="C51" i="6" a="1"/>
  <c r="H51" i="6" a="1"/>
  <c r="Q51" i="6" a="1"/>
  <c r="Y51" i="6" a="1"/>
  <c r="AC51" i="6" a="1"/>
  <c r="AM51" i="6" a="1"/>
  <c r="AW51" i="6" a="1"/>
  <c r="AY28" i="6" a="1"/>
  <c r="AY39" i="6" a="1"/>
  <c r="AY50" i="6" a="1"/>
  <c r="K51" i="6" a="1"/>
  <c r="T51" i="6" a="1"/>
  <c r="AE51" i="6" a="1"/>
  <c r="AO51" i="6" a="1"/>
  <c r="AY26" i="6" a="1"/>
  <c r="AY36" i="6" a="1"/>
  <c r="AY46" i="6" a="1"/>
  <c r="F51" i="6" a="1"/>
  <c r="O51" i="6" a="1"/>
  <c r="X51" i="6" a="1"/>
  <c r="AI51" i="6" a="1"/>
  <c r="AN51" i="6" a="1"/>
  <c r="AX51" i="6" a="1"/>
  <c r="AY29" i="6" a="1"/>
  <c r="AY41" i="6" a="1"/>
  <c r="AY49" i="6" a="1"/>
  <c r="J51" i="6" a="1"/>
  <c r="U51" i="6" a="1"/>
  <c r="AD51" i="6" a="1"/>
  <c r="AP51" i="6" a="1"/>
  <c r="AY31" i="6" a="1"/>
  <c r="AY42" i="6" a="1"/>
  <c r="AY51" i="6" a="1"/>
  <c r="L51" i="6" a="1"/>
  <c r="V51" i="6" a="1"/>
  <c r="AG51" i="6" a="1"/>
  <c r="AR51" i="6" a="1"/>
  <c r="AY24" i="6" a="1"/>
  <c r="AY34" i="6" a="1"/>
  <c r="AY45" i="6" a="1"/>
  <c r="E51" i="6" a="1"/>
  <c r="P51" i="6" a="1"/>
  <c r="AB51" i="6" a="1"/>
  <c r="AL51" i="6" a="1"/>
  <c r="AU51" i="6" a="1"/>
  <c r="AY23" i="6" a="1"/>
  <c r="AY33" i="6" a="1"/>
  <c r="AY43" i="6" a="1"/>
  <c r="D51" i="6" a="1"/>
  <c r="N51" i="6" a="1"/>
  <c r="AA51" i="6" a="1"/>
  <c r="AK51" i="6" a="1"/>
  <c r="AV51" i="6" a="1"/>
  <c r="AY8" i="6" a="1"/>
  <c r="AY7" i="6" a="1"/>
  <c r="AY10" i="6" a="1"/>
  <c r="AY20" i="6" a="1"/>
  <c r="AY11" i="6" a="1"/>
  <c r="AY16" i="6" a="1"/>
  <c r="AY3" i="6" a="1"/>
  <c r="AY13" i="6" a="1"/>
  <c r="AY6" i="6" a="1"/>
  <c r="AY18" i="6" a="1"/>
  <c r="AY5" i="6" a="1"/>
  <c r="AY19" i="6" a="1"/>
  <c r="AY4" i="6" a="1"/>
  <c r="AY17" i="6" a="1"/>
  <c r="AY2" i="6" a="1"/>
  <c r="AY21" i="6" a="1"/>
  <c r="AY15" i="6" a="1"/>
  <c r="AY12" i="6" a="1"/>
  <c r="AY14" i="6" a="1"/>
  <c r="AY9" i="6" a="1"/>
  <c r="AX2" i="6" a="1"/>
  <c r="E50" i="6" a="1"/>
  <c r="AS50" i="6" a="1"/>
  <c r="AX49" i="6" a="1"/>
  <c r="AW50" i="6" a="1"/>
  <c r="AX34" i="6" a="1"/>
  <c r="AI50" i="6" a="1"/>
  <c r="AX6" i="6" a="1"/>
  <c r="AO50" i="6" a="1"/>
  <c r="AX4" i="6" a="1"/>
  <c r="AX9" i="6" a="1"/>
  <c r="AX20" i="6" a="1"/>
  <c r="AX31" i="6" a="1"/>
  <c r="AX41" i="6" a="1"/>
  <c r="B50" i="6" a="1"/>
  <c r="AX10" i="6" a="1"/>
  <c r="AX46" i="6" a="1"/>
  <c r="N50" i="6" a="1"/>
  <c r="AX14" i="6" a="1"/>
  <c r="O50" i="6" a="1"/>
  <c r="AK50" i="6" a="1"/>
  <c r="AX24" i="6" a="1"/>
  <c r="R50" i="6" a="1"/>
  <c r="AF50" i="6" a="1"/>
  <c r="AX8" i="6" a="1"/>
  <c r="AG50" i="6" a="1"/>
  <c r="V50" i="6" a="1"/>
  <c r="AX26" i="6" a="1"/>
  <c r="Z50" i="6" a="1"/>
  <c r="AV50" i="6" a="1"/>
  <c r="AX35" i="6" a="1"/>
  <c r="S50" i="6" a="1"/>
  <c r="AX39" i="6" a="1"/>
  <c r="AR50" i="6" a="1"/>
  <c r="AX28" i="6" a="1"/>
  <c r="Q50" i="6" a="1"/>
  <c r="AX13" i="6" a="1"/>
  <c r="AX25" i="6" a="1"/>
  <c r="X50" i="6" a="1"/>
  <c r="AE50" i="6" a="1"/>
  <c r="AX30" i="6" a="1"/>
  <c r="H50" i="6" a="1"/>
  <c r="AX19" i="6" a="1"/>
  <c r="AB50" i="6" a="1"/>
  <c r="AX23" i="6" a="1"/>
  <c r="AX45" i="6" a="1"/>
  <c r="F50" i="6" a="1"/>
  <c r="AP50" i="6" a="1"/>
  <c r="AX5" i="6" a="1"/>
  <c r="I50" i="6" a="1"/>
  <c r="AX37" i="6" a="1"/>
  <c r="AX36" i="6" a="1"/>
  <c r="AA50" i="6" a="1"/>
  <c r="AX17" i="6" a="1"/>
  <c r="AX50" i="6" a="1"/>
  <c r="AX32" i="6" a="1"/>
  <c r="AX3" i="6" a="1"/>
  <c r="W50" i="6" a="1"/>
  <c r="AH50" i="6" a="1"/>
  <c r="AX38" i="6" a="1"/>
  <c r="AL50" i="6" a="1"/>
  <c r="AX16" i="6" a="1"/>
  <c r="AX44" i="6" a="1"/>
  <c r="AD50" i="6" a="1"/>
  <c r="AQ50" i="6" a="1"/>
  <c r="AX12" i="6" a="1"/>
  <c r="K50" i="6" a="1"/>
  <c r="P50" i="6" a="1"/>
  <c r="AX15" i="6" a="1"/>
  <c r="AX43" i="6" a="1"/>
  <c r="Y50" i="6" a="1"/>
  <c r="AT50" i="6" a="1"/>
  <c r="U50" i="6" a="1"/>
  <c r="AX7" i="6" a="1"/>
  <c r="J50" i="6" a="1"/>
  <c r="AX48" i="6" a="1"/>
  <c r="AM50" i="6" a="1"/>
  <c r="AX33" i="6" a="1"/>
  <c r="G50" i="6" a="1"/>
  <c r="AX18" i="6" a="1"/>
  <c r="AX22" i="6" a="1"/>
  <c r="AX21" i="6" a="1"/>
  <c r="M50" i="6" a="1"/>
  <c r="AN50" i="6" a="1"/>
  <c r="AX47" i="6" a="1"/>
  <c r="T50" i="6" a="1"/>
  <c r="AJ50" i="6" a="1"/>
  <c r="AX40" i="6" a="1"/>
  <c r="AX42" i="6" a="1"/>
  <c r="AX11" i="6" a="1"/>
  <c r="L50" i="6" a="1"/>
  <c r="AC50" i="6" a="1"/>
  <c r="AX27" i="6" a="1"/>
  <c r="C50" i="6" a="1"/>
  <c r="AU50" i="6" a="1"/>
  <c r="AX29" i="6" a="1"/>
  <c r="D50" i="6" a="1"/>
  <c r="AW2" i="6" a="1"/>
  <c r="C49" i="6" a="1"/>
  <c r="AW45" i="6" a="1"/>
  <c r="AT49" i="6" a="1"/>
  <c r="B49" i="6" a="1"/>
  <c r="AW16" i="6" a="1"/>
  <c r="AW10" i="6" a="1"/>
  <c r="AS49" i="6" a="1"/>
  <c r="AG49" i="6" a="1"/>
  <c r="AW12" i="6" a="1"/>
  <c r="AW18" i="6" a="1"/>
  <c r="AW24" i="6" a="1"/>
  <c r="AW31" i="6" a="1"/>
  <c r="AW38" i="6" a="1"/>
  <c r="AW49" i="6" a="1"/>
  <c r="K49" i="6" a="1"/>
  <c r="W49" i="6" a="1"/>
  <c r="AH49" i="6" a="1"/>
  <c r="V49" i="6" a="1"/>
  <c r="AW14" i="6" a="1"/>
  <c r="AW43" i="6" a="1"/>
  <c r="AW44" i="6" a="1"/>
  <c r="S49" i="6" a="1"/>
  <c r="AJ49" i="6" a="1"/>
  <c r="AW36" i="6" a="1"/>
  <c r="AW21" i="6" a="1"/>
  <c r="AW11" i="6" a="1"/>
  <c r="AW8" i="6" a="1"/>
  <c r="AW46" i="6" a="1"/>
  <c r="AD49" i="6" a="1"/>
  <c r="Y49" i="6" a="1"/>
  <c r="AW32" i="6" a="1"/>
  <c r="AW3" i="6" a="1"/>
  <c r="AQ49" i="6" a="1"/>
  <c r="AB49" i="6" a="1"/>
  <c r="AW23" i="6" a="1"/>
  <c r="AW13" i="6" a="1"/>
  <c r="AW40" i="6" a="1"/>
  <c r="AO49" i="6" a="1"/>
  <c r="AI49" i="6" a="1"/>
  <c r="AW39" i="6" a="1"/>
  <c r="AW9" i="6" a="1"/>
  <c r="AW4" i="6" a="1"/>
  <c r="AM49" i="6" a="1"/>
  <c r="AW30" i="6" a="1"/>
  <c r="AW19" i="6" a="1"/>
  <c r="AW35" i="6" a="1"/>
  <c r="R49" i="6" a="1"/>
  <c r="N49" i="6" a="1"/>
  <c r="AW25" i="6" a="1"/>
  <c r="AL49" i="6" a="1"/>
  <c r="AF49" i="6" a="1"/>
  <c r="AW34" i="6" a="1"/>
  <c r="AW17" i="6" a="1"/>
  <c r="AW26" i="6" a="1"/>
  <c r="F49" i="6" a="1"/>
  <c r="E49" i="6" a="1"/>
  <c r="AV49" i="6" a="1"/>
  <c r="Z49" i="6" a="1"/>
  <c r="U49" i="6" a="1"/>
  <c r="AW41" i="6" a="1"/>
  <c r="J49" i="6" a="1"/>
  <c r="AW7" i="6" a="1"/>
  <c r="I49" i="6" a="1"/>
  <c r="T49" i="6" a="1"/>
  <c r="AC49" i="6" a="1"/>
  <c r="O49" i="6" a="1"/>
  <c r="AW47" i="6" a="1"/>
  <c r="Q49" i="6" a="1"/>
  <c r="AW48" i="6" a="1"/>
  <c r="AW27" i="6" a="1"/>
  <c r="AN49" i="6" a="1"/>
  <c r="AE49" i="6" a="1"/>
  <c r="L49" i="6" a="1"/>
  <c r="X49" i="6" a="1"/>
  <c r="AW29" i="6" a="1"/>
  <c r="AW28" i="6" a="1"/>
  <c r="AW5" i="6" a="1"/>
  <c r="AR49" i="6" a="1"/>
  <c r="AW33" i="6" a="1"/>
  <c r="AA49" i="6" a="1"/>
  <c r="AP49" i="6" a="1"/>
  <c r="AK49" i="6" a="1"/>
  <c r="AU49" i="6" a="1"/>
  <c r="H49" i="6" a="1"/>
  <c r="D49" i="6" a="1"/>
  <c r="AW37" i="6" a="1"/>
  <c r="AW20" i="6" a="1"/>
  <c r="P49" i="6" a="1"/>
  <c r="G49" i="6" a="1"/>
  <c r="AW42" i="6" a="1"/>
  <c r="M49" i="6" a="1"/>
  <c r="AW22" i="6" a="1"/>
  <c r="AW15" i="6" a="1"/>
  <c r="AW6" i="6" a="1"/>
  <c r="I12" i="3"/>
  <c r="K12" i="3" s="1"/>
  <c r="H12" i="3"/>
  <c r="F34" i="3"/>
  <c r="G20" i="3"/>
  <c r="J20" i="3" s="1"/>
  <c r="H20" i="3"/>
  <c r="I20" i="3"/>
  <c r="K20" i="3" s="1"/>
  <c r="F11" i="3"/>
  <c r="I22" i="3"/>
  <c r="K22" i="3" s="1"/>
  <c r="G22" i="3"/>
  <c r="J22" i="3" s="1"/>
  <c r="H22" i="3"/>
  <c r="AV10" i="6" a="1"/>
  <c r="AV47" i="6" a="1"/>
  <c r="AG48" i="6" a="1"/>
  <c r="AV27" i="6" a="1"/>
  <c r="AV17" i="6" a="1"/>
  <c r="AV9" i="6" a="1"/>
  <c r="AV4" i="6" a="1"/>
  <c r="AV6" i="6" a="1"/>
  <c r="AU48" i="6" a="1"/>
  <c r="AV5" i="6" a="1"/>
  <c r="AV14" i="6" a="1"/>
  <c r="AV22" i="6" a="1"/>
  <c r="AV35" i="6" a="1"/>
  <c r="AV46" i="6" a="1"/>
  <c r="L48" i="6" a="1"/>
  <c r="AH48" i="6" a="1"/>
  <c r="E48" i="6" a="1"/>
  <c r="AV38" i="6" a="1"/>
  <c r="AV48" i="6" a="1"/>
  <c r="V48" i="6" a="1"/>
  <c r="AV36" i="6" a="1"/>
  <c r="AV26" i="6" a="1"/>
  <c r="AV3" i="6" a="1"/>
  <c r="AR48" i="6" a="1"/>
  <c r="AL48" i="6" a="1"/>
  <c r="Z48" i="6" a="1"/>
  <c r="AD48" i="6" a="1"/>
  <c r="H48" i="6" a="1"/>
  <c r="Y48" i="6" a="1"/>
  <c r="AE48" i="6" a="1"/>
  <c r="AV7" i="6" a="1"/>
  <c r="AB48" i="6" a="1"/>
  <c r="D48" i="6" a="1"/>
  <c r="Q48" i="6" a="1"/>
  <c r="AV15" i="6" a="1"/>
  <c r="AV43" i="6" a="1"/>
  <c r="AV30" i="6" a="1"/>
  <c r="B48" i="6" a="1"/>
  <c r="AC48" i="6" a="1"/>
  <c r="T48" i="6" a="1"/>
  <c r="X48" i="6" a="1"/>
  <c r="AA48" i="6" a="1"/>
  <c r="O48" i="6" a="1"/>
  <c r="AV31" i="6" a="1"/>
  <c r="AV39" i="6" a="1"/>
  <c r="M48" i="6" a="1"/>
  <c r="AM48" i="6" a="1"/>
  <c r="K48" i="6" a="1"/>
  <c r="AV40" i="6" a="1"/>
  <c r="G48" i="6" a="1"/>
  <c r="F48" i="6" a="1"/>
  <c r="AN48" i="6" a="1"/>
  <c r="U48" i="6" a="1"/>
  <c r="R48" i="6" a="1"/>
  <c r="AO48" i="6" a="1"/>
  <c r="AV8" i="6" a="1"/>
  <c r="AJ48" i="6" a="1"/>
  <c r="N48" i="6" a="1"/>
  <c r="AV44" i="6" a="1"/>
  <c r="AT48" i="6" a="1"/>
  <c r="AK48" i="6" a="1"/>
  <c r="AV24" i="6" a="1"/>
  <c r="AV23" i="6" a="1"/>
  <c r="AV37" i="6" a="1"/>
  <c r="S48" i="6" a="1"/>
  <c r="C48" i="6" a="1"/>
  <c r="AV28" i="6" a="1"/>
  <c r="AV34" i="6" a="1"/>
  <c r="AV32" i="6" a="1"/>
  <c r="AV21" i="6" a="1"/>
  <c r="AP48" i="6" a="1"/>
  <c r="AV25" i="6" a="1"/>
  <c r="I48" i="6" a="1"/>
  <c r="AV41" i="6" a="1"/>
  <c r="AV18" i="6" a="1"/>
  <c r="AV19" i="6" a="1"/>
  <c r="AV20" i="6" a="1"/>
  <c r="P48" i="6" a="1"/>
  <c r="AI48" i="6" a="1"/>
  <c r="AQ48" i="6" a="1"/>
  <c r="AV45" i="6" a="1"/>
  <c r="AV33" i="6" a="1"/>
  <c r="AV13" i="6" a="1"/>
  <c r="AV11" i="6" a="1"/>
  <c r="AV42" i="6" a="1"/>
  <c r="AV2" i="6" a="1"/>
  <c r="AV29" i="6" a="1"/>
  <c r="J48" i="6" a="1"/>
  <c r="AV16" i="6" a="1"/>
  <c r="AV12" i="6" a="1"/>
  <c r="AS48" i="6" a="1"/>
  <c r="AF48" i="6" a="1"/>
  <c r="W48" i="6" a="1"/>
  <c r="AU12" i="6" a="1"/>
  <c r="B46" i="6" a="1"/>
  <c r="AB46" i="6" a="1"/>
  <c r="AL46" i="6" a="1"/>
  <c r="AT14" i="6" a="1"/>
  <c r="AL47" i="6" a="1"/>
  <c r="B47" i="6" a="1"/>
  <c r="AT36" i="6" a="1"/>
  <c r="T46" i="6" a="1"/>
  <c r="AT31" i="6" a="1"/>
  <c r="AT20" i="6" a="1"/>
  <c r="AR47" i="6" a="1"/>
  <c r="AR46" i="6" a="1"/>
  <c r="AT37" i="6" a="1"/>
  <c r="Y47" i="6" a="1"/>
  <c r="AT42" i="6" a="1"/>
  <c r="F46" i="6" a="1"/>
  <c r="O46" i="6" a="1"/>
  <c r="Y46" i="6" a="1"/>
  <c r="C47" i="6" a="1"/>
  <c r="J47" i="6" a="1"/>
  <c r="U47" i="6" a="1"/>
  <c r="AD47" i="6" a="1"/>
  <c r="K47" i="6" a="1"/>
  <c r="AQ46" i="6" a="1"/>
  <c r="C46" i="6" a="1"/>
  <c r="AU25" i="6" a="1"/>
  <c r="M47" i="6" a="1"/>
  <c r="M46" i="6" a="1"/>
  <c r="AU6" i="6" a="1"/>
  <c r="W46" i="6" a="1"/>
  <c r="D47" i="6" a="1"/>
  <c r="O47" i="6" a="1"/>
  <c r="AB47" i="6" a="1"/>
  <c r="AM47" i="6" a="1"/>
  <c r="AU13" i="6" a="1"/>
  <c r="AU17" i="6" a="1"/>
  <c r="AU20" i="6" a="1"/>
  <c r="AU30" i="6" a="1"/>
  <c r="AU42" i="6" a="1"/>
  <c r="AT6" i="6" a="1"/>
  <c r="AT18" i="6" a="1"/>
  <c r="AT28" i="6" a="1"/>
  <c r="P46" i="6" a="1"/>
  <c r="AU8" i="6" a="1"/>
  <c r="AT12" i="6" a="1"/>
  <c r="F47" i="6" a="1"/>
  <c r="AG46" i="6" a="1"/>
  <c r="S47" i="6" a="1"/>
  <c r="AT46" i="6" a="1"/>
  <c r="AT35" i="6" a="1"/>
  <c r="AN47" i="6" a="1"/>
  <c r="AU26" i="6" a="1"/>
  <c r="AG47" i="6" a="1"/>
  <c r="L47" i="6" a="1"/>
  <c r="J46" i="6" a="1"/>
  <c r="AU36" i="6" a="1"/>
  <c r="W47" i="6" a="1"/>
  <c r="AT40" i="6" a="1"/>
  <c r="AU5" i="6" a="1"/>
  <c r="AU34" i="6" a="1"/>
  <c r="AT29" i="6" a="1"/>
  <c r="AI47" i="6" a="1"/>
  <c r="AI46" i="6" a="1"/>
  <c r="AP47" i="6" a="1"/>
  <c r="AS46" i="6" a="1"/>
  <c r="AT8" i="6" a="1"/>
  <c r="E46" i="6" a="1"/>
  <c r="AU32" i="6" a="1"/>
  <c r="AU46" i="6" a="1"/>
  <c r="AU35" i="6" a="1"/>
  <c r="AJ47" i="6" a="1"/>
  <c r="AU40" i="6" a="1"/>
  <c r="AA46" i="6" a="1"/>
  <c r="AT33" i="6" a="1"/>
  <c r="AU29" i="6" a="1"/>
  <c r="Z46" i="6" a="1"/>
  <c r="AU3" i="6" a="1"/>
  <c r="AU4" i="6" a="1"/>
  <c r="AU18" i="6" a="1"/>
  <c r="I46" i="6" a="1"/>
  <c r="AC46" i="6" a="1"/>
  <c r="AM46" i="6" a="1"/>
  <c r="AT2" i="6" a="1"/>
  <c r="AU22" i="6" a="1"/>
  <c r="I47" i="6" a="1"/>
  <c r="AT26" i="6" a="1"/>
  <c r="AT44" i="6" a="1"/>
  <c r="G46" i="6" a="1"/>
  <c r="AT39" i="6" a="1"/>
  <c r="AU47" i="6" a="1"/>
  <c r="AK47" i="6" a="1"/>
  <c r="AT47" i="6" a="1"/>
  <c r="AU7" i="6" a="1"/>
  <c r="AT5" i="6" a="1"/>
  <c r="Q47" i="6" a="1"/>
  <c r="AH46" i="6" a="1"/>
  <c r="AE47" i="6" a="1"/>
  <c r="L46" i="6" a="1"/>
  <c r="AT27" i="6" a="1"/>
  <c r="AC47" i="6" a="1"/>
  <c r="AU37" i="6" a="1"/>
  <c r="AP46" i="6" a="1"/>
  <c r="S46" i="6" a="1"/>
  <c r="AT30" i="6" a="1"/>
  <c r="AT13" i="6" a="1"/>
  <c r="AU15" i="6" a="1"/>
  <c r="D46" i="6" a="1"/>
  <c r="AU9" i="6" a="1"/>
  <c r="AU16" i="6" a="1"/>
  <c r="R46" i="6" a="1"/>
  <c r="AD46" i="6" a="1"/>
  <c r="AO46" i="6" a="1"/>
  <c r="AT24" i="6" a="1"/>
  <c r="AU33" i="6" a="1"/>
  <c r="X46" i="6" a="1"/>
  <c r="AT16" i="6" a="1"/>
  <c r="AT32" i="6" a="1"/>
  <c r="AT21" i="6" a="1"/>
  <c r="AU31" i="6" a="1"/>
  <c r="X47" i="6" a="1"/>
  <c r="K46" i="6" a="1"/>
  <c r="AT15" i="6" a="1"/>
  <c r="AF47" i="6" a="1"/>
  <c r="AU41" i="6" a="1"/>
  <c r="AN46" i="6" a="1"/>
  <c r="AE46" i="6" a="1"/>
  <c r="H47" i="6" a="1"/>
  <c r="AT34" i="6" a="1"/>
  <c r="AU44" i="6" a="1"/>
  <c r="T47" i="6" a="1"/>
  <c r="AO47" i="6" a="1"/>
  <c r="H46" i="6" a="1"/>
  <c r="AT43" i="6" a="1"/>
  <c r="AT11" i="6" a="1"/>
  <c r="AH47" i="6" a="1"/>
  <c r="U46" i="6" a="1"/>
  <c r="AT25" i="6" a="1"/>
  <c r="AS47" i="6" a="1"/>
  <c r="AU28" i="6" a="1"/>
  <c r="AT38" i="6" a="1"/>
  <c r="AQ47" i="6" a="1"/>
  <c r="AJ46" i="6" a="1"/>
  <c r="AU27" i="6" a="1"/>
  <c r="N47" i="6" a="1"/>
  <c r="AT17" i="6" a="1"/>
  <c r="N46" i="6" a="1"/>
  <c r="AU43" i="6" a="1"/>
  <c r="AT10" i="6" a="1"/>
  <c r="AU45" i="6" a="1"/>
  <c r="V47" i="6" a="1"/>
  <c r="AT3" i="6" a="1"/>
  <c r="E47" i="6" a="1"/>
  <c r="AT45" i="6" a="1"/>
  <c r="AU39" i="6" a="1"/>
  <c r="G47" i="6" a="1"/>
  <c r="AU2" i="6" a="1"/>
  <c r="AU10" i="6" a="1"/>
  <c r="AU14" i="6" a="1"/>
  <c r="AT19" i="6" a="1"/>
  <c r="Z47" i="6" a="1"/>
  <c r="AF46" i="6" a="1"/>
  <c r="AK46" i="6" a="1"/>
  <c r="AU38" i="6" a="1"/>
  <c r="V46" i="6" a="1"/>
  <c r="AA47" i="6" a="1"/>
  <c r="AT41" i="6" a="1"/>
  <c r="AU21" i="6" a="1"/>
  <c r="AT7" i="6" a="1"/>
  <c r="AT22" i="6" a="1"/>
  <c r="AU24" i="6" a="1"/>
  <c r="AT9" i="6" a="1"/>
  <c r="AU23" i="6" a="1"/>
  <c r="Q46" i="6" a="1"/>
  <c r="P47" i="6" a="1"/>
  <c r="AT23" i="6" a="1"/>
  <c r="AU19" i="6" a="1"/>
  <c r="AT4" i="6" a="1"/>
  <c r="R47" i="6" a="1"/>
  <c r="AU11" i="6" a="1"/>
  <c r="AS28" i="6" a="1"/>
  <c r="AS31" i="6" a="1"/>
  <c r="AS36" i="6" a="1"/>
  <c r="AS39" i="6" a="1"/>
  <c r="AS42" i="6" a="1"/>
  <c r="C45" i="6" a="1"/>
  <c r="F45" i="6" a="1"/>
  <c r="I45" i="6" a="1"/>
  <c r="L45" i="6" a="1"/>
  <c r="Q45" i="6" a="1"/>
  <c r="V45" i="6" a="1"/>
  <c r="Z45" i="6" a="1"/>
  <c r="AB45" i="6" a="1"/>
  <c r="AF45" i="6" a="1"/>
  <c r="AK45" i="6" a="1"/>
  <c r="AO45" i="6" a="1"/>
  <c r="AQ45" i="6" a="1"/>
  <c r="AR45" i="6" a="1"/>
  <c r="AS34" i="6" a="1"/>
  <c r="AS37" i="6" a="1"/>
  <c r="AS41" i="6" a="1"/>
  <c r="AS44" i="6" a="1"/>
  <c r="E45" i="6" a="1"/>
  <c r="M45" i="6" a="1"/>
  <c r="O45" i="6" a="1"/>
  <c r="T45" i="6" a="1"/>
  <c r="W45" i="6" a="1"/>
  <c r="AA45" i="6" a="1"/>
  <c r="AD45" i="6" a="1"/>
  <c r="AH45" i="6" a="1"/>
  <c r="AL45" i="6" a="1"/>
  <c r="AP45" i="6" a="1"/>
  <c r="AS29" i="6" a="1"/>
  <c r="AS32" i="6" a="1"/>
  <c r="AS35" i="6" a="1"/>
  <c r="AS38" i="6" a="1"/>
  <c r="AS43" i="6" a="1"/>
  <c r="B45" i="6" a="1"/>
  <c r="G45" i="6" a="1"/>
  <c r="H45" i="6" a="1"/>
  <c r="K45" i="6" a="1"/>
  <c r="P45" i="6" a="1"/>
  <c r="U45" i="6" a="1"/>
  <c r="Y45" i="6" a="1"/>
  <c r="AC45" i="6" a="1"/>
  <c r="AG45" i="6" a="1"/>
  <c r="AJ45" i="6" a="1"/>
  <c r="AN45" i="6" a="1"/>
  <c r="AS30" i="6" a="1"/>
  <c r="AS33" i="6" a="1"/>
  <c r="AS40" i="6" a="1"/>
  <c r="AS45" i="6" a="1"/>
  <c r="D45" i="6" a="1"/>
  <c r="J45" i="6" a="1"/>
  <c r="N45" i="6" a="1"/>
  <c r="S45" i="6" a="1"/>
  <c r="X45" i="6" a="1"/>
  <c r="AE45" i="6" a="1"/>
  <c r="AI45" i="6" a="1"/>
  <c r="AM45" i="6" a="1"/>
  <c r="AS16" i="6" a="1"/>
  <c r="AS19" i="6" a="1"/>
  <c r="AS12" i="6" a="1"/>
  <c r="AS26" i="6" a="1"/>
  <c r="AS2" i="6" a="1"/>
  <c r="AS14" i="6" a="1"/>
  <c r="AS7" i="6" a="1"/>
  <c r="AS25" i="6" a="1"/>
  <c r="R45" i="6" a="1"/>
  <c r="AS4" i="6" a="1"/>
  <c r="AS21" i="6" a="1"/>
  <c r="AS23" i="6" a="1"/>
  <c r="AS22" i="6" a="1"/>
  <c r="AS27" i="6" a="1"/>
  <c r="AS20" i="6" a="1"/>
  <c r="AS17" i="6" a="1"/>
  <c r="AS13" i="6" a="1"/>
  <c r="AS11" i="6" a="1"/>
  <c r="AS9" i="6" a="1"/>
  <c r="AS8" i="6" a="1"/>
  <c r="AS10" i="6" a="1"/>
  <c r="AS6" i="6" a="1"/>
  <c r="AS24" i="6" a="1"/>
  <c r="AS15" i="6" a="1"/>
  <c r="AS3" i="6" a="1"/>
  <c r="AS5" i="6" a="1"/>
  <c r="AS18" i="6" a="1"/>
  <c r="F26" i="3"/>
  <c r="I9" i="3"/>
  <c r="K9" i="3" s="1"/>
  <c r="F18" i="3"/>
  <c r="H9" i="3"/>
  <c r="G9" i="3"/>
  <c r="J9" i="3" s="1"/>
  <c r="I18" i="3"/>
  <c r="K18" i="3" s="1"/>
  <c r="H18" i="3"/>
  <c r="G18" i="3"/>
  <c r="J18" i="3" s="1"/>
  <c r="H36" i="3"/>
  <c r="F9" i="3"/>
  <c r="I36" i="3"/>
  <c r="K36" i="3" s="1"/>
  <c r="AQ2" i="6" a="1"/>
  <c r="AR16" i="6" a="1"/>
  <c r="AR29" i="6" a="1"/>
  <c r="AR42" i="6" a="1"/>
  <c r="I44" i="6" a="1"/>
  <c r="O43" i="6" a="1"/>
  <c r="V43" i="6" a="1"/>
  <c r="AC43" i="6" a="1"/>
  <c r="AK43" i="6" a="1"/>
  <c r="AR20" i="6" a="1"/>
  <c r="AQ40" i="6" a="1"/>
  <c r="U44" i="6" a="1"/>
  <c r="AR13" i="6" a="1"/>
  <c r="AQ37" i="6" a="1"/>
  <c r="AQ23" i="6" a="1"/>
  <c r="H44" i="6" a="1"/>
  <c r="N44" i="6" a="1"/>
  <c r="S44" i="6" a="1"/>
  <c r="X44" i="6" a="1"/>
  <c r="AC44" i="6" a="1"/>
  <c r="AI44" i="6" a="1"/>
  <c r="AN44" i="6" a="1"/>
  <c r="AR3" i="6" a="1"/>
  <c r="AQ6" i="6" a="1"/>
  <c r="AR18" i="6" a="1"/>
  <c r="AR37" i="6" a="1"/>
  <c r="K44" i="6" a="1"/>
  <c r="AR9" i="6" a="1"/>
  <c r="AR30" i="6" a="1"/>
  <c r="AN43" i="6" a="1"/>
  <c r="AQ43" i="6" a="1"/>
  <c r="O44" i="6" a="1"/>
  <c r="T44" i="6" a="1"/>
  <c r="Y44" i="6" a="1"/>
  <c r="AE44" i="6" a="1"/>
  <c r="AJ44" i="6" a="1"/>
  <c r="AO44" i="6" a="1"/>
  <c r="AR2" i="6" a="1"/>
  <c r="AR4" i="6" a="1"/>
  <c r="AR6" i="6" a="1"/>
  <c r="AR8" i="6" a="1"/>
  <c r="AR10" i="6" a="1"/>
  <c r="AR12" i="6" a="1"/>
  <c r="AQ15" i="6" a="1"/>
  <c r="AQ17" i="6" a="1"/>
  <c r="AQ19" i="6" a="1"/>
  <c r="AR34" i="6" a="1"/>
  <c r="L44" i="6" a="1"/>
  <c r="AQ11" i="6" a="1"/>
  <c r="AR17" i="6" a="1"/>
  <c r="AQ36" i="6" a="1"/>
  <c r="AP43" i="6" a="1"/>
  <c r="AH44" i="6" a="1"/>
  <c r="U43" i="6" a="1"/>
  <c r="AD43" i="6" a="1"/>
  <c r="AM43" i="6" a="1"/>
  <c r="AR27" i="6" a="1"/>
  <c r="M43" i="6" a="1"/>
  <c r="AR7" i="6" a="1"/>
  <c r="AR28" i="6" a="1"/>
  <c r="L43" i="6" a="1"/>
  <c r="AR26" i="6" a="1"/>
  <c r="F43" i="6" a="1"/>
  <c r="W44" i="6" a="1"/>
  <c r="D43" i="6" a="1"/>
  <c r="AP44" i="6" a="1"/>
  <c r="AQ24" i="6" a="1"/>
  <c r="AR43" i="6" a="1"/>
  <c r="AQ28" i="6" a="1"/>
  <c r="J43" i="6" a="1"/>
  <c r="AL44" i="6" a="1"/>
  <c r="AJ43" i="6" a="1"/>
  <c r="AQ16" i="6" a="1"/>
  <c r="AR35" i="6" a="1"/>
  <c r="P44" i="6" a="1"/>
  <c r="AR11" i="6" a="1"/>
  <c r="AQ33" i="6" a="1"/>
  <c r="D44" i="6" a="1"/>
  <c r="AR36" i="6" a="1"/>
  <c r="G44" i="6" a="1"/>
  <c r="AQ5" i="6" a="1"/>
  <c r="AR25" i="6" a="1"/>
  <c r="AQ34" i="6" a="1"/>
  <c r="G43" i="6" a="1"/>
  <c r="AD44" i="6" a="1"/>
  <c r="T43" i="6" a="1"/>
  <c r="AA43" i="6" a="1"/>
  <c r="AI43" i="6" a="1"/>
  <c r="AQ14" i="6" a="1"/>
  <c r="AR33" i="6" a="1"/>
  <c r="AO43" i="6" a="1"/>
  <c r="AQ3" i="6" a="1"/>
  <c r="AQ22" i="6" a="1"/>
  <c r="C43" i="6" a="1"/>
  <c r="AQ30" i="6" a="1"/>
  <c r="B44" i="6" a="1"/>
  <c r="AQ13" i="6" a="1"/>
  <c r="AR19" i="6" a="1"/>
  <c r="AQ32" i="6" a="1"/>
  <c r="E43" i="6" a="1"/>
  <c r="V44" i="6" a="1"/>
  <c r="S43" i="6" a="1"/>
  <c r="Z43" i="6" a="1"/>
  <c r="AH43" i="6" a="1"/>
  <c r="AQ12" i="6" a="1"/>
  <c r="AQ31" i="6" a="1"/>
  <c r="E44" i="6" a="1"/>
  <c r="AR5" i="6" a="1"/>
  <c r="AQ27" i="6" a="1"/>
  <c r="H43" i="6" a="1"/>
  <c r="AR32" i="6" a="1"/>
  <c r="AL43" i="6" a="1"/>
  <c r="AR14" i="6" a="1"/>
  <c r="AR31" i="6" a="1"/>
  <c r="AR44" i="6" a="1"/>
  <c r="M44" i="6" a="1"/>
  <c r="R43" i="6" a="1"/>
  <c r="AB43" i="6" a="1"/>
  <c r="AQ9" i="6" a="1"/>
  <c r="AR21" i="6" a="1"/>
  <c r="AR39" i="6" a="1"/>
  <c r="N43" i="6" a="1"/>
  <c r="AA44" i="6" a="1"/>
  <c r="Q43" i="6" a="1"/>
  <c r="Y43" i="6" a="1"/>
  <c r="AG43" i="6" a="1"/>
  <c r="AQ10" i="6" a="1"/>
  <c r="AR22" i="6" a="1"/>
  <c r="AQ42" i="6" a="1"/>
  <c r="Z44" i="6" a="1"/>
  <c r="AR15" i="6" a="1"/>
  <c r="AQ35" i="6" a="1"/>
  <c r="J44" i="6" a="1"/>
  <c r="AR38" i="6" a="1"/>
  <c r="AB44" i="6" a="1"/>
  <c r="AQ7" i="6" a="1"/>
  <c r="AR23" i="6" a="1"/>
  <c r="AQ38" i="6" a="1"/>
  <c r="K43" i="6" a="1"/>
  <c r="R44" i="6" a="1"/>
  <c r="P43" i="6" a="1"/>
  <c r="X43" i="6" a="1"/>
  <c r="AF43" i="6" a="1"/>
  <c r="AQ8" i="6" a="1"/>
  <c r="AR24" i="6" a="1"/>
  <c r="AQ44" i="6" a="1"/>
  <c r="AF44" i="6" a="1"/>
  <c r="AQ18" i="6" a="1"/>
  <c r="AQ39" i="6" a="1"/>
  <c r="AQ21" i="6" a="1"/>
  <c r="AR40" i="6" a="1"/>
  <c r="AG44" i="6" a="1"/>
  <c r="AQ4" i="6" a="1"/>
  <c r="AQ26" i="6" a="1"/>
  <c r="AQ41" i="6" a="1"/>
  <c r="F44" i="6" a="1"/>
  <c r="AM44" i="6" a="1"/>
  <c r="W43" i="6" a="1"/>
  <c r="AE43" i="6" a="1"/>
  <c r="C44" i="6" a="1"/>
  <c r="AQ29" i="6" a="1"/>
  <c r="I43" i="6" a="1"/>
  <c r="AK44" i="6" a="1"/>
  <c r="AQ20" i="6" a="1"/>
  <c r="AR41" i="6" a="1"/>
  <c r="AQ25" i="6" a="1"/>
  <c r="B43" i="6" a="1"/>
  <c r="Q44" i="6" a="1"/>
  <c r="G36" i="3"/>
  <c r="J36" i="3" s="1"/>
  <c r="F36" i="3"/>
  <c r="F24" i="3"/>
  <c r="F10" i="3"/>
  <c r="F19" i="3"/>
  <c r="F20" i="3"/>
  <c r="F23" i="3"/>
  <c r="G10" i="3"/>
  <c r="J10" i="3" s="1"/>
  <c r="G13" i="3"/>
  <c r="J13" i="3" s="1"/>
  <c r="I13" i="3"/>
  <c r="K13" i="3" s="1"/>
  <c r="AP12" i="6" a="1"/>
  <c r="AP19" i="6" a="1"/>
  <c r="AP24" i="6" a="1"/>
  <c r="AP30" i="6" a="1"/>
  <c r="AP37" i="6" a="1"/>
  <c r="J42" i="6" a="1"/>
  <c r="S42" i="6" a="1"/>
  <c r="Z42" i="6" a="1"/>
  <c r="AG42" i="6" a="1"/>
  <c r="AN42" i="6" a="1"/>
  <c r="D42" i="6" a="1"/>
  <c r="E42" i="6" a="1"/>
  <c r="F42" i="6" a="1"/>
  <c r="G42" i="6" a="1"/>
  <c r="H42" i="6" a="1"/>
  <c r="I42" i="6" a="1"/>
  <c r="P42" i="6" a="1"/>
  <c r="X42" i="6" a="1"/>
  <c r="AE42" i="6" a="1"/>
  <c r="AL42" i="6" a="1"/>
  <c r="AP18" i="6" a="1"/>
  <c r="AP25" i="6" a="1"/>
  <c r="AP31" i="6" a="1"/>
  <c r="AP38" i="6" a="1"/>
  <c r="L42" i="6" a="1"/>
  <c r="T42" i="6" a="1"/>
  <c r="AA42" i="6" a="1"/>
  <c r="AH42" i="6" a="1"/>
  <c r="AO42" i="6" a="1"/>
  <c r="AP14" i="6" a="1"/>
  <c r="AP20" i="6" a="1"/>
  <c r="AP26" i="6" a="1"/>
  <c r="AP32" i="6" a="1"/>
  <c r="AP39" i="6" a="1"/>
  <c r="K42" i="6" a="1"/>
  <c r="R42" i="6" a="1"/>
  <c r="Y42" i="6" a="1"/>
  <c r="AF42" i="6" a="1"/>
  <c r="AM42" i="6" a="1"/>
  <c r="AP11" i="6" a="1"/>
  <c r="AP16" i="6" a="1"/>
  <c r="AP22" i="6" a="1"/>
  <c r="AP27" i="6" a="1"/>
  <c r="AP33" i="6" a="1"/>
  <c r="AP36" i="6" a="1"/>
  <c r="AP42" i="6" a="1"/>
  <c r="O42" i="6" a="1"/>
  <c r="V42" i="6" a="1"/>
  <c r="AC42" i="6" a="1"/>
  <c r="AI42" i="6" a="1"/>
  <c r="AP15" i="6" a="1"/>
  <c r="AP21" i="6" a="1"/>
  <c r="AP28" i="6" a="1"/>
  <c r="AP34" i="6" a="1"/>
  <c r="AP41" i="6" a="1"/>
  <c r="N42" i="6" a="1"/>
  <c r="U42" i="6" a="1"/>
  <c r="AB42" i="6" a="1"/>
  <c r="AJ42" i="6" a="1"/>
  <c r="AP13" i="6" a="1"/>
  <c r="AP17" i="6" a="1"/>
  <c r="AP23" i="6" a="1"/>
  <c r="AP29" i="6" a="1"/>
  <c r="AP35" i="6" a="1"/>
  <c r="AP40" i="6" a="1"/>
  <c r="M42" i="6" a="1"/>
  <c r="Q42" i="6" a="1"/>
  <c r="W42" i="6" a="1"/>
  <c r="AD42" i="6" a="1"/>
  <c r="AK42" i="6" a="1"/>
  <c r="AP8" i="6" a="1"/>
  <c r="AP4" i="6" a="1"/>
  <c r="AP10" i="6" a="1"/>
  <c r="AP5" i="6" a="1"/>
  <c r="AP6" i="6" a="1"/>
  <c r="AP3" i="6" a="1"/>
  <c r="AP7" i="6" a="1"/>
  <c r="AP9" i="6" a="1"/>
  <c r="C42" i="6" a="1"/>
  <c r="AP2" i="6" a="1"/>
  <c r="AO2" i="6" a="1"/>
  <c r="AO15" i="6" a="1"/>
  <c r="AO19" i="6" a="1"/>
  <c r="AO27" i="6" a="1"/>
  <c r="AO31" i="6" a="1"/>
  <c r="Z41" i="6" a="1"/>
  <c r="AK41" i="6" a="1"/>
  <c r="W23" i="6" a="1"/>
  <c r="AB41" i="6" a="1"/>
  <c r="O15" i="6" a="1"/>
  <c r="AC29" i="6" a="1"/>
  <c r="AO7" i="6" a="1"/>
  <c r="H41" i="6" a="1"/>
  <c r="K41" i="6" a="1"/>
  <c r="U41" i="6" a="1"/>
  <c r="AJ41" i="6" a="1"/>
  <c r="AB28" i="6" a="1"/>
  <c r="L41" i="6" a="1"/>
  <c r="U21" i="6" a="1"/>
  <c r="AO34" i="6" a="1"/>
  <c r="D4" i="6" a="1"/>
  <c r="E5" i="6" a="1"/>
  <c r="AO3" i="6" a="1"/>
  <c r="AO6" i="6" a="1"/>
  <c r="AO9" i="6" a="1"/>
  <c r="AO36" i="6" a="1"/>
  <c r="AN41" i="6" a="1"/>
  <c r="G41" i="6" a="1"/>
  <c r="W41" i="6" a="1"/>
  <c r="R18" i="6" a="1"/>
  <c r="AH34" i="6" a="1"/>
  <c r="P16" i="6" a="1"/>
  <c r="AO37" i="6" a="1"/>
  <c r="AO38" i="6" a="1"/>
  <c r="D41" i="6" a="1"/>
  <c r="J41" i="6" a="1"/>
  <c r="O41" i="6" a="1"/>
  <c r="T41" i="6" a="1"/>
  <c r="Y41" i="6" a="1"/>
  <c r="AN40" i="6" a="1"/>
  <c r="AK37" i="6" a="1"/>
  <c r="M13" i="6" a="1"/>
  <c r="S41" i="6" a="1"/>
  <c r="X41" i="6" a="1"/>
  <c r="AC41" i="6" a="1"/>
  <c r="C41" i="6" a="1"/>
  <c r="I41" i="6" a="1"/>
  <c r="N41" i="6" a="1"/>
  <c r="R41" i="6" a="1"/>
  <c r="V41" i="6" a="1"/>
  <c r="AA41" i="6" a="1"/>
  <c r="AO17" i="6" a="1"/>
  <c r="AO18" i="6" a="1"/>
  <c r="AO25" i="6" a="1"/>
  <c r="AO30" i="6" a="1"/>
  <c r="E41" i="6" a="1"/>
  <c r="AF41" i="6" a="1"/>
  <c r="AM39" i="6" a="1"/>
  <c r="Z26" i="6" a="1"/>
  <c r="Q41" i="6" a="1"/>
  <c r="X24" i="6" a="1"/>
  <c r="C3" i="6" a="1"/>
  <c r="V22" i="6" a="1"/>
  <c r="AO4" i="6" a="1"/>
  <c r="AO16" i="6" a="1"/>
  <c r="AO23" i="6" a="1"/>
  <c r="AO39" i="6" a="1"/>
  <c r="AH41" i="6" a="1"/>
  <c r="AI35" i="6" a="1"/>
  <c r="K11" i="6" a="1"/>
  <c r="AD30" i="6" a="1"/>
  <c r="AO5" i="6" a="1"/>
  <c r="J10" i="6" a="1"/>
  <c r="M41" i="6" a="1"/>
  <c r="AO12" i="6" a="1"/>
  <c r="AO26" i="6" a="1"/>
  <c r="AD41" i="6" a="1"/>
  <c r="AM41" i="6" a="1"/>
  <c r="Q17" i="6" a="1"/>
  <c r="AJ36" i="6" a="1"/>
  <c r="L12" i="6" a="1"/>
  <c r="AE31" i="6" a="1"/>
  <c r="AO40" i="6" a="1"/>
  <c r="AO11" i="6" a="1"/>
  <c r="AO21" i="6" a="1"/>
  <c r="AO13" i="6" a="1"/>
  <c r="AO22" i="6" a="1"/>
  <c r="AO35" i="6" a="1"/>
  <c r="AG41" i="6" a="1"/>
  <c r="AL38" i="6" a="1"/>
  <c r="N14" i="6" a="1"/>
  <c r="AG33" i="6" a="1"/>
  <c r="F6" i="6" a="1"/>
  <c r="S19" i="6" a="1"/>
  <c r="F41" i="6" a="1"/>
  <c r="AO10" i="6" a="1"/>
  <c r="AO24" i="6" a="1"/>
  <c r="AO29" i="6" a="1"/>
  <c r="P41" i="6" a="1"/>
  <c r="AI41" i="6" a="1"/>
  <c r="AF32" i="6" a="1"/>
  <c r="H8" i="6" a="1"/>
  <c r="AA27" i="6" a="1"/>
  <c r="AO8" i="6" a="1"/>
  <c r="G7" i="6" a="1"/>
  <c r="AO14" i="6" a="1"/>
  <c r="AO20" i="6" a="1"/>
  <c r="AO28" i="6" a="1"/>
  <c r="AO32" i="6" a="1"/>
  <c r="AE41" i="6" a="1"/>
  <c r="AL41" i="6" a="1"/>
  <c r="T20" i="6" a="1"/>
  <c r="AO41" i="6" a="1"/>
  <c r="I9" i="6" a="1"/>
  <c r="Y25" i="6" a="1"/>
  <c r="AO33" i="6" a="1"/>
  <c r="AN2" i="6" a="1"/>
  <c r="AM2" i="6" a="1"/>
  <c r="AN23" i="6" a="1"/>
  <c r="AN33" i="6" a="1"/>
  <c r="AN35" i="6" a="1"/>
  <c r="AN37" i="6" a="1"/>
  <c r="H39" i="6" a="1"/>
  <c r="N39" i="6" a="1"/>
  <c r="T39" i="6" a="1"/>
  <c r="W39" i="6" a="1"/>
  <c r="AC39" i="6" a="1"/>
  <c r="AI39" i="6" a="1"/>
  <c r="X40" i="6" a="1"/>
  <c r="AD40" i="6" a="1"/>
  <c r="AK40" i="6" a="1"/>
  <c r="AN32" i="6" a="1"/>
  <c r="AM33" i="6" a="1"/>
  <c r="AH40" i="6" a="1"/>
  <c r="K40" i="6" a="1"/>
  <c r="L40" i="6" a="1"/>
  <c r="M40" i="6" a="1"/>
  <c r="N40" i="6" a="1"/>
  <c r="O40" i="6" a="1"/>
  <c r="P40" i="6" a="1"/>
  <c r="Q40" i="6" a="1"/>
  <c r="R40" i="6" a="1"/>
  <c r="S40" i="6" a="1"/>
  <c r="T40" i="6" a="1"/>
  <c r="AN24" i="6" a="1"/>
  <c r="AN27" i="6" a="1"/>
  <c r="AM37" i="6" a="1"/>
  <c r="C39" i="6" a="1"/>
  <c r="K39" i="6" a="1"/>
  <c r="X39" i="6" a="1"/>
  <c r="AE39" i="6" a="1"/>
  <c r="AK39" i="6" a="1"/>
  <c r="AB40" i="6" a="1"/>
  <c r="AJ40" i="6" a="1"/>
  <c r="AN25" i="6" a="1"/>
  <c r="AN28" i="6" a="1"/>
  <c r="AM35" i="6" a="1"/>
  <c r="AM40" i="6" a="1"/>
  <c r="F39" i="6" a="1"/>
  <c r="L39" i="6" a="1"/>
  <c r="R39" i="6" a="1"/>
  <c r="Z39" i="6" a="1"/>
  <c r="AF39" i="6" a="1"/>
  <c r="V40" i="6" a="1"/>
  <c r="AA40" i="6" a="1"/>
  <c r="AG40" i="6" a="1"/>
  <c r="AM25" i="6" a="1"/>
  <c r="AM27" i="6" a="1"/>
  <c r="AN34" i="6" a="1"/>
  <c r="AN36" i="6" a="1"/>
  <c r="AL40" i="6" a="1"/>
  <c r="G39" i="6" a="1"/>
  <c r="M39" i="6" a="1"/>
  <c r="Q39" i="6" a="1"/>
  <c r="V39" i="6" a="1"/>
  <c r="AB39" i="6" a="1"/>
  <c r="AH39" i="6" a="1"/>
  <c r="U40" i="6" a="1"/>
  <c r="Z40" i="6" a="1"/>
  <c r="AF40" i="6" a="1"/>
  <c r="AM24" i="6" a="1"/>
  <c r="AM28" i="6" a="1"/>
  <c r="AN39" i="6" a="1"/>
  <c r="D39" i="6" a="1"/>
  <c r="J39" i="6" a="1"/>
  <c r="P39" i="6" a="1"/>
  <c r="U39" i="6" a="1"/>
  <c r="Y39" i="6" a="1"/>
  <c r="AD39" i="6" a="1"/>
  <c r="AJ39" i="6" a="1"/>
  <c r="Y40" i="6" a="1"/>
  <c r="AE40" i="6" a="1"/>
  <c r="AM26" i="6" a="1"/>
  <c r="AN26" i="6" a="1"/>
  <c r="AM34" i="6" a="1"/>
  <c r="AM36" i="6" a="1"/>
  <c r="AL39" i="6" a="1"/>
  <c r="E39" i="6" a="1"/>
  <c r="I39" i="6" a="1"/>
  <c r="O39" i="6" a="1"/>
  <c r="S39" i="6" a="1"/>
  <c r="AA39" i="6" a="1"/>
  <c r="AG39" i="6" a="1"/>
  <c r="W40" i="6" a="1"/>
  <c r="AC40" i="6" a="1"/>
  <c r="AI40" i="6" a="1"/>
  <c r="AM38" i="6" a="1"/>
  <c r="AM21" i="6" a="1"/>
  <c r="J40" i="6" a="1"/>
  <c r="AN14" i="6" a="1"/>
  <c r="AM18" i="6" a="1"/>
  <c r="AM20" i="6" a="1"/>
  <c r="G40" i="6" a="1"/>
  <c r="H40" i="6" a="1"/>
  <c r="I40" i="6" a="1"/>
  <c r="AN3" i="6" a="1"/>
  <c r="AN4" i="6" a="1"/>
  <c r="AM10" i="6" a="1"/>
  <c r="AN13" i="6" a="1"/>
  <c r="AM5" i="6" a="1"/>
  <c r="AN7" i="6" a="1"/>
  <c r="AM4" i="6" a="1"/>
  <c r="AN9" i="6" a="1"/>
  <c r="AM32" i="6" a="1"/>
  <c r="AM22" i="6" a="1"/>
  <c r="AM23" i="6" a="1"/>
  <c r="AM11" i="6" a="1"/>
  <c r="AM6" i="6" a="1"/>
  <c r="AN30" i="6" a="1"/>
  <c r="AM17" i="6" a="1"/>
  <c r="AN12" i="6" a="1"/>
  <c r="AM16" i="6" a="1"/>
  <c r="AM12" i="6" a="1"/>
  <c r="AN19" i="6" a="1"/>
  <c r="AN20" i="6" a="1"/>
  <c r="AN8" i="6" a="1"/>
  <c r="AN16" i="6" a="1"/>
  <c r="AM31" i="6" a="1"/>
  <c r="F40" i="6" a="1"/>
  <c r="AM9" i="6" a="1"/>
  <c r="AN10" i="6" a="1"/>
  <c r="AM15" i="6" a="1"/>
  <c r="AN21" i="6" a="1"/>
  <c r="AM7" i="6" a="1"/>
  <c r="AM30" i="6" a="1"/>
  <c r="D40" i="6" a="1"/>
  <c r="AN5" i="6" a="1"/>
  <c r="AN15" i="6" a="1"/>
  <c r="AN38" i="6" a="1"/>
  <c r="AM14" i="6" a="1"/>
  <c r="AN29" i="6" a="1"/>
  <c r="C40" i="6" a="1"/>
  <c r="AN6" i="6" a="1"/>
  <c r="AM13" i="6" a="1"/>
  <c r="AN22" i="6" a="1"/>
  <c r="AM19" i="6" a="1"/>
  <c r="AN31" i="6" a="1"/>
  <c r="E40" i="6" a="1"/>
  <c r="AN11" i="6" a="1"/>
  <c r="AM8" i="6" a="1"/>
  <c r="AN17" i="6" a="1"/>
  <c r="AM3" i="6" a="1"/>
  <c r="AM29" i="6" a="1"/>
  <c r="AN18" i="6" a="1"/>
  <c r="G28" i="3"/>
  <c r="J28" i="3" s="1"/>
  <c r="AH2" i="6" a="1"/>
  <c r="AK2" i="6" a="1"/>
  <c r="AI2" i="6" a="1"/>
  <c r="AL2" i="6" a="1"/>
  <c r="AG2" i="6" a="1"/>
  <c r="AJ2" i="6" a="1"/>
  <c r="AG32" i="6" a="1"/>
  <c r="AJ32" i="6" a="1"/>
  <c r="AG4" i="6" a="1"/>
  <c r="AK4" i="6" a="1"/>
  <c r="AL6" i="6" a="1"/>
  <c r="AL10" i="6" a="1"/>
  <c r="AK11" i="6" a="1"/>
  <c r="AG14" i="6" a="1"/>
  <c r="AL14" i="6" a="1"/>
  <c r="AJ7" i="6" a="1"/>
  <c r="AG8" i="6" a="1"/>
  <c r="AH8" i="6" a="1"/>
  <c r="AK8" i="6" a="1"/>
  <c r="AJ9" i="6" a="1"/>
  <c r="AI11" i="6" a="1"/>
  <c r="AL13" i="6" a="1"/>
  <c r="AK14" i="6" a="1"/>
  <c r="AG17" i="6" a="1"/>
  <c r="AI18" i="6" a="1"/>
  <c r="AK19" i="6" a="1"/>
  <c r="AI27" i="6" a="1"/>
  <c r="AH28" i="6" a="1"/>
  <c r="AH31" i="6" a="1"/>
  <c r="AA38" i="6" a="1"/>
  <c r="F33" i="6" a="1"/>
  <c r="Z33" i="6" a="1"/>
  <c r="O35" i="6" a="1"/>
  <c r="J36" i="6" a="1"/>
  <c r="AJ20" i="6" a="1"/>
  <c r="AK20" i="6" a="1"/>
  <c r="AH21" i="6" a="1"/>
  <c r="AI21" i="6" a="1"/>
  <c r="AL21" i="6" a="1"/>
  <c r="AI22" i="6" a="1"/>
  <c r="AJ22" i="6" a="1"/>
  <c r="AG23" i="6" a="1"/>
  <c r="AH23" i="6" a="1"/>
  <c r="AK23" i="6" a="1"/>
  <c r="AH24" i="6" a="1"/>
  <c r="AI24" i="6" a="1"/>
  <c r="AL24" i="6" a="1"/>
  <c r="AL25" i="6" a="1"/>
  <c r="AI26" i="6" a="1"/>
  <c r="AI36" i="6" a="1"/>
  <c r="AL36" i="6" a="1"/>
  <c r="AJ37" i="6" a="1"/>
  <c r="AI38" i="6" a="1"/>
  <c r="AF35" i="6" a="1"/>
  <c r="D38" i="6" a="1"/>
  <c r="AD33" i="6" a="1"/>
  <c r="F34" i="6" a="1"/>
  <c r="L34" i="6" a="1"/>
  <c r="C37" i="6" a="1"/>
  <c r="AL16" i="6" a="1"/>
  <c r="AH15" i="6" a="1"/>
  <c r="AK26" i="6" a="1"/>
  <c r="M33" i="6" a="1"/>
  <c r="J33" i="6" a="1"/>
  <c r="AH38" i="6" a="1"/>
  <c r="AF34" i="6" a="1"/>
  <c r="AF37" i="6" a="1"/>
  <c r="N36" i="6" a="1"/>
  <c r="D34" i="6" a="1"/>
  <c r="K34" i="6" a="1"/>
  <c r="G37" i="6" a="1"/>
  <c r="AJ19" i="6" a="1"/>
  <c r="AL17" i="6" a="1"/>
  <c r="AH30" i="6" a="1"/>
  <c r="AK30" i="6" a="1"/>
  <c r="AK28" i="6" a="1"/>
  <c r="AJ29" i="6" a="1"/>
  <c r="AI30" i="6" a="1"/>
  <c r="AL30" i="6" a="1"/>
  <c r="AK31" i="6" a="1"/>
  <c r="AK33" i="6" a="1"/>
  <c r="AJ34" i="6" a="1"/>
  <c r="AD38" i="6" a="1"/>
  <c r="E33" i="6" a="1"/>
  <c r="K33" i="6" a="1"/>
  <c r="Q33" i="6" a="1"/>
  <c r="W33" i="6" a="1"/>
  <c r="J35" i="6" a="1"/>
  <c r="P35" i="6" a="1"/>
  <c r="V35" i="6" a="1"/>
  <c r="AB35" i="6" a="1"/>
  <c r="F36" i="6" a="1"/>
  <c r="M36" i="6" a="1"/>
  <c r="AL34" i="6" a="1"/>
  <c r="AG35" i="6" a="1"/>
  <c r="AH35" i="6" a="1"/>
  <c r="AJ35" i="6" a="1"/>
  <c r="AK35" i="6" a="1"/>
  <c r="AL35" i="6" a="1"/>
  <c r="AG36" i="6" a="1"/>
  <c r="AH36" i="6" a="1"/>
  <c r="AK36" i="6" a="1"/>
  <c r="AI37" i="6" a="1"/>
  <c r="AJ38" i="6" a="1"/>
  <c r="AF36" i="6" a="1"/>
  <c r="E38" i="6" a="1"/>
  <c r="AE33" i="6" a="1"/>
  <c r="I34" i="6" a="1"/>
  <c r="AC36" i="6" a="1"/>
  <c r="AG16" i="6" a="1"/>
  <c r="AG28" i="6" a="1"/>
  <c r="AJ27" i="6" a="1"/>
  <c r="AJ28" i="6" a="1"/>
  <c r="F38" i="6" a="1"/>
  <c r="G38" i="6" a="1"/>
  <c r="H38" i="6" a="1"/>
  <c r="I38" i="6" a="1"/>
  <c r="J38" i="6" a="1"/>
  <c r="K38" i="6" a="1"/>
  <c r="L38" i="6" a="1"/>
  <c r="M38" i="6" a="1"/>
  <c r="N38" i="6" a="1"/>
  <c r="O38" i="6" a="1"/>
  <c r="P38" i="6" a="1"/>
  <c r="Q38" i="6" a="1"/>
  <c r="R38" i="6" a="1"/>
  <c r="S38" i="6" a="1"/>
  <c r="T38" i="6" a="1"/>
  <c r="U38" i="6" a="1"/>
  <c r="V38" i="6" a="1"/>
  <c r="W38" i="6" a="1"/>
  <c r="X38" i="6" a="1"/>
  <c r="Y38" i="6" a="1"/>
  <c r="AC38" i="6" a="1"/>
  <c r="C33" i="6" a="1"/>
  <c r="I33" i="6" a="1"/>
  <c r="N33" i="6" a="1"/>
  <c r="R33" i="6" a="1"/>
  <c r="X33" i="6" a="1"/>
  <c r="K35" i="6" a="1"/>
  <c r="Q35" i="6" a="1"/>
  <c r="T35" i="6" a="1"/>
  <c r="AA35" i="6" a="1"/>
  <c r="D36" i="6" a="1"/>
  <c r="I36" i="6" a="1"/>
  <c r="AA33" i="6" a="1"/>
  <c r="E34" i="6" a="1"/>
  <c r="Z36" i="6" a="1"/>
  <c r="D37" i="6" a="1"/>
  <c r="AL18" i="6" a="1"/>
  <c r="AH17" i="6" a="1"/>
  <c r="AL31" i="6" a="1"/>
  <c r="AI33" i="6" a="1"/>
  <c r="M34" i="6" a="1"/>
  <c r="N34" i="6" a="1"/>
  <c r="O34" i="6" a="1"/>
  <c r="P34" i="6" a="1"/>
  <c r="Q34" i="6" a="1"/>
  <c r="R34" i="6" a="1"/>
  <c r="S34" i="6" a="1"/>
  <c r="T34" i="6" a="1"/>
  <c r="U34" i="6" a="1"/>
  <c r="V34" i="6" a="1"/>
  <c r="W34" i="6" a="1"/>
  <c r="X34" i="6" a="1"/>
  <c r="Y34" i="6" a="1"/>
  <c r="Z34" i="6" a="1"/>
  <c r="AA34" i="6" a="1"/>
  <c r="AB34" i="6" a="1"/>
  <c r="AC34" i="6" a="1"/>
  <c r="AD34" i="6" a="1"/>
  <c r="AE34" i="6" a="1"/>
  <c r="C35" i="6" a="1"/>
  <c r="D35" i="6" a="1"/>
  <c r="E35" i="6" a="1"/>
  <c r="F35" i="6" a="1"/>
  <c r="G35" i="6" a="1"/>
  <c r="M35" i="6" a="1"/>
  <c r="U35" i="6" a="1"/>
  <c r="AC35" i="6" a="1"/>
  <c r="G36" i="6" a="1"/>
  <c r="O36" i="6" a="1"/>
  <c r="S36" i="6" a="1"/>
  <c r="T36" i="6" a="1"/>
  <c r="U36" i="6" a="1"/>
  <c r="V36" i="6" a="1"/>
  <c r="W36" i="6" a="1"/>
  <c r="X36" i="6" a="1"/>
  <c r="Y36" i="6" a="1"/>
  <c r="AE36" i="6" a="1"/>
  <c r="AJ17" i="6" a="1"/>
  <c r="AL15" i="6" a="1"/>
  <c r="AI28" i="6" a="1"/>
  <c r="S33" i="6" a="1"/>
  <c r="H37" i="6" a="1"/>
  <c r="I37" i="6" a="1"/>
  <c r="J37" i="6" a="1"/>
  <c r="K37" i="6" a="1"/>
  <c r="L37" i="6" a="1"/>
  <c r="M37" i="6" a="1"/>
  <c r="N37" i="6" a="1"/>
  <c r="O37" i="6" a="1"/>
  <c r="P37" i="6" a="1"/>
  <c r="Q37" i="6" a="1"/>
  <c r="R37" i="6" a="1"/>
  <c r="S37" i="6" a="1"/>
  <c r="T37" i="6" a="1"/>
  <c r="U37" i="6" a="1"/>
  <c r="V37" i="6" a="1"/>
  <c r="W37" i="6" a="1"/>
  <c r="X37" i="6" a="1"/>
  <c r="Y37" i="6" a="1"/>
  <c r="Z37" i="6" a="1"/>
  <c r="AA37" i="6" a="1"/>
  <c r="AB37" i="6" a="1"/>
  <c r="AC37" i="6" a="1"/>
  <c r="AD37" i="6" a="1"/>
  <c r="AE37" i="6" a="1"/>
  <c r="AH3" i="6" a="1"/>
  <c r="AL3" i="6" a="1"/>
  <c r="AJ4" i="6" a="1"/>
  <c r="AH5" i="6" a="1"/>
  <c r="AL5" i="6" a="1"/>
  <c r="AJ6" i="6" a="1"/>
  <c r="AH9" i="6" a="1"/>
  <c r="AG10" i="6" a="1"/>
  <c r="AG11" i="6" a="1"/>
  <c r="AL11" i="6" a="1"/>
  <c r="AK12" i="6" a="1"/>
  <c r="AJ13" i="6" a="1"/>
  <c r="AI14" i="6" a="1"/>
  <c r="AI15" i="6" a="1"/>
  <c r="AH20" i="6" a="1"/>
  <c r="AJ18" i="6" a="1"/>
  <c r="AG31" i="6" a="1"/>
  <c r="AI31" i="6" a="1"/>
  <c r="AL28" i="6" a="1"/>
  <c r="AK29" i="6" a="1"/>
  <c r="AJ30" i="6" a="1"/>
  <c r="AJ31" i="6" a="1"/>
  <c r="AJ33" i="6" a="1"/>
  <c r="AK34" i="6" a="1"/>
  <c r="AE38" i="6" a="1"/>
  <c r="H33" i="6" a="1"/>
  <c r="O33" i="6" a="1"/>
  <c r="V33" i="6" a="1"/>
  <c r="I35" i="6" a="1"/>
  <c r="R35" i="6" a="1"/>
  <c r="Y35" i="6" a="1"/>
  <c r="C36" i="6" a="1"/>
  <c r="K36" i="6" a="1"/>
  <c r="AK3" i="6" a="1"/>
  <c r="AI4" i="6" a="1"/>
  <c r="AG5" i="6" a="1"/>
  <c r="AK5" i="6" a="1"/>
  <c r="AI6" i="6" a="1"/>
  <c r="AG7" i="6" a="1"/>
  <c r="AL9" i="6" a="1"/>
  <c r="AK10" i="6" a="1"/>
  <c r="AJ11" i="6" a="1"/>
  <c r="AI12" i="6" a="1"/>
  <c r="AI13" i="6" a="1"/>
  <c r="AH14" i="6" a="1"/>
  <c r="AK25" i="6" a="1"/>
  <c r="AL33" i="6" a="1"/>
  <c r="AI34" i="6" a="1"/>
  <c r="Y33" i="6" a="1"/>
  <c r="N35" i="6" a="1"/>
  <c r="X35" i="6" a="1"/>
  <c r="AD35" i="6" a="1"/>
  <c r="H36" i="6" a="1"/>
  <c r="Q36" i="6" a="1"/>
  <c r="AH32" i="6" a="1"/>
  <c r="AI32" i="6" a="1"/>
  <c r="AK32" i="6" a="1"/>
  <c r="AG3" i="6" a="1"/>
  <c r="AJ3" i="6" a="1"/>
  <c r="AH4" i="6" a="1"/>
  <c r="AL4" i="6" a="1"/>
  <c r="AJ5" i="6" a="1"/>
  <c r="AG6" i="6" a="1"/>
  <c r="AK6" i="6" a="1"/>
  <c r="AG9" i="6" a="1"/>
  <c r="AK9" i="6" a="1"/>
  <c r="AI10" i="6" a="1"/>
  <c r="AH11" i="6" a="1"/>
  <c r="AG12" i="6" a="1"/>
  <c r="AL12" i="6" a="1"/>
  <c r="AK13" i="6" a="1"/>
  <c r="AJ14" i="6" a="1"/>
  <c r="AG15" i="6" a="1"/>
  <c r="AK15" i="6" a="1"/>
  <c r="AH16" i="6" a="1"/>
  <c r="AK16" i="6" a="1"/>
  <c r="AI17" i="6" a="1"/>
  <c r="AG18" i="6" a="1"/>
  <c r="AK18" i="6" a="1"/>
  <c r="AI19" i="6" a="1"/>
  <c r="AL19" i="6" a="1"/>
  <c r="AI25" i="6" a="1"/>
  <c r="AG26" i="6" a="1"/>
  <c r="AL26" i="6" a="1"/>
  <c r="AK27" i="6" a="1"/>
  <c r="AI29" i="6" a="1"/>
  <c r="P33" i="6" a="1"/>
  <c r="U33" i="6" a="1"/>
  <c r="H35" i="6" a="1"/>
  <c r="L35" i="6" a="1"/>
  <c r="S35" i="6" a="1"/>
  <c r="Z35" i="6" a="1"/>
  <c r="E36" i="6" a="1"/>
  <c r="L36" i="6" a="1"/>
  <c r="P36" i="6" a="1"/>
  <c r="C34" i="6" a="1"/>
  <c r="J34" i="6" a="1"/>
  <c r="AD36" i="6" a="1"/>
  <c r="AH18" i="6" a="1"/>
  <c r="AJ16" i="6" a="1"/>
  <c r="AH29" i="6" a="1"/>
  <c r="AL29" i="6" a="1"/>
  <c r="AI3" i="6" a="1"/>
  <c r="AH6" i="6" a="1"/>
  <c r="AH10" i="6" a="1"/>
  <c r="AH13" i="6" a="1"/>
  <c r="AI7" i="6" a="1"/>
  <c r="AL7" i="6" a="1"/>
  <c r="AJ8" i="6" a="1"/>
  <c r="AJ10" i="6" a="1"/>
  <c r="AG13" i="6" a="1"/>
  <c r="AI16" i="6" a="1"/>
  <c r="AG19" i="6" a="1"/>
  <c r="AJ26" i="6" a="1"/>
  <c r="AG30" i="6" a="1"/>
  <c r="AG34" i="6" a="1"/>
  <c r="T33" i="6" a="1"/>
  <c r="AE35" i="6" a="1"/>
  <c r="AI20" i="6" a="1"/>
  <c r="AG21" i="6" a="1"/>
  <c r="AK21" i="6" a="1"/>
  <c r="AH22" i="6" a="1"/>
  <c r="AL22" i="6" a="1"/>
  <c r="AJ23" i="6" a="1"/>
  <c r="AG24" i="6" a="1"/>
  <c r="AK24" i="6" a="1"/>
  <c r="AH25" i="6" a="1"/>
  <c r="AL27" i="6" a="1"/>
  <c r="AH37" i="6" a="1"/>
  <c r="AG38" i="6" a="1"/>
  <c r="AF33" i="6" a="1"/>
  <c r="C38" i="6" a="1"/>
  <c r="AC33" i="6" a="1"/>
  <c r="H34" i="6" a="1"/>
  <c r="AB36" i="6" a="1"/>
  <c r="F37" i="6" a="1"/>
  <c r="AH27" i="6" a="1"/>
  <c r="AG20" i="6" a="1"/>
  <c r="G33" i="6" a="1"/>
  <c r="D33" i="6" a="1"/>
  <c r="AL32" i="6" a="1"/>
  <c r="AI5" i="6" a="1"/>
  <c r="AI9" i="6" a="1"/>
  <c r="AJ12" i="6" a="1"/>
  <c r="AH7" i="6" a="1"/>
  <c r="AK7" i="6" a="1"/>
  <c r="AI8" i="6" a="1"/>
  <c r="AL8" i="6" a="1"/>
  <c r="AH12" i="6" a="1"/>
  <c r="AJ15" i="6" a="1"/>
  <c r="AK17" i="6" a="1"/>
  <c r="AJ25" i="6" a="1"/>
  <c r="AG29" i="6" a="1"/>
  <c r="AH33" i="6" a="1"/>
  <c r="L33" i="6" a="1"/>
  <c r="W35" i="6" a="1"/>
  <c r="R36" i="6" a="1"/>
  <c r="AL20" i="6" a="1"/>
  <c r="AJ21" i="6" a="1"/>
  <c r="AG22" i="6" a="1"/>
  <c r="AK22" i="6" a="1"/>
  <c r="AI23" i="6" a="1"/>
  <c r="AL23" i="6" a="1"/>
  <c r="AJ24" i="6" a="1"/>
  <c r="AG25" i="6" a="1"/>
  <c r="AG27" i="6" a="1"/>
  <c r="AG37" i="6" a="1"/>
  <c r="AL37" i="6" a="1"/>
  <c r="AK38" i="6" a="1"/>
  <c r="AF38" i="6" a="1"/>
  <c r="AB33" i="6" a="1"/>
  <c r="G34" i="6" a="1"/>
  <c r="AA36" i="6" a="1"/>
  <c r="E37" i="6" a="1"/>
  <c r="AH26" i="6" a="1"/>
  <c r="AH19" i="6" a="1"/>
  <c r="AB38" i="6" a="1"/>
  <c r="Z38" i="6" a="1"/>
  <c r="F28" i="3"/>
  <c r="G6" i="3"/>
  <c r="J6" i="3" s="1"/>
  <c r="H6" i="3"/>
  <c r="I6" i="3"/>
  <c r="K6" i="3" s="1"/>
  <c r="F14" i="3"/>
  <c r="F17" i="3"/>
  <c r="G17" i="3"/>
  <c r="J17" i="3" s="1"/>
  <c r="F8" i="3"/>
  <c r="F35" i="3"/>
  <c r="F32" i="3"/>
  <c r="H26" i="3"/>
  <c r="I26" i="3"/>
  <c r="K26" i="3" s="1"/>
  <c r="G26" i="3"/>
  <c r="J26" i="3" s="1"/>
  <c r="H25" i="3"/>
  <c r="I25" i="3"/>
  <c r="K25" i="3" s="1"/>
  <c r="G25" i="3"/>
  <c r="J25" i="3" s="1"/>
  <c r="G23" i="3"/>
  <c r="J23" i="3" s="1"/>
  <c r="H23" i="3"/>
  <c r="I23" i="3"/>
  <c r="K23" i="3" s="1"/>
  <c r="O2" i="6" a="1"/>
  <c r="W2" i="6" a="1"/>
  <c r="S2" i="6" a="1"/>
  <c r="J2" i="6" a="1"/>
  <c r="B42" i="6" s="1" a="1"/>
  <c r="G35" i="3"/>
  <c r="J35" i="3" s="1"/>
  <c r="H35" i="3"/>
  <c r="I35" i="3"/>
  <c r="K35" i="3" s="1"/>
  <c r="I14" i="3"/>
  <c r="K14" i="3" s="1"/>
  <c r="G14" i="3"/>
  <c r="J14" i="3" s="1"/>
  <c r="H14" i="3"/>
  <c r="I21" i="3"/>
  <c r="K21" i="3" s="1"/>
  <c r="H21" i="3"/>
  <c r="G39" i="3"/>
  <c r="J39" i="3" s="1"/>
  <c r="H39" i="3"/>
  <c r="I39" i="3"/>
  <c r="K39" i="3" s="1"/>
  <c r="G11" i="3"/>
  <c r="J11" i="3" s="1"/>
  <c r="H11" i="3"/>
  <c r="I11" i="3"/>
  <c r="K11" i="3" s="1"/>
  <c r="H10" i="3"/>
  <c r="I10" i="3"/>
  <c r="K10" i="3" s="1"/>
  <c r="H42" i="3"/>
  <c r="I42" i="3"/>
  <c r="K42" i="3" s="1"/>
  <c r="H15" i="3"/>
  <c r="I15" i="3"/>
  <c r="K15" i="3" s="1"/>
  <c r="G15" i="3"/>
  <c r="J15" i="3" s="1"/>
  <c r="L2" i="6" a="1"/>
  <c r="U2" i="6" a="1"/>
  <c r="AA2" i="6" a="1"/>
  <c r="N2" i="6" a="1"/>
  <c r="V2" i="6" a="1"/>
  <c r="H2" i="6" a="1"/>
  <c r="Q2" i="6" a="1"/>
  <c r="Z2" i="6" a="1"/>
  <c r="M2" i="6" a="1"/>
  <c r="X2" i="6" a="1"/>
  <c r="R2" i="6" a="1"/>
  <c r="G2" i="6" a="1"/>
  <c r="P2" i="6" a="1"/>
  <c r="Y2" i="6" a="1"/>
  <c r="D2" i="6" a="1"/>
  <c r="E2" i="6" a="1"/>
  <c r="F2" i="6" a="1"/>
  <c r="I2" i="6" a="1"/>
  <c r="AB2" i="6" a="1"/>
  <c r="AC2" i="6" a="1"/>
  <c r="AD2" i="6" a="1"/>
  <c r="AE2" i="6" a="1"/>
  <c r="AF2" i="6" a="1"/>
  <c r="C2" i="6" a="1"/>
  <c r="K2" i="6" a="1"/>
  <c r="T2" i="6" a="1"/>
  <c r="N7" i="6" a="1"/>
  <c r="E32" i="6" a="1"/>
  <c r="I32" i="6" a="1"/>
  <c r="P32" i="6" a="1"/>
  <c r="U32" i="6" a="1"/>
  <c r="Y32" i="6" a="1"/>
  <c r="AD32" i="6" a="1"/>
  <c r="F3" i="6" a="1"/>
  <c r="M3" i="6" a="1"/>
  <c r="Q3" i="6" a="1"/>
  <c r="V3" i="6" a="1"/>
  <c r="Z3" i="6" a="1"/>
  <c r="AF3" i="6" a="1"/>
  <c r="G4" i="6" a="1"/>
  <c r="K4" i="6" a="1"/>
  <c r="N4" i="6" a="1"/>
  <c r="S4" i="6" a="1"/>
  <c r="W4" i="6" a="1"/>
  <c r="AA4" i="6" a="1"/>
  <c r="AD4" i="6" a="1"/>
  <c r="G5" i="6" a="1"/>
  <c r="K5" i="6" a="1"/>
  <c r="N5" i="6" a="1"/>
  <c r="R5" i="6" a="1"/>
  <c r="P7" i="6" a="1"/>
  <c r="X7" i="6" a="1"/>
  <c r="AC7" i="6" a="1"/>
  <c r="D8" i="6" a="1"/>
  <c r="K8" i="6" a="1"/>
  <c r="S8" i="6" a="1"/>
  <c r="X8" i="6" a="1"/>
  <c r="AC8" i="6" a="1"/>
  <c r="E9" i="6" a="1"/>
  <c r="M9" i="6" a="1"/>
  <c r="G12" i="6" a="1"/>
  <c r="M12" i="6" a="1"/>
  <c r="U12" i="6" a="1"/>
  <c r="AE12" i="6" a="1"/>
  <c r="T6" i="6" a="1"/>
  <c r="W6" i="6" a="1"/>
  <c r="AA6" i="6" a="1"/>
  <c r="AE6" i="6" a="1"/>
  <c r="D7" i="6" a="1"/>
  <c r="H7" i="6" a="1"/>
  <c r="M7" i="6" a="1"/>
  <c r="T7" i="6" a="1"/>
  <c r="AD7" i="6" a="1"/>
  <c r="Q8" i="6" a="1"/>
  <c r="AA8" i="6" a="1"/>
  <c r="AA10" i="6" a="1"/>
  <c r="D11" i="6" a="1"/>
  <c r="H11" i="6" a="1"/>
  <c r="N11" i="6" a="1"/>
  <c r="Y13" i="6" a="1"/>
  <c r="AF13" i="6" a="1"/>
  <c r="H14" i="6" a="1"/>
  <c r="O14" i="6" a="1"/>
  <c r="E13" i="6" a="1"/>
  <c r="H13" i="6" a="1"/>
  <c r="L13" i="6" a="1"/>
  <c r="Q16" i="6" a="1"/>
  <c r="U16" i="6" a="1"/>
  <c r="Z16" i="6" a="1"/>
  <c r="AE16" i="6" a="1"/>
  <c r="F17" i="6" a="1"/>
  <c r="J17" i="6" a="1"/>
  <c r="K20" i="6" a="1"/>
  <c r="Q20" i="6" a="1"/>
  <c r="X20" i="6" a="1"/>
  <c r="AD20" i="6" a="1"/>
  <c r="E21" i="6" a="1"/>
  <c r="U24" i="6" a="1"/>
  <c r="AC24" i="6" a="1"/>
  <c r="I28" i="6" a="1"/>
  <c r="P28" i="6" a="1"/>
  <c r="W28" i="6" a="1"/>
  <c r="AD28" i="6" a="1"/>
  <c r="U5" i="6" a="1"/>
  <c r="V5" i="6" a="1"/>
  <c r="W5" i="6" a="1"/>
  <c r="X5" i="6" a="1"/>
  <c r="Y5" i="6" a="1"/>
  <c r="Z5" i="6" a="1"/>
  <c r="AA5" i="6" a="1"/>
  <c r="AB5" i="6" a="1"/>
  <c r="AC5" i="6" a="1"/>
  <c r="AD5" i="6" a="1"/>
  <c r="AE5" i="6" a="1"/>
  <c r="AF5" i="6" a="1"/>
  <c r="C6" i="6" a="1"/>
  <c r="D6" i="6" a="1"/>
  <c r="E6" i="6" a="1"/>
  <c r="G6" i="6" a="1"/>
  <c r="H6" i="6" a="1"/>
  <c r="I6" i="6" a="1"/>
  <c r="J6" i="6" a="1"/>
  <c r="K6" i="6" a="1"/>
  <c r="L6" i="6" a="1"/>
  <c r="M6" i="6" a="1"/>
  <c r="N6" i="6" a="1"/>
  <c r="O6" i="6" a="1"/>
  <c r="P6" i="6" a="1"/>
  <c r="Q6" i="6" a="1"/>
  <c r="R6" i="6" a="1"/>
  <c r="U6" i="6" a="1"/>
  <c r="X6" i="6" a="1"/>
  <c r="Z6" i="6" a="1"/>
  <c r="AC6" i="6" a="1"/>
  <c r="AF6" i="6" a="1"/>
  <c r="E7" i="6" a="1"/>
  <c r="I7" i="6" a="1"/>
  <c r="K7" i="6" a="1"/>
  <c r="T14" i="6" a="1"/>
  <c r="W7" i="6" a="1"/>
  <c r="C8" i="6" a="1"/>
  <c r="J8" i="6" a="1"/>
  <c r="T8" i="6" a="1"/>
  <c r="Y10" i="6" a="1"/>
  <c r="AC10" i="6" a="1"/>
  <c r="AF10" i="6" a="1"/>
  <c r="F11" i="6" a="1"/>
  <c r="J11" i="6" a="1"/>
  <c r="P11" i="6" a="1"/>
  <c r="AA13" i="6" a="1"/>
  <c r="AE13" i="6" a="1"/>
  <c r="E14" i="6" a="1"/>
  <c r="J14" i="6" a="1"/>
  <c r="Q14" i="6" a="1"/>
  <c r="V14" i="6" a="1"/>
  <c r="AB14" i="6" a="1"/>
  <c r="C15" i="6" a="1"/>
  <c r="H15" i="6" a="1"/>
  <c r="M15" i="6" a="1"/>
  <c r="T15" i="6" a="1"/>
  <c r="Z15" i="6" a="1"/>
  <c r="AD15" i="6" a="1"/>
  <c r="E16" i="6" a="1"/>
  <c r="K16" i="6" a="1"/>
  <c r="X16" i="6" a="1"/>
  <c r="U20" i="6" a="1"/>
  <c r="R24" i="6" a="1"/>
  <c r="K17" i="6" a="1"/>
  <c r="S17" i="6" a="1"/>
  <c r="Z17" i="6" a="1"/>
  <c r="AD17" i="6" a="1"/>
  <c r="J21" i="6" a="1"/>
  <c r="R21" i="6" a="1"/>
  <c r="K24" i="6" a="1"/>
  <c r="N27" i="6" a="1"/>
  <c r="U27" i="6" a="1"/>
  <c r="K31" i="6" a="1"/>
  <c r="AD8" i="6" a="1"/>
  <c r="C9" i="6" a="1"/>
  <c r="F9" i="6" a="1"/>
  <c r="K9" i="6" a="1"/>
  <c r="O9" i="6" a="1"/>
  <c r="F12" i="6" a="1"/>
  <c r="I12" i="6" a="1"/>
  <c r="O12" i="6" a="1"/>
  <c r="T12" i="6" a="1"/>
  <c r="X12" i="6" a="1"/>
  <c r="AC12" i="6" a="1"/>
  <c r="C13" i="6" a="1"/>
  <c r="G13" i="6" a="1"/>
  <c r="J13" i="6" a="1"/>
  <c r="R16" i="6" a="1"/>
  <c r="W16" i="6" a="1"/>
  <c r="AC16" i="6" a="1"/>
  <c r="E17" i="6" a="1"/>
  <c r="H20" i="6" a="1"/>
  <c r="N20" i="6" a="1"/>
  <c r="V20" i="6" a="1"/>
  <c r="AB20" i="6" a="1"/>
  <c r="F21" i="6" a="1"/>
  <c r="W24" i="6" a="1"/>
  <c r="AE24" i="6" a="1"/>
  <c r="N28" i="6" a="1"/>
  <c r="X28" i="6" a="1"/>
  <c r="R9" i="6" a="1"/>
  <c r="S9" i="6" a="1"/>
  <c r="T9" i="6" a="1"/>
  <c r="U9" i="6" a="1"/>
  <c r="V9" i="6" a="1"/>
  <c r="W9" i="6" a="1"/>
  <c r="X9" i="6" a="1"/>
  <c r="Y9" i="6" a="1"/>
  <c r="Z9" i="6" a="1"/>
  <c r="AA9" i="6" a="1"/>
  <c r="AB9" i="6" a="1"/>
  <c r="AC9" i="6" a="1"/>
  <c r="AD9" i="6" a="1"/>
  <c r="AE9" i="6" a="1"/>
  <c r="AF9" i="6" a="1"/>
  <c r="C10" i="6" a="1"/>
  <c r="D10" i="6" a="1"/>
  <c r="E10" i="6" a="1"/>
  <c r="F10" i="6" a="1"/>
  <c r="G10" i="6" a="1"/>
  <c r="H10" i="6" a="1"/>
  <c r="I10" i="6" a="1"/>
  <c r="K10" i="6" a="1"/>
  <c r="L10" i="6" a="1"/>
  <c r="M10" i="6" a="1"/>
  <c r="N10" i="6" a="1"/>
  <c r="O10" i="6" a="1"/>
  <c r="P10" i="6" a="1"/>
  <c r="Q10" i="6" a="1"/>
  <c r="R10" i="6" a="1"/>
  <c r="S10" i="6" a="1"/>
  <c r="T10" i="6" a="1"/>
  <c r="U10" i="6" a="1"/>
  <c r="V10" i="6" a="1"/>
  <c r="W10" i="6" a="1"/>
  <c r="X10" i="6" a="1"/>
  <c r="AB10" i="6" a="1"/>
  <c r="AE10" i="6" a="1"/>
  <c r="E11" i="6" a="1"/>
  <c r="I11" i="6" a="1"/>
  <c r="M11" i="6" a="1"/>
  <c r="X13" i="6" a="1"/>
  <c r="AB13" i="6" a="1"/>
  <c r="C14" i="6" a="1"/>
  <c r="G14" i="6" a="1"/>
  <c r="M14" i="6" a="1"/>
  <c r="R27" i="6" a="1"/>
  <c r="X14" i="6" a="1"/>
  <c r="AC14" i="6" a="1"/>
  <c r="E15" i="6" a="1"/>
  <c r="K15" i="6" a="1"/>
  <c r="Q15" i="6" a="1"/>
  <c r="U15" i="6" a="1"/>
  <c r="AA15" i="6" a="1"/>
  <c r="C16" i="6" a="1"/>
  <c r="I16" i="6" a="1"/>
  <c r="L16" i="6" a="1"/>
  <c r="AB16" i="6" a="1"/>
  <c r="Z20" i="6" a="1"/>
  <c r="V28" i="6" a="1"/>
  <c r="O17" i="6" a="1"/>
  <c r="U17" i="6" a="1"/>
  <c r="AB17" i="6" a="1"/>
  <c r="H21" i="6" a="1"/>
  <c r="P21" i="6" a="1"/>
  <c r="E24" i="6" a="1"/>
  <c r="N24" i="6" a="1"/>
  <c r="Q27" i="6" a="1"/>
  <c r="F31" i="6" a="1"/>
  <c r="Q11" i="6" a="1"/>
  <c r="R11" i="6" a="1"/>
  <c r="S11" i="6" a="1"/>
  <c r="T11" i="6" a="1"/>
  <c r="U11" i="6" a="1"/>
  <c r="V11" i="6" a="1"/>
  <c r="W11" i="6" a="1"/>
  <c r="X11" i="6" a="1"/>
  <c r="Y11" i="6" a="1"/>
  <c r="Z11" i="6" a="1"/>
  <c r="AA11" i="6" a="1"/>
  <c r="AB11" i="6" a="1"/>
  <c r="AC11" i="6" a="1"/>
  <c r="AD11" i="6" a="1"/>
  <c r="AE11" i="6" a="1"/>
  <c r="AF11" i="6" a="1"/>
  <c r="C12" i="6" a="1"/>
  <c r="D12" i="6" a="1"/>
  <c r="E12" i="6" a="1"/>
  <c r="H12" i="6" a="1"/>
  <c r="K12" i="6" a="1"/>
  <c r="P12" i="6" a="1"/>
  <c r="S12" i="6" a="1"/>
  <c r="V12" i="6" a="1"/>
  <c r="Z12" i="6" a="1"/>
  <c r="AD12" i="6" a="1"/>
  <c r="D13" i="6" a="1"/>
  <c r="K13" i="6" a="1"/>
  <c r="T16" i="6" a="1"/>
  <c r="Y16" i="6" a="1"/>
  <c r="AD16" i="6" a="1"/>
  <c r="D17" i="6" a="1"/>
  <c r="I17" i="6" a="1"/>
  <c r="J20" i="6" a="1"/>
  <c r="P20" i="6" a="1"/>
  <c r="W20" i="6" a="1"/>
  <c r="AC20" i="6" a="1"/>
  <c r="D21" i="6" a="1"/>
  <c r="T24" i="6" a="1"/>
  <c r="AB24" i="6" a="1"/>
  <c r="G28" i="6" a="1"/>
  <c r="O28" i="6" a="1"/>
  <c r="S28" i="6" a="1"/>
  <c r="Z28" i="6" a="1"/>
  <c r="O13" i="6" a="1"/>
  <c r="P13" i="6" a="1"/>
  <c r="Q13" i="6" a="1"/>
  <c r="R13" i="6" a="1"/>
  <c r="S13" i="6" a="1"/>
  <c r="T13" i="6" a="1"/>
  <c r="U13" i="6" a="1"/>
  <c r="V13" i="6" a="1"/>
  <c r="W13" i="6" a="1"/>
  <c r="AC13" i="6" a="1"/>
  <c r="D14" i="6" a="1"/>
  <c r="L14" i="6" a="1"/>
  <c r="S14" i="6" a="1"/>
  <c r="Y14" i="6" a="1"/>
  <c r="D15" i="6" a="1"/>
  <c r="J15" i="6" a="1"/>
  <c r="R15" i="6" a="1"/>
  <c r="Y15" i="6" a="1"/>
  <c r="AF15" i="6" a="1"/>
  <c r="H16" i="6" a="1"/>
  <c r="O16" i="6" a="1"/>
  <c r="I20" i="6" a="1"/>
  <c r="C25" i="6" a="1"/>
  <c r="M17" i="6" a="1"/>
  <c r="W17" i="6" a="1"/>
  <c r="AE17" i="6" a="1"/>
  <c r="M21" i="6" a="1"/>
  <c r="G24" i="6" a="1"/>
  <c r="P24" i="6" a="1"/>
  <c r="V27" i="6" a="1"/>
  <c r="M31" i="6" a="1"/>
  <c r="AA14" i="6" a="1"/>
  <c r="AD14" i="6" a="1"/>
  <c r="G15" i="6" a="1"/>
  <c r="N15" i="6" a="1"/>
  <c r="V15" i="6" a="1"/>
  <c r="AC15" i="6" a="1"/>
  <c r="F16" i="6" a="1"/>
  <c r="M16" i="6" a="1"/>
  <c r="G17" i="6" a="1"/>
  <c r="Y24" i="6" a="1"/>
  <c r="N17" i="6" a="1"/>
  <c r="X17" i="6" a="1"/>
  <c r="K28" i="6" a="1"/>
  <c r="N21" i="6" a="1"/>
  <c r="I24" i="6" a="1"/>
  <c r="M27" i="6" a="1"/>
  <c r="D31" i="6" a="1"/>
  <c r="AF17" i="6" a="1"/>
  <c r="C18" i="6" a="1"/>
  <c r="D18" i="6" a="1"/>
  <c r="E18" i="6" a="1"/>
  <c r="F18" i="6" a="1"/>
  <c r="G18" i="6" a="1"/>
  <c r="H18" i="6" a="1"/>
  <c r="I18" i="6" a="1"/>
  <c r="J18" i="6" a="1"/>
  <c r="K18" i="6" a="1"/>
  <c r="L18" i="6" a="1"/>
  <c r="M18" i="6" a="1"/>
  <c r="N18" i="6" a="1"/>
  <c r="O18" i="6" a="1"/>
  <c r="P18" i="6" a="1"/>
  <c r="Q18" i="6" a="1"/>
  <c r="S18" i="6" a="1"/>
  <c r="T18" i="6" a="1"/>
  <c r="U18" i="6" a="1"/>
  <c r="V18" i="6" a="1"/>
  <c r="W18" i="6" a="1"/>
  <c r="X18" i="6" a="1"/>
  <c r="Y18" i="6" a="1"/>
  <c r="Z18" i="6" a="1"/>
  <c r="AA18" i="6" a="1"/>
  <c r="AB18" i="6" a="1"/>
  <c r="AC18" i="6" a="1"/>
  <c r="AD18" i="6" a="1"/>
  <c r="AE18" i="6" a="1"/>
  <c r="AF18" i="6" a="1"/>
  <c r="C19" i="6" a="1"/>
  <c r="D19" i="6" a="1"/>
  <c r="E19" i="6" a="1"/>
  <c r="F19" i="6" a="1"/>
  <c r="G19" i="6" a="1"/>
  <c r="H19" i="6" a="1"/>
  <c r="I19" i="6" a="1"/>
  <c r="J19" i="6" a="1"/>
  <c r="K19" i="6" a="1"/>
  <c r="L19" i="6" a="1"/>
  <c r="M19" i="6" a="1"/>
  <c r="N19" i="6" a="1"/>
  <c r="O19" i="6" a="1"/>
  <c r="P19" i="6" a="1"/>
  <c r="Q19" i="6" a="1"/>
  <c r="R19" i="6" a="1"/>
  <c r="T19" i="6" a="1"/>
  <c r="U19" i="6" a="1"/>
  <c r="V19" i="6" a="1"/>
  <c r="W19" i="6" a="1"/>
  <c r="X19" i="6" a="1"/>
  <c r="Y19" i="6" a="1"/>
  <c r="Z19" i="6" a="1"/>
  <c r="AA19" i="6" a="1"/>
  <c r="AB19" i="6" a="1"/>
  <c r="AC19" i="6" a="1"/>
  <c r="AD19" i="6" a="1"/>
  <c r="AE19" i="6" a="1"/>
  <c r="AF19" i="6" a="1"/>
  <c r="C20" i="6" a="1"/>
  <c r="D20" i="6" a="1"/>
  <c r="E20" i="6" a="1"/>
  <c r="F20" i="6" a="1"/>
  <c r="G20" i="6" a="1"/>
  <c r="M20" i="6" a="1"/>
  <c r="S20" i="6" a="1"/>
  <c r="AA20" i="6" a="1"/>
  <c r="C21" i="6" a="1"/>
  <c r="V24" i="6" a="1"/>
  <c r="AD24" i="6" a="1"/>
  <c r="L21" i="6" a="1"/>
  <c r="F24" i="6" a="1"/>
  <c r="L27" i="6" a="1"/>
  <c r="W27" i="6" a="1"/>
  <c r="T21" i="6" a="1"/>
  <c r="V21" i="6" a="1"/>
  <c r="W21" i="6" a="1"/>
  <c r="X21" i="6" a="1"/>
  <c r="Y21" i="6" a="1"/>
  <c r="Z21" i="6" a="1"/>
  <c r="AA21" i="6" a="1"/>
  <c r="AB21" i="6" a="1"/>
  <c r="AC21" i="6" a="1"/>
  <c r="AD21" i="6" a="1"/>
  <c r="AE21" i="6" a="1"/>
  <c r="AF21" i="6" a="1"/>
  <c r="C22" i="6" a="1"/>
  <c r="D22" i="6" a="1"/>
  <c r="E22" i="6" a="1"/>
  <c r="F22" i="6" a="1"/>
  <c r="G22" i="6" a="1"/>
  <c r="H22" i="6" a="1"/>
  <c r="I22" i="6" a="1"/>
  <c r="J22" i="6" a="1"/>
  <c r="K22" i="6" a="1"/>
  <c r="L22" i="6" a="1"/>
  <c r="M22" i="6" a="1"/>
  <c r="N22" i="6" a="1"/>
  <c r="O22" i="6" a="1"/>
  <c r="P22" i="6" a="1"/>
  <c r="Q22" i="6" a="1"/>
  <c r="R22" i="6" a="1"/>
  <c r="S22" i="6" a="1"/>
  <c r="T22" i="6" a="1"/>
  <c r="U22" i="6" a="1"/>
  <c r="W22" i="6" a="1"/>
  <c r="X22" i="6" a="1"/>
  <c r="Y22" i="6" a="1"/>
  <c r="Z22" i="6" a="1"/>
  <c r="AA22" i="6" a="1"/>
  <c r="AB22" i="6" a="1"/>
  <c r="AC22" i="6" a="1"/>
  <c r="AD22" i="6" a="1"/>
  <c r="AE22" i="6" a="1"/>
  <c r="AF22" i="6" a="1"/>
  <c r="C23" i="6" a="1"/>
  <c r="D23" i="6" a="1"/>
  <c r="E23" i="6" a="1"/>
  <c r="F23" i="6" a="1"/>
  <c r="G23" i="6" a="1"/>
  <c r="H23" i="6" a="1"/>
  <c r="I23" i="6" a="1"/>
  <c r="J23" i="6" a="1"/>
  <c r="K23" i="6" a="1"/>
  <c r="L23" i="6" a="1"/>
  <c r="M23" i="6" a="1"/>
  <c r="N23" i="6" a="1"/>
  <c r="O23" i="6" a="1"/>
  <c r="P23" i="6" a="1"/>
  <c r="Q23" i="6" a="1"/>
  <c r="R23" i="6" a="1"/>
  <c r="S23" i="6" a="1"/>
  <c r="T23" i="6" a="1"/>
  <c r="U23" i="6" a="1"/>
  <c r="V23" i="6" a="1"/>
  <c r="X23" i="6" a="1"/>
  <c r="Y23" i="6" a="1"/>
  <c r="Z23" i="6" a="1"/>
  <c r="AA23" i="6" a="1"/>
  <c r="AB23" i="6" a="1"/>
  <c r="AC23" i="6" a="1"/>
  <c r="AD23" i="6" a="1"/>
  <c r="AE23" i="6" a="1"/>
  <c r="AF23" i="6" a="1"/>
  <c r="C24" i="6" a="1"/>
  <c r="D24" i="6" a="1"/>
  <c r="M24" i="6" a="1"/>
  <c r="T27" i="6" a="1"/>
  <c r="J31" i="6" a="1"/>
  <c r="Q24" i="6" a="1"/>
  <c r="Z24" i="6" a="1"/>
  <c r="AF24" i="6" a="1"/>
  <c r="L28" i="6" a="1"/>
  <c r="T28" i="6" a="1"/>
  <c r="AC28" i="6" a="1"/>
  <c r="D25" i="6" a="1"/>
  <c r="E25" i="6" a="1"/>
  <c r="F25" i="6" a="1"/>
  <c r="G25" i="6" a="1"/>
  <c r="H25" i="6" a="1"/>
  <c r="I25" i="6" a="1"/>
  <c r="J25" i="6" a="1"/>
  <c r="K25" i="6" a="1"/>
  <c r="L25" i="6" a="1"/>
  <c r="M25" i="6" a="1"/>
  <c r="N25" i="6" a="1"/>
  <c r="O25" i="6" a="1"/>
  <c r="P25" i="6" a="1"/>
  <c r="Q25" i="6" a="1"/>
  <c r="R25" i="6" a="1"/>
  <c r="S25" i="6" a="1"/>
  <c r="T25" i="6" a="1"/>
  <c r="U25" i="6" a="1"/>
  <c r="V25" i="6" a="1"/>
  <c r="W25" i="6" a="1"/>
  <c r="X25" i="6" a="1"/>
  <c r="Z25" i="6" a="1"/>
  <c r="AA25" i="6" a="1"/>
  <c r="AB25" i="6" a="1"/>
  <c r="AC25" i="6" a="1"/>
  <c r="AD25" i="6" a="1"/>
  <c r="AE25" i="6" a="1"/>
  <c r="AF25" i="6" a="1"/>
  <c r="C26" i="6" a="1"/>
  <c r="D26" i="6" a="1"/>
  <c r="E26" i="6" a="1"/>
  <c r="F26" i="6" a="1"/>
  <c r="G26" i="6" a="1"/>
  <c r="H26" i="6" a="1"/>
  <c r="I26" i="6" a="1"/>
  <c r="J26" i="6" a="1"/>
  <c r="K26" i="6" a="1"/>
  <c r="L26" i="6" a="1"/>
  <c r="M26" i="6" a="1"/>
  <c r="N26" i="6" a="1"/>
  <c r="O26" i="6" a="1"/>
  <c r="P26" i="6" a="1"/>
  <c r="Q26" i="6" a="1"/>
  <c r="R26" i="6" a="1"/>
  <c r="S26" i="6" a="1"/>
  <c r="T26" i="6" a="1"/>
  <c r="U26" i="6" a="1"/>
  <c r="V26" i="6" a="1"/>
  <c r="W26" i="6" a="1"/>
  <c r="X26" i="6" a="1"/>
  <c r="Y26" i="6" a="1"/>
  <c r="AA26" i="6" a="1"/>
  <c r="AB26" i="6" a="1"/>
  <c r="AC26" i="6" a="1"/>
  <c r="AD26" i="6" a="1"/>
  <c r="AE26" i="6" a="1"/>
  <c r="AF26" i="6" a="1"/>
  <c r="C27" i="6" a="1"/>
  <c r="D27" i="6" a="1"/>
  <c r="E27" i="6" a="1"/>
  <c r="F27" i="6" a="1"/>
  <c r="G27" i="6" a="1"/>
  <c r="H27" i="6" a="1"/>
  <c r="I27" i="6" a="1"/>
  <c r="J27" i="6" a="1"/>
  <c r="K27" i="6" a="1"/>
  <c r="S27" i="6" a="1"/>
  <c r="I31" i="6" a="1"/>
  <c r="Y27" i="6" a="1"/>
  <c r="Z27" i="6" a="1"/>
  <c r="AB27" i="6" a="1"/>
  <c r="AC27" i="6" a="1"/>
  <c r="AD27" i="6" a="1"/>
  <c r="AE27" i="6" a="1"/>
  <c r="AF27" i="6" a="1"/>
  <c r="C28" i="6" a="1"/>
  <c r="D28" i="6" a="1"/>
  <c r="E28" i="6" a="1"/>
  <c r="F28" i="6" a="1"/>
  <c r="J28" i="6" a="1"/>
  <c r="R28" i="6" a="1"/>
  <c r="AE28" i="6" a="1"/>
  <c r="AF28" i="6" a="1"/>
  <c r="C29" i="6" a="1"/>
  <c r="D29" i="6" a="1"/>
  <c r="E29" i="6" a="1"/>
  <c r="F29" i="6" a="1"/>
  <c r="G29" i="6" a="1"/>
  <c r="H29" i="6" a="1"/>
  <c r="I29" i="6" a="1"/>
  <c r="J29" i="6" a="1"/>
  <c r="K29" i="6" a="1"/>
  <c r="L29" i="6" a="1"/>
  <c r="M29" i="6" a="1"/>
  <c r="N29" i="6" a="1"/>
  <c r="O29" i="6" a="1"/>
  <c r="P29" i="6" a="1"/>
  <c r="Q29" i="6" a="1"/>
  <c r="R29" i="6" a="1"/>
  <c r="S29" i="6" a="1"/>
  <c r="T29" i="6" a="1"/>
  <c r="U29" i="6" a="1"/>
  <c r="V29" i="6" a="1"/>
  <c r="W29" i="6" a="1"/>
  <c r="X29" i="6" a="1"/>
  <c r="Y29" i="6" a="1"/>
  <c r="Z29" i="6" a="1"/>
  <c r="AA29" i="6" a="1"/>
  <c r="AB29" i="6" a="1"/>
  <c r="AD29" i="6" a="1"/>
  <c r="AE29" i="6" a="1"/>
  <c r="AF29" i="6" a="1"/>
  <c r="C30" i="6" a="1"/>
  <c r="D30" i="6" a="1"/>
  <c r="E30" i="6" a="1"/>
  <c r="F30" i="6" a="1"/>
  <c r="G30" i="6" a="1"/>
  <c r="H30" i="6" a="1"/>
  <c r="I30" i="6" a="1"/>
  <c r="J30" i="6" a="1"/>
  <c r="K30" i="6" a="1"/>
  <c r="L30" i="6" a="1"/>
  <c r="M30" i="6" a="1"/>
  <c r="N30" i="6" a="1"/>
  <c r="O30" i="6" a="1"/>
  <c r="P30" i="6" a="1"/>
  <c r="Q30" i="6" a="1"/>
  <c r="R30" i="6" a="1"/>
  <c r="S30" i="6" a="1"/>
  <c r="T30" i="6" a="1"/>
  <c r="U30" i="6" a="1"/>
  <c r="V30" i="6" a="1"/>
  <c r="W30" i="6" a="1"/>
  <c r="X30" i="6" a="1"/>
  <c r="Y30" i="6" a="1"/>
  <c r="Z30" i="6" a="1"/>
  <c r="AA30" i="6" a="1"/>
  <c r="AB30" i="6" a="1"/>
  <c r="AC30" i="6" a="1"/>
  <c r="AE30" i="6" a="1"/>
  <c r="AF30" i="6" a="1"/>
  <c r="C31" i="6" a="1"/>
  <c r="H31" i="6" a="1"/>
  <c r="N31" i="6" a="1"/>
  <c r="O31" i="6" a="1"/>
  <c r="P31" i="6" a="1"/>
  <c r="Q31" i="6" a="1"/>
  <c r="R31" i="6" a="1"/>
  <c r="S31" i="6" a="1"/>
  <c r="T31" i="6" a="1"/>
  <c r="U31" i="6" a="1"/>
  <c r="V31" i="6" a="1"/>
  <c r="W31" i="6" a="1"/>
  <c r="X31" i="6" a="1"/>
  <c r="Y31" i="6" a="1"/>
  <c r="Z31" i="6" a="1"/>
  <c r="AA31" i="6" a="1"/>
  <c r="AB31" i="6" a="1"/>
  <c r="AC31" i="6" a="1"/>
  <c r="AD31" i="6" a="1"/>
  <c r="AF31" i="6" a="1"/>
  <c r="I14" i="6" a="1"/>
  <c r="D32" i="6" a="1"/>
  <c r="F32" i="6" a="1"/>
  <c r="H32" i="6" a="1"/>
  <c r="J32" i="6" a="1"/>
  <c r="K32" i="6" a="1"/>
  <c r="M32" i="6" a="1"/>
  <c r="O32" i="6" a="1"/>
  <c r="Q32" i="6" a="1"/>
  <c r="S32" i="6" a="1"/>
  <c r="T32" i="6" a="1"/>
  <c r="V32" i="6" a="1"/>
  <c r="X32" i="6" a="1"/>
  <c r="Z32" i="6" a="1"/>
  <c r="AA32" i="6" a="1"/>
  <c r="AC32" i="6" a="1"/>
  <c r="AE32" i="6" a="1"/>
  <c r="E3" i="6" a="1"/>
  <c r="G3" i="6" a="1"/>
  <c r="H3" i="6" a="1"/>
  <c r="J3" i="6" a="1"/>
  <c r="L3" i="6" a="1"/>
  <c r="N3" i="6" a="1"/>
  <c r="P3" i="6" a="1"/>
  <c r="R3" i="6" a="1"/>
  <c r="S3" i="6" a="1"/>
  <c r="U3" i="6" a="1"/>
  <c r="W3" i="6" a="1"/>
  <c r="Y3" i="6" a="1"/>
  <c r="AA3" i="6" a="1"/>
  <c r="AC3" i="6" a="1"/>
  <c r="AE3" i="6" a="1"/>
  <c r="C4" i="6" a="1"/>
  <c r="F4" i="6" a="1"/>
  <c r="H4" i="6" a="1"/>
  <c r="J4" i="6" a="1"/>
  <c r="M4" i="6" a="1"/>
  <c r="O4" i="6" a="1"/>
  <c r="Q4" i="6" a="1"/>
  <c r="L17" i="6" a="1"/>
  <c r="T17" i="6" a="1"/>
  <c r="AA17" i="6" a="1"/>
  <c r="G21" i="6" a="1"/>
  <c r="K21" i="6" a="1"/>
  <c r="S21" i="6" a="1"/>
  <c r="L24" i="6" a="1"/>
  <c r="P27" i="6" a="1"/>
  <c r="X27" i="6" a="1"/>
  <c r="L31" i="6" a="1"/>
  <c r="T4" i="6" a="1"/>
  <c r="V4" i="6" a="1"/>
  <c r="X4" i="6" a="1"/>
  <c r="Z4" i="6" a="1"/>
  <c r="AB4" i="6" a="1"/>
  <c r="AE4" i="6" a="1"/>
  <c r="C5" i="6" a="1"/>
  <c r="F5" i="6" a="1"/>
  <c r="H5" i="6" a="1"/>
  <c r="J5" i="6" a="1"/>
  <c r="M5" i="6" a="1"/>
  <c r="O5" i="6" a="1"/>
  <c r="Q5" i="6" a="1"/>
  <c r="S5" i="6" a="1"/>
  <c r="O7" i="6" a="1"/>
  <c r="S7" i="6" a="1"/>
  <c r="V7" i="6" a="1"/>
  <c r="Y7" i="6" a="1"/>
  <c r="AB7" i="6" a="1"/>
  <c r="AE7" i="6" a="1"/>
  <c r="E8" i="6" a="1"/>
  <c r="I8" i="6" a="1"/>
  <c r="L8" i="6" a="1"/>
  <c r="O8" i="6" a="1"/>
  <c r="R8" i="6" a="1"/>
  <c r="U8" i="6" a="1"/>
  <c r="Y8" i="6" a="1"/>
  <c r="AB8" i="6" a="1"/>
  <c r="AE8" i="6" a="1"/>
  <c r="D9" i="6" a="1"/>
  <c r="G9" i="6" a="1"/>
  <c r="L9" i="6" a="1"/>
  <c r="N9" i="6" a="1"/>
  <c r="Q9" i="6" a="1"/>
  <c r="N12" i="6" a="1"/>
  <c r="R12" i="6" a="1"/>
  <c r="W12" i="6" a="1"/>
  <c r="AA12" i="6" a="1"/>
  <c r="AF12" i="6" a="1"/>
  <c r="F13" i="6" a="1"/>
  <c r="I13" i="6" a="1"/>
  <c r="N13" i="6" a="1"/>
  <c r="V16" i="6" a="1"/>
  <c r="AA16" i="6" a="1"/>
  <c r="C17" i="6" a="1"/>
  <c r="H17" i="6" a="1"/>
  <c r="L20" i="6" a="1"/>
  <c r="R20" i="6" a="1"/>
  <c r="Y20" i="6" a="1"/>
  <c r="AE20" i="6" a="1"/>
  <c r="S24" i="6" a="1"/>
  <c r="AA24" i="6" a="1"/>
  <c r="H28" i="6" a="1"/>
  <c r="Q28" i="6" a="1"/>
  <c r="Y28" i="6" a="1"/>
  <c r="G31" i="6" a="1"/>
  <c r="R14" i="6" a="1"/>
  <c r="W14" i="6" a="1"/>
  <c r="AE14" i="6" a="1"/>
  <c r="I15" i="6" a="1"/>
  <c r="P15" i="6" a="1"/>
  <c r="W15" i="6" a="1"/>
  <c r="AE15" i="6" a="1"/>
  <c r="G16" i="6" a="1"/>
  <c r="N16" i="6" a="1"/>
  <c r="O20" i="6" a="1"/>
  <c r="M28" i="6" a="1"/>
  <c r="P17" i="6" a="1"/>
  <c r="Y17" i="6" a="1"/>
  <c r="U28" i="6" a="1"/>
  <c r="O21" i="6" a="1"/>
  <c r="J24" i="6" a="1"/>
  <c r="O27" i="6" a="1"/>
  <c r="E31" i="6" a="1"/>
  <c r="C32" i="6" a="1"/>
  <c r="G32" i="6" a="1"/>
  <c r="L32" i="6" a="1"/>
  <c r="N32" i="6" a="1"/>
  <c r="R32" i="6" a="1"/>
  <c r="W32" i="6" a="1"/>
  <c r="AB32" i="6" a="1"/>
  <c r="D3" i="6" a="1"/>
  <c r="I3" i="6" a="1"/>
  <c r="K3" i="6" a="1"/>
  <c r="O3" i="6" a="1"/>
  <c r="T3" i="6" a="1"/>
  <c r="X3" i="6" a="1"/>
  <c r="AB3" i="6" a="1"/>
  <c r="AD3" i="6" a="1"/>
  <c r="E4" i="6" a="1"/>
  <c r="I4" i="6" a="1"/>
  <c r="L4" i="6" a="1"/>
  <c r="P4" i="6" a="1"/>
  <c r="R4" i="6" a="1"/>
  <c r="U4" i="6" a="1"/>
  <c r="Y4" i="6" a="1"/>
  <c r="AC4" i="6" a="1"/>
  <c r="AF4" i="6" a="1"/>
  <c r="D5" i="6" a="1"/>
  <c r="I5" i="6" a="1"/>
  <c r="L5" i="6" a="1"/>
  <c r="P5" i="6" a="1"/>
  <c r="T5" i="6" a="1"/>
  <c r="R7" i="6" a="1"/>
  <c r="U7" i="6" a="1"/>
  <c r="AA7" i="6" a="1"/>
  <c r="AF7" i="6" a="1"/>
  <c r="G8" i="6" a="1"/>
  <c r="M8" i="6" a="1"/>
  <c r="P8" i="6" a="1"/>
  <c r="V8" i="6" a="1"/>
  <c r="Z8" i="6" a="1"/>
  <c r="AF8" i="6" a="1"/>
  <c r="H9" i="6" a="1"/>
  <c r="J9" i="6" a="1"/>
  <c r="P9" i="6" a="1"/>
  <c r="J12" i="6" a="1"/>
  <c r="Q12" i="6" a="1"/>
  <c r="Y12" i="6" a="1"/>
  <c r="AB12" i="6" a="1"/>
  <c r="S6" i="6" a="1"/>
  <c r="V6" i="6" a="1"/>
  <c r="Y6" i="6" a="1"/>
  <c r="AB6" i="6" a="1"/>
  <c r="AD6" i="6" a="1"/>
  <c r="C7" i="6" a="1"/>
  <c r="F7" i="6" a="1"/>
  <c r="J7" i="6" a="1"/>
  <c r="L7" i="6" a="1"/>
  <c r="Q7" i="6" a="1"/>
  <c r="Z7" i="6" a="1"/>
  <c r="F8" i="6" a="1"/>
  <c r="N8" i="6" a="1"/>
  <c r="W8" i="6" a="1"/>
  <c r="Z10" i="6" a="1"/>
  <c r="AD10" i="6" a="1"/>
  <c r="C11" i="6" a="1"/>
  <c r="G11" i="6" a="1"/>
  <c r="L11" i="6" a="1"/>
  <c r="O11" i="6" a="1"/>
  <c r="Z13" i="6" a="1"/>
  <c r="AD13" i="6" a="1"/>
  <c r="F14" i="6" a="1"/>
  <c r="K14" i="6" a="1"/>
  <c r="P14" i="6" a="1"/>
  <c r="U14" i="6" a="1"/>
  <c r="Z14" i="6" a="1"/>
  <c r="AF14" i="6" a="1"/>
  <c r="F15" i="6" a="1"/>
  <c r="L15" i="6" a="1"/>
  <c r="S15" i="6" a="1"/>
  <c r="X15" i="6" a="1"/>
  <c r="AB15" i="6" a="1"/>
  <c r="D16" i="6" a="1"/>
  <c r="J16" i="6" a="1"/>
  <c r="S16" i="6" a="1"/>
  <c r="AF16" i="6" a="1"/>
  <c r="AF20" i="6" a="1"/>
  <c r="AA28" i="6" a="1"/>
  <c r="R17" i="6" a="1"/>
  <c r="V17" i="6" a="1"/>
  <c r="AC17" i="6" a="1"/>
  <c r="I21" i="6" a="1"/>
  <c r="Q21" i="6" a="1"/>
  <c r="H24" i="6" a="1"/>
  <c r="O24" i="6" a="1"/>
  <c r="B32" i="6" a="1"/>
  <c r="B18" i="6" a="1"/>
  <c r="B11" i="6" a="1"/>
  <c r="B12" i="6" a="1"/>
  <c r="B13" i="6" a="1"/>
  <c r="B14" i="6" a="1"/>
  <c r="B15" i="6" a="1"/>
  <c r="B16" i="6" a="1"/>
  <c r="B17" i="6" a="1"/>
  <c r="B3" i="6" a="1"/>
  <c r="B19" i="6" a="1"/>
  <c r="B20" i="6" a="1"/>
  <c r="B21" i="6" a="1"/>
  <c r="B22" i="6" a="1"/>
  <c r="B23" i="6" a="1"/>
  <c r="B24" i="6" a="1"/>
  <c r="B25" i="6" a="1"/>
  <c r="B26" i="6" a="1"/>
  <c r="B27" i="6" a="1"/>
  <c r="B28" i="6" a="1"/>
  <c r="B29" i="6" a="1"/>
  <c r="B30" i="6" a="1"/>
  <c r="B31" i="6" a="1"/>
  <c r="B4" i="6" a="1"/>
  <c r="B5" i="6" a="1"/>
  <c r="B6" i="6" a="1"/>
  <c r="B7" i="6" a="1"/>
  <c r="B8" i="6" a="1"/>
  <c r="B9" i="6" a="1"/>
  <c r="B10" i="6" a="1"/>
  <c r="G27" i="3"/>
  <c r="J27" i="3" s="1"/>
  <c r="H27" i="3"/>
  <c r="I27" i="3"/>
  <c r="K27" i="3" s="1"/>
  <c r="H37" i="3"/>
  <c r="I37" i="3"/>
  <c r="K37" i="3" s="1"/>
  <c r="G19" i="3"/>
  <c r="J19" i="3" s="1"/>
  <c r="H19" i="3"/>
  <c r="I19" i="3"/>
  <c r="K19" i="3" s="1"/>
  <c r="H29" i="3"/>
  <c r="I29" i="3"/>
  <c r="K29" i="3" s="1"/>
  <c r="I28" i="3"/>
  <c r="K28" i="3" s="1"/>
  <c r="H28" i="3"/>
  <c r="G32" i="3"/>
  <c r="J32" i="3" s="1"/>
  <c r="H32" i="3"/>
  <c r="I32" i="3"/>
  <c r="K32" i="3" s="1"/>
  <c r="G24" i="3"/>
  <c r="J24" i="3" s="1"/>
  <c r="H24" i="3"/>
  <c r="I24" i="3"/>
  <c r="K24" i="3" s="1"/>
  <c r="H17" i="3"/>
  <c r="I17" i="3"/>
  <c r="K17" i="3" s="1"/>
  <c r="I8" i="3"/>
  <c r="K8" i="3" s="1"/>
  <c r="H8" i="3"/>
  <c r="G8" i="3"/>
  <c r="J8" i="3" s="1"/>
  <c r="G34" i="3"/>
  <c r="J34" i="3" s="1"/>
  <c r="H34" i="3"/>
  <c r="I34" i="3"/>
  <c r="K34" i="3" s="1"/>
  <c r="I46" i="3"/>
  <c r="K46" i="3" s="1"/>
  <c r="G46" i="3"/>
  <c r="J46" i="3" s="1"/>
  <c r="H46" i="3"/>
  <c r="B41" i="6" l="1" a="1"/>
  <c r="B2" i="6" a="1"/>
  <c r="B39" i="6" a="1"/>
  <c r="B40" i="6" a="1"/>
  <c r="B33" i="6" a="1"/>
  <c r="B34" i="6" a="1"/>
  <c r="B35" i="6" a="1"/>
  <c r="B36" i="6" a="1"/>
  <c r="B37" i="6" a="1"/>
  <c r="B38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<sst xmlns="http://schemas.openxmlformats.org/spreadsheetml/2006/main" count="1728" uniqueCount="134">
  <si>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</si>
  <si>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</si>
  <si>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</si>
  <si>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</si>
  <si>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</si>
  <si>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</si>
  <si>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</si>
  <si>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</si>
  <si>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</si>
  <si>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</si>
  <si>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</si>
  <si>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</si>
  <si>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</si>
  <si>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</si>
  <si>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</si>
  <si>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</si>
  <si>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</si>
  <si>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</si>
  <si>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</si>
  <si>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</si>
  <si>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</si>
  <si>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</si>
  <si>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</si>
  <si>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</si>
  <si>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</si>
  <si>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</si>
  <si>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</si>
  <si>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</si>
  <si>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</si>
  <si>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</si>
  <si>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</si>
  <si>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</si>
  <si>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</si>
  <si>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</si>
  <si>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</si>
  <si>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</si>
  <si>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</si>
  <si>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</si>
  <si>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</si>
  <si>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</si>
  <si>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</si>
  <si>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</si>
  <si>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</si>
  <si>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</si>
  <si>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</si>
  <si>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</si>
  <si>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</si>
  <si>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</si>
  <si>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</si>
  <si>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</si>
  <si>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</si>
  <si>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</si>
  <si>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</si>
  <si>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</si>
  <si>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</si>
  <si>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</si>
  <si>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</si>
  <si>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</si>
  <si>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</si>
  <si>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</si>
  <si>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</si>
  <si>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</si>
  <si>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</si>
  <si>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</si>
  <si>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</si>
  <si>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</si>
  <si>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</si>
  <si>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</si>
  <si>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</si>
  <si>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</si>
  <si>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</si>
  <si>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</si>
  <si>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</si>
  <si>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</si>
  <si>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</si>
  <si>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</si>
  <si>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</si>
  <si>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</si>
  <si>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</si>
  <si>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</si>
  <si>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</si>
  <si>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</si>
  <si>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</si>
  <si>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</si>
  <si>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</si>
  <si>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</si>
  <si>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</si>
  <si>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</si>
  <si>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</si>
  <si>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</si>
  <si>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</si>
  <si>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</si>
  <si>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</si>
  <si>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</si>
  <si>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</si>
  <si>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</si>
  <si>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</si>
  <si>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</si>
  <si>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</si>
  <si>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</si>
  <si>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</si>
  <si>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</si>
  <si>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</si>
  <si>
    <t>7-10</t>
  </si>
  <si>
    <t>10-5</t>
  </si>
  <si>
    <t>2-4</t>
  </si>
  <si>
    <t>6-4</t>
  </si>
  <si>
    <t>17-8</t>
  </si>
  <si>
    <t>7-5</t>
  </si>
  <si>
    <t>11-11</t>
  </si>
  <si>
    <t>9-7</t>
  </si>
  <si>
    <t>David</t>
  </si>
  <si>
    <t>12-4</t>
  </si>
  <si>
    <t>13-15</t>
  </si>
  <si>
    <t>9-6</t>
  </si>
  <si>
    <t>12-6</t>
  </si>
  <si>
    <t>Turi</t>
  </si>
  <si>
    <t>8-14</t>
  </si>
  <si>
    <t>14-15</t>
  </si>
  <si>
    <t>Namid</t>
  </si>
  <si>
    <t>Nadim</t>
  </si>
  <si>
    <t>Pedro (Not Barroso)</t>
  </si>
  <si>
    <t>4-5</t>
  </si>
  <si>
    <t>12-10</t>
  </si>
  <si>
    <t>11-8</t>
  </si>
  <si>
    <t>Renan</t>
  </si>
  <si>
    <t>3-4</t>
  </si>
  <si>
    <t>10-4</t>
  </si>
  <si>
    <t>Felipe</t>
  </si>
  <si>
    <t>5-8</t>
  </si>
  <si>
    <t>4-7</t>
  </si>
  <si>
    <t>Georgian</t>
  </si>
  <si>
    <t>1-7</t>
  </si>
  <si>
    <t>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</si>
</sst>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2"/>
  <sheetViews>
    <sheetView topLeftCell="A46" workbookViewId="0">
      <selection activeCell="F54" sqref="F54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47</v>
      </c>
      <c r="C2">
        <f>COUNTIF('Team Lineups'!C:C,A2)</f>
        <v>0</v>
      </c>
      <c r="D2">
        <f>SUMIF('Team Lineups'!C:C,A2,'Team Lineups'!E:E)</f>
        <v>0</v>
      </c>
      <c r="E2">
        <f>SUMIF('Team Lineups'!C:C,A2,'Team Lineups'!F:F)</f>
        <v>0</v>
      </c>
      <c r="F2">
        <f t="shared" ref="F2:F49" si="0">D2-E2</f>
        <v>0</v>
      </c>
      <c r="G2">
        <f>COUNTIFS('Team Lineups'!C:C,A2,'Team Lineups'!G:G,"Win")</f>
        <v>0</v>
      </c>
      <c r="H2">
        <f>COUNTIFS('Team Lineups'!C:C,A2,'Team Lineups'!G:G,"Draw")</f>
        <v>0</v>
      </c>
      <c r="I2">
        <f>COUNTIFS('Team Lineups'!C:C,A2,'Team Lineups'!G:G,"Loss")</f>
        <v>0</v>
      </c>
      <c r="J2" s="3" t="e">
        <f t="shared" ref="J2:J49" si="1">G2/C2</f>
        <v>#DIV/0!</v>
      </c>
      <c r="K2" s="3" t="e">
        <f t="shared" ref="K2:K49" si="2">I2/C2</f>
        <v>#DIV/0!</v>
      </c>
      <c r="L2">
        <f>SUMIF('Team Lineups'!C:C,A2,'Team Lineups'!H:H)</f>
        <v>0</v>
      </c>
      <c r="M2" t="e">
        <f t="shared" ref="M2:M49" si="3">L2/C2</f>
        <v>#DIV/0!</v>
      </c>
      <c r="N2">
        <f>SUMIF('Team Lineups'!C:C,A2,'Team Lineups'!I:I)</f>
        <v>0</v>
      </c>
      <c r="O2">
        <f>COUNTIF(Matches!G:G,A2)</f>
        <v>0</v>
      </c>
      <c r="P2" t="e">
        <f t="shared" ref="P2:P49" si="4">O2/C2</f>
        <v>#DIV/0!</v>
      </c>
      <c r="Q2">
        <f>SUMIF('Team Lineups'!C:C,A2,'Team Lineups'!J:J)</f>
        <v>0</v>
      </c>
    </row>
    <row r="3" spans="1:17" x14ac:dyDescent="0.35">
      <c r="A3" t="s">
        <v>52</v>
      </c>
      <c r="C3">
        <f>COUNTIF('Team Lineups'!C:C,A3)</f>
        <v>12</v>
      </c>
      <c r="D3">
        <f>SUMIF('Team Lineups'!C:C,A3,'Team Lineups'!E:E)</f>
        <v>73</v>
      </c>
      <c r="E3">
        <f>SUMIF('Team Lineups'!C:C,A3,'Team Lineups'!F:F)</f>
        <v>104</v>
      </c>
      <c r="F3">
        <f t="shared" si="0"/>
        <v>-31</v>
      </c>
      <c r="G3">
        <f>COUNTIFS('Team Lineups'!C:C,A3,'Team Lineups'!G:G,"Win")</f>
        <v>3</v>
      </c>
      <c r="H3">
        <f>COUNTIFS('Team Lineups'!C:C,A3,'Team Lineups'!G:G,"Draw")</f>
        <v>0</v>
      </c>
      <c r="I3">
        <f>COUNTIFS('Team Lineups'!C:C,A3,'Team Lineups'!G:G,"Loss")</f>
        <v>9</v>
      </c>
      <c r="J3" s="3">
        <f t="shared" si="1"/>
        <v>0.25</v>
      </c>
      <c r="K3" s="3">
        <f t="shared" si="2"/>
        <v>0.75</v>
      </c>
      <c r="L3">
        <f>SUMIF('Team Lineups'!C:C,A3,'Team Lineups'!H:H)</f>
        <v>18</v>
      </c>
      <c r="M3">
        <f t="shared" si="3"/>
        <v>1.5</v>
      </c>
      <c r="N3">
        <f>SUMIF('Team Lineups'!C:C,A3,'Team Lineups'!I:I)</f>
        <v>11</v>
      </c>
      <c r="O3">
        <f>COUNTIF(Matches!G:G,A3)</f>
        <v>0</v>
      </c>
      <c r="P3">
        <f t="shared" si="4"/>
        <v>0</v>
      </c>
      <c r="Q3">
        <f>SUMIF('Team Lineups'!C:C,A3,'Team Lineups'!J:J)</f>
        <v>0</v>
      </c>
    </row>
    <row r="4" spans="1:17" x14ac:dyDescent="0.35">
      <c r="A4" t="s">
        <v>55</v>
      </c>
      <c r="C4">
        <f>COUNTIF('Team Lineups'!C:C,A4)</f>
        <v>1</v>
      </c>
      <c r="D4">
        <f>SUMIF('Team Lineups'!C:C,A4,'Team Lineups'!E:E)</f>
        <v>3</v>
      </c>
      <c r="E4">
        <f>SUMIF('Team Lineups'!C:C,A4,'Team Lineups'!F:F)</f>
        <v>6</v>
      </c>
      <c r="F4">
        <f t="shared" si="0"/>
        <v>-3</v>
      </c>
      <c r="G4">
        <f>COUNTIFS('Team Lineups'!C:C,A4,'Team Lineups'!G:G,"Win")</f>
        <v>0</v>
      </c>
      <c r="H4">
        <f>COUNTIFS('Team Lineups'!C:C,A4,'Team Lineups'!G:G,"Draw")</f>
        <v>0</v>
      </c>
      <c r="I4">
        <f>COUNTIFS('Team Lineups'!C:C,A4,'Team Lineups'!G:G,"Loss")</f>
        <v>1</v>
      </c>
      <c r="J4" s="3">
        <f t="shared" si="1"/>
        <v>0</v>
      </c>
      <c r="K4" s="3">
        <f t="shared" si="2"/>
        <v>1</v>
      </c>
      <c r="L4">
        <f>SUMIF('Team Lineups'!C:C,A4,'Team Lineups'!H:H)</f>
        <v>0</v>
      </c>
      <c r="M4">
        <f t="shared" si="3"/>
        <v>0</v>
      </c>
      <c r="N4">
        <f>SUMIF('Team Lineups'!C:C,A4,'Team Lineups'!I:I)</f>
        <v>0</v>
      </c>
      <c r="O4">
        <f>COUNTIF(Matches!G:G,A4)</f>
        <v>0</v>
      </c>
      <c r="P4">
        <f t="shared" si="4"/>
        <v>0</v>
      </c>
      <c r="Q4">
        <f>SUMIF('Team Lineups'!C:C,A4,'Team Lineups'!J:J)</f>
        <v>0</v>
      </c>
    </row>
    <row r="5" spans="1:17" x14ac:dyDescent="0.35">
      <c r="A5" t="s">
        <v>62</v>
      </c>
      <c r="C5">
        <f>COUNTIF('Team Lineups'!C:C,A5)</f>
        <v>1</v>
      </c>
      <c r="D5">
        <f>SUMIF('Team Lineups'!C:C,A5,'Team Lineups'!E:E)</f>
        <v>8</v>
      </c>
      <c r="E5">
        <f>SUMIF('Team Lineups'!C:C,A5,'Team Lineups'!F:F)</f>
        <v>13</v>
      </c>
      <c r="F5">
        <f t="shared" si="0"/>
        <v>-5</v>
      </c>
      <c r="G5">
        <f>COUNTIFS('Team Lineups'!C:C,A5,'Team Lineups'!G:G,"Win")</f>
        <v>0</v>
      </c>
      <c r="H5">
        <f>COUNTIFS('Team Lineups'!C:C,A5,'Team Lineups'!G:G,"Draw")</f>
        <v>0</v>
      </c>
      <c r="I5">
        <f>COUNTIFS('Team Lineups'!C:C,A5,'Team Lineups'!G:G,"Loss")</f>
        <v>1</v>
      </c>
      <c r="J5" s="3">
        <f t="shared" si="1"/>
        <v>0</v>
      </c>
      <c r="K5" s="3">
        <f t="shared" si="2"/>
        <v>1</v>
      </c>
      <c r="L5">
        <f>SUMIF('Team Lineups'!C:C,A5,'Team Lineups'!H:H)</f>
        <v>1</v>
      </c>
      <c r="M5">
        <f t="shared" si="3"/>
        <v>1</v>
      </c>
      <c r="N5">
        <f>SUMIF('Team Lineups'!C:C,A5,'Team Lineups'!I:I)</f>
        <v>3</v>
      </c>
      <c r="O5">
        <f>COUNTIF(Matches!G:G,A5)</f>
        <v>0</v>
      </c>
      <c r="P5">
        <f t="shared" si="4"/>
        <v>0</v>
      </c>
      <c r="Q5">
        <f>SUMIF('Team Lineups'!C:C,A5,'Team Lineups'!J:J)</f>
        <v>0</v>
      </c>
    </row>
    <row r="6" spans="1:17" x14ac:dyDescent="0.35">
      <c r="A6" t="s">
        <v>87</v>
      </c>
      <c r="C6">
        <f>COUNTIF('Team Lineups'!C:C,A6)</f>
        <v>2</v>
      </c>
      <c r="D6">
        <f>SUMIF('Team Lineups'!C:C,A6,'Team Lineups'!E:E)</f>
        <v>2</v>
      </c>
      <c r="E6">
        <f>SUMIF('Team Lineups'!C:C,A6,'Team Lineups'!F:F)</f>
        <v>9</v>
      </c>
      <c r="F6">
        <f t="shared" si="0"/>
        <v>-7</v>
      </c>
      <c r="G6">
        <f>COUNTIFS('Team Lineups'!C:C,A6,'Team Lineups'!G:G,"Win")</f>
        <v>0</v>
      </c>
      <c r="H6">
        <f>COUNTIFS('Team Lineups'!C:C,A6,'Team Lineups'!G:G,"Draw")</f>
        <v>0</v>
      </c>
      <c r="I6">
        <f>COUNTIFS('Team Lineups'!C:C,A6,'Team Lineups'!G:G,"Loss")</f>
        <v>2</v>
      </c>
      <c r="J6" s="3">
        <f t="shared" si="1"/>
        <v>0</v>
      </c>
      <c r="K6" s="3">
        <f t="shared" si="2"/>
        <v>1</v>
      </c>
      <c r="L6">
        <f>SUMIF('Team Lineups'!C:C,A6,'Team Lineups'!H:H)</f>
        <v>0</v>
      </c>
      <c r="M6">
        <f t="shared" si="3"/>
        <v>0</v>
      </c>
      <c r="N6">
        <f>SUMIF('Team Lineups'!C:C,A6,'Team Lineups'!I:I)</f>
        <v>1</v>
      </c>
      <c r="O6">
        <f>COUNTIF(Matches!G:G,A6)</f>
        <v>0</v>
      </c>
      <c r="P6">
        <f t="shared" si="4"/>
        <v>0</v>
      </c>
      <c r="Q6">
        <f>SUMIF('Team Lineups'!C:C,A6,'Team Lineups'!J:J)</f>
        <v>0</v>
      </c>
    </row>
    <row r="7" spans="1:17" x14ac:dyDescent="0.35">
      <c r="A7" t="s">
        <v>111</v>
      </c>
      <c r="C7">
        <f>COUNTIF('Team Lineups'!C:C,A7)</f>
        <v>1</v>
      </c>
      <c r="D7">
        <f>SUMIF('Team Lineups'!C:C,A7,'Team Lineups'!E:E)</f>
        <v>7</v>
      </c>
      <c r="E7">
        <f>SUMIF('Team Lineups'!C:C,A7,'Team Lineups'!F:F)</f>
        <v>9</v>
      </c>
      <c r="F7">
        <f t="shared" si="0"/>
        <v>-2</v>
      </c>
      <c r="G7">
        <f>COUNTIFS('Team Lineups'!C:C,A7,'Team Lineups'!G:G,"Win")</f>
        <v>0</v>
      </c>
      <c r="H7">
        <f>COUNTIFS('Team Lineups'!C:C,A7,'Team Lineups'!G:G,"Draw")</f>
        <v>0</v>
      </c>
      <c r="I7">
        <f>COUNTIFS('Team Lineups'!C:C,A7,'Team Lineups'!G:G,"Loss")</f>
        <v>1</v>
      </c>
      <c r="J7" s="3">
        <f t="shared" si="1"/>
        <v>0</v>
      </c>
      <c r="K7" s="3">
        <f t="shared" si="2"/>
        <v>1</v>
      </c>
      <c r="L7">
        <f>SUMIF('Team Lineups'!C:C,A7,'Team Lineups'!H:H)</f>
        <v>1</v>
      </c>
      <c r="M7">
        <f t="shared" si="3"/>
        <v>1</v>
      </c>
      <c r="N7">
        <f>SUMIF('Team Lineups'!C:C,A7,'Team Lineups'!I:I)</f>
        <v>1</v>
      </c>
      <c r="O7">
        <f>COUNTIF(Matches!G:G,A7)</f>
        <v>0</v>
      </c>
      <c r="P7">
        <f t="shared" si="4"/>
        <v>0</v>
      </c>
      <c r="Q7">
        <f>SUMIF('Team Lineups'!C:C,A7,'Team Lineups'!J:J)</f>
        <v>0</v>
      </c>
    </row>
    <row r="8" spans="1:17" x14ac:dyDescent="0.35">
      <c r="A8" t="s">
        <v>77</v>
      </c>
      <c r="C8">
        <f>COUNTIF('Team Lineups'!C:C,A8)</f>
        <v>7</v>
      </c>
      <c r="D8">
        <f>SUMIF('Team Lineups'!C:C,A8,'Team Lineups'!E:E)</f>
        <v>35</v>
      </c>
      <c r="E8">
        <f>SUMIF('Team Lineups'!C:C,A8,'Team Lineups'!F:F)</f>
        <v>46</v>
      </c>
      <c r="F8">
        <f t="shared" si="0"/>
        <v>-11</v>
      </c>
      <c r="G8">
        <f>COUNTIFS('Team Lineups'!C:C,A8,'Team Lineups'!G:G,"Win")</f>
        <v>1</v>
      </c>
      <c r="H8">
        <f>COUNTIFS('Team Lineups'!C:C,A8,'Team Lineups'!G:G,"Draw")</f>
        <v>0</v>
      </c>
      <c r="I8">
        <f>COUNTIFS('Team Lineups'!C:C,A8,'Team Lineups'!G:G,"Loss")</f>
        <v>6</v>
      </c>
      <c r="J8" s="3">
        <f t="shared" si="1"/>
        <v>0.14285714285714285</v>
      </c>
      <c r="K8" s="3">
        <f t="shared" si="2"/>
        <v>0.8571428571428571</v>
      </c>
      <c r="L8">
        <f>SUMIF('Team Lineups'!C:C,A8,'Team Lineups'!H:H)</f>
        <v>3</v>
      </c>
      <c r="M8">
        <f t="shared" si="3"/>
        <v>0.42857142857142855</v>
      </c>
      <c r="N8">
        <f>SUMIF('Team Lineups'!C:C,A8,'Team Lineups'!I:I)</f>
        <v>2</v>
      </c>
      <c r="O8">
        <f>COUNTIF(Matches!G:G,A8)</f>
        <v>0</v>
      </c>
      <c r="P8">
        <f t="shared" si="4"/>
        <v>0</v>
      </c>
      <c r="Q8">
        <f>SUMIF('Team Lineups'!C:C,A8,'Team Lineups'!J:J)</f>
        <v>0</v>
      </c>
    </row>
    <row r="9" spans="1:17" x14ac:dyDescent="0.35">
      <c r="A9" t="s">
        <v>48</v>
      </c>
      <c r="C9">
        <f>COUNTIF('Team Lineups'!C:C,A9)</f>
        <v>9</v>
      </c>
      <c r="D9">
        <f>SUMIF('Team Lineups'!C:C,A9,'Team Lineups'!E:E)</f>
        <v>68</v>
      </c>
      <c r="E9">
        <f>SUMIF('Team Lineups'!C:C,A9,'Team Lineups'!F:F)</f>
        <v>77</v>
      </c>
      <c r="F9">
        <f t="shared" si="0"/>
        <v>-9</v>
      </c>
      <c r="G9">
        <f>COUNTIFS('Team Lineups'!C:C,A9,'Team Lineups'!G:G,"Win")</f>
        <v>3</v>
      </c>
      <c r="H9">
        <f>COUNTIFS('Team Lineups'!C:C,A9,'Team Lineups'!G:G,"Draw")</f>
        <v>0</v>
      </c>
      <c r="I9">
        <f>COUNTIFS('Team Lineups'!C:C,A9,'Team Lineups'!G:G,"Loss")</f>
        <v>6</v>
      </c>
      <c r="J9" s="3">
        <f t="shared" si="1"/>
        <v>0.33333333333333331</v>
      </c>
      <c r="K9" s="3">
        <f t="shared" si="2"/>
        <v>0.66666666666666663</v>
      </c>
      <c r="L9">
        <f>SUMIF('Team Lineups'!C:C,A9,'Team Lineups'!H:H)</f>
        <v>3</v>
      </c>
      <c r="M9">
        <f t="shared" si="3"/>
        <v>0.33333333333333331</v>
      </c>
      <c r="N9">
        <f>SUMIF('Team Lineups'!C:C,A9,'Team Lineups'!I:I)</f>
        <v>7</v>
      </c>
      <c r="O9">
        <f>COUNTIF(Matches!G:G,A9)</f>
        <v>1</v>
      </c>
      <c r="P9">
        <f t="shared" si="4"/>
        <v>0.1111111111111111</v>
      </c>
      <c r="Q9">
        <f>SUMIF('Team Lineups'!C:C,A9,'Team Lineups'!J:J)</f>
        <v>0</v>
      </c>
    </row>
    <row r="10" spans="1:17" x14ac:dyDescent="0.35">
      <c r="A10" t="s">
        <v>51</v>
      </c>
      <c r="C10">
        <f>COUNTIF('Team Lineups'!C:C,A10)</f>
        <v>16</v>
      </c>
      <c r="D10">
        <f>SUMIF('Team Lineups'!C:C,A10,'Team Lineups'!E:E)</f>
        <v>108</v>
      </c>
      <c r="E10">
        <f>SUMIF('Team Lineups'!C:C,A10,'Team Lineups'!F:F)</f>
        <v>134</v>
      </c>
      <c r="F10">
        <f t="shared" si="0"/>
        <v>-26</v>
      </c>
      <c r="G10">
        <f>COUNTIFS('Team Lineups'!C:C,A10,'Team Lineups'!G:G,"Win")</f>
        <v>4</v>
      </c>
      <c r="H10">
        <f>COUNTIFS('Team Lineups'!C:C,A10,'Team Lineups'!G:G,"Draw")</f>
        <v>2</v>
      </c>
      <c r="I10">
        <f>COUNTIFS('Team Lineups'!C:C,A10,'Team Lineups'!G:G,"Loss")</f>
        <v>10</v>
      </c>
      <c r="J10" s="3">
        <f t="shared" si="1"/>
        <v>0.25</v>
      </c>
      <c r="K10" s="3">
        <f t="shared" si="2"/>
        <v>0.625</v>
      </c>
      <c r="L10">
        <f>SUMIF('Team Lineups'!C:C,A10,'Team Lineups'!H:H)</f>
        <v>9</v>
      </c>
      <c r="M10">
        <f t="shared" si="3"/>
        <v>0.5625</v>
      </c>
      <c r="N10">
        <f>SUMIF('Team Lineups'!C:C,A10,'Team Lineups'!I:I)</f>
        <v>19</v>
      </c>
      <c r="O10">
        <f>COUNTIF(Matches!G:G,A10)</f>
        <v>1</v>
      </c>
      <c r="P10">
        <f t="shared" si="4"/>
        <v>6.25E-2</v>
      </c>
      <c r="Q10">
        <f>SUMIF('Team Lineups'!C:C,A10,'Team Lineups'!J:J)</f>
        <v>1</v>
      </c>
    </row>
    <row r="11" spans="1:17" x14ac:dyDescent="0.35">
      <c r="A11" t="s">
        <v>54</v>
      </c>
      <c r="C11">
        <f>COUNTIF('Team Lineups'!C:C,A11)</f>
        <v>19</v>
      </c>
      <c r="D11">
        <f>SUMIF('Team Lineups'!C:C,A11,'Team Lineups'!E:E)</f>
        <v>100</v>
      </c>
      <c r="E11">
        <f>SUMIF('Team Lineups'!C:C,A11,'Team Lineups'!F:F)</f>
        <v>109</v>
      </c>
      <c r="F11">
        <f t="shared" si="0"/>
        <v>-9</v>
      </c>
      <c r="G11">
        <f>COUNTIFS('Team Lineups'!C:C,A11,'Team Lineups'!G:G,"Win")</f>
        <v>7</v>
      </c>
      <c r="H11">
        <f>COUNTIFS('Team Lineups'!C:C,A11,'Team Lineups'!G:G,"Draw")</f>
        <v>2</v>
      </c>
      <c r="I11">
        <f>COUNTIFS('Team Lineups'!C:C,A11,'Team Lineups'!G:G,"Loss")</f>
        <v>10</v>
      </c>
      <c r="J11" s="3">
        <f t="shared" si="1"/>
        <v>0.36842105263157893</v>
      </c>
      <c r="K11" s="3">
        <f t="shared" si="2"/>
        <v>0.52631578947368418</v>
      </c>
      <c r="L11">
        <f>SUMIF('Team Lineups'!C:C,A11,'Team Lineups'!H:H)</f>
        <v>7</v>
      </c>
      <c r="M11">
        <f t="shared" si="3"/>
        <v>0.36842105263157893</v>
      </c>
      <c r="N11">
        <f>SUMIF('Team Lineups'!C:C,A11,'Team Lineups'!I:I)</f>
        <v>13</v>
      </c>
      <c r="O11">
        <f>COUNTIF(Matches!G:G,A11)</f>
        <v>3</v>
      </c>
      <c r="P11">
        <f t="shared" si="4"/>
        <v>0.15789473684210525</v>
      </c>
      <c r="Q11">
        <f>SUMIF('Team Lineups'!C:C,A11,'Team Lineups'!J:J)</f>
        <v>0</v>
      </c>
    </row>
    <row r="12" spans="1:17" x14ac:dyDescent="0.35">
      <c r="A12" t="s">
        <v>99</v>
      </c>
      <c r="C12">
        <f>COUNTIF('Team Lineups'!C:C,A12)</f>
        <v>19</v>
      </c>
      <c r="D12">
        <f>SUMIF('Team Lineups'!C:C,A12,'Team Lineups'!E:E)</f>
        <v>105</v>
      </c>
      <c r="E12">
        <f>SUMIF('Team Lineups'!C:C,A12,'Team Lineups'!F:F)</f>
        <v>124</v>
      </c>
      <c r="F12">
        <f t="shared" si="0"/>
        <v>-19</v>
      </c>
      <c r="G12">
        <f>COUNTIFS('Team Lineups'!C:C,A12,'Team Lineups'!G:G,"Win")</f>
        <v>7</v>
      </c>
      <c r="H12">
        <f>COUNTIFS('Team Lineups'!C:C,A12,'Team Lineups'!G:G,"Draw")</f>
        <v>2</v>
      </c>
      <c r="I12">
        <f>COUNTIFS('Team Lineups'!C:C,A12,'Team Lineups'!G:G,"Loss")</f>
        <v>10</v>
      </c>
      <c r="J12" s="3">
        <f t="shared" si="1"/>
        <v>0.36842105263157893</v>
      </c>
      <c r="K12" s="3">
        <f t="shared" si="2"/>
        <v>0.52631578947368418</v>
      </c>
      <c r="L12">
        <f>SUMIF('Team Lineups'!C:C,A12,'Team Lineups'!H:H)</f>
        <v>5</v>
      </c>
      <c r="M12">
        <f t="shared" si="3"/>
        <v>0.26315789473684209</v>
      </c>
      <c r="N12">
        <f>SUMIF('Team Lineups'!C:C,A12,'Team Lineups'!I:I)</f>
        <v>3</v>
      </c>
      <c r="O12">
        <f>COUNTIF(Matches!G:G,A12)</f>
        <v>3</v>
      </c>
      <c r="P12">
        <f t="shared" si="4"/>
        <v>0.15789473684210525</v>
      </c>
      <c r="Q12">
        <f>SUMIF('Team Lineups'!C:C,A12,'Team Lineups'!J:J)</f>
        <v>1</v>
      </c>
    </row>
    <row r="13" spans="1:17" x14ac:dyDescent="0.35">
      <c r="A13" t="s">
        <v>16</v>
      </c>
      <c r="C13">
        <f>COUNTIF('Team Lineups'!C:C,A13)</f>
        <v>29</v>
      </c>
      <c r="D13">
        <f>SUMIF('Team Lineups'!C:C,A13,'Team Lineups'!E:E)</f>
        <v>183</v>
      </c>
      <c r="E13">
        <f>SUMIF('Team Lineups'!C:C,A13,'Team Lineups'!F:F)</f>
        <v>197</v>
      </c>
      <c r="F13">
        <f t="shared" si="0"/>
        <v>-14</v>
      </c>
      <c r="G13">
        <f>COUNTIFS('Team Lineups'!C:C,A13,'Team Lineups'!G:G,"Win")</f>
        <v>10</v>
      </c>
      <c r="H13">
        <f>COUNTIFS('Team Lineups'!C:C,A13,'Team Lineups'!G:G,"Draw")</f>
        <v>3</v>
      </c>
      <c r="I13">
        <f>COUNTIFS('Team Lineups'!C:C,A13,'Team Lineups'!G:G,"Loss")</f>
        <v>16</v>
      </c>
      <c r="J13" s="3">
        <f t="shared" si="1"/>
        <v>0.34482758620689657</v>
      </c>
      <c r="K13" s="3">
        <f t="shared" si="2"/>
        <v>0.55172413793103448</v>
      </c>
      <c r="L13">
        <f>SUMIF('Team Lineups'!C:C,A13,'Team Lineups'!H:H)</f>
        <v>40</v>
      </c>
      <c r="M13">
        <f t="shared" si="3"/>
        <v>1.3793103448275863</v>
      </c>
      <c r="N13">
        <f>SUMIF('Team Lineups'!C:C,A13,'Team Lineups'!I:I)</f>
        <v>29</v>
      </c>
      <c r="O13">
        <f>COUNTIF(Matches!G:G,A13)</f>
        <v>4</v>
      </c>
      <c r="P13">
        <f t="shared" si="4"/>
        <v>0.13793103448275862</v>
      </c>
      <c r="Q13">
        <f>SUMIF('Team Lineups'!C:C,A13,'Team Lineups'!J:J)</f>
        <v>0</v>
      </c>
    </row>
    <row r="14" spans="1:17" x14ac:dyDescent="0.35">
      <c r="A14" t="s">
        <v>46</v>
      </c>
      <c r="C14">
        <f>COUNTIF('Team Lineups'!C:C,A14)</f>
        <v>40</v>
      </c>
      <c r="D14">
        <f>SUMIF('Team Lineups'!C:C,A14,'Team Lineups'!E:E)</f>
        <v>267</v>
      </c>
      <c r="E14">
        <f>SUMIF('Team Lineups'!C:C,A14,'Team Lineups'!F:F)</f>
        <v>283</v>
      </c>
      <c r="F14">
        <f t="shared" si="0"/>
        <v>-16</v>
      </c>
      <c r="G14">
        <f>COUNTIFS('Team Lineups'!C:C,A14,'Team Lineups'!G:G,"Win")</f>
        <v>13</v>
      </c>
      <c r="H14">
        <f>COUNTIFS('Team Lineups'!C:C,A14,'Team Lineups'!G:G,"Draw")</f>
        <v>4</v>
      </c>
      <c r="I14">
        <f>COUNTIFS('Team Lineups'!C:C,A14,'Team Lineups'!G:G,"Loss")</f>
        <v>23</v>
      </c>
      <c r="J14" s="3">
        <f t="shared" si="1"/>
        <v>0.32500000000000001</v>
      </c>
      <c r="K14" s="3">
        <f t="shared" si="2"/>
        <v>0.57499999999999996</v>
      </c>
      <c r="L14">
        <f>SUMIF('Team Lineups'!C:C,A14,'Team Lineups'!H:H)</f>
        <v>69</v>
      </c>
      <c r="M14">
        <f t="shared" si="3"/>
        <v>1.7250000000000001</v>
      </c>
      <c r="N14">
        <f>SUMIF('Team Lineups'!C:C,A14,'Team Lineups'!I:I)</f>
        <v>28</v>
      </c>
      <c r="O14">
        <f>COUNTIF(Matches!G:G,A14)</f>
        <v>1</v>
      </c>
      <c r="P14">
        <f t="shared" si="4"/>
        <v>2.5000000000000001E-2</v>
      </c>
      <c r="Q14">
        <f>SUMIF('Team Lineups'!C:C,A14,'Team Lineups'!J:J)</f>
        <v>2</v>
      </c>
    </row>
    <row r="15" spans="1:17" x14ac:dyDescent="0.35">
      <c r="A15" t="s">
        <v>43</v>
      </c>
      <c r="C15">
        <f>COUNTIF('Team Lineups'!C:C,A15)</f>
        <v>26</v>
      </c>
      <c r="D15">
        <f>SUMIF('Team Lineups'!C:C,A15,'Team Lineups'!E:E)</f>
        <v>140</v>
      </c>
      <c r="E15">
        <f>SUMIF('Team Lineups'!C:C,A15,'Team Lineups'!F:F)</f>
        <v>159</v>
      </c>
      <c r="F15">
        <f t="shared" si="0"/>
        <v>-19</v>
      </c>
      <c r="G15">
        <f>COUNTIFS('Team Lineups'!C:C,A15,'Team Lineups'!G:G,"Win")</f>
        <v>9</v>
      </c>
      <c r="H15">
        <f>COUNTIFS('Team Lineups'!C:C,A15,'Team Lineups'!G:G,"Draw")</f>
        <v>5</v>
      </c>
      <c r="I15">
        <f>COUNTIFS('Team Lineups'!C:C,A15,'Team Lineups'!G:G,"Loss")</f>
        <v>12</v>
      </c>
      <c r="J15" s="3">
        <f t="shared" si="1"/>
        <v>0.34615384615384615</v>
      </c>
      <c r="K15" s="3">
        <f t="shared" si="2"/>
        <v>0.46153846153846156</v>
      </c>
      <c r="L15">
        <f>SUMIF('Team Lineups'!C:C,A15,'Team Lineups'!H:H)</f>
        <v>13</v>
      </c>
      <c r="M15">
        <f t="shared" si="3"/>
        <v>0.5</v>
      </c>
      <c r="N15">
        <f>SUMIF('Team Lineups'!C:C,A15,'Team Lineups'!I:I)</f>
        <v>8</v>
      </c>
      <c r="O15">
        <f>COUNTIF(Matches!G:G,A15)</f>
        <v>1</v>
      </c>
      <c r="P15">
        <f t="shared" si="4"/>
        <v>3.8461538461538464E-2</v>
      </c>
      <c r="Q15">
        <f>SUMIF('Team Lineups'!C:C,A15,'Team Lineups'!J:J)</f>
        <v>1</v>
      </c>
    </row>
    <row r="16" spans="1:17" x14ac:dyDescent="0.35">
      <c r="A16" t="s">
        <v>61</v>
      </c>
      <c r="C16">
        <f>COUNTIF('Team Lineups'!C:C,A16)</f>
        <v>2</v>
      </c>
      <c r="D16">
        <f>SUMIF('Team Lineups'!C:C,A16,'Team Lineups'!E:E)</f>
        <v>23</v>
      </c>
      <c r="E16">
        <f>SUMIF('Team Lineups'!C:C,A16,'Team Lineups'!F:F)</f>
        <v>26</v>
      </c>
      <c r="F16">
        <f t="shared" si="0"/>
        <v>-3</v>
      </c>
      <c r="G16">
        <f>COUNTIFS('Team Lineups'!C:C,A16,'Team Lineups'!G:G,"Win")</f>
        <v>1</v>
      </c>
      <c r="H16">
        <f>COUNTIFS('Team Lineups'!C:C,A16,'Team Lineups'!G:G,"Draw")</f>
        <v>0</v>
      </c>
      <c r="I16">
        <f>COUNTIFS('Team Lineups'!C:C,A16,'Team Lineups'!G:G,"Loss")</f>
        <v>1</v>
      </c>
      <c r="J16" s="3">
        <f t="shared" si="1"/>
        <v>0.5</v>
      </c>
      <c r="K16" s="3">
        <f t="shared" si="2"/>
        <v>0.5</v>
      </c>
      <c r="L16">
        <f>SUMIF('Team Lineups'!C:C,A16,'Team Lineups'!H:H)</f>
        <v>0</v>
      </c>
      <c r="M16">
        <f t="shared" si="3"/>
        <v>0</v>
      </c>
      <c r="N16">
        <f>SUMIF('Team Lineups'!C:C,A16,'Team Lineups'!I:I)</f>
        <v>0</v>
      </c>
      <c r="O16">
        <f>COUNTIF(Matches!G:G,A16)</f>
        <v>0</v>
      </c>
      <c r="P16">
        <f t="shared" si="4"/>
        <v>0</v>
      </c>
      <c r="Q16">
        <f>SUMIF('Team Lineups'!C:C,A16,'Team Lineups'!J:J)</f>
        <v>0</v>
      </c>
    </row>
    <row r="17" spans="1:17" x14ac:dyDescent="0.35">
      <c r="A17" t="s">
        <v>24</v>
      </c>
      <c r="C17">
        <f>COUNTIF('Team Lineups'!C:C,A17)</f>
        <v>29</v>
      </c>
      <c r="D17">
        <f>SUMIF('Team Lineups'!C:C,A17,'Team Lineups'!E:E)</f>
        <v>162</v>
      </c>
      <c r="E17">
        <f>SUMIF('Team Lineups'!C:C,A17,'Team Lineups'!F:F)</f>
        <v>182</v>
      </c>
      <c r="F17">
        <f t="shared" si="0"/>
        <v>-20</v>
      </c>
      <c r="G17">
        <f>COUNTIFS('Team Lineups'!C:C,A17,'Team Lineups'!G:G,"Win")</f>
        <v>9</v>
      </c>
      <c r="H17">
        <f>COUNTIFS('Team Lineups'!C:C,A17,'Team Lineups'!G:G,"Draw")</f>
        <v>6</v>
      </c>
      <c r="I17">
        <f>COUNTIFS('Team Lineups'!C:C,A17,'Team Lineups'!G:G,"Loss")</f>
        <v>14</v>
      </c>
      <c r="J17" s="3">
        <f t="shared" si="1"/>
        <v>0.31034482758620691</v>
      </c>
      <c r="K17" s="3">
        <f t="shared" si="2"/>
        <v>0.48275862068965519</v>
      </c>
      <c r="L17">
        <f>SUMIF('Team Lineups'!C:C,A17,'Team Lineups'!H:H)</f>
        <v>11</v>
      </c>
      <c r="M17">
        <f t="shared" si="3"/>
        <v>0.37931034482758619</v>
      </c>
      <c r="N17">
        <f>SUMIF('Team Lineups'!C:C,A17,'Team Lineups'!I:I)</f>
        <v>9</v>
      </c>
      <c r="O17">
        <f>COUNTIF(Matches!G:G,A17)</f>
        <v>0</v>
      </c>
      <c r="P17">
        <f t="shared" si="4"/>
        <v>0</v>
      </c>
      <c r="Q17">
        <f>SUMIF('Team Lineups'!C:C,A17,'Team Lineups'!J:J)</f>
        <v>0</v>
      </c>
    </row>
    <row r="18" spans="1:17" x14ac:dyDescent="0.35">
      <c r="A18" t="s">
        <v>88</v>
      </c>
      <c r="C18">
        <f>COUNTIF('Team Lineups'!C:C,A18)</f>
        <v>23</v>
      </c>
      <c r="D18">
        <f>SUMIF('Team Lineups'!C:C,A18,'Team Lineups'!E:E)</f>
        <v>166</v>
      </c>
      <c r="E18">
        <f>SUMIF('Team Lineups'!C:C,A18,'Team Lineups'!F:F)</f>
        <v>164</v>
      </c>
      <c r="F18">
        <f t="shared" si="0"/>
        <v>2</v>
      </c>
      <c r="G18">
        <f>COUNTIFS('Team Lineups'!C:C,A18,'Team Lineups'!G:G,"Win")</f>
        <v>10</v>
      </c>
      <c r="H18">
        <f>COUNTIFS('Team Lineups'!C:C,A18,'Team Lineups'!G:G,"Draw")</f>
        <v>4</v>
      </c>
      <c r="I18">
        <f>COUNTIFS('Team Lineups'!C:C,A18,'Team Lineups'!G:G,"Loss")</f>
        <v>9</v>
      </c>
      <c r="J18" s="3">
        <f t="shared" si="1"/>
        <v>0.43478260869565216</v>
      </c>
      <c r="K18" s="3">
        <f t="shared" si="2"/>
        <v>0.39130434782608697</v>
      </c>
      <c r="L18">
        <f>SUMIF('Team Lineups'!C:C,A18,'Team Lineups'!H:H)</f>
        <v>16</v>
      </c>
      <c r="M18">
        <f t="shared" si="3"/>
        <v>0.69565217391304346</v>
      </c>
      <c r="N18">
        <f>SUMIF('Team Lineups'!C:C,A18,'Team Lineups'!I:I)</f>
        <v>8</v>
      </c>
      <c r="O18">
        <f>COUNTIF(Matches!G:G,A18)</f>
        <v>1</v>
      </c>
      <c r="P18">
        <f t="shared" si="4"/>
        <v>4.3478260869565216E-2</v>
      </c>
      <c r="Q18">
        <f>SUMIF('Team Lineups'!C:C,A18,'Team Lineups'!J:J)</f>
        <v>1</v>
      </c>
    </row>
    <row r="19" spans="1:17" x14ac:dyDescent="0.35">
      <c r="A19" t="s">
        <v>42</v>
      </c>
      <c r="C19">
        <f>COUNTIF('Team Lineups'!C:C,A19)</f>
        <v>37</v>
      </c>
      <c r="D19">
        <f>SUMIF('Team Lineups'!C:C,A19,'Team Lineups'!E:E)</f>
        <v>248</v>
      </c>
      <c r="E19">
        <f>SUMIF('Team Lineups'!C:C,A19,'Team Lineups'!F:F)</f>
        <v>269</v>
      </c>
      <c r="F19">
        <f t="shared" si="0"/>
        <v>-21</v>
      </c>
      <c r="G19">
        <f>COUNTIFS('Team Lineups'!C:C,A19,'Team Lineups'!G:G,"Win")</f>
        <v>14</v>
      </c>
      <c r="H19">
        <f>COUNTIFS('Team Lineups'!C:C,A19,'Team Lineups'!G:G,"Draw")</f>
        <v>4</v>
      </c>
      <c r="I19">
        <f>COUNTIFS('Team Lineups'!C:C,A19,'Team Lineups'!G:G,"Loss")</f>
        <v>18</v>
      </c>
      <c r="J19" s="3">
        <f t="shared" si="1"/>
        <v>0.3783783783783784</v>
      </c>
      <c r="K19" s="3">
        <f t="shared" si="2"/>
        <v>0.48648648648648651</v>
      </c>
      <c r="L19">
        <f>SUMIF('Team Lineups'!C:C,A19,'Team Lineups'!H:H)</f>
        <v>41</v>
      </c>
      <c r="M19">
        <f t="shared" si="3"/>
        <v>1.1081081081081081</v>
      </c>
      <c r="N19">
        <f>SUMIF('Team Lineups'!C:C,A19,'Team Lineups'!I:I)</f>
        <v>36</v>
      </c>
      <c r="O19">
        <f>COUNTIF(Matches!G:G,A19)</f>
        <v>6</v>
      </c>
      <c r="P19">
        <f t="shared" si="4"/>
        <v>0.16216216216216217</v>
      </c>
      <c r="Q19">
        <f>SUMIF('Team Lineups'!C:C,A19,'Team Lineups'!J:J)</f>
        <v>0</v>
      </c>
    </row>
    <row r="20" spans="1:17" x14ac:dyDescent="0.35">
      <c r="A20" t="s">
        <v>21</v>
      </c>
      <c r="C20">
        <f>COUNTIF('Team Lineups'!C:C,A20)</f>
        <v>32</v>
      </c>
      <c r="D20">
        <f>SUMIF('Team Lineups'!C:C,A20,'Team Lineups'!E:E)</f>
        <v>218</v>
      </c>
      <c r="E20">
        <f>SUMIF('Team Lineups'!C:C,A20,'Team Lineups'!F:F)</f>
        <v>238</v>
      </c>
      <c r="F20">
        <f t="shared" si="0"/>
        <v>-20</v>
      </c>
      <c r="G20">
        <f>COUNTIFS('Team Lineups'!C:C,A20,'Team Lineups'!G:G,"Win")</f>
        <v>11</v>
      </c>
      <c r="H20">
        <f>COUNTIFS('Team Lineups'!C:C,A20,'Team Lineups'!G:G,"Draw")</f>
        <v>5</v>
      </c>
      <c r="I20">
        <f>COUNTIFS('Team Lineups'!C:C,A20,'Team Lineups'!G:G,"Loss")</f>
        <v>16</v>
      </c>
      <c r="J20" s="3">
        <f t="shared" si="1"/>
        <v>0.34375</v>
      </c>
      <c r="K20" s="3">
        <f t="shared" si="2"/>
        <v>0.5</v>
      </c>
      <c r="L20">
        <f>SUMIF('Team Lineups'!C:C,A20,'Team Lineups'!H:H)</f>
        <v>19</v>
      </c>
      <c r="M20">
        <f t="shared" si="3"/>
        <v>0.59375</v>
      </c>
      <c r="N20">
        <f>SUMIF('Team Lineups'!C:C,A20,'Team Lineups'!I:I)</f>
        <v>13</v>
      </c>
      <c r="O20">
        <f>COUNTIF(Matches!G:G,A20)</f>
        <v>2</v>
      </c>
      <c r="P20">
        <f t="shared" si="4"/>
        <v>6.25E-2</v>
      </c>
      <c r="Q20">
        <f>SUMIF('Team Lineups'!C:C,A20,'Team Lineups'!J:J)</f>
        <v>0</v>
      </c>
    </row>
    <row r="21" spans="1:17" x14ac:dyDescent="0.35">
      <c r="A21" t="s">
        <v>25</v>
      </c>
      <c r="C21">
        <f>COUNTIF('Team Lineups'!C:C,A21)</f>
        <v>37</v>
      </c>
      <c r="D21">
        <f>SUMIF('Team Lineups'!C:C,A21,'Team Lineups'!E:E)</f>
        <v>243</v>
      </c>
      <c r="E21">
        <f>SUMIF('Team Lineups'!C:C,A21,'Team Lineups'!F:F)</f>
        <v>245</v>
      </c>
      <c r="F21">
        <f t="shared" si="0"/>
        <v>-2</v>
      </c>
      <c r="G21">
        <f>COUNTIFS('Team Lineups'!C:C,A21,'Team Lineups'!G:G,"Win")</f>
        <v>16</v>
      </c>
      <c r="H21">
        <f>COUNTIFS('Team Lineups'!C:C,A21,'Team Lineups'!G:G,"Draw")</f>
        <v>5</v>
      </c>
      <c r="I21">
        <f>COUNTIFS('Team Lineups'!C:C,A21,'Team Lineups'!G:G,"Loss")</f>
        <v>16</v>
      </c>
      <c r="J21" s="3">
        <f t="shared" si="1"/>
        <v>0.43243243243243246</v>
      </c>
      <c r="K21" s="3">
        <f t="shared" si="2"/>
        <v>0.43243243243243246</v>
      </c>
      <c r="L21">
        <f>SUMIF('Team Lineups'!C:C,A21,'Team Lineups'!H:H)</f>
        <v>21</v>
      </c>
      <c r="M21">
        <f t="shared" si="3"/>
        <v>0.56756756756756754</v>
      </c>
      <c r="N21">
        <f>SUMIF('Team Lineups'!C:C,A21,'Team Lineups'!I:I)</f>
        <v>14</v>
      </c>
      <c r="O21">
        <f>COUNTIF(Matches!G:G,A21)</f>
        <v>0</v>
      </c>
      <c r="P21">
        <f t="shared" si="4"/>
        <v>0</v>
      </c>
      <c r="Q21">
        <f>SUMIF('Team Lineups'!C:C,A21,'Team Lineups'!J:J)</f>
        <v>0</v>
      </c>
    </row>
    <row r="22" spans="1:17" x14ac:dyDescent="0.35">
      <c r="A22" t="s">
        <v>84</v>
      </c>
      <c r="C22">
        <f>COUNTIF('Team Lineups'!C:C,A22)</f>
        <v>13</v>
      </c>
      <c r="D22">
        <f>SUMIF('Team Lineups'!C:C,A22,'Team Lineups'!E:E)</f>
        <v>79</v>
      </c>
      <c r="E22">
        <f>SUMIF('Team Lineups'!C:C,A22,'Team Lineups'!F:F)</f>
        <v>90</v>
      </c>
      <c r="F22">
        <f t="shared" si="0"/>
        <v>-11</v>
      </c>
      <c r="G22">
        <f>COUNTIFS('Team Lineups'!C:C,A22,'Team Lineups'!G:G,"Win")</f>
        <v>5</v>
      </c>
      <c r="H22">
        <f>COUNTIFS('Team Lineups'!C:C,A22,'Team Lineups'!G:G,"Draw")</f>
        <v>2</v>
      </c>
      <c r="I22">
        <f>COUNTIFS('Team Lineups'!C:C,A22,'Team Lineups'!G:G,"Loss")</f>
        <v>6</v>
      </c>
      <c r="J22" s="3">
        <f t="shared" si="1"/>
        <v>0.38461538461538464</v>
      </c>
      <c r="K22" s="3">
        <f t="shared" si="2"/>
        <v>0.46153846153846156</v>
      </c>
      <c r="L22">
        <f>SUMIF('Team Lineups'!C:C,A22,'Team Lineups'!H:H)</f>
        <v>9</v>
      </c>
      <c r="M22">
        <f t="shared" si="3"/>
        <v>0.69230769230769229</v>
      </c>
      <c r="N22">
        <f>SUMIF('Team Lineups'!C:C,A22,'Team Lineups'!I:I)</f>
        <v>11</v>
      </c>
      <c r="O22">
        <f>COUNTIF(Matches!G:G,A22)</f>
        <v>0</v>
      </c>
      <c r="P22">
        <f t="shared" si="4"/>
        <v>0</v>
      </c>
      <c r="Q22">
        <f>SUMIF('Team Lineups'!C:C,A22,'Team Lineups'!J:J)</f>
        <v>1</v>
      </c>
    </row>
    <row r="23" spans="1:17" x14ac:dyDescent="0.35">
      <c r="A23" t="s">
        <v>40</v>
      </c>
      <c r="C23">
        <f>COUNTIF('Team Lineups'!C:C,A23)</f>
        <v>28</v>
      </c>
      <c r="D23">
        <f>SUMIF('Team Lineups'!C:C,A23,'Team Lineups'!E:E)</f>
        <v>197</v>
      </c>
      <c r="E23">
        <f>SUMIF('Team Lineups'!C:C,A23,'Team Lineups'!F:F)</f>
        <v>201</v>
      </c>
      <c r="F23">
        <f t="shared" si="0"/>
        <v>-4</v>
      </c>
      <c r="G23">
        <f>COUNTIFS('Team Lineups'!C:C,A23,'Team Lineups'!G:G,"Win")</f>
        <v>12</v>
      </c>
      <c r="H23">
        <f>COUNTIFS('Team Lineups'!C:C,A23,'Team Lineups'!G:G,"Draw")</f>
        <v>4</v>
      </c>
      <c r="I23">
        <f>COUNTIFS('Team Lineups'!C:C,A23,'Team Lineups'!G:G,"Loss")</f>
        <v>12</v>
      </c>
      <c r="J23" s="3">
        <f t="shared" si="1"/>
        <v>0.42857142857142855</v>
      </c>
      <c r="K23" s="3">
        <f t="shared" si="2"/>
        <v>0.42857142857142855</v>
      </c>
      <c r="L23">
        <f>SUMIF('Team Lineups'!C:C,A23,'Team Lineups'!H:H)</f>
        <v>16</v>
      </c>
      <c r="M23">
        <f t="shared" si="3"/>
        <v>0.5714285714285714</v>
      </c>
      <c r="N23">
        <f>SUMIF('Team Lineups'!C:C,A23,'Team Lineups'!I:I)</f>
        <v>10</v>
      </c>
      <c r="O23">
        <f>COUNTIF(Matches!G:G,A23)</f>
        <v>0</v>
      </c>
      <c r="P23">
        <f t="shared" si="4"/>
        <v>0</v>
      </c>
      <c r="Q23">
        <f>SUMIF('Team Lineups'!C:C,A23,'Team Lineups'!J:J)</f>
        <v>0</v>
      </c>
    </row>
    <row r="24" spans="1:17" x14ac:dyDescent="0.35">
      <c r="A24" t="s">
        <v>66</v>
      </c>
      <c r="C24">
        <f>COUNTIF('Team Lineups'!C:C,A24)</f>
        <v>34</v>
      </c>
      <c r="D24">
        <f>SUMIF('Team Lineups'!C:C,A24,'Team Lineups'!E:E)</f>
        <v>231</v>
      </c>
      <c r="E24">
        <f>SUMIF('Team Lineups'!C:C,A24,'Team Lineups'!F:F)</f>
        <v>237</v>
      </c>
      <c r="F24">
        <f t="shared" si="0"/>
        <v>-6</v>
      </c>
      <c r="G24">
        <f>COUNTIFS('Team Lineups'!C:C,A24,'Team Lineups'!G:G,"Win")</f>
        <v>16</v>
      </c>
      <c r="H24">
        <f>COUNTIFS('Team Lineups'!C:C,A24,'Team Lineups'!G:G,"Draw")</f>
        <v>4</v>
      </c>
      <c r="I24">
        <f>COUNTIFS('Team Lineups'!C:C,A24,'Team Lineups'!G:G,"Loss")</f>
        <v>14</v>
      </c>
      <c r="J24" s="3">
        <f t="shared" si="1"/>
        <v>0.47058823529411764</v>
      </c>
      <c r="K24" s="3">
        <f t="shared" si="2"/>
        <v>0.41176470588235292</v>
      </c>
      <c r="L24">
        <f>SUMIF('Team Lineups'!C:C,A24,'Team Lineups'!H:H)</f>
        <v>80</v>
      </c>
      <c r="M24">
        <f t="shared" si="3"/>
        <v>2.3529411764705883</v>
      </c>
      <c r="N24">
        <f>SUMIF('Team Lineups'!C:C,A24,'Team Lineups'!I:I)</f>
        <v>34</v>
      </c>
      <c r="O24">
        <f>COUNTIF(Matches!G:G,A24)</f>
        <v>3</v>
      </c>
      <c r="P24">
        <f t="shared" si="4"/>
        <v>8.8235294117647065E-2</v>
      </c>
      <c r="Q24">
        <f>SUMIF('Team Lineups'!C:C,A24,'Team Lineups'!J:J)</f>
        <v>0</v>
      </c>
    </row>
    <row r="25" spans="1:17" x14ac:dyDescent="0.35">
      <c r="A25" t="s">
        <v>86</v>
      </c>
      <c r="C25">
        <f>COUNTIF('Team Lineups'!C:C,A25)</f>
        <v>5</v>
      </c>
      <c r="D25">
        <f>SUMIF('Team Lineups'!C:C,A25,'Team Lineups'!E:E)</f>
        <v>33</v>
      </c>
      <c r="E25">
        <f>SUMIF('Team Lineups'!C:C,A25,'Team Lineups'!F:F)</f>
        <v>19</v>
      </c>
      <c r="F25">
        <f t="shared" si="0"/>
        <v>14</v>
      </c>
      <c r="G25">
        <f>COUNTIFS('Team Lineups'!C:C,A25,'Team Lineups'!G:G,"Win")</f>
        <v>3</v>
      </c>
      <c r="H25">
        <f>COUNTIFS('Team Lineups'!C:C,A25,'Team Lineups'!G:G,"Draw")</f>
        <v>0</v>
      </c>
      <c r="I25">
        <f>COUNTIFS('Team Lineups'!C:C,A25,'Team Lineups'!G:G,"Loss")</f>
        <v>2</v>
      </c>
      <c r="J25" s="3">
        <f t="shared" si="1"/>
        <v>0.6</v>
      </c>
      <c r="K25" s="3">
        <f t="shared" si="2"/>
        <v>0.4</v>
      </c>
      <c r="L25">
        <f>SUMIF('Team Lineups'!C:C,A25,'Team Lineups'!H:H)</f>
        <v>7</v>
      </c>
      <c r="M25">
        <f t="shared" si="3"/>
        <v>1.4</v>
      </c>
      <c r="N25">
        <f>SUMIF('Team Lineups'!C:C,A25,'Team Lineups'!I:I)</f>
        <v>2</v>
      </c>
      <c r="O25">
        <f>COUNTIF(Matches!G:G,A25)</f>
        <v>0</v>
      </c>
      <c r="P25">
        <f t="shared" si="4"/>
        <v>0</v>
      </c>
      <c r="Q25">
        <f>SUMIF('Team Lineups'!C:C,A25,'Team Lineups'!J:J)</f>
        <v>0</v>
      </c>
    </row>
    <row r="26" spans="1:17" x14ac:dyDescent="0.35">
      <c r="A26" t="s">
        <v>89</v>
      </c>
      <c r="C26">
        <f>COUNTIF('Team Lineups'!C:C,A26)</f>
        <v>30</v>
      </c>
      <c r="D26">
        <f>SUMIF('Team Lineups'!C:C,A26,'Team Lineups'!E:E)</f>
        <v>212</v>
      </c>
      <c r="E26">
        <f>SUMIF('Team Lineups'!C:C,A26,'Team Lineups'!F:F)</f>
        <v>208</v>
      </c>
      <c r="F26">
        <f t="shared" si="0"/>
        <v>4</v>
      </c>
      <c r="G26">
        <f>COUNTIFS('Team Lineups'!C:C,A26,'Team Lineups'!G:G,"Win")</f>
        <v>13</v>
      </c>
      <c r="H26">
        <f>COUNTIFS('Team Lineups'!C:C,A26,'Team Lineups'!G:G,"Draw")</f>
        <v>4</v>
      </c>
      <c r="I26">
        <f>COUNTIFS('Team Lineups'!C:C,A26,'Team Lineups'!G:G,"Loss")</f>
        <v>13</v>
      </c>
      <c r="J26" s="3">
        <f t="shared" si="1"/>
        <v>0.43333333333333335</v>
      </c>
      <c r="K26" s="3">
        <f t="shared" si="2"/>
        <v>0.43333333333333335</v>
      </c>
      <c r="L26">
        <f>SUMIF('Team Lineups'!C:C,A26,'Team Lineups'!H:H)</f>
        <v>72</v>
      </c>
      <c r="M26">
        <f t="shared" si="3"/>
        <v>2.4</v>
      </c>
      <c r="N26">
        <f>SUMIF('Team Lineups'!C:C,A26,'Team Lineups'!I:I)</f>
        <v>22</v>
      </c>
      <c r="O26">
        <f>COUNTIF(Matches!G:G,A26)</f>
        <v>1</v>
      </c>
      <c r="P26">
        <f t="shared" si="4"/>
        <v>3.3333333333333333E-2</v>
      </c>
      <c r="Q26">
        <f>SUMIF('Team Lineups'!C:C,A26,'Team Lineups'!J:J)</f>
        <v>0</v>
      </c>
    </row>
    <row r="27" spans="1:17" x14ac:dyDescent="0.35">
      <c r="A27" t="s">
        <v>19</v>
      </c>
      <c r="C27">
        <f>COUNTIF('Team Lineups'!C:C,A27)</f>
        <v>32</v>
      </c>
      <c r="D27">
        <f>SUMIF('Team Lineups'!C:C,A27,'Team Lineups'!E:E)</f>
        <v>234</v>
      </c>
      <c r="E27">
        <f>SUMIF('Team Lineups'!C:C,A27,'Team Lineups'!F:F)</f>
        <v>219</v>
      </c>
      <c r="F27">
        <f t="shared" si="0"/>
        <v>15</v>
      </c>
      <c r="G27">
        <f>COUNTIFS('Team Lineups'!C:C,A27,'Team Lineups'!G:G,"Win")</f>
        <v>15</v>
      </c>
      <c r="H27">
        <f>COUNTIFS('Team Lineups'!C:C,A27,'Team Lineups'!G:G,"Draw")</f>
        <v>6</v>
      </c>
      <c r="I27">
        <f>COUNTIFS('Team Lineups'!C:C,A27,'Team Lineups'!G:G,"Loss")</f>
        <v>11</v>
      </c>
      <c r="J27" s="3">
        <f t="shared" si="1"/>
        <v>0.46875</v>
      </c>
      <c r="K27" s="3">
        <f t="shared" si="2"/>
        <v>0.34375</v>
      </c>
      <c r="L27">
        <f>SUMIF('Team Lineups'!C:C,A27,'Team Lineups'!H:H)</f>
        <v>59</v>
      </c>
      <c r="M27">
        <f t="shared" si="3"/>
        <v>1.84375</v>
      </c>
      <c r="N27">
        <f>SUMIF('Team Lineups'!C:C,A27,'Team Lineups'!I:I)</f>
        <v>37</v>
      </c>
      <c r="O27">
        <f>COUNTIF(Matches!G:G,A27)</f>
        <v>7</v>
      </c>
      <c r="P27">
        <f t="shared" si="4"/>
        <v>0.21875</v>
      </c>
      <c r="Q27">
        <f>SUMIF('Team Lineups'!C:C,A27,'Team Lineups'!J:J)</f>
        <v>0</v>
      </c>
    </row>
    <row r="28" spans="1:17" x14ac:dyDescent="0.35">
      <c r="A28" t="s">
        <v>20</v>
      </c>
      <c r="C28">
        <f>COUNTIF('Team Lineups'!C:C,A28)</f>
        <v>32</v>
      </c>
      <c r="D28">
        <f>SUMIF('Team Lineups'!C:C,A28,'Team Lineups'!E:E)</f>
        <v>201</v>
      </c>
      <c r="E28">
        <f>SUMIF('Team Lineups'!C:C,A28,'Team Lineups'!F:F)</f>
        <v>194</v>
      </c>
      <c r="F28">
        <f t="shared" si="0"/>
        <v>7</v>
      </c>
      <c r="G28">
        <f>COUNTIFS('Team Lineups'!C:C,A28,'Team Lineups'!G:G,"Win")</f>
        <v>15</v>
      </c>
      <c r="H28">
        <f>COUNTIFS('Team Lineups'!C:C,A28,'Team Lineups'!G:G,"Draw")</f>
        <v>5</v>
      </c>
      <c r="I28">
        <f>COUNTIFS('Team Lineups'!C:C,A28,'Team Lineups'!G:G,"Loss")</f>
        <v>12</v>
      </c>
      <c r="J28" s="3">
        <f t="shared" si="1"/>
        <v>0.46875</v>
      </c>
      <c r="K28" s="3">
        <f t="shared" si="2"/>
        <v>0.375</v>
      </c>
      <c r="L28">
        <f>SUMIF('Team Lineups'!C:C,A28,'Team Lineups'!H:H)</f>
        <v>20</v>
      </c>
      <c r="M28">
        <f t="shared" si="3"/>
        <v>0.625</v>
      </c>
      <c r="N28">
        <f>SUMIF('Team Lineups'!C:C,A28,'Team Lineups'!I:I)</f>
        <v>23</v>
      </c>
      <c r="O28">
        <f>COUNTIF(Matches!G:G,A28)</f>
        <v>2</v>
      </c>
      <c r="P28">
        <f t="shared" si="4"/>
        <v>6.25E-2</v>
      </c>
      <c r="Q28">
        <f>SUMIF('Team Lineups'!C:C,A28,'Team Lineups'!J:J)</f>
        <v>1</v>
      </c>
    </row>
    <row r="29" spans="1:17" x14ac:dyDescent="0.35">
      <c r="A29" t="s">
        <v>53</v>
      </c>
      <c r="C29">
        <f>COUNTIF('Team Lineups'!C:C,A29)</f>
        <v>38</v>
      </c>
      <c r="D29">
        <f>SUMIF('Team Lineups'!C:C,A29,'Team Lineups'!E:E)</f>
        <v>259</v>
      </c>
      <c r="E29">
        <f>SUMIF('Team Lineups'!C:C,A29,'Team Lineups'!F:F)</f>
        <v>243</v>
      </c>
      <c r="F29">
        <f t="shared" si="0"/>
        <v>16</v>
      </c>
      <c r="G29">
        <f>COUNTIFS('Team Lineups'!C:C,A29,'Team Lineups'!G:G,"Win")</f>
        <v>19</v>
      </c>
      <c r="H29">
        <f>COUNTIFS('Team Lineups'!C:C,A29,'Team Lineups'!G:G,"Draw")</f>
        <v>5</v>
      </c>
      <c r="I29">
        <f>COUNTIFS('Team Lineups'!C:C,A29,'Team Lineups'!G:G,"Loss")</f>
        <v>14</v>
      </c>
      <c r="J29" s="3">
        <f t="shared" si="1"/>
        <v>0.5</v>
      </c>
      <c r="K29" s="3">
        <f t="shared" si="2"/>
        <v>0.36842105263157893</v>
      </c>
      <c r="L29">
        <f>SUMIF('Team Lineups'!C:C,A29,'Team Lineups'!H:H)</f>
        <v>40</v>
      </c>
      <c r="M29">
        <f t="shared" si="3"/>
        <v>1.0526315789473684</v>
      </c>
      <c r="N29">
        <f>SUMIF('Team Lineups'!C:C,A29,'Team Lineups'!I:I)</f>
        <v>25</v>
      </c>
      <c r="O29">
        <f>COUNTIF(Matches!G:G,A29)</f>
        <v>2</v>
      </c>
      <c r="P29">
        <f t="shared" si="4"/>
        <v>5.2631578947368418E-2</v>
      </c>
      <c r="Q29">
        <f>SUMIF('Team Lineups'!C:C,A29,'Team Lineups'!J:J)</f>
        <v>3</v>
      </c>
    </row>
    <row r="30" spans="1:17" x14ac:dyDescent="0.35">
      <c r="A30" t="s">
        <v>85</v>
      </c>
      <c r="C30">
        <f>COUNTIF('Team Lineups'!C:C,A30)</f>
        <v>3</v>
      </c>
      <c r="D30">
        <f>SUMIF('Team Lineups'!C:C,A30,'Team Lineups'!E:E)</f>
        <v>17</v>
      </c>
      <c r="E30">
        <f>SUMIF('Team Lineups'!C:C,A30,'Team Lineups'!F:F)</f>
        <v>15</v>
      </c>
      <c r="F30">
        <f t="shared" si="0"/>
        <v>2</v>
      </c>
      <c r="G30">
        <f>COUNTIFS('Team Lineups'!C:C,A30,'Team Lineups'!G:G,"Win")</f>
        <v>2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1"/>
        <v>0.66666666666666663</v>
      </c>
      <c r="K30" s="3">
        <f t="shared" si="2"/>
        <v>0.33333333333333331</v>
      </c>
      <c r="L30">
        <f>SUMIF('Team Lineups'!C:C,A30,'Team Lineups'!H:H)</f>
        <v>5</v>
      </c>
      <c r="M30">
        <f t="shared" si="3"/>
        <v>1.6666666666666667</v>
      </c>
      <c r="N30">
        <f>SUMIF('Team Lineups'!C:C,A30,'Team Lineups'!I:I)</f>
        <v>0</v>
      </c>
      <c r="O30">
        <f>COUNTIF(Matches!G:G,A30)</f>
        <v>2</v>
      </c>
      <c r="P30">
        <f t="shared" si="4"/>
        <v>0.66666666666666663</v>
      </c>
      <c r="Q30">
        <f>SUMIF('Team Lineups'!C:C,A30,'Team Lineups'!J:J)</f>
        <v>0</v>
      </c>
    </row>
    <row r="31" spans="1:17" x14ac:dyDescent="0.35">
      <c r="A31" t="s">
        <v>121</v>
      </c>
      <c r="C31">
        <f>COUNTIF('Team Lineups'!C:C,A31)</f>
        <v>9</v>
      </c>
      <c r="D31">
        <f>SUMIF('Team Lineups'!C:C,A31,'Team Lineups'!E:E)</f>
        <v>62</v>
      </c>
      <c r="E31">
        <f>SUMIF('Team Lineups'!C:C,A31,'Team Lineups'!F:F)</f>
        <v>49</v>
      </c>
      <c r="F31">
        <f t="shared" si="0"/>
        <v>13</v>
      </c>
      <c r="G31">
        <f>COUNTIFS('Team Lineups'!C:C,A31,'Team Lineups'!G:G,"Win")</f>
        <v>6</v>
      </c>
      <c r="H31">
        <f>COUNTIFS('Team Lineups'!C:C,A31,'Team Lineups'!G:G,"Draw")</f>
        <v>0</v>
      </c>
      <c r="I31">
        <f>COUNTIFS('Team Lineups'!C:C,A31,'Team Lineups'!G:G,"Loss")</f>
        <v>3</v>
      </c>
      <c r="J31" s="3">
        <f t="shared" si="1"/>
        <v>0.66666666666666663</v>
      </c>
      <c r="K31" s="3">
        <f t="shared" si="2"/>
        <v>0.33333333333333331</v>
      </c>
      <c r="L31">
        <f>SUMIF('Team Lineups'!C:C,A31,'Team Lineups'!H:H)</f>
        <v>18</v>
      </c>
      <c r="M31">
        <f t="shared" si="3"/>
        <v>2</v>
      </c>
      <c r="N31">
        <f>SUMIF('Team Lineups'!C:C,A31,'Team Lineups'!I:I)</f>
        <v>3</v>
      </c>
      <c r="O31">
        <f>COUNTIF(Matches!G:G,A31)</f>
        <v>2</v>
      </c>
      <c r="P31">
        <f t="shared" si="4"/>
        <v>0.22222222222222221</v>
      </c>
      <c r="Q31">
        <f>SUMIF('Team Lineups'!C:C,A31,'Team Lineups'!J:J)</f>
        <v>0</v>
      </c>
    </row>
    <row r="32" spans="1:17" x14ac:dyDescent="0.35">
      <c r="A32" t="s">
        <v>22</v>
      </c>
      <c r="C32">
        <f>COUNTIF('Team Lineups'!C:C,A32)</f>
        <v>41</v>
      </c>
      <c r="D32">
        <f>SUMIF('Team Lineups'!C:C,A32,'Team Lineups'!E:E)</f>
        <v>284</v>
      </c>
      <c r="E32">
        <f>SUMIF('Team Lineups'!C:C,A32,'Team Lineups'!F:F)</f>
        <v>247</v>
      </c>
      <c r="F32">
        <f t="shared" si="0"/>
        <v>37</v>
      </c>
      <c r="G32">
        <f>COUNTIFS('Team Lineups'!C:C,A32,'Team Lineups'!G:G,"Win")</f>
        <v>20</v>
      </c>
      <c r="H32">
        <f>COUNTIFS('Team Lineups'!C:C,A32,'Team Lineups'!G:G,"Draw")</f>
        <v>6</v>
      </c>
      <c r="I32">
        <f>COUNTIFS('Team Lineups'!C:C,A32,'Team Lineups'!G:G,"Loss")</f>
        <v>15</v>
      </c>
      <c r="J32" s="3">
        <f t="shared" si="1"/>
        <v>0.48780487804878048</v>
      </c>
      <c r="K32" s="3">
        <f t="shared" si="2"/>
        <v>0.36585365853658536</v>
      </c>
      <c r="L32">
        <f>SUMIF('Team Lineups'!C:C,A32,'Team Lineups'!H:H)</f>
        <v>55</v>
      </c>
      <c r="M32">
        <f t="shared" si="3"/>
        <v>1.3414634146341464</v>
      </c>
      <c r="N32">
        <f>SUMIF('Team Lineups'!C:C,A32,'Team Lineups'!I:I)</f>
        <v>22</v>
      </c>
      <c r="O32">
        <f>COUNTIF(Matches!G:G,A32)</f>
        <v>6</v>
      </c>
      <c r="P32">
        <f t="shared" si="4"/>
        <v>0.14634146341463414</v>
      </c>
      <c r="Q32">
        <f>SUMIF('Team Lineups'!C:C,A32,'Team Lineups'!J:J)</f>
        <v>1</v>
      </c>
    </row>
    <row r="33" spans="1:17" x14ac:dyDescent="0.35">
      <c r="A33" t="s">
        <v>44</v>
      </c>
      <c r="C33">
        <f>COUNTIF('Team Lineups'!C:C,A33)</f>
        <v>14</v>
      </c>
      <c r="D33">
        <f>SUMIF('Team Lineups'!C:C,A33,'Team Lineups'!E:E)</f>
        <v>80</v>
      </c>
      <c r="E33">
        <f>SUMIF('Team Lineups'!C:C,A33,'Team Lineups'!F:F)</f>
        <v>74</v>
      </c>
      <c r="F33">
        <f t="shared" si="0"/>
        <v>6</v>
      </c>
      <c r="G33">
        <f>COUNTIFS('Team Lineups'!C:C,A33,'Team Lineups'!G:G,"Win")</f>
        <v>7</v>
      </c>
      <c r="H33">
        <f>COUNTIFS('Team Lineups'!C:C,A33,'Team Lineups'!G:G,"Draw")</f>
        <v>3</v>
      </c>
      <c r="I33">
        <f>COUNTIFS('Team Lineups'!C:C,A33,'Team Lineups'!G:G,"Loss")</f>
        <v>4</v>
      </c>
      <c r="J33" s="3">
        <f t="shared" si="1"/>
        <v>0.5</v>
      </c>
      <c r="K33" s="3">
        <f t="shared" si="2"/>
        <v>0.2857142857142857</v>
      </c>
      <c r="L33">
        <f>SUMIF('Team Lineups'!C:C,A33,'Team Lineups'!H:H)</f>
        <v>21</v>
      </c>
      <c r="M33">
        <f t="shared" si="3"/>
        <v>1.5</v>
      </c>
      <c r="N33">
        <f>SUMIF('Team Lineups'!C:C,A33,'Team Lineups'!I:I)</f>
        <v>14</v>
      </c>
      <c r="O33">
        <f>COUNTIF(Matches!G:G,A33)</f>
        <v>2</v>
      </c>
      <c r="P33">
        <f t="shared" si="4"/>
        <v>0.14285714285714285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23</v>
      </c>
      <c r="D34">
        <f>SUMIF('Team Lineups'!C:C,A34,'Team Lineups'!E:E)</f>
        <v>158</v>
      </c>
      <c r="E34">
        <f>SUMIF('Team Lineups'!C:C,A34,'Team Lineups'!F:F)</f>
        <v>137</v>
      </c>
      <c r="F34">
        <f t="shared" si="0"/>
        <v>21</v>
      </c>
      <c r="G34">
        <f>COUNTIFS('Team Lineups'!C:C,A34,'Team Lineups'!G:G,"Win")</f>
        <v>14</v>
      </c>
      <c r="H34">
        <f>COUNTIFS('Team Lineups'!C:C,A34,'Team Lineups'!G:G,"Draw")</f>
        <v>2</v>
      </c>
      <c r="I34">
        <f>COUNTIFS('Team Lineups'!C:C,A34,'Team Lineups'!G:G,"Loss")</f>
        <v>7</v>
      </c>
      <c r="J34" s="3">
        <f t="shared" si="1"/>
        <v>0.60869565217391308</v>
      </c>
      <c r="K34" s="3">
        <f t="shared" si="2"/>
        <v>0.30434782608695654</v>
      </c>
      <c r="L34">
        <f>SUMIF('Team Lineups'!C:C,A34,'Team Lineups'!H:H)</f>
        <v>42</v>
      </c>
      <c r="M34">
        <f t="shared" si="3"/>
        <v>1.826086956521739</v>
      </c>
      <c r="N34">
        <f>SUMIF('Team Lineups'!C:C,A34,'Team Lineups'!I:I)</f>
        <v>20</v>
      </c>
      <c r="O34">
        <f>COUNTIF(Matches!G:G,A34)</f>
        <v>5</v>
      </c>
      <c r="P34">
        <f t="shared" si="4"/>
        <v>0.21739130434782608</v>
      </c>
      <c r="Q34">
        <f>SUMIF('Team Lineups'!C:C,A34,'Team Lineups'!J:J)</f>
        <v>0</v>
      </c>
    </row>
    <row r="35" spans="1:17" x14ac:dyDescent="0.35">
      <c r="A35" t="s">
        <v>41</v>
      </c>
      <c r="C35">
        <f>COUNTIF('Team Lineups'!C:C,A35)</f>
        <v>23</v>
      </c>
      <c r="D35">
        <f>SUMIF('Team Lineups'!C:C,A35,'Team Lineups'!E:E)</f>
        <v>148</v>
      </c>
      <c r="E35">
        <f>SUMIF('Team Lineups'!C:C,A35,'Team Lineups'!F:F)</f>
        <v>140</v>
      </c>
      <c r="F35">
        <f t="shared" si="0"/>
        <v>8</v>
      </c>
      <c r="G35">
        <f>COUNTIFS('Team Lineups'!C:C,A35,'Team Lineups'!G:G,"Win")</f>
        <v>10</v>
      </c>
      <c r="H35">
        <f>COUNTIFS('Team Lineups'!C:C,A35,'Team Lineups'!G:G,"Draw")</f>
        <v>6</v>
      </c>
      <c r="I35">
        <f>COUNTIFS('Team Lineups'!C:C,A35,'Team Lineups'!G:G,"Loss")</f>
        <v>7</v>
      </c>
      <c r="J35" s="3">
        <f t="shared" si="1"/>
        <v>0.43478260869565216</v>
      </c>
      <c r="K35" s="3">
        <f t="shared" si="2"/>
        <v>0.30434782608695654</v>
      </c>
      <c r="L35">
        <f>SUMIF('Team Lineups'!C:C,A35,'Team Lineups'!H:H)</f>
        <v>27</v>
      </c>
      <c r="M35">
        <f t="shared" si="3"/>
        <v>1.173913043478261</v>
      </c>
      <c r="N35">
        <f>SUMIF('Team Lineups'!C:C,A35,'Team Lineups'!I:I)</f>
        <v>9</v>
      </c>
      <c r="O35">
        <f>COUNTIF(Matches!G:G,A35)</f>
        <v>1</v>
      </c>
      <c r="P35">
        <f t="shared" si="4"/>
        <v>4.3478260869565216E-2</v>
      </c>
      <c r="Q35">
        <f>SUMIF('Team Lineups'!C:C,A35,'Team Lineups'!J:J)</f>
        <v>2</v>
      </c>
    </row>
    <row r="36" spans="1:17" x14ac:dyDescent="0.35">
      <c r="A36" t="s">
        <v>98</v>
      </c>
      <c r="C36">
        <f>COUNTIF('Team Lineups'!C:C,A36)</f>
        <v>8</v>
      </c>
      <c r="D36">
        <f>SUMIF('Team Lineups'!C:C,A36,'Team Lineups'!E:E)</f>
        <v>85</v>
      </c>
      <c r="E36">
        <f>SUMIF('Team Lineups'!C:C,A36,'Team Lineups'!F:F)</f>
        <v>64</v>
      </c>
      <c r="F36">
        <f t="shared" si="0"/>
        <v>21</v>
      </c>
      <c r="G36">
        <f>COUNTIFS('Team Lineups'!C:C,A36,'Team Lineups'!G:G,"Win")</f>
        <v>6</v>
      </c>
      <c r="H36">
        <f>COUNTIFS('Team Lineups'!C:C,A36,'Team Lineups'!G:G,"Draw")</f>
        <v>0</v>
      </c>
      <c r="I36">
        <f>COUNTIFS('Team Lineups'!C:C,A36,'Team Lineups'!G:G,"Loss")</f>
        <v>2</v>
      </c>
      <c r="J36" s="3">
        <f t="shared" si="1"/>
        <v>0.75</v>
      </c>
      <c r="K36" s="3">
        <f t="shared" si="2"/>
        <v>0.25</v>
      </c>
      <c r="L36">
        <f>SUMIF('Team Lineups'!C:C,A36,'Team Lineups'!H:H)</f>
        <v>22</v>
      </c>
      <c r="M36">
        <f t="shared" si="3"/>
        <v>2.75</v>
      </c>
      <c r="N36">
        <f>SUMIF('Team Lineups'!C:C,A36,'Team Lineups'!I:I)</f>
        <v>14</v>
      </c>
      <c r="O36">
        <f>COUNTIF(Matches!G:G,A36)</f>
        <v>2</v>
      </c>
      <c r="P36">
        <f t="shared" si="4"/>
        <v>0.25</v>
      </c>
      <c r="Q36">
        <f>SUMIF('Team Lineups'!C:C,A36,'Team Lineups'!J:J)</f>
        <v>0</v>
      </c>
    </row>
    <row r="37" spans="1:17" x14ac:dyDescent="0.35">
      <c r="A37" t="s">
        <v>49</v>
      </c>
      <c r="C37">
        <f>COUNTIF('Team Lineups'!C:C,A37)</f>
        <v>11</v>
      </c>
      <c r="D37">
        <f>SUMIF('Team Lineups'!C:C,A37,'Team Lineups'!E:E)</f>
        <v>77</v>
      </c>
      <c r="E37">
        <f>SUMIF('Team Lineups'!C:C,A37,'Team Lineups'!F:F)</f>
        <v>58</v>
      </c>
      <c r="F37">
        <f t="shared" si="0"/>
        <v>19</v>
      </c>
      <c r="G37">
        <f>COUNTIFS('Team Lineups'!C:C,A37,'Team Lineups'!G:G,"Win")</f>
        <v>5</v>
      </c>
      <c r="H37">
        <f>COUNTIFS('Team Lineups'!C:C,A37,'Team Lineups'!G:G,"Draw")</f>
        <v>3</v>
      </c>
      <c r="I37">
        <f>COUNTIFS('Team Lineups'!C:C,A37,'Team Lineups'!G:G,"Loss")</f>
        <v>3</v>
      </c>
      <c r="J37" s="3">
        <f t="shared" si="1"/>
        <v>0.45454545454545453</v>
      </c>
      <c r="K37" s="3">
        <f t="shared" si="2"/>
        <v>0.27272727272727271</v>
      </c>
      <c r="L37">
        <f>SUMIF('Team Lineups'!C:C,A37,'Team Lineups'!H:H)</f>
        <v>5</v>
      </c>
      <c r="M37">
        <f t="shared" si="3"/>
        <v>0.45454545454545453</v>
      </c>
      <c r="N37">
        <f>SUMIF('Team Lineups'!C:C,A37,'Team Lineups'!I:I)</f>
        <v>9</v>
      </c>
      <c r="O37">
        <f>COUNTIF(Matches!G:G,A37)</f>
        <v>0</v>
      </c>
      <c r="P37">
        <f t="shared" si="4"/>
        <v>0</v>
      </c>
      <c r="Q37">
        <f>SUMIF('Team Lineups'!C:C,A37,'Team Lineups'!J:J)</f>
        <v>0</v>
      </c>
    </row>
    <row r="38" spans="1:17" x14ac:dyDescent="0.35">
      <c r="A38" t="s">
        <v>60</v>
      </c>
      <c r="C38">
        <f>COUNTIF('Team Lineups'!C:C,A38)</f>
        <v>5</v>
      </c>
      <c r="D38">
        <f>SUMIF('Team Lineups'!C:C,A38,'Team Lineups'!E:E)</f>
        <v>50</v>
      </c>
      <c r="E38">
        <f>SUMIF('Team Lineups'!C:C,A38,'Team Lineups'!F:F)</f>
        <v>43</v>
      </c>
      <c r="F38">
        <f t="shared" si="0"/>
        <v>7</v>
      </c>
      <c r="G38">
        <f>COUNTIFS('Team Lineups'!C:C,A38,'Team Lineups'!G:G,"Win")</f>
        <v>3</v>
      </c>
      <c r="H38">
        <f>COUNTIFS('Team Lineups'!C:C,A38,'Team Lineups'!G:G,"Draw")</f>
        <v>1</v>
      </c>
      <c r="I38">
        <f>COUNTIFS('Team Lineups'!C:C,A38,'Team Lineups'!G:G,"Loss")</f>
        <v>1</v>
      </c>
      <c r="J38" s="3">
        <f t="shared" si="1"/>
        <v>0.6</v>
      </c>
      <c r="K38" s="3">
        <f t="shared" si="2"/>
        <v>0.2</v>
      </c>
      <c r="L38">
        <f>SUMIF('Team Lineups'!C:C,A38,'Team Lineups'!H:H)</f>
        <v>4</v>
      </c>
      <c r="M38">
        <f t="shared" si="3"/>
        <v>0.8</v>
      </c>
      <c r="N38">
        <f>SUMIF('Team Lineups'!C:C,A38,'Team Lineups'!I:I)</f>
        <v>1</v>
      </c>
      <c r="O38">
        <f>COUNTIF(Matches!G:G,A38)</f>
        <v>0</v>
      </c>
      <c r="P38">
        <f t="shared" si="4"/>
        <v>0</v>
      </c>
      <c r="Q38">
        <f>SUMIF('Team Lineups'!C:C,A38,'Team Lineups'!J:J)</f>
        <v>0</v>
      </c>
    </row>
    <row r="39" spans="1:17" x14ac:dyDescent="0.35">
      <c r="A39" t="s">
        <v>18</v>
      </c>
      <c r="C39">
        <f>COUNTIF('Team Lineups'!C:C,A39)</f>
        <v>12</v>
      </c>
      <c r="D39">
        <f>SUMIF('Team Lineups'!C:C,A39,'Team Lineups'!E:E)</f>
        <v>68</v>
      </c>
      <c r="E39">
        <f>SUMIF('Team Lineups'!C:C,A39,'Team Lineups'!F:F)</f>
        <v>66</v>
      </c>
      <c r="F39">
        <f t="shared" si="0"/>
        <v>2</v>
      </c>
      <c r="G39">
        <f>COUNTIFS('Team Lineups'!C:C,A39,'Team Lineups'!G:G,"Win")</f>
        <v>5</v>
      </c>
      <c r="H39">
        <f>COUNTIFS('Team Lineups'!C:C,A39,'Team Lineups'!G:G,"Draw")</f>
        <v>5</v>
      </c>
      <c r="I39">
        <f>COUNTIFS('Team Lineups'!C:C,A39,'Team Lineups'!G:G,"Loss")</f>
        <v>2</v>
      </c>
      <c r="J39" s="3">
        <f t="shared" si="1"/>
        <v>0.41666666666666669</v>
      </c>
      <c r="K39" s="3">
        <f t="shared" si="2"/>
        <v>0.16666666666666666</v>
      </c>
      <c r="L39">
        <f>SUMIF('Team Lineups'!C:C,A39,'Team Lineups'!H:H)</f>
        <v>11</v>
      </c>
      <c r="M39">
        <f t="shared" si="3"/>
        <v>0.91666666666666663</v>
      </c>
      <c r="N39">
        <f>SUMIF('Team Lineups'!C:C,A39,'Team Lineups'!I:I)</f>
        <v>6</v>
      </c>
      <c r="O39">
        <f>COUNTIF(Matches!G:G,A39)</f>
        <v>0</v>
      </c>
      <c r="P39">
        <f t="shared" si="4"/>
        <v>0</v>
      </c>
      <c r="Q39">
        <f>SUMIF('Team Lineups'!C:C,A39,'Team Lineups'!J:J)</f>
        <v>0</v>
      </c>
    </row>
    <row r="40" spans="1:17" x14ac:dyDescent="0.35">
      <c r="A40" t="s">
        <v>26</v>
      </c>
      <c r="C40">
        <f>COUNTIF('Team Lineups'!C:C,A40)</f>
        <v>2</v>
      </c>
      <c r="D40">
        <f>SUMIF('Team Lineups'!C:C,A40,'Team Lineups'!E:E)</f>
        <v>14</v>
      </c>
      <c r="E40">
        <f>SUMIF('Team Lineups'!C:C,A40,'Team Lineups'!F:F)</f>
        <v>12</v>
      </c>
      <c r="F40">
        <f t="shared" si="0"/>
        <v>2</v>
      </c>
      <c r="G40">
        <f>COUNTIFS('Team Lineups'!C:C,A40,'Team Lineups'!G:G,"Win")</f>
        <v>1</v>
      </c>
      <c r="H40">
        <f>COUNTIFS('Team Lineups'!C:C,A40,'Team Lineups'!G:G,"Draw")</f>
        <v>1</v>
      </c>
      <c r="I40">
        <f>COUNTIFS('Team Lineups'!C:C,A40,'Team Lineups'!G:G,"Loss")</f>
        <v>0</v>
      </c>
      <c r="J40" s="3">
        <f t="shared" si="1"/>
        <v>0.5</v>
      </c>
      <c r="K40" s="3">
        <f t="shared" si="2"/>
        <v>0</v>
      </c>
      <c r="L40">
        <f>SUMIF('Team Lineups'!C:C,A40,'Team Lineups'!H:H)</f>
        <v>5</v>
      </c>
      <c r="M40">
        <f t="shared" si="3"/>
        <v>2.5</v>
      </c>
      <c r="N40">
        <f>SUMIF('Team Lineups'!C:C,A40,'Team Lineups'!I:I)</f>
        <v>2</v>
      </c>
      <c r="O40">
        <f>COUNTIF(Matches!G:G,A40)</f>
        <v>2</v>
      </c>
      <c r="P40">
        <f t="shared" si="4"/>
        <v>1</v>
      </c>
      <c r="Q40">
        <f>SUMIF('Team Lineups'!C:C,A40,'Team Lineups'!J:J)</f>
        <v>0</v>
      </c>
    </row>
    <row r="41" spans="1:17" x14ac:dyDescent="0.35">
      <c r="A41" t="s">
        <v>45</v>
      </c>
      <c r="C41">
        <f>COUNTIF('Team Lineups'!C:C,A41)</f>
        <v>7</v>
      </c>
      <c r="D41">
        <f>SUMIF('Team Lineups'!C:C,A41,'Team Lineups'!E:E)</f>
        <v>66</v>
      </c>
      <c r="E41">
        <f>SUMIF('Team Lineups'!C:C,A41,'Team Lineups'!F:F)</f>
        <v>42</v>
      </c>
      <c r="F41">
        <f t="shared" si="0"/>
        <v>24</v>
      </c>
      <c r="G41">
        <f>COUNTIFS('Team Lineups'!C:C,A41,'Team Lineups'!G:G,"Win")</f>
        <v>7</v>
      </c>
      <c r="H41">
        <f>COUNTIFS('Team Lineups'!C:C,A41,'Team Lineups'!G:G,"Draw")</f>
        <v>0</v>
      </c>
      <c r="I41">
        <f>COUNTIFS('Team Lineups'!C:C,A41,'Team Lineups'!G:G,"Loss")</f>
        <v>0</v>
      </c>
      <c r="J41" s="3">
        <f t="shared" si="1"/>
        <v>1</v>
      </c>
      <c r="K41" s="3">
        <f t="shared" si="2"/>
        <v>0</v>
      </c>
      <c r="L41">
        <f>SUMIF('Team Lineups'!C:C,A41,'Team Lineups'!H:H)</f>
        <v>3</v>
      </c>
      <c r="M41">
        <f t="shared" si="3"/>
        <v>0.42857142857142855</v>
      </c>
      <c r="N41">
        <f>SUMIF('Team Lineups'!C:C,A41,'Team Lineups'!I:I)</f>
        <v>1</v>
      </c>
      <c r="O41">
        <f>COUNTIF(Matches!G:G,A41)</f>
        <v>0</v>
      </c>
      <c r="P41">
        <f t="shared" si="4"/>
        <v>0</v>
      </c>
      <c r="Q41">
        <f>SUMIF('Team Lineups'!C:C,A41,'Team Lineups'!J:J)</f>
        <v>0</v>
      </c>
    </row>
    <row r="42" spans="1:17" x14ac:dyDescent="0.35">
      <c r="A42" t="s">
        <v>50</v>
      </c>
      <c r="C42">
        <f>COUNTIF('Team Lineups'!C:C,A42)</f>
        <v>6</v>
      </c>
      <c r="D42">
        <f>SUMIF('Team Lineups'!C:C,A42,'Team Lineups'!E:E)</f>
        <v>50</v>
      </c>
      <c r="E42">
        <f>SUMIF('Team Lineups'!C:C,A42,'Team Lineups'!F:F)</f>
        <v>41</v>
      </c>
      <c r="F42">
        <f t="shared" si="0"/>
        <v>9</v>
      </c>
      <c r="G42">
        <f>COUNTIFS('Team Lineups'!C:C,A42,'Team Lineups'!G:G,"Win")</f>
        <v>4</v>
      </c>
      <c r="H42">
        <f>COUNTIFS('Team Lineups'!C:C,A42,'Team Lineups'!G:G,"Draw")</f>
        <v>1</v>
      </c>
      <c r="I42">
        <f>COUNTIFS('Team Lineups'!C:C,A42,'Team Lineups'!G:G,"Loss")</f>
        <v>1</v>
      </c>
      <c r="J42" s="3">
        <f t="shared" si="1"/>
        <v>0.66666666666666663</v>
      </c>
      <c r="K42" s="3">
        <f t="shared" si="2"/>
        <v>0.16666666666666666</v>
      </c>
      <c r="L42">
        <f>SUMIF('Team Lineups'!C:C,A42,'Team Lineups'!H:H)</f>
        <v>8</v>
      </c>
      <c r="M42">
        <f t="shared" si="3"/>
        <v>1.3333333333333333</v>
      </c>
      <c r="N42">
        <f>SUMIF('Team Lineups'!C:C,A42,'Team Lineups'!I:I)</f>
        <v>1</v>
      </c>
      <c r="O42">
        <f>COUNTIF(Matches!G:G,A42)</f>
        <v>0</v>
      </c>
      <c r="P42">
        <f t="shared" si="4"/>
        <v>0</v>
      </c>
      <c r="Q42">
        <f>SUMIF('Team Lineups'!C:C,A42,'Team Lineups'!J:J)</f>
        <v>0</v>
      </c>
    </row>
    <row r="43" spans="1:17" x14ac:dyDescent="0.35">
      <c r="A43" t="s">
        <v>27</v>
      </c>
      <c r="C43">
        <f>COUNTIF('Team Lineups'!C:C,A43)</f>
        <v>1</v>
      </c>
      <c r="D43">
        <f>SUMIF('Team Lineups'!C:C,A43,'Team Lineups'!E:E)</f>
        <v>7</v>
      </c>
      <c r="E43">
        <f>SUMIF('Team Lineups'!C:C,A43,'Team Lineups'!F:F)</f>
        <v>7</v>
      </c>
      <c r="F43">
        <f t="shared" si="0"/>
        <v>0</v>
      </c>
      <c r="G43">
        <f>COUNTIFS('Team Lineups'!C:C,A43,'Team Lineups'!G:G,"Win")</f>
        <v>0</v>
      </c>
      <c r="H43">
        <f>COUNTIFS('Team Lineups'!C:C,A43,'Team Lineups'!G:G,"Draw")</f>
        <v>1</v>
      </c>
      <c r="I43">
        <f>COUNTIFS('Team Lineups'!C:C,A43,'Team Lineups'!G:G,"Loss")</f>
        <v>0</v>
      </c>
      <c r="J43" s="3">
        <f t="shared" si="1"/>
        <v>0</v>
      </c>
      <c r="K43" s="3">
        <f t="shared" si="2"/>
        <v>0</v>
      </c>
      <c r="L43">
        <f>SUMIF('Team Lineups'!C:C,A43,'Team Lineups'!H:H)</f>
        <v>0</v>
      </c>
      <c r="M43">
        <f t="shared" si="3"/>
        <v>0</v>
      </c>
      <c r="N43">
        <f>SUMIF('Team Lineups'!C:C,A43,'Team Lineups'!I:I)</f>
        <v>0</v>
      </c>
      <c r="O43">
        <f>COUNTIF(Matches!G:G,A43)</f>
        <v>0</v>
      </c>
      <c r="P43">
        <f t="shared" si="4"/>
        <v>0</v>
      </c>
      <c r="Q43">
        <f>SUMIF('Team Lineups'!C:C,A43,'Team Lineups'!J:J)</f>
        <v>0</v>
      </c>
    </row>
    <row r="44" spans="1:17" x14ac:dyDescent="0.35">
      <c r="A44" t="s">
        <v>59</v>
      </c>
      <c r="C44">
        <f>COUNTIF('Team Lineups'!C:C,A44)</f>
        <v>1</v>
      </c>
      <c r="D44">
        <f>SUMIF('Team Lineups'!C:C,A44,'Team Lineups'!E:E)</f>
        <v>13</v>
      </c>
      <c r="E44">
        <f>SUMIF('Team Lineups'!C:C,A44,'Team Lineups'!F:F)</f>
        <v>8</v>
      </c>
      <c r="F44">
        <f t="shared" si="0"/>
        <v>5</v>
      </c>
      <c r="G44">
        <f>COUNTIFS('Team Lineups'!C:C,A44,'Team Lineups'!G:G,"Win")</f>
        <v>1</v>
      </c>
      <c r="H44">
        <f>COUNTIFS('Team Lineups'!C:C,A44,'Team Lineups'!G:G,"Draw")</f>
        <v>0</v>
      </c>
      <c r="I44">
        <f>COUNTIFS('Team Lineups'!C:C,A44,'Team Lineups'!G:G,"Loss")</f>
        <v>0</v>
      </c>
      <c r="J44" s="3">
        <f t="shared" si="1"/>
        <v>1</v>
      </c>
      <c r="K44" s="3">
        <f t="shared" si="2"/>
        <v>0</v>
      </c>
      <c r="L44">
        <f>SUMIF('Team Lineups'!C:C,A44,'Team Lineups'!H:H)</f>
        <v>2</v>
      </c>
      <c r="M44">
        <f t="shared" si="3"/>
        <v>2</v>
      </c>
      <c r="N44">
        <f>SUMIF('Team Lineups'!C:C,A44,'Team Lineups'!I:I)</f>
        <v>2</v>
      </c>
      <c r="O44">
        <f>COUNTIF(Matches!G:G,A44)</f>
        <v>0</v>
      </c>
      <c r="P44">
        <f t="shared" si="4"/>
        <v>0</v>
      </c>
      <c r="Q44">
        <f>SUMIF('Team Lineups'!C:C,A44,'Team Lineups'!J:J)</f>
        <v>0</v>
      </c>
    </row>
    <row r="45" spans="1:17" x14ac:dyDescent="0.35">
      <c r="A45" t="s">
        <v>64</v>
      </c>
      <c r="C45">
        <f>COUNTIF('Team Lineups'!C:C,A45)</f>
        <v>1</v>
      </c>
      <c r="D45">
        <f>SUMIF('Team Lineups'!C:C,A45,'Team Lineups'!E:E)</f>
        <v>10</v>
      </c>
      <c r="E45">
        <f>SUMIF('Team Lineups'!C:C,A45,'Team Lineups'!F:F)</f>
        <v>8</v>
      </c>
      <c r="F45">
        <f t="shared" si="0"/>
        <v>2</v>
      </c>
      <c r="G45">
        <f>COUNTIFS('Team Lineups'!C:C,A45,'Team Lineups'!G:G,"Win")</f>
        <v>1</v>
      </c>
      <c r="H45">
        <f>COUNTIFS('Team Lineups'!C:C,A45,'Team Lineups'!G:G,"Draw")</f>
        <v>0</v>
      </c>
      <c r="I45">
        <f>COUNTIFS('Team Lineups'!C:C,A45,'Team Lineups'!G:G,"Loss")</f>
        <v>0</v>
      </c>
      <c r="J45" s="3">
        <f t="shared" si="1"/>
        <v>1</v>
      </c>
      <c r="K45" s="3">
        <f t="shared" si="2"/>
        <v>0</v>
      </c>
      <c r="L45">
        <f>SUMIF('Team Lineups'!C:C,A45,'Team Lineups'!H:H)</f>
        <v>2</v>
      </c>
      <c r="M45">
        <f t="shared" si="3"/>
        <v>2</v>
      </c>
      <c r="N45">
        <f>SUMIF('Team Lineups'!C:C,A45,'Team Lineups'!I:I)</f>
        <v>3</v>
      </c>
      <c r="O45">
        <f>COUNTIF(Matches!G:G,A45)</f>
        <v>0</v>
      </c>
      <c r="P45">
        <f t="shared" si="4"/>
        <v>0</v>
      </c>
      <c r="Q45">
        <f>SUMIF('Team Lineups'!C:C,A45,'Team Lineups'!J:J)</f>
        <v>0</v>
      </c>
    </row>
    <row r="46" spans="1:17" x14ac:dyDescent="0.35">
      <c r="A46" t="s">
        <v>78</v>
      </c>
      <c r="C46">
        <f>COUNTIF('Team Lineups'!C:C,A46)</f>
        <v>1</v>
      </c>
      <c r="D46">
        <f>SUMIF('Team Lineups'!C:C,A46,'Team Lineups'!E:E)</f>
        <v>6</v>
      </c>
      <c r="E46">
        <f>SUMIF('Team Lineups'!C:C,A46,'Team Lineups'!F:F)</f>
        <v>6</v>
      </c>
      <c r="F46">
        <f t="shared" si="0"/>
        <v>0</v>
      </c>
      <c r="G46">
        <f>COUNTIFS('Team Lineups'!C:C,A46,'Team Lineups'!G:G,"Win")</f>
        <v>0</v>
      </c>
      <c r="H46">
        <f>COUNTIFS('Team Lineups'!C:C,A46,'Team Lineups'!G:G,"Draw")</f>
        <v>1</v>
      </c>
      <c r="I46">
        <f>COUNTIFS('Team Lineups'!C:C,A46,'Team Lineups'!G:G,"Loss")</f>
        <v>0</v>
      </c>
      <c r="J46" s="3">
        <f t="shared" si="1"/>
        <v>0</v>
      </c>
      <c r="K46" s="3">
        <f t="shared" si="2"/>
        <v>0</v>
      </c>
      <c r="L46">
        <f>SUMIF('Team Lineups'!C:C,A46,'Team Lineups'!H:H)</f>
        <v>3</v>
      </c>
      <c r="M46">
        <f t="shared" si="3"/>
        <v>3</v>
      </c>
      <c r="N46">
        <f>SUMIF('Team Lineups'!C:C,A46,'Team Lineups'!I:I)</f>
        <v>0</v>
      </c>
      <c r="O46">
        <f>COUNTIF(Matches!G:G,A46)</f>
        <v>0</v>
      </c>
      <c r="P46">
        <f t="shared" si="4"/>
        <v>0</v>
      </c>
      <c r="Q46">
        <f>SUMIF('Team Lineups'!C:C,A46,'Team Lineups'!J:J)</f>
        <v>0</v>
      </c>
    </row>
    <row r="47" spans="1:17" x14ac:dyDescent="0.35">
      <c r="A47" t="s">
        <v>95</v>
      </c>
      <c r="C47">
        <f>COUNTIF('Team Lineups'!C:C,A47)</f>
        <v>2</v>
      </c>
      <c r="D47">
        <f>SUMIF('Team Lineups'!C:C,A47,'Team Lineups'!E:E)</f>
        <v>22</v>
      </c>
      <c r="E47">
        <f>SUMIF('Team Lineups'!C:C,A47,'Team Lineups'!F:F)</f>
        <v>16</v>
      </c>
      <c r="F47">
        <f t="shared" si="0"/>
        <v>6</v>
      </c>
      <c r="G47">
        <f>COUNTIFS('Team Lineups'!C:C,A47,'Team Lineups'!G:G,"Win")</f>
        <v>2</v>
      </c>
      <c r="H47">
        <f>COUNTIFS('Team Lineups'!C:C,A47,'Team Lineups'!G:G,"Draw")</f>
        <v>0</v>
      </c>
      <c r="I47">
        <f>COUNTIFS('Team Lineups'!C:C,A47,'Team Lineups'!G:G,"Loss")</f>
        <v>0</v>
      </c>
      <c r="J47" s="3">
        <f t="shared" si="1"/>
        <v>1</v>
      </c>
      <c r="K47" s="3">
        <f t="shared" si="2"/>
        <v>0</v>
      </c>
      <c r="L47">
        <f>SUMIF('Team Lineups'!C:C,A47,'Team Lineups'!H:H)</f>
        <v>5</v>
      </c>
      <c r="M47">
        <f t="shared" si="3"/>
        <v>2.5</v>
      </c>
      <c r="N47">
        <f>SUMIF('Team Lineups'!C:C,A47,'Team Lineups'!I:I)</f>
        <v>2</v>
      </c>
      <c r="O47">
        <f>COUNTIF(Matches!G:G,A47)</f>
        <v>0</v>
      </c>
      <c r="P47">
        <f t="shared" si="4"/>
        <v>0</v>
      </c>
      <c r="Q47">
        <f>SUMIF('Team Lineups'!C:C,A47,'Team Lineups'!J:J)</f>
        <v>0</v>
      </c>
    </row>
    <row r="48" spans="1:17" x14ac:dyDescent="0.35">
      <c r="A48" t="s">
        <v>116</v>
      </c>
      <c r="C48">
        <f>COUNTIF('Team Lineups'!C:C,A48)</f>
        <v>1</v>
      </c>
      <c r="D48">
        <f>SUMIF('Team Lineups'!C:C,A48,'Team Lineups'!E:E)</f>
        <v>12</v>
      </c>
      <c r="E48">
        <f>SUMIF('Team Lineups'!C:C,A48,'Team Lineups'!F:F)</f>
        <v>6</v>
      </c>
      <c r="F48">
        <f t="shared" si="0"/>
        <v>6</v>
      </c>
      <c r="G48">
        <f>COUNTIFS('Team Lineups'!C:C,A48,'Team Lineups'!G:G,"Win")</f>
        <v>1</v>
      </c>
      <c r="H48">
        <f>COUNTIFS('Team Lineups'!C:C,A48,'Team Lineups'!G:G,"Draw")</f>
        <v>0</v>
      </c>
      <c r="I48">
        <f>COUNTIFS('Team Lineups'!C:C,A48,'Team Lineups'!G:G,"Loss")</f>
        <v>0</v>
      </c>
      <c r="J48" s="3">
        <f t="shared" si="1"/>
        <v>1</v>
      </c>
      <c r="K48" s="3">
        <f t="shared" si="2"/>
        <v>0</v>
      </c>
      <c r="L48">
        <f>SUMIF('Team Lineups'!C:C,A48,'Team Lineups'!H:H)</f>
        <v>1</v>
      </c>
      <c r="M48">
        <f t="shared" si="3"/>
        <v>1</v>
      </c>
      <c r="N48">
        <f>SUMIF('Team Lineups'!C:C,A48,'Team Lineups'!I:I)</f>
        <v>0</v>
      </c>
      <c r="O48">
        <f>COUNTIF(Matches!G:G,A48)</f>
        <v>0</v>
      </c>
      <c r="P48">
        <f t="shared" si="4"/>
        <v>0</v>
      </c>
      <c r="Q48">
        <f>SUMIF('Team Lineups'!C:C,A48,'Team Lineups'!J:J)</f>
        <v>0</v>
      </c>
    </row>
    <row r="49" spans="1:17" x14ac:dyDescent="0.35">
      <c r="A49" t="s">
        <v>120</v>
      </c>
      <c r="C49">
        <f>COUNTIF('Team Lineups'!C:C,A49)</f>
        <v>1</v>
      </c>
      <c r="D49">
        <f>SUMIF('Team Lineups'!C:C,A49,'Team Lineups'!E:E)</f>
        <v>14</v>
      </c>
      <c r="E49">
        <f>SUMIF('Team Lineups'!C:C,A49,'Team Lineups'!F:F)</f>
        <v>8</v>
      </c>
      <c r="F49">
        <f t="shared" si="0"/>
        <v>6</v>
      </c>
      <c r="G49">
        <f>COUNTIFS('Team Lineups'!C:C,A49,'Team Lineups'!G:G,"Win")</f>
        <v>1</v>
      </c>
      <c r="H49">
        <f>COUNTIFS('Team Lineups'!C:C,A49,'Team Lineups'!G:G,"Draw")</f>
        <v>0</v>
      </c>
      <c r="I49">
        <f>COUNTIFS('Team Lineups'!C:C,A49,'Team Lineups'!G:G,"Loss")</f>
        <v>0</v>
      </c>
      <c r="J49" s="3">
        <f t="shared" si="1"/>
        <v>1</v>
      </c>
      <c r="K49" s="3">
        <f t="shared" si="2"/>
        <v>0</v>
      </c>
      <c r="L49">
        <f>SUMIF('Team Lineups'!C:C,A49,'Team Lineups'!H:H)</f>
        <v>2</v>
      </c>
      <c r="M49">
        <f t="shared" si="3"/>
        <v>2</v>
      </c>
      <c r="N49">
        <f>SUMIF('Team Lineups'!C:C,A49,'Team Lineups'!I:I)</f>
        <v>4</v>
      </c>
      <c r="O49">
        <f>COUNTIF(Matches!G:G,A49)</f>
        <v>0</v>
      </c>
      <c r="P49">
        <f t="shared" si="4"/>
        <v>0</v>
      </c>
      <c r="Q49">
        <f>SUMIF('Team Lineups'!C:C,A49,'Team Lineups'!J:J)</f>
        <v>0</v>
      </c>
    </row>
    <row r="50" spans="1:17" x14ac:dyDescent="0.35">
      <c r="A50" t="s">
        <v>125</v>
      </c>
      <c r="C50">
        <f>COUNTIF('Team Lineups'!C:C,A50)</f>
        <v>1</v>
      </c>
      <c r="D50">
        <f>SUMIF('Team Lineups'!C:C,A50,'Team Lineups'!E:E)</f>
        <v>3</v>
      </c>
      <c r="E50">
        <f>SUMIF('Team Lineups'!C:C,A50,'Team Lineups'!F:F)</f>
        <v>4</v>
      </c>
      <c r="F50">
        <f t="shared" ref="F50" si="5">D50-E50</f>
        <v>-1</v>
      </c>
      <c r="G50">
        <f>COUNTIFS('Team Lineups'!C:C,A50,'Team Lineups'!G:G,"Win")</f>
        <v>0</v>
      </c>
      <c r="H50">
        <f>COUNTIFS('Team Lineups'!C:C,A50,'Team Lineups'!G:G,"Draw")</f>
        <v>0</v>
      </c>
      <c r="I50">
        <f>COUNTIFS('Team Lineups'!C:C,A50,'Team Lineups'!G:G,"Loss")</f>
        <v>1</v>
      </c>
      <c r="J50" s="3">
        <f t="shared" ref="J50" si="6">G50/C50</f>
        <v>0</v>
      </c>
      <c r="K50" s="3">
        <f t="shared" ref="K50" si="7">I50/C50</f>
        <v>1</v>
      </c>
      <c r="L50">
        <f>SUMIF('Team Lineups'!C:C,A50,'Team Lineups'!H:H)</f>
        <v>0</v>
      </c>
      <c r="M50">
        <f t="shared" ref="M50" si="8">L50/C50</f>
        <v>0</v>
      </c>
      <c r="N50">
        <f>SUMIF('Team Lineups'!C:C,A50,'Team Lineups'!I:I)</f>
        <v>0</v>
      </c>
      <c r="O50">
        <f>COUNTIF(Matches!G:G,A50)</f>
        <v>0</v>
      </c>
      <c r="P50">
        <f t="shared" ref="P50" si="9">O50/C50</f>
        <v>0</v>
      </c>
      <c r="Q50">
        <f>SUMIF('Team Lineups'!C:C,A50,'Team Lineups'!J:J)</f>
        <v>0</v>
      </c>
    </row>
    <row r="51" spans="1:17" x14ac:dyDescent="0.35">
      <c r="A51" t="s">
        <v>128</v>
      </c>
      <c r="C51">
        <f>COUNTIF('Team Lineups'!C:C,A51)</f>
        <v>1</v>
      </c>
      <c r="D51">
        <f>SUMIF('Team Lineups'!C:C,A51,'Team Lineups'!E:E)</f>
        <v>8</v>
      </c>
      <c r="E51">
        <f>SUMIF('Team Lineups'!C:C,A51,'Team Lineups'!F:F)</f>
        <v>5</v>
      </c>
      <c r="F51">
        <f t="shared" ref="F51" si="10">D51-E51</f>
        <v>3</v>
      </c>
      <c r="G51">
        <f>COUNTIFS('Team Lineups'!C:C,A51,'Team Lineups'!G:G,"Win")</f>
        <v>1</v>
      </c>
      <c r="H51">
        <f>COUNTIFS('Team Lineups'!C:C,A51,'Team Lineups'!G:G,"Draw")</f>
        <v>0</v>
      </c>
      <c r="I51">
        <f>COUNTIFS('Team Lineups'!C:C,A51,'Team Lineups'!G:G,"Loss")</f>
        <v>0</v>
      </c>
      <c r="J51" s="3">
        <f t="shared" ref="J51" si="11">G51/C51</f>
        <v>1</v>
      </c>
      <c r="K51" s="3">
        <f t="shared" ref="K51" si="12">I51/C51</f>
        <v>0</v>
      </c>
      <c r="L51">
        <f>SUMIF('Team Lineups'!C:C,A51,'Team Lineups'!H:H)</f>
        <v>2</v>
      </c>
      <c r="M51">
        <f t="shared" ref="M51" si="13">L51/C51</f>
        <v>2</v>
      </c>
      <c r="N51">
        <f>SUMIF('Team Lineups'!C:C,A51,'Team Lineups'!I:I)</f>
        <v>0</v>
      </c>
      <c r="O51">
        <f>COUNTIF(Matches!G:G,A51)</f>
        <v>0</v>
      </c>
      <c r="P51">
        <f t="shared" ref="P51" si="14">O51/C51</f>
        <v>0</v>
      </c>
      <c r="Q51">
        <f>SUMIF('Team Lineups'!C:C,A51,'Team Lineups'!J:J)</f>
        <v>0</v>
      </c>
    </row>
    <row r="52" spans="1:17" x14ac:dyDescent="0.35">
      <c r="A52" t="s">
        <v>131</v>
      </c>
      <c r="C52">
        <f>COUNTIF('Team Lineups'!C:C,A52)</f>
        <v>1</v>
      </c>
      <c r="D52">
        <f>SUMIF('Team Lineups'!C:C,A52,'Team Lineups'!E:E)</f>
        <v>7</v>
      </c>
      <c r="E52">
        <f>SUMIF('Team Lineups'!C:C,A52,'Team Lineups'!F:F)</f>
        <v>4</v>
      </c>
      <c r="F52">
        <f t="shared" ref="F52" si="15">D52-E52</f>
        <v>3</v>
      </c>
      <c r="G52">
        <f>COUNTIFS('Team Lineups'!C:C,A52,'Team Lineups'!G:G,"Win")</f>
        <v>1</v>
      </c>
      <c r="H52">
        <f>COUNTIFS('Team Lineups'!C:C,A52,'Team Lineups'!G:G,"Draw")</f>
        <v>0</v>
      </c>
      <c r="I52">
        <f>COUNTIFS('Team Lineups'!C:C,A52,'Team Lineups'!G:G,"Loss")</f>
        <v>0</v>
      </c>
      <c r="J52" s="3">
        <f t="shared" ref="J52" si="16">G52/C52</f>
        <v>1</v>
      </c>
      <c r="K52" s="3">
        <f t="shared" ref="K52" si="17">I52/C52</f>
        <v>0</v>
      </c>
      <c r="L52">
        <f>SUMIF('Team Lineups'!C:C,A52,'Team Lineups'!H:H)</f>
        <v>1</v>
      </c>
      <c r="M52">
        <f t="shared" ref="M52" si="18">L52/C52</f>
        <v>1</v>
      </c>
      <c r="N52">
        <f>SUMIF('Team Lineups'!C:C,A52,'Team Lineups'!I:I)</f>
        <v>0</v>
      </c>
      <c r="O52">
        <f>COUNTIF(Matches!G:G,A52)</f>
        <v>0</v>
      </c>
      <c r="P52">
        <f t="shared" ref="P52" si="19">O52/C52</f>
        <v>0</v>
      </c>
      <c r="Q52">
        <f>SUMIF('Team Lineups'!C:C,A52,'Team Lineups'!J:J)</f>
        <v>0</v>
      </c>
    </row>
  </sheetData>
  <autoFilter ref="A1:P27" xr:uid="{00000000-0001-0000-0200-000000000000}">
    <sortState xmlns:xlrd2="http://schemas.microsoft.com/office/spreadsheetml/2017/richdata2" ref="A2:P49">
      <sortCondition descending="1" ref="K1:K2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opLeftCell="A51" workbookViewId="0">
      <selection activeCell="C63" sqref="C63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A31">
        <v>30</v>
      </c>
      <c r="B31" s="2">
        <v>46142</v>
      </c>
      <c r="C31" t="s">
        <v>7</v>
      </c>
      <c r="D31" s="1" t="s">
        <v>103</v>
      </c>
      <c r="E31">
        <f t="shared" ref="E31:E32" si="24">VALUE(LEFT(D31, FIND("-", D31)-1))</f>
        <v>7</v>
      </c>
      <c r="F31">
        <f t="shared" ref="F31:F32" si="25">VALUE(MID(D31, FIND("-", D31)+1, 10))</f>
        <v>10</v>
      </c>
      <c r="G31" t="s">
        <v>99</v>
      </c>
    </row>
    <row r="32" spans="1:7" x14ac:dyDescent="0.35">
      <c r="A32">
        <v>31</v>
      </c>
      <c r="B32" s="2">
        <v>46142</v>
      </c>
      <c r="C32" t="s">
        <v>7</v>
      </c>
      <c r="D32" s="1" t="s">
        <v>104</v>
      </c>
      <c r="E32">
        <f t="shared" si="24"/>
        <v>10</v>
      </c>
      <c r="F32">
        <f t="shared" si="25"/>
        <v>5</v>
      </c>
      <c r="G32" t="s">
        <v>19</v>
      </c>
    </row>
    <row r="33" spans="1:7" x14ac:dyDescent="0.35">
      <c r="A33">
        <v>32</v>
      </c>
      <c r="B33" s="2">
        <v>46149</v>
      </c>
      <c r="C33" t="s">
        <v>7</v>
      </c>
      <c r="D33" s="1" t="s">
        <v>105</v>
      </c>
      <c r="E33">
        <f t="shared" ref="E33" si="26">VALUE(LEFT(D33, FIND("-", D33)-1))</f>
        <v>2</v>
      </c>
      <c r="F33">
        <f t="shared" ref="F33" si="27">VALUE(MID(D33, FIND("-", D33)+1, 10))</f>
        <v>4</v>
      </c>
      <c r="G33" t="s">
        <v>89</v>
      </c>
    </row>
    <row r="34" spans="1:7" x14ac:dyDescent="0.35">
      <c r="A34">
        <v>33</v>
      </c>
      <c r="B34" s="2">
        <v>46156</v>
      </c>
      <c r="C34" t="s">
        <v>7</v>
      </c>
      <c r="D34" s="1" t="s">
        <v>106</v>
      </c>
      <c r="E34">
        <f t="shared" ref="E34" si="28">VALUE(LEFT(D34, FIND("-", D34)-1))</f>
        <v>6</v>
      </c>
      <c r="F34">
        <f t="shared" ref="F34" si="29">VALUE(MID(D34, FIND("-", D34)+1, 10))</f>
        <v>4</v>
      </c>
      <c r="G34" t="s">
        <v>98</v>
      </c>
    </row>
    <row r="35" spans="1:7" x14ac:dyDescent="0.35">
      <c r="A35">
        <v>34</v>
      </c>
      <c r="B35" s="2">
        <v>46163</v>
      </c>
      <c r="C35" t="s">
        <v>7</v>
      </c>
      <c r="D35" s="1" t="s">
        <v>107</v>
      </c>
      <c r="E35">
        <f t="shared" ref="E35" si="30">VALUE(LEFT(D35, FIND("-", D35)-1))</f>
        <v>17</v>
      </c>
      <c r="F35">
        <f t="shared" ref="F35" si="31">VALUE(MID(D35, FIND("-", D35)+1, 10))</f>
        <v>8</v>
      </c>
      <c r="G35" t="s">
        <v>98</v>
      </c>
    </row>
    <row r="36" spans="1:7" x14ac:dyDescent="0.35">
      <c r="A36">
        <v>35</v>
      </c>
      <c r="B36" s="2">
        <v>46170</v>
      </c>
      <c r="C36" t="s">
        <v>7</v>
      </c>
      <c r="D36" s="1" t="s">
        <v>108</v>
      </c>
      <c r="E36">
        <f t="shared" ref="E36" si="32">VALUE(LEFT(D36, FIND("-", D36)-1))</f>
        <v>7</v>
      </c>
      <c r="F36">
        <f t="shared" ref="F36" si="33">VALUE(MID(D36, FIND("-", D36)+1, 10))</f>
        <v>5</v>
      </c>
      <c r="G36" t="s">
        <v>41</v>
      </c>
    </row>
    <row r="37" spans="1:7" x14ac:dyDescent="0.35">
      <c r="A37">
        <v>36</v>
      </c>
      <c r="B37" s="2">
        <v>46177</v>
      </c>
      <c r="C37" t="s">
        <v>7</v>
      </c>
      <c r="D37" s="1" t="s">
        <v>109</v>
      </c>
      <c r="E37">
        <f t="shared" ref="E37:E38" si="34">VALUE(LEFT(D37, FIND("-", D37)-1))</f>
        <v>11</v>
      </c>
      <c r="F37">
        <f t="shared" ref="F37:F38" si="35">VALUE(MID(D37, FIND("-", D37)+1, 10))</f>
        <v>11</v>
      </c>
      <c r="G37" t="s">
        <v>19</v>
      </c>
    </row>
    <row r="38" spans="1:7" x14ac:dyDescent="0.35">
      <c r="A38">
        <v>37</v>
      </c>
      <c r="B38" s="2">
        <v>46177</v>
      </c>
      <c r="C38" t="s">
        <v>7</v>
      </c>
      <c r="D38" s="1" t="s">
        <v>110</v>
      </c>
      <c r="E38">
        <f t="shared" si="34"/>
        <v>9</v>
      </c>
      <c r="F38">
        <f t="shared" si="35"/>
        <v>7</v>
      </c>
      <c r="G38" t="s">
        <v>54</v>
      </c>
    </row>
    <row r="39" spans="1:7" x14ac:dyDescent="0.35">
      <c r="A39">
        <v>38</v>
      </c>
      <c r="B39" s="2">
        <v>46184</v>
      </c>
      <c r="C39" t="s">
        <v>7</v>
      </c>
      <c r="D39" s="1" t="s">
        <v>112</v>
      </c>
      <c r="E39">
        <f t="shared" ref="E39" si="36">VALUE(LEFT(D39, FIND("-", D39)-1))</f>
        <v>12</v>
      </c>
      <c r="F39">
        <f t="shared" ref="F39" si="37">VALUE(MID(D39, FIND("-", D39)+1, 10))</f>
        <v>4</v>
      </c>
      <c r="G39" t="s">
        <v>42</v>
      </c>
    </row>
    <row r="40" spans="1:7" x14ac:dyDescent="0.35">
      <c r="A40">
        <v>39</v>
      </c>
      <c r="B40" s="2">
        <v>46191</v>
      </c>
      <c r="C40" t="s">
        <v>7</v>
      </c>
      <c r="D40" s="1" t="s">
        <v>108</v>
      </c>
      <c r="E40">
        <f t="shared" ref="E40" si="38">VALUE(LEFT(D40, FIND("-", D40)-1))</f>
        <v>7</v>
      </c>
      <c r="F40">
        <f t="shared" ref="F40" si="39">VALUE(MID(D40, FIND("-", D40)+1, 10))</f>
        <v>5</v>
      </c>
      <c r="G40" t="s">
        <v>19</v>
      </c>
    </row>
    <row r="41" spans="1:7" x14ac:dyDescent="0.35">
      <c r="A41">
        <v>40</v>
      </c>
      <c r="B41" s="2">
        <v>46198</v>
      </c>
      <c r="C41" t="s">
        <v>7</v>
      </c>
      <c r="D41" s="1" t="s">
        <v>83</v>
      </c>
      <c r="E41">
        <f t="shared" ref="E41" si="40">VALUE(LEFT(D41, FIND("-", D41)-1))</f>
        <v>4</v>
      </c>
      <c r="F41">
        <f t="shared" ref="F41" si="41">VALUE(MID(D41, FIND("-", D41)+1, 10))</f>
        <v>4</v>
      </c>
      <c r="G41" t="s">
        <v>42</v>
      </c>
    </row>
    <row r="42" spans="1:7" x14ac:dyDescent="0.35">
      <c r="A42">
        <v>41</v>
      </c>
      <c r="B42" s="2">
        <v>46205</v>
      </c>
      <c r="C42" t="s">
        <v>7</v>
      </c>
      <c r="D42" s="1" t="s">
        <v>113</v>
      </c>
      <c r="E42">
        <f t="shared" ref="E42:E43" si="42">VALUE(LEFT(D42, FIND("-", D42)-1))</f>
        <v>13</v>
      </c>
      <c r="F42">
        <f t="shared" ref="F42:F43" si="43">VALUE(MID(D42, FIND("-", D42)+1, 10))</f>
        <v>15</v>
      </c>
      <c r="G42" t="s">
        <v>99</v>
      </c>
    </row>
    <row r="43" spans="1:7" x14ac:dyDescent="0.35">
      <c r="A43">
        <v>42</v>
      </c>
      <c r="B43" s="2">
        <v>46205</v>
      </c>
      <c r="C43" t="s">
        <v>7</v>
      </c>
      <c r="D43" s="1" t="s">
        <v>114</v>
      </c>
      <c r="E43">
        <f t="shared" si="42"/>
        <v>9</v>
      </c>
      <c r="F43">
        <f t="shared" si="43"/>
        <v>6</v>
      </c>
      <c r="G43" t="s">
        <v>22</v>
      </c>
    </row>
    <row r="44" spans="1:7" x14ac:dyDescent="0.35">
      <c r="A44">
        <v>43</v>
      </c>
      <c r="B44" s="2">
        <v>46212</v>
      </c>
      <c r="C44" t="s">
        <v>7</v>
      </c>
      <c r="D44" s="1" t="s">
        <v>115</v>
      </c>
      <c r="E44">
        <f t="shared" ref="E44" si="44">VALUE(LEFT(D44, FIND("-", D44)-1))</f>
        <v>12</v>
      </c>
      <c r="F44">
        <f t="shared" ref="F44" si="45">VALUE(MID(D44, FIND("-", D44)+1, 10))</f>
        <v>6</v>
      </c>
      <c r="G44" t="s">
        <v>16</v>
      </c>
    </row>
    <row r="45" spans="1:7" x14ac:dyDescent="0.35">
      <c r="A45">
        <v>44</v>
      </c>
      <c r="B45" s="2">
        <v>46219</v>
      </c>
      <c r="C45" t="s">
        <v>7</v>
      </c>
      <c r="D45" s="1" t="s">
        <v>117</v>
      </c>
      <c r="E45">
        <f t="shared" ref="E45:E46" si="46">VALUE(LEFT(D45, FIND("-", D45)-1))</f>
        <v>8</v>
      </c>
      <c r="F45">
        <f t="shared" ref="F45:F46" si="47">VALUE(MID(D45, FIND("-", D45)+1, 10))</f>
        <v>14</v>
      </c>
      <c r="G45" t="s">
        <v>119</v>
      </c>
    </row>
    <row r="46" spans="1:7" x14ac:dyDescent="0.35">
      <c r="A46">
        <v>45</v>
      </c>
      <c r="B46" s="2">
        <v>46219</v>
      </c>
      <c r="C46" t="s">
        <v>7</v>
      </c>
      <c r="D46" s="1" t="s">
        <v>118</v>
      </c>
      <c r="E46">
        <f t="shared" si="46"/>
        <v>14</v>
      </c>
      <c r="F46">
        <f t="shared" si="47"/>
        <v>15</v>
      </c>
      <c r="G46" t="s">
        <v>22</v>
      </c>
    </row>
    <row r="47" spans="1:7" x14ac:dyDescent="0.35">
      <c r="A47">
        <v>46</v>
      </c>
      <c r="B47" s="2">
        <v>46226</v>
      </c>
      <c r="C47" t="s">
        <v>7</v>
      </c>
      <c r="D47" s="1" t="s">
        <v>122</v>
      </c>
      <c r="E47">
        <f t="shared" ref="E47" si="48">VALUE(LEFT(D47, FIND("-", D47)-1))</f>
        <v>4</v>
      </c>
      <c r="F47">
        <f t="shared" ref="F47" si="49">VALUE(MID(D47, FIND("-", D47)+1, 10))</f>
        <v>5</v>
      </c>
      <c r="G47" t="s">
        <v>19</v>
      </c>
    </row>
    <row r="48" spans="1:7" x14ac:dyDescent="0.35">
      <c r="A48">
        <v>47</v>
      </c>
      <c r="B48" s="2">
        <v>46233</v>
      </c>
      <c r="C48" t="s">
        <v>7</v>
      </c>
      <c r="D48" s="1" t="s">
        <v>104</v>
      </c>
      <c r="E48">
        <f t="shared" ref="E48" si="50">VALUE(LEFT(D48, FIND("-", D48)-1))</f>
        <v>10</v>
      </c>
      <c r="F48">
        <f t="shared" ref="F48" si="51">VALUE(MID(D48, FIND("-", D48)+1, 10))</f>
        <v>5</v>
      </c>
      <c r="G48" t="s">
        <v>121</v>
      </c>
    </row>
    <row r="49" spans="1:7" x14ac:dyDescent="0.35">
      <c r="A49">
        <v>48</v>
      </c>
      <c r="B49" s="2">
        <v>46240</v>
      </c>
      <c r="C49" t="s">
        <v>7</v>
      </c>
      <c r="D49" s="1" t="s">
        <v>123</v>
      </c>
      <c r="E49">
        <f t="shared" ref="E49:E50" si="52">VALUE(LEFT(D49, FIND("-", D49)-1))</f>
        <v>12</v>
      </c>
      <c r="F49">
        <f t="shared" ref="F49:F50" si="53">VALUE(MID(D49, FIND("-", D49)+1, 10))</f>
        <v>10</v>
      </c>
      <c r="G49" t="s">
        <v>16</v>
      </c>
    </row>
    <row r="50" spans="1:7" x14ac:dyDescent="0.35">
      <c r="A50">
        <v>49</v>
      </c>
      <c r="B50" s="2">
        <v>46240</v>
      </c>
      <c r="C50" t="s">
        <v>7</v>
      </c>
      <c r="D50" s="1" t="s">
        <v>124</v>
      </c>
      <c r="E50">
        <f t="shared" si="52"/>
        <v>11</v>
      </c>
      <c r="F50">
        <f t="shared" si="53"/>
        <v>8</v>
      </c>
      <c r="G50" t="s">
        <v>75</v>
      </c>
    </row>
    <row r="51" spans="1:7" x14ac:dyDescent="0.35">
      <c r="A51">
        <v>50</v>
      </c>
      <c r="B51" s="2">
        <v>46247</v>
      </c>
      <c r="C51" t="s">
        <v>7</v>
      </c>
      <c r="D51" s="1" t="s">
        <v>110</v>
      </c>
      <c r="E51">
        <f t="shared" ref="E51" si="54">VALUE(LEFT(D51, FIND("-", D51)-1))</f>
        <v>9</v>
      </c>
      <c r="F51">
        <f t="shared" ref="F51" si="55">VALUE(MID(D51, FIND("-", D51)+1, 10))</f>
        <v>7</v>
      </c>
      <c r="G51" t="s">
        <v>88</v>
      </c>
    </row>
    <row r="52" spans="1:7" x14ac:dyDescent="0.35">
      <c r="A52">
        <v>51</v>
      </c>
      <c r="B52" s="2">
        <v>46254</v>
      </c>
      <c r="C52" t="s">
        <v>7</v>
      </c>
      <c r="D52" s="1" t="s">
        <v>126</v>
      </c>
      <c r="E52">
        <f t="shared" ref="E52" si="56">VALUE(LEFT(D52, FIND("-", D52)-1))</f>
        <v>3</v>
      </c>
      <c r="F52">
        <f t="shared" ref="F52" si="57">VALUE(MID(D52, FIND("-", D52)+1, 10))</f>
        <v>4</v>
      </c>
      <c r="G52" t="s">
        <v>75</v>
      </c>
    </row>
    <row r="53" spans="1:7" x14ac:dyDescent="0.35">
      <c r="A53">
        <v>52</v>
      </c>
      <c r="B53" s="2">
        <v>46261</v>
      </c>
      <c r="C53" t="s">
        <v>7</v>
      </c>
      <c r="D53" s="1" t="s">
        <v>127</v>
      </c>
      <c r="E53">
        <f t="shared" ref="E53" si="58">VALUE(LEFT(D53, FIND("-", D53)-1))</f>
        <v>10</v>
      </c>
      <c r="F53">
        <f t="shared" ref="F53" si="59">VALUE(MID(D53, FIND("-", D53)+1, 10))</f>
        <v>4</v>
      </c>
      <c r="G53" t="s">
        <v>54</v>
      </c>
    </row>
    <row r="54" spans="1:7" x14ac:dyDescent="0.35">
      <c r="A54">
        <v>53</v>
      </c>
      <c r="B54" s="2">
        <v>46633</v>
      </c>
      <c r="C54" t="s">
        <v>7</v>
      </c>
      <c r="D54" s="1" t="s">
        <v>73</v>
      </c>
      <c r="E54">
        <f t="shared" ref="E54:E55" si="60">VALUE(LEFT(D54, FIND("-", D54)-1))</f>
        <v>6</v>
      </c>
      <c r="F54">
        <f t="shared" ref="F54:F55" si="61">VALUE(MID(D54, FIND("-", D54)+1, 10))</f>
        <v>5</v>
      </c>
      <c r="G54" t="s">
        <v>121</v>
      </c>
    </row>
    <row r="55" spans="1:7" x14ac:dyDescent="0.35">
      <c r="A55">
        <v>54</v>
      </c>
      <c r="B55" s="2">
        <v>46633</v>
      </c>
      <c r="C55" t="s">
        <v>7</v>
      </c>
      <c r="D55" s="1" t="s">
        <v>129</v>
      </c>
      <c r="E55">
        <f t="shared" si="60"/>
        <v>5</v>
      </c>
      <c r="F55">
        <f t="shared" si="61"/>
        <v>8</v>
      </c>
      <c r="G55" t="s">
        <v>42</v>
      </c>
    </row>
    <row r="56" spans="1:7" x14ac:dyDescent="0.35">
      <c r="A56">
        <v>55</v>
      </c>
      <c r="B56" s="2">
        <v>46275</v>
      </c>
      <c r="C56" t="s">
        <v>7</v>
      </c>
      <c r="D56" s="1" t="s">
        <v>114</v>
      </c>
      <c r="E56">
        <f t="shared" ref="E56" si="62">VALUE(LEFT(D56, FIND("-", D56)-1))</f>
        <v>9</v>
      </c>
      <c r="F56">
        <f t="shared" ref="F56" si="63">VALUE(MID(D56, FIND("-", D56)+1, 10))</f>
        <v>6</v>
      </c>
      <c r="G56" t="s">
        <v>75</v>
      </c>
    </row>
    <row r="57" spans="1:7" x14ac:dyDescent="0.35">
      <c r="A57">
        <v>56</v>
      </c>
      <c r="B57" s="2">
        <v>46282</v>
      </c>
      <c r="C57" t="s">
        <v>7</v>
      </c>
      <c r="D57" s="1" t="s">
        <v>122</v>
      </c>
      <c r="E57">
        <f t="shared" ref="E57:E58" si="64">VALUE(LEFT(D57, FIND("-", D57)-1))</f>
        <v>4</v>
      </c>
      <c r="F57">
        <f t="shared" ref="F57:F58" si="65">VALUE(MID(D57, FIND("-", D57)+1, 10))</f>
        <v>5</v>
      </c>
      <c r="G57" t="s">
        <v>42</v>
      </c>
    </row>
    <row r="58" spans="1:7" x14ac:dyDescent="0.35">
      <c r="A58">
        <v>57</v>
      </c>
      <c r="B58" s="2">
        <v>46289</v>
      </c>
      <c r="C58" t="s">
        <v>7</v>
      </c>
      <c r="D58" s="1" t="s">
        <v>90</v>
      </c>
      <c r="E58">
        <f t="shared" si="64"/>
        <v>3</v>
      </c>
      <c r="F58">
        <f t="shared" si="65"/>
        <v>2</v>
      </c>
      <c r="G58" t="s">
        <v>42</v>
      </c>
    </row>
    <row r="59" spans="1:7" x14ac:dyDescent="0.35">
      <c r="A59">
        <v>58</v>
      </c>
      <c r="B59" s="2">
        <v>46296</v>
      </c>
      <c r="C59" t="s">
        <v>7</v>
      </c>
      <c r="D59" s="1" t="s">
        <v>80</v>
      </c>
      <c r="E59">
        <f t="shared" ref="E59" si="66">VALUE(LEFT(D59, FIND("-", D59)-1))</f>
        <v>6</v>
      </c>
      <c r="F59">
        <f t="shared" ref="F59" si="67">VALUE(MID(D59, FIND("-", D59)+1, 10))</f>
        <v>6</v>
      </c>
      <c r="G59" t="s">
        <v>51</v>
      </c>
    </row>
    <row r="60" spans="1:7" x14ac:dyDescent="0.35">
      <c r="A60">
        <v>59</v>
      </c>
      <c r="B60" s="2">
        <v>46303</v>
      </c>
      <c r="C60" t="s">
        <v>7</v>
      </c>
      <c r="D60" s="1" t="s">
        <v>130</v>
      </c>
      <c r="E60">
        <f t="shared" ref="E60" si="68">VALUE(LEFT(D60, FIND("-", D60)-1))</f>
        <v>4</v>
      </c>
      <c r="F60">
        <f t="shared" ref="F60" si="69">VALUE(MID(D60, FIND("-", D60)+1, 10))</f>
        <v>7</v>
      </c>
      <c r="G60" t="s">
        <v>66</v>
      </c>
    </row>
    <row r="61" spans="1:7" x14ac:dyDescent="0.35">
      <c r="A61">
        <v>60</v>
      </c>
      <c r="B61" s="2">
        <v>46310</v>
      </c>
      <c r="C61" t="s">
        <v>7</v>
      </c>
      <c r="D61" s="1" t="s">
        <v>132</v>
      </c>
      <c r="E61">
        <f t="shared" ref="E61" si="70">VALUE(LEFT(D61, FIND("-", D61)-1))</f>
        <v>1</v>
      </c>
      <c r="F61">
        <f t="shared" ref="F61" si="71">VALUE(MID(D61, FIND("-", D61)+1, 10))</f>
        <v>7</v>
      </c>
      <c r="G61" t="s">
        <v>21</v>
      </c>
    </row>
    <row r="62" spans="1:7" x14ac:dyDescent="0.35">
      <c r="A62">
        <v>61</v>
      </c>
      <c r="B62" s="2">
        <v>46317</v>
      </c>
      <c r="C62" t="s">
        <v>7</v>
      </c>
      <c r="D62" s="1" t="s">
        <v>133</v>
      </c>
      <c r="E62">
        <f t="shared" ref="E62" si="72">VALUE(LEFT(D62, FIND("-", D62)-1))</f>
        <v>3</v>
      </c>
      <c r="F62">
        <f t="shared" ref="F62" si="73">VALUE(MID(D62, FIND("-", D62)+1, 10))</f>
        <v>5</v>
      </c>
      <c r="G62" t="s">
        <v>20</v>
      </c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30"/>
  <sheetViews>
    <sheetView topLeftCell="A715" workbookViewId="0">
      <selection activeCell="I730" sqref="I730"/>
    </sheetView>
  </sheetViews>
  <sheetFormatPr defaultRowHeight="14.5" x14ac:dyDescent="0.35"/>
  <cols>
    <col min="2" max="2" width="22.90625" style="6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6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2</v>
      </c>
      <c r="I297">
        <v>1</v>
      </c>
      <c r="J297">
        <v>1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93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  <row r="339" spans="1:11" x14ac:dyDescent="0.35">
      <c r="A339">
        <v>30</v>
      </c>
      <c r="B339" s="6">
        <v>46142</v>
      </c>
      <c r="C339" t="s">
        <v>53</v>
      </c>
      <c r="D339" t="s">
        <v>17</v>
      </c>
      <c r="E339">
        <f>IF(D339="A", INDEX(Matches!$E:$E, MATCH(A339, Matches!$A:$A, 0)), INDEX(Matches!$F:$F, MATCH(A339, Matches!$A:$A, 0)))</f>
        <v>7</v>
      </c>
      <c r="F339">
        <f>IF(D339="A", INDEX(Matches!$F:$F, MATCH(A339, Matches!$A:$A, 0)), INDEX(Matches!$E:$E, MATCH(A339, Matches!$A:$A, 0)))</f>
        <v>10</v>
      </c>
      <c r="G339" t="str">
        <f t="shared" ref="G339:G358" si="28">IF(E339&gt;F339,"Win",IF(E339&lt;F339,"Loss","Draw"))</f>
        <v>Loss</v>
      </c>
      <c r="H339">
        <v>1</v>
      </c>
      <c r="I339">
        <v>2</v>
      </c>
      <c r="K339" t="str">
        <f t="shared" si="27"/>
        <v>30_A</v>
      </c>
    </row>
    <row r="340" spans="1:11" x14ac:dyDescent="0.35">
      <c r="A340">
        <v>30</v>
      </c>
      <c r="B340" s="6">
        <v>46142</v>
      </c>
      <c r="C340" t="s">
        <v>99</v>
      </c>
      <c r="D340" t="s">
        <v>17</v>
      </c>
      <c r="E340">
        <f>IF(D340="A", INDEX(Matches!$E:$E, MATCH(A340, Matches!$A:$A, 0)), INDEX(Matches!$F:$F, MATCH(A340, Matches!$A:$A, 0)))</f>
        <v>7</v>
      </c>
      <c r="F340">
        <f>IF(D340="A", INDEX(Matches!$F:$F, MATCH(A340, Matches!$A:$A, 0)), INDEX(Matches!$E:$E, MATCH(A340, Matches!$A:$A, 0)))</f>
        <v>10</v>
      </c>
      <c r="G340" t="str">
        <f t="shared" si="28"/>
        <v>Loss</v>
      </c>
      <c r="K340" t="str">
        <f t="shared" si="27"/>
        <v>30_A</v>
      </c>
    </row>
    <row r="341" spans="1:11" x14ac:dyDescent="0.35">
      <c r="A341">
        <v>30</v>
      </c>
      <c r="B341" s="6">
        <v>46142</v>
      </c>
      <c r="C341" t="s">
        <v>21</v>
      </c>
      <c r="D341" t="s">
        <v>17</v>
      </c>
      <c r="E341">
        <f>IF(D341="A", INDEX(Matches!$E:$E, MATCH(A341, Matches!$A:$A, 0)), INDEX(Matches!$F:$F, MATCH(A341, Matches!$A:$A, 0)))</f>
        <v>7</v>
      </c>
      <c r="F341">
        <f>IF(D341="A", INDEX(Matches!$F:$F, MATCH(A341, Matches!$A:$A, 0)), INDEX(Matches!$E:$E, MATCH(A341, Matches!$A:$A, 0)))</f>
        <v>10</v>
      </c>
      <c r="G341" t="str">
        <f t="shared" si="28"/>
        <v>Loss</v>
      </c>
      <c r="H341">
        <v>1</v>
      </c>
      <c r="I341">
        <v>2</v>
      </c>
      <c r="K341" t="str">
        <f t="shared" si="27"/>
        <v>30_A</v>
      </c>
    </row>
    <row r="342" spans="1:11" x14ac:dyDescent="0.35">
      <c r="A342">
        <v>30</v>
      </c>
      <c r="B342" s="6">
        <v>46142</v>
      </c>
      <c r="C342" t="s">
        <v>88</v>
      </c>
      <c r="D342" t="s">
        <v>17</v>
      </c>
      <c r="E342">
        <f>IF(D342="A", INDEX(Matches!$E:$E, MATCH(A342, Matches!$A:$A, 0)), INDEX(Matches!$F:$F, MATCH(A342, Matches!$A:$A, 0)))</f>
        <v>7</v>
      </c>
      <c r="F342">
        <f>IF(D342="A", INDEX(Matches!$F:$F, MATCH(A342, Matches!$A:$A, 0)), INDEX(Matches!$E:$E, MATCH(A342, Matches!$A:$A, 0)))</f>
        <v>10</v>
      </c>
      <c r="G342" t="str">
        <f t="shared" si="28"/>
        <v>Loss</v>
      </c>
      <c r="H342">
        <v>3</v>
      </c>
      <c r="I342">
        <v>1</v>
      </c>
      <c r="K342" t="str">
        <f t="shared" si="27"/>
        <v>30_A</v>
      </c>
    </row>
    <row r="343" spans="1:11" x14ac:dyDescent="0.35">
      <c r="A343">
        <v>30</v>
      </c>
      <c r="B343" s="6">
        <v>46142</v>
      </c>
      <c r="C343" t="s">
        <v>48</v>
      </c>
      <c r="D343" t="s">
        <v>17</v>
      </c>
      <c r="E343">
        <f>IF(D343="A", INDEX(Matches!$E:$E, MATCH(A343, Matches!$A:$A, 0)), INDEX(Matches!$F:$F, MATCH(A343, Matches!$A:$A, 0)))</f>
        <v>7</v>
      </c>
      <c r="F343">
        <f>IF(D343="A", INDEX(Matches!$F:$F, MATCH(A343, Matches!$A:$A, 0)), INDEX(Matches!$E:$E, MATCH(A343, Matches!$A:$A, 0)))</f>
        <v>10</v>
      </c>
      <c r="G343" t="str">
        <f t="shared" si="28"/>
        <v>Loss</v>
      </c>
      <c r="H343">
        <v>2</v>
      </c>
      <c r="I343">
        <v>1</v>
      </c>
      <c r="K343" t="str">
        <f t="shared" si="27"/>
        <v>30_A</v>
      </c>
    </row>
    <row r="344" spans="1:11" x14ac:dyDescent="0.35">
      <c r="A344">
        <v>30</v>
      </c>
      <c r="B344" s="6">
        <v>46142</v>
      </c>
      <c r="C344" t="s">
        <v>20</v>
      </c>
      <c r="D344" t="s">
        <v>23</v>
      </c>
      <c r="E344">
        <f>IF(D344="A", INDEX(Matches!$E:$E, MATCH(A344, Matches!$A:$A, 0)), INDEX(Matches!$F:$F, MATCH(A344, Matches!$A:$A, 0)))</f>
        <v>10</v>
      </c>
      <c r="F344">
        <f>IF(D344="A", INDEX(Matches!$F:$F, MATCH(A344, Matches!$A:$A, 0)), INDEX(Matches!$E:$E, MATCH(A344, Matches!$A:$A, 0)))</f>
        <v>7</v>
      </c>
      <c r="G344" t="str">
        <f t="shared" si="28"/>
        <v>Win</v>
      </c>
      <c r="H344">
        <v>2</v>
      </c>
      <c r="I344">
        <v>4</v>
      </c>
      <c r="K344" t="str">
        <f t="shared" si="27"/>
        <v>30_B</v>
      </c>
    </row>
    <row r="345" spans="1:11" x14ac:dyDescent="0.35">
      <c r="A345">
        <v>30</v>
      </c>
      <c r="B345" s="6">
        <v>46142</v>
      </c>
      <c r="C345" t="s">
        <v>25</v>
      </c>
      <c r="D345" t="s">
        <v>23</v>
      </c>
      <c r="E345">
        <f>IF(D345="A", INDEX(Matches!$E:$E, MATCH(A345, Matches!$A:$A, 0)), INDEX(Matches!$F:$F, MATCH(A345, Matches!$A:$A, 0)))</f>
        <v>10</v>
      </c>
      <c r="F345">
        <f>IF(D345="A", INDEX(Matches!$F:$F, MATCH(A345, Matches!$A:$A, 0)), INDEX(Matches!$E:$E, MATCH(A345, Matches!$A:$A, 0)))</f>
        <v>7</v>
      </c>
      <c r="G345" t="str">
        <f t="shared" si="28"/>
        <v>Win</v>
      </c>
      <c r="H345">
        <v>1</v>
      </c>
      <c r="K345" t="str">
        <f t="shared" si="27"/>
        <v>30_B</v>
      </c>
    </row>
    <row r="346" spans="1:11" x14ac:dyDescent="0.35">
      <c r="A346">
        <v>30</v>
      </c>
      <c r="B346" s="6">
        <v>46142</v>
      </c>
      <c r="C346" t="s">
        <v>75</v>
      </c>
      <c r="D346" t="s">
        <v>23</v>
      </c>
      <c r="E346">
        <f>IF(D346="A", INDEX(Matches!$E:$E, MATCH(A346, Matches!$A:$A, 0)), INDEX(Matches!$F:$F, MATCH(A346, Matches!$A:$A, 0)))</f>
        <v>10</v>
      </c>
      <c r="F346">
        <f>IF(D346="A", INDEX(Matches!$F:$F, MATCH(A346, Matches!$A:$A, 0)), INDEX(Matches!$E:$E, MATCH(A346, Matches!$A:$A, 0)))</f>
        <v>7</v>
      </c>
      <c r="G346" t="str">
        <f t="shared" si="28"/>
        <v>Win</v>
      </c>
      <c r="H346">
        <v>4</v>
      </c>
      <c r="K346" t="str">
        <f t="shared" si="27"/>
        <v>30_B</v>
      </c>
    </row>
    <row r="347" spans="1:11" x14ac:dyDescent="0.35">
      <c r="A347">
        <v>30</v>
      </c>
      <c r="B347" s="6">
        <v>46142</v>
      </c>
      <c r="C347" t="s">
        <v>49</v>
      </c>
      <c r="D347" t="s">
        <v>23</v>
      </c>
      <c r="E347">
        <f>IF(D347="A", INDEX(Matches!$E:$E, MATCH(A347, Matches!$A:$A, 0)), INDEX(Matches!$F:$F, MATCH(A347, Matches!$A:$A, 0)))</f>
        <v>10</v>
      </c>
      <c r="F347">
        <f>IF(D347="A", INDEX(Matches!$F:$F, MATCH(A347, Matches!$A:$A, 0)), INDEX(Matches!$E:$E, MATCH(A347, Matches!$A:$A, 0)))</f>
        <v>7</v>
      </c>
      <c r="G347" t="str">
        <f t="shared" si="28"/>
        <v>Win</v>
      </c>
      <c r="H347">
        <v>2</v>
      </c>
      <c r="I347">
        <v>2</v>
      </c>
      <c r="K347" t="str">
        <f t="shared" si="27"/>
        <v>30_B</v>
      </c>
    </row>
    <row r="348" spans="1:11" x14ac:dyDescent="0.35">
      <c r="A348">
        <v>30</v>
      </c>
      <c r="B348" s="6">
        <v>46142</v>
      </c>
      <c r="C348" t="s">
        <v>77</v>
      </c>
      <c r="D348" t="s">
        <v>23</v>
      </c>
      <c r="E348">
        <f>IF(D348="A", INDEX(Matches!$E:$E, MATCH(A348, Matches!$A:$A, 0)), INDEX(Matches!$F:$F, MATCH(A348, Matches!$A:$A, 0)))</f>
        <v>10</v>
      </c>
      <c r="F348">
        <f>IF(D348="A", INDEX(Matches!$F:$F, MATCH(A348, Matches!$A:$A, 0)), INDEX(Matches!$E:$E, MATCH(A348, Matches!$A:$A, 0)))</f>
        <v>7</v>
      </c>
      <c r="G348" t="str">
        <f t="shared" si="28"/>
        <v>Win</v>
      </c>
      <c r="H348">
        <v>1</v>
      </c>
      <c r="K348" t="str">
        <f t="shared" si="27"/>
        <v>30_B</v>
      </c>
    </row>
    <row r="349" spans="1:11" x14ac:dyDescent="0.35">
      <c r="A349">
        <v>31</v>
      </c>
      <c r="B349" s="6">
        <v>46142</v>
      </c>
      <c r="C349" t="s">
        <v>51</v>
      </c>
      <c r="D349" t="s">
        <v>17</v>
      </c>
      <c r="E349">
        <f>IF(D349="A", INDEX(Matches!$E:$E, MATCH(A349, Matches!$A:$A, 0)), INDEX(Matches!$F:$F, MATCH(A349, Matches!$A:$A, 0)))</f>
        <v>10</v>
      </c>
      <c r="F349">
        <f>IF(D349="A", INDEX(Matches!$F:$F, MATCH(A349, Matches!$A:$A, 0)), INDEX(Matches!$E:$E, MATCH(A349, Matches!$A:$A, 0)))</f>
        <v>5</v>
      </c>
      <c r="G349" t="str">
        <f t="shared" si="28"/>
        <v>Win</v>
      </c>
      <c r="H349">
        <v>1</v>
      </c>
      <c r="I349">
        <v>3</v>
      </c>
      <c r="K349" t="str">
        <f t="shared" si="27"/>
        <v>31_A</v>
      </c>
    </row>
    <row r="350" spans="1:11" x14ac:dyDescent="0.35">
      <c r="A350">
        <v>31</v>
      </c>
      <c r="B350" s="6">
        <v>46142</v>
      </c>
      <c r="C350" t="s">
        <v>22</v>
      </c>
      <c r="D350" t="s">
        <v>17</v>
      </c>
      <c r="E350">
        <f>IF(D350="A", INDEX(Matches!$E:$E, MATCH(A350, Matches!$A:$A, 0)), INDEX(Matches!$F:$F, MATCH(A350, Matches!$A:$A, 0)))</f>
        <v>10</v>
      </c>
      <c r="F350">
        <f>IF(D350="A", INDEX(Matches!$F:$F, MATCH(A350, Matches!$A:$A, 0)), INDEX(Matches!$E:$E, MATCH(A350, Matches!$A:$A, 0)))</f>
        <v>5</v>
      </c>
      <c r="G350" t="str">
        <f t="shared" si="28"/>
        <v>Win</v>
      </c>
      <c r="H350">
        <v>1</v>
      </c>
      <c r="I350">
        <v>1</v>
      </c>
      <c r="K350" t="str">
        <f t="shared" si="27"/>
        <v>31_A</v>
      </c>
    </row>
    <row r="351" spans="1:11" x14ac:dyDescent="0.35">
      <c r="A351">
        <v>31</v>
      </c>
      <c r="B351" s="6">
        <v>46142</v>
      </c>
      <c r="C351" t="s">
        <v>19</v>
      </c>
      <c r="D351" t="s">
        <v>17</v>
      </c>
      <c r="E351">
        <f>IF(D351="A", INDEX(Matches!$E:$E, MATCH(A351, Matches!$A:$A, 0)), INDEX(Matches!$F:$F, MATCH(A351, Matches!$A:$A, 0)))</f>
        <v>10</v>
      </c>
      <c r="F351">
        <f>IF(D351="A", INDEX(Matches!$F:$F, MATCH(A351, Matches!$A:$A, 0)), INDEX(Matches!$E:$E, MATCH(A351, Matches!$A:$A, 0)))</f>
        <v>5</v>
      </c>
      <c r="G351" t="str">
        <f t="shared" si="28"/>
        <v>Win</v>
      </c>
      <c r="H351">
        <v>4</v>
      </c>
      <c r="K351" t="str">
        <f t="shared" si="27"/>
        <v>31_A</v>
      </c>
    </row>
    <row r="352" spans="1:11" x14ac:dyDescent="0.35">
      <c r="A352">
        <v>31</v>
      </c>
      <c r="B352" s="6">
        <v>46142</v>
      </c>
      <c r="C352" t="s">
        <v>89</v>
      </c>
      <c r="D352" t="s">
        <v>17</v>
      </c>
      <c r="E352">
        <f>IF(D352="A", INDEX(Matches!$E:$E, MATCH(A352, Matches!$A:$A, 0)), INDEX(Matches!$F:$F, MATCH(A352, Matches!$A:$A, 0)))</f>
        <v>10</v>
      </c>
      <c r="F352">
        <f>IF(D352="A", INDEX(Matches!$F:$F, MATCH(A352, Matches!$A:$A, 0)), INDEX(Matches!$E:$E, MATCH(A352, Matches!$A:$A, 0)))</f>
        <v>5</v>
      </c>
      <c r="G352" t="str">
        <f t="shared" si="28"/>
        <v>Win</v>
      </c>
      <c r="H352">
        <v>2</v>
      </c>
      <c r="I352">
        <v>3</v>
      </c>
      <c r="K352" t="str">
        <f t="shared" si="27"/>
        <v>31_A</v>
      </c>
    </row>
    <row r="353" spans="1:11" x14ac:dyDescent="0.35">
      <c r="A353">
        <v>31</v>
      </c>
      <c r="B353" s="6">
        <v>46142</v>
      </c>
      <c r="C353" t="s">
        <v>40</v>
      </c>
      <c r="D353" t="s">
        <v>17</v>
      </c>
      <c r="E353">
        <f>IF(D353="A", INDEX(Matches!$E:$E, MATCH(A353, Matches!$A:$A, 0)), INDEX(Matches!$F:$F, MATCH(A353, Matches!$A:$A, 0)))</f>
        <v>10</v>
      </c>
      <c r="F353">
        <f>IF(D353="A", INDEX(Matches!$F:$F, MATCH(A353, Matches!$A:$A, 0)), INDEX(Matches!$E:$E, MATCH(A353, Matches!$A:$A, 0)))</f>
        <v>5</v>
      </c>
      <c r="G353" t="str">
        <f t="shared" si="28"/>
        <v>Win</v>
      </c>
      <c r="H353">
        <v>2</v>
      </c>
      <c r="I353">
        <v>2</v>
      </c>
      <c r="K353" t="str">
        <f t="shared" si="27"/>
        <v>31_A</v>
      </c>
    </row>
    <row r="354" spans="1:11" x14ac:dyDescent="0.35">
      <c r="A354">
        <v>31</v>
      </c>
      <c r="B354" s="6">
        <v>46142</v>
      </c>
      <c r="C354" t="s">
        <v>41</v>
      </c>
      <c r="D354" t="s">
        <v>23</v>
      </c>
      <c r="E354">
        <f>IF(D354="A", INDEX(Matches!$E:$E, MATCH(A354, Matches!$A:$A, 0)), INDEX(Matches!$F:$F, MATCH(A354, Matches!$A:$A, 0)))</f>
        <v>5</v>
      </c>
      <c r="F354">
        <f>IF(D354="A", INDEX(Matches!$F:$F, MATCH(A354, Matches!$A:$A, 0)), INDEX(Matches!$E:$E, MATCH(A354, Matches!$A:$A, 0)))</f>
        <v>10</v>
      </c>
      <c r="G354" t="str">
        <f t="shared" si="28"/>
        <v>Loss</v>
      </c>
      <c r="H354">
        <v>1</v>
      </c>
      <c r="I354">
        <v>2</v>
      </c>
      <c r="K354" t="str">
        <f t="shared" si="27"/>
        <v>31_B</v>
      </c>
    </row>
    <row r="355" spans="1:11" x14ac:dyDescent="0.35">
      <c r="A355">
        <v>31</v>
      </c>
      <c r="B355" s="6">
        <v>46142</v>
      </c>
      <c r="C355" t="s">
        <v>46</v>
      </c>
      <c r="D355" t="s">
        <v>23</v>
      </c>
      <c r="E355">
        <f>IF(D355="A", INDEX(Matches!$E:$E, MATCH(A355, Matches!$A:$A, 0)), INDEX(Matches!$F:$F, MATCH(A355, Matches!$A:$A, 0)))</f>
        <v>5</v>
      </c>
      <c r="F355">
        <f>IF(D355="A", INDEX(Matches!$F:$F, MATCH(A355, Matches!$A:$A, 0)), INDEX(Matches!$E:$E, MATCH(A355, Matches!$A:$A, 0)))</f>
        <v>10</v>
      </c>
      <c r="G355" t="str">
        <f t="shared" si="28"/>
        <v>Loss</v>
      </c>
      <c r="H355">
        <v>3</v>
      </c>
      <c r="K355" t="str">
        <f t="shared" si="27"/>
        <v>31_B</v>
      </c>
    </row>
    <row r="356" spans="1:11" x14ac:dyDescent="0.35">
      <c r="A356">
        <v>31</v>
      </c>
      <c r="B356" s="6">
        <v>46142</v>
      </c>
      <c r="C356" t="s">
        <v>43</v>
      </c>
      <c r="D356" t="s">
        <v>23</v>
      </c>
      <c r="E356">
        <f>IF(D356="A", INDEX(Matches!$E:$E, MATCH(A356, Matches!$A:$A, 0)), INDEX(Matches!$F:$F, MATCH(A356, Matches!$A:$A, 0)))</f>
        <v>5</v>
      </c>
      <c r="F356">
        <f>IF(D356="A", INDEX(Matches!$F:$F, MATCH(A356, Matches!$A:$A, 0)), INDEX(Matches!$E:$E, MATCH(A356, Matches!$A:$A, 0)))</f>
        <v>10</v>
      </c>
      <c r="G356" t="str">
        <f t="shared" si="28"/>
        <v>Loss</v>
      </c>
      <c r="K356" t="str">
        <f t="shared" si="27"/>
        <v>31_B</v>
      </c>
    </row>
    <row r="357" spans="1:11" x14ac:dyDescent="0.35">
      <c r="A357">
        <v>31</v>
      </c>
      <c r="B357" s="6">
        <v>46142</v>
      </c>
      <c r="C357" t="s">
        <v>54</v>
      </c>
      <c r="D357" t="s">
        <v>23</v>
      </c>
      <c r="E357">
        <f>IF(D357="A", INDEX(Matches!$E:$E, MATCH(A357, Matches!$A:$A, 0)), INDEX(Matches!$F:$F, MATCH(A357, Matches!$A:$A, 0)))</f>
        <v>5</v>
      </c>
      <c r="F357">
        <f>IF(D357="A", INDEX(Matches!$F:$F, MATCH(A357, Matches!$A:$A, 0)), INDEX(Matches!$E:$E, MATCH(A357, Matches!$A:$A, 0)))</f>
        <v>10</v>
      </c>
      <c r="G357" t="str">
        <f t="shared" si="28"/>
        <v>Loss</v>
      </c>
      <c r="H357">
        <v>1</v>
      </c>
      <c r="I357">
        <v>2</v>
      </c>
      <c r="K357" t="str">
        <f t="shared" si="27"/>
        <v>31_B</v>
      </c>
    </row>
    <row r="358" spans="1:11" x14ac:dyDescent="0.35">
      <c r="A358">
        <v>31</v>
      </c>
      <c r="B358" s="6">
        <v>46142</v>
      </c>
      <c r="C358" t="s">
        <v>42</v>
      </c>
      <c r="D358" t="s">
        <v>23</v>
      </c>
      <c r="E358">
        <f>IF(D358="A", INDEX(Matches!$E:$E, MATCH(A358, Matches!$A:$A, 0)), INDEX(Matches!$F:$F, MATCH(A358, Matches!$A:$A, 0)))</f>
        <v>5</v>
      </c>
      <c r="F358">
        <f>IF(D358="A", INDEX(Matches!$F:$F, MATCH(A358, Matches!$A:$A, 0)), INDEX(Matches!$E:$E, MATCH(A358, Matches!$A:$A, 0)))</f>
        <v>10</v>
      </c>
      <c r="G358" t="str">
        <f t="shared" si="28"/>
        <v>Loss</v>
      </c>
      <c r="K358" t="str">
        <f t="shared" si="27"/>
        <v>31_B</v>
      </c>
    </row>
    <row r="359" spans="1:11" x14ac:dyDescent="0.35">
      <c r="A359">
        <v>32</v>
      </c>
      <c r="B359" s="6">
        <v>46149</v>
      </c>
      <c r="C359" t="s">
        <v>53</v>
      </c>
      <c r="D359" t="s">
        <v>17</v>
      </c>
      <c r="E359">
        <f>IF(D359="A", INDEX(Matches!$E:$E, MATCH(A359, Matches!$A:$A, 0)), INDEX(Matches!$F:$F, MATCH(A359, Matches!$A:$A, 0)))</f>
        <v>2</v>
      </c>
      <c r="F359">
        <f>IF(D359="A", INDEX(Matches!$F:$F, MATCH(A359, Matches!$A:$A, 0)), INDEX(Matches!$E:$E, MATCH(A359, Matches!$A:$A, 0)))</f>
        <v>4</v>
      </c>
      <c r="G359" t="str">
        <f t="shared" ref="G359:G374" si="29">IF(E359&gt;F359,"Win",IF(E359&lt;F359,"Loss","Draw"))</f>
        <v>Loss</v>
      </c>
      <c r="K359" t="str">
        <f t="shared" si="27"/>
        <v>32_A</v>
      </c>
    </row>
    <row r="360" spans="1:11" x14ac:dyDescent="0.35">
      <c r="A360">
        <v>32</v>
      </c>
      <c r="B360" s="6">
        <v>46149</v>
      </c>
      <c r="C360" t="s">
        <v>66</v>
      </c>
      <c r="D360" t="s">
        <v>17</v>
      </c>
      <c r="E360">
        <f>IF(D360="A", INDEX(Matches!$E:$E, MATCH(A360, Matches!$A:$A, 0)), INDEX(Matches!$F:$F, MATCH(A360, Matches!$A:$A, 0)))</f>
        <v>2</v>
      </c>
      <c r="F360">
        <f>IF(D360="A", INDEX(Matches!$F:$F, MATCH(A360, Matches!$A:$A, 0)), INDEX(Matches!$E:$E, MATCH(A360, Matches!$A:$A, 0)))</f>
        <v>4</v>
      </c>
      <c r="G360" t="str">
        <f t="shared" si="29"/>
        <v>Loss</v>
      </c>
      <c r="H360">
        <v>1</v>
      </c>
      <c r="K360" t="str">
        <f t="shared" si="27"/>
        <v>32_A</v>
      </c>
    </row>
    <row r="361" spans="1:11" x14ac:dyDescent="0.35">
      <c r="A361">
        <v>32</v>
      </c>
      <c r="B361" s="6">
        <v>46149</v>
      </c>
      <c r="C361" t="s">
        <v>46</v>
      </c>
      <c r="D361" t="s">
        <v>17</v>
      </c>
      <c r="E361">
        <f>IF(D361="A", INDEX(Matches!$E:$E, MATCH(A361, Matches!$A:$A, 0)), INDEX(Matches!$F:$F, MATCH(A361, Matches!$A:$A, 0)))</f>
        <v>2</v>
      </c>
      <c r="F361">
        <f>IF(D361="A", INDEX(Matches!$F:$F, MATCH(A361, Matches!$A:$A, 0)), INDEX(Matches!$E:$E, MATCH(A361, Matches!$A:$A, 0)))</f>
        <v>4</v>
      </c>
      <c r="G361" t="str">
        <f t="shared" si="29"/>
        <v>Loss</v>
      </c>
      <c r="H361">
        <v>1</v>
      </c>
      <c r="K361" t="str">
        <f t="shared" si="27"/>
        <v>32_A</v>
      </c>
    </row>
    <row r="362" spans="1:11" x14ac:dyDescent="0.35">
      <c r="A362">
        <v>32</v>
      </c>
      <c r="B362" s="6">
        <v>46149</v>
      </c>
      <c r="C362" t="s">
        <v>42</v>
      </c>
      <c r="D362" t="s">
        <v>17</v>
      </c>
      <c r="E362">
        <f>IF(D362="A", INDEX(Matches!$E:$E, MATCH(A362, Matches!$A:$A, 0)), INDEX(Matches!$F:$F, MATCH(A362, Matches!$A:$A, 0)))</f>
        <v>2</v>
      </c>
      <c r="F362">
        <f>IF(D362="A", INDEX(Matches!$F:$F, MATCH(A362, Matches!$A:$A, 0)), INDEX(Matches!$E:$E, MATCH(A362, Matches!$A:$A, 0)))</f>
        <v>4</v>
      </c>
      <c r="G362" t="str">
        <f t="shared" si="29"/>
        <v>Loss</v>
      </c>
      <c r="I362">
        <v>1</v>
      </c>
      <c r="K362" t="str">
        <f t="shared" si="27"/>
        <v>32_A</v>
      </c>
    </row>
    <row r="363" spans="1:11" x14ac:dyDescent="0.35">
      <c r="A363">
        <v>32</v>
      </c>
      <c r="B363" s="6">
        <v>46149</v>
      </c>
      <c r="C363" t="s">
        <v>49</v>
      </c>
      <c r="D363" t="s">
        <v>17</v>
      </c>
      <c r="E363">
        <f>IF(D363="A", INDEX(Matches!$E:$E, MATCH(A363, Matches!$A:$A, 0)), INDEX(Matches!$F:$F, MATCH(A363, Matches!$A:$A, 0)))</f>
        <v>2</v>
      </c>
      <c r="F363">
        <f>IF(D363="A", INDEX(Matches!$F:$F, MATCH(A363, Matches!$A:$A, 0)), INDEX(Matches!$E:$E, MATCH(A363, Matches!$A:$A, 0)))</f>
        <v>4</v>
      </c>
      <c r="G363" t="str">
        <f t="shared" si="29"/>
        <v>Loss</v>
      </c>
      <c r="K363" t="str">
        <f t="shared" si="27"/>
        <v>32_A</v>
      </c>
    </row>
    <row r="364" spans="1:11" x14ac:dyDescent="0.35">
      <c r="A364">
        <v>32</v>
      </c>
      <c r="B364" s="6">
        <v>46149</v>
      </c>
      <c r="C364" t="s">
        <v>54</v>
      </c>
      <c r="D364" t="s">
        <v>17</v>
      </c>
      <c r="E364">
        <f>IF(D364="A", INDEX(Matches!$E:$E, MATCH(A364, Matches!$A:$A, 0)), INDEX(Matches!$F:$F, MATCH(A364, Matches!$A:$A, 0)))</f>
        <v>2</v>
      </c>
      <c r="F364">
        <f>IF(D364="A", INDEX(Matches!$F:$F, MATCH(A364, Matches!$A:$A, 0)), INDEX(Matches!$E:$E, MATCH(A364, Matches!$A:$A, 0)))</f>
        <v>4</v>
      </c>
      <c r="G364" t="str">
        <f t="shared" si="29"/>
        <v>Loss</v>
      </c>
      <c r="K364" t="str">
        <f t="shared" si="27"/>
        <v>32_A</v>
      </c>
    </row>
    <row r="365" spans="1:11" x14ac:dyDescent="0.35">
      <c r="A365">
        <v>32</v>
      </c>
      <c r="B365" s="6">
        <v>46149</v>
      </c>
      <c r="C365" t="s">
        <v>88</v>
      </c>
      <c r="D365" t="s">
        <v>17</v>
      </c>
      <c r="E365">
        <f>IF(D365="A", INDEX(Matches!$E:$E, MATCH(A365, Matches!$A:$A, 0)), INDEX(Matches!$F:$F, MATCH(A365, Matches!$A:$A, 0)))</f>
        <v>2</v>
      </c>
      <c r="F365">
        <f>IF(D365="A", INDEX(Matches!$F:$F, MATCH(A365, Matches!$A:$A, 0)), INDEX(Matches!$E:$E, MATCH(A365, Matches!$A:$A, 0)))</f>
        <v>4</v>
      </c>
      <c r="G365" t="str">
        <f t="shared" si="29"/>
        <v>Loss</v>
      </c>
      <c r="K365" t="str">
        <f t="shared" si="27"/>
        <v>32_A</v>
      </c>
    </row>
    <row r="366" spans="1:11" x14ac:dyDescent="0.35">
      <c r="A366">
        <v>32</v>
      </c>
      <c r="B366" s="6">
        <v>46149</v>
      </c>
      <c r="C366" t="s">
        <v>21</v>
      </c>
      <c r="D366" t="s">
        <v>17</v>
      </c>
      <c r="E366">
        <f>IF(D366="A", INDEX(Matches!$E:$E, MATCH(A366, Matches!$A:$A, 0)), INDEX(Matches!$F:$F, MATCH(A366, Matches!$A:$A, 0)))</f>
        <v>2</v>
      </c>
      <c r="F366">
        <f>IF(D366="A", INDEX(Matches!$F:$F, MATCH(A366, Matches!$A:$A, 0)), INDEX(Matches!$E:$E, MATCH(A366, Matches!$A:$A, 0)))</f>
        <v>4</v>
      </c>
      <c r="G366" t="str">
        <f t="shared" si="29"/>
        <v>Loss</v>
      </c>
      <c r="I366">
        <v>1</v>
      </c>
      <c r="K366" t="str">
        <f t="shared" si="27"/>
        <v>32_A</v>
      </c>
    </row>
    <row r="367" spans="1:11" x14ac:dyDescent="0.35">
      <c r="A367">
        <v>32</v>
      </c>
      <c r="B367" s="6">
        <v>46149</v>
      </c>
      <c r="C367" t="s">
        <v>16</v>
      </c>
      <c r="D367" t="s">
        <v>23</v>
      </c>
      <c r="E367">
        <f>IF(D367="A", INDEX(Matches!$E:$E, MATCH(A367, Matches!$A:$A, 0)), INDEX(Matches!$F:$F, MATCH(A367, Matches!$A:$A, 0)))</f>
        <v>4</v>
      </c>
      <c r="F367">
        <f>IF(D367="A", INDEX(Matches!$F:$F, MATCH(A367, Matches!$A:$A, 0)), INDEX(Matches!$E:$E, MATCH(A367, Matches!$A:$A, 0)))</f>
        <v>2</v>
      </c>
      <c r="G367" t="str">
        <f t="shared" si="29"/>
        <v>Win</v>
      </c>
      <c r="K367" t="str">
        <f t="shared" si="27"/>
        <v>32_B</v>
      </c>
    </row>
    <row r="368" spans="1:11" x14ac:dyDescent="0.35">
      <c r="A368">
        <v>32</v>
      </c>
      <c r="B368" s="6">
        <v>46149</v>
      </c>
      <c r="C368" t="s">
        <v>20</v>
      </c>
      <c r="D368" t="s">
        <v>23</v>
      </c>
      <c r="E368">
        <f>IF(D368="A", INDEX(Matches!$E:$E, MATCH(A368, Matches!$A:$A, 0)), INDEX(Matches!$F:$F, MATCH(A368, Matches!$A:$A, 0)))</f>
        <v>4</v>
      </c>
      <c r="F368">
        <f>IF(D368="A", INDEX(Matches!$F:$F, MATCH(A368, Matches!$A:$A, 0)), INDEX(Matches!$E:$E, MATCH(A368, Matches!$A:$A, 0)))</f>
        <v>2</v>
      </c>
      <c r="G368" t="str">
        <f t="shared" si="29"/>
        <v>Win</v>
      </c>
      <c r="K368" t="str">
        <f t="shared" si="27"/>
        <v>32_B</v>
      </c>
    </row>
    <row r="369" spans="1:11" x14ac:dyDescent="0.35">
      <c r="A369">
        <v>32</v>
      </c>
      <c r="B369" s="6">
        <v>46149</v>
      </c>
      <c r="C369" t="s">
        <v>41</v>
      </c>
      <c r="D369" t="s">
        <v>23</v>
      </c>
      <c r="E369">
        <f>IF(D369="A", INDEX(Matches!$E:$E, MATCH(A369, Matches!$A:$A, 0)), INDEX(Matches!$F:$F, MATCH(A369, Matches!$A:$A, 0)))</f>
        <v>4</v>
      </c>
      <c r="F369">
        <f>IF(D369="A", INDEX(Matches!$F:$F, MATCH(A369, Matches!$A:$A, 0)), INDEX(Matches!$E:$E, MATCH(A369, Matches!$A:$A, 0)))</f>
        <v>2</v>
      </c>
      <c r="G369" t="str">
        <f t="shared" si="29"/>
        <v>Win</v>
      </c>
      <c r="K369" t="str">
        <f t="shared" si="27"/>
        <v>32_B</v>
      </c>
    </row>
    <row r="370" spans="1:11" x14ac:dyDescent="0.35">
      <c r="A370">
        <v>32</v>
      </c>
      <c r="B370" s="6">
        <v>46149</v>
      </c>
      <c r="C370" t="s">
        <v>22</v>
      </c>
      <c r="D370" t="s">
        <v>23</v>
      </c>
      <c r="E370">
        <f>IF(D370="A", INDEX(Matches!$E:$E, MATCH(A370, Matches!$A:$A, 0)), INDEX(Matches!$F:$F, MATCH(A370, Matches!$A:$A, 0)))</f>
        <v>4</v>
      </c>
      <c r="F370">
        <f>IF(D370="A", INDEX(Matches!$F:$F, MATCH(A370, Matches!$A:$A, 0)), INDEX(Matches!$E:$E, MATCH(A370, Matches!$A:$A, 0)))</f>
        <v>2</v>
      </c>
      <c r="G370" t="str">
        <f t="shared" si="29"/>
        <v>Win</v>
      </c>
      <c r="K370" t="str">
        <f t="shared" si="27"/>
        <v>32_B</v>
      </c>
    </row>
    <row r="371" spans="1:11" x14ac:dyDescent="0.35">
      <c r="A371">
        <v>32</v>
      </c>
      <c r="B371" s="6">
        <v>46149</v>
      </c>
      <c r="C371" t="s">
        <v>43</v>
      </c>
      <c r="D371" t="s">
        <v>23</v>
      </c>
      <c r="E371">
        <f>IF(D371="A", INDEX(Matches!$E:$E, MATCH(A371, Matches!$A:$A, 0)), INDEX(Matches!$F:$F, MATCH(A371, Matches!$A:$A, 0)))</f>
        <v>4</v>
      </c>
      <c r="F371">
        <f>IF(D371="A", INDEX(Matches!$F:$F, MATCH(A371, Matches!$A:$A, 0)), INDEX(Matches!$E:$E, MATCH(A371, Matches!$A:$A, 0)))</f>
        <v>2</v>
      </c>
      <c r="G371" t="str">
        <f t="shared" si="29"/>
        <v>Win</v>
      </c>
      <c r="K371" t="str">
        <f t="shared" si="27"/>
        <v>32_B</v>
      </c>
    </row>
    <row r="372" spans="1:11" x14ac:dyDescent="0.35">
      <c r="A372">
        <v>32</v>
      </c>
      <c r="B372" s="6">
        <v>46149</v>
      </c>
      <c r="C372" t="s">
        <v>89</v>
      </c>
      <c r="D372" t="s">
        <v>23</v>
      </c>
      <c r="E372">
        <f>IF(D372="A", INDEX(Matches!$E:$E, MATCH(A372, Matches!$A:$A, 0)), INDEX(Matches!$F:$F, MATCH(A372, Matches!$A:$A, 0)))</f>
        <v>4</v>
      </c>
      <c r="F372">
        <f>IF(D372="A", INDEX(Matches!$F:$F, MATCH(A372, Matches!$A:$A, 0)), INDEX(Matches!$E:$E, MATCH(A372, Matches!$A:$A, 0)))</f>
        <v>2</v>
      </c>
      <c r="G372" t="str">
        <f t="shared" si="29"/>
        <v>Win</v>
      </c>
      <c r="H372">
        <v>3</v>
      </c>
      <c r="I372">
        <v>1</v>
      </c>
      <c r="K372" t="str">
        <f t="shared" si="27"/>
        <v>32_B</v>
      </c>
    </row>
    <row r="373" spans="1:11" x14ac:dyDescent="0.35">
      <c r="A373">
        <v>32</v>
      </c>
      <c r="B373" s="6">
        <v>46149</v>
      </c>
      <c r="C373" t="s">
        <v>75</v>
      </c>
      <c r="D373" t="s">
        <v>23</v>
      </c>
      <c r="E373">
        <f>IF(D373="A", INDEX(Matches!$E:$E, MATCH(A373, Matches!$A:$A, 0)), INDEX(Matches!$F:$F, MATCH(A373, Matches!$A:$A, 0)))</f>
        <v>4</v>
      </c>
      <c r="F373">
        <f>IF(D373="A", INDEX(Matches!$F:$F, MATCH(A373, Matches!$A:$A, 0)), INDEX(Matches!$E:$E, MATCH(A373, Matches!$A:$A, 0)))</f>
        <v>2</v>
      </c>
      <c r="G373" t="str">
        <f t="shared" si="29"/>
        <v>Win</v>
      </c>
      <c r="H373">
        <v>1</v>
      </c>
      <c r="I373">
        <v>3</v>
      </c>
      <c r="K373" t="str">
        <f t="shared" si="27"/>
        <v>32_B</v>
      </c>
    </row>
    <row r="374" spans="1:11" x14ac:dyDescent="0.35">
      <c r="A374">
        <v>32</v>
      </c>
      <c r="B374" s="6">
        <v>46149</v>
      </c>
      <c r="C374" t="s">
        <v>99</v>
      </c>
      <c r="D374" t="s">
        <v>23</v>
      </c>
      <c r="E374">
        <f>IF(D374="A", INDEX(Matches!$E:$E, MATCH(A374, Matches!$A:$A, 0)), INDEX(Matches!$F:$F, MATCH(A374, Matches!$A:$A, 0)))</f>
        <v>4</v>
      </c>
      <c r="F374">
        <f>IF(D374="A", INDEX(Matches!$F:$F, MATCH(A374, Matches!$A:$A, 0)), INDEX(Matches!$E:$E, MATCH(A374, Matches!$A:$A, 0)))</f>
        <v>2</v>
      </c>
      <c r="G374" t="str">
        <f t="shared" si="29"/>
        <v>Win</v>
      </c>
      <c r="K374" t="str">
        <f t="shared" si="27"/>
        <v>32_B</v>
      </c>
    </row>
    <row r="375" spans="1:11" x14ac:dyDescent="0.35">
      <c r="A375">
        <v>33</v>
      </c>
      <c r="B375" s="6">
        <v>46156</v>
      </c>
      <c r="C375" t="s">
        <v>53</v>
      </c>
      <c r="D375" t="s">
        <v>17</v>
      </c>
      <c r="E375">
        <f>IF(D375="A", INDEX(Matches!$E:$E, MATCH(A375, Matches!$A:$A, 0)), INDEX(Matches!$F:$F, MATCH(A375, Matches!$A:$A, 0)))</f>
        <v>6</v>
      </c>
      <c r="F375">
        <f>IF(D375="A", INDEX(Matches!$F:$F, MATCH(A375, Matches!$A:$A, 0)), INDEX(Matches!$E:$E, MATCH(A375, Matches!$A:$A, 0)))</f>
        <v>4</v>
      </c>
      <c r="G375" t="str">
        <f t="shared" ref="G375:G402" si="30">IF(E375&gt;F375,"Win",IF(E375&lt;F375,"Loss","Draw"))</f>
        <v>Win</v>
      </c>
      <c r="H375">
        <v>1</v>
      </c>
      <c r="K375" t="str">
        <f t="shared" si="27"/>
        <v>33_A</v>
      </c>
    </row>
    <row r="376" spans="1:11" x14ac:dyDescent="0.35">
      <c r="A376">
        <v>33</v>
      </c>
      <c r="B376" s="6">
        <v>46156</v>
      </c>
      <c r="C376" t="s">
        <v>49</v>
      </c>
      <c r="D376" t="s">
        <v>17</v>
      </c>
      <c r="E376">
        <f>IF(D376="A", INDEX(Matches!$E:$E, MATCH(A376, Matches!$A:$A, 0)), INDEX(Matches!$F:$F, MATCH(A376, Matches!$A:$A, 0)))</f>
        <v>6</v>
      </c>
      <c r="F376">
        <f>IF(D376="A", INDEX(Matches!$F:$F, MATCH(A376, Matches!$A:$A, 0)), INDEX(Matches!$E:$E, MATCH(A376, Matches!$A:$A, 0)))</f>
        <v>4</v>
      </c>
      <c r="G376" t="str">
        <f t="shared" si="30"/>
        <v>Win</v>
      </c>
      <c r="K376" t="str">
        <f t="shared" si="27"/>
        <v>33_A</v>
      </c>
    </row>
    <row r="377" spans="1:11" x14ac:dyDescent="0.35">
      <c r="A377">
        <v>33</v>
      </c>
      <c r="B377" s="6">
        <v>46156</v>
      </c>
      <c r="C377" t="s">
        <v>75</v>
      </c>
      <c r="D377" t="s">
        <v>17</v>
      </c>
      <c r="E377">
        <f>IF(D377="A", INDEX(Matches!$E:$E, MATCH(A377, Matches!$A:$A, 0)), INDEX(Matches!$F:$F, MATCH(A377, Matches!$A:$A, 0)))</f>
        <v>6</v>
      </c>
      <c r="F377">
        <f>IF(D377="A", INDEX(Matches!$F:$F, MATCH(A377, Matches!$A:$A, 0)), INDEX(Matches!$E:$E, MATCH(A377, Matches!$A:$A, 0)))</f>
        <v>4</v>
      </c>
      <c r="G377" t="str">
        <f t="shared" si="30"/>
        <v>Win</v>
      </c>
      <c r="H377">
        <v>1</v>
      </c>
      <c r="K377" t="str">
        <f t="shared" si="27"/>
        <v>33_A</v>
      </c>
    </row>
    <row r="378" spans="1:11" x14ac:dyDescent="0.35">
      <c r="A378">
        <v>33</v>
      </c>
      <c r="B378" s="6">
        <v>46156</v>
      </c>
      <c r="C378" t="s">
        <v>88</v>
      </c>
      <c r="D378" t="s">
        <v>17</v>
      </c>
      <c r="E378">
        <f>IF(D378="A", INDEX(Matches!$E:$E, MATCH(A378, Matches!$A:$A, 0)), INDEX(Matches!$F:$F, MATCH(A378, Matches!$A:$A, 0)))</f>
        <v>6</v>
      </c>
      <c r="F378">
        <f>IF(D378="A", INDEX(Matches!$F:$F, MATCH(A378, Matches!$A:$A, 0)), INDEX(Matches!$E:$E, MATCH(A378, Matches!$A:$A, 0)))</f>
        <v>4</v>
      </c>
      <c r="G378" t="str">
        <f t="shared" si="30"/>
        <v>Win</v>
      </c>
      <c r="H378">
        <v>1</v>
      </c>
      <c r="K378" t="str">
        <f t="shared" si="27"/>
        <v>33_A</v>
      </c>
    </row>
    <row r="379" spans="1:11" x14ac:dyDescent="0.35">
      <c r="A379">
        <v>33</v>
      </c>
      <c r="B379" s="6">
        <v>46156</v>
      </c>
      <c r="C379" t="s">
        <v>66</v>
      </c>
      <c r="D379" t="s">
        <v>17</v>
      </c>
      <c r="E379">
        <f>IF(D379="A", INDEX(Matches!$E:$E, MATCH(A379, Matches!$A:$A, 0)), INDEX(Matches!$F:$F, MATCH(A379, Matches!$A:$A, 0)))</f>
        <v>6</v>
      </c>
      <c r="F379">
        <f>IF(D379="A", INDEX(Matches!$F:$F, MATCH(A379, Matches!$A:$A, 0)), INDEX(Matches!$E:$E, MATCH(A379, Matches!$A:$A, 0)))</f>
        <v>4</v>
      </c>
      <c r="G379" t="str">
        <f t="shared" si="30"/>
        <v>Win</v>
      </c>
      <c r="H379">
        <v>1</v>
      </c>
      <c r="K379" t="str">
        <f t="shared" si="27"/>
        <v>33_A</v>
      </c>
    </row>
    <row r="380" spans="1:11" x14ac:dyDescent="0.35">
      <c r="A380">
        <v>33</v>
      </c>
      <c r="B380" s="6">
        <v>46156</v>
      </c>
      <c r="C380" t="s">
        <v>43</v>
      </c>
      <c r="D380" t="s">
        <v>17</v>
      </c>
      <c r="E380">
        <f>IF(D380="A", INDEX(Matches!$E:$E, MATCH(A380, Matches!$A:$A, 0)), INDEX(Matches!$F:$F, MATCH(A380, Matches!$A:$A, 0)))</f>
        <v>6</v>
      </c>
      <c r="F380">
        <f>IF(D380="A", INDEX(Matches!$F:$F, MATCH(A380, Matches!$A:$A, 0)), INDEX(Matches!$E:$E, MATCH(A380, Matches!$A:$A, 0)))</f>
        <v>4</v>
      </c>
      <c r="G380" t="str">
        <f t="shared" si="30"/>
        <v>Win</v>
      </c>
      <c r="H380">
        <v>1</v>
      </c>
      <c r="K380" t="str">
        <f t="shared" si="27"/>
        <v>33_A</v>
      </c>
    </row>
    <row r="381" spans="1:11" x14ac:dyDescent="0.35">
      <c r="A381">
        <v>33</v>
      </c>
      <c r="B381" s="6">
        <v>46156</v>
      </c>
      <c r="C381" t="s">
        <v>98</v>
      </c>
      <c r="D381" t="s">
        <v>17</v>
      </c>
      <c r="E381">
        <f>IF(D381="A", INDEX(Matches!$E:$E, MATCH(A381, Matches!$A:$A, 0)), INDEX(Matches!$F:$F, MATCH(A381, Matches!$A:$A, 0)))</f>
        <v>6</v>
      </c>
      <c r="F381">
        <f>IF(D381="A", INDEX(Matches!$F:$F, MATCH(A381, Matches!$A:$A, 0)), INDEX(Matches!$E:$E, MATCH(A381, Matches!$A:$A, 0)))</f>
        <v>4</v>
      </c>
      <c r="G381" t="str">
        <f t="shared" si="30"/>
        <v>Win</v>
      </c>
      <c r="H381">
        <v>1</v>
      </c>
      <c r="I381">
        <v>2</v>
      </c>
      <c r="K381" t="str">
        <f t="shared" si="27"/>
        <v>33_A</v>
      </c>
    </row>
    <row r="382" spans="1:11" x14ac:dyDescent="0.35">
      <c r="A382">
        <v>33</v>
      </c>
      <c r="B382" s="6">
        <v>46156</v>
      </c>
      <c r="C382" t="s">
        <v>25</v>
      </c>
      <c r="D382" t="s">
        <v>17</v>
      </c>
      <c r="E382">
        <f>IF(D382="A", INDEX(Matches!$E:$E, MATCH(A382, Matches!$A:$A, 0)), INDEX(Matches!$F:$F, MATCH(A382, Matches!$A:$A, 0)))</f>
        <v>6</v>
      </c>
      <c r="F382">
        <f>IF(D382="A", INDEX(Matches!$F:$F, MATCH(A382, Matches!$A:$A, 0)), INDEX(Matches!$E:$E, MATCH(A382, Matches!$A:$A, 0)))</f>
        <v>4</v>
      </c>
      <c r="G382" t="str">
        <f t="shared" si="30"/>
        <v>Win</v>
      </c>
      <c r="K382" t="str">
        <f t="shared" si="27"/>
        <v>33_A</v>
      </c>
    </row>
    <row r="383" spans="1:11" x14ac:dyDescent="0.35">
      <c r="A383">
        <v>33</v>
      </c>
      <c r="B383" s="6">
        <v>46156</v>
      </c>
      <c r="C383" t="s">
        <v>20</v>
      </c>
      <c r="D383" t="s">
        <v>23</v>
      </c>
      <c r="E383">
        <f>IF(D383="A", INDEX(Matches!$E:$E, MATCH(A383, Matches!$A:$A, 0)), INDEX(Matches!$F:$F, MATCH(A383, Matches!$A:$A, 0)))</f>
        <v>4</v>
      </c>
      <c r="F383">
        <f>IF(D383="A", INDEX(Matches!$F:$F, MATCH(A383, Matches!$A:$A, 0)), INDEX(Matches!$E:$E, MATCH(A383, Matches!$A:$A, 0)))</f>
        <v>6</v>
      </c>
      <c r="G383" t="str">
        <f t="shared" si="30"/>
        <v>Loss</v>
      </c>
      <c r="K383" t="str">
        <f t="shared" si="27"/>
        <v>33_B</v>
      </c>
    </row>
    <row r="384" spans="1:11" x14ac:dyDescent="0.35">
      <c r="A384">
        <v>33</v>
      </c>
      <c r="B384" s="6">
        <v>46156</v>
      </c>
      <c r="C384" t="s">
        <v>42</v>
      </c>
      <c r="D384" t="s">
        <v>23</v>
      </c>
      <c r="E384">
        <f>IF(D384="A", INDEX(Matches!$E:$E, MATCH(A384, Matches!$A:$A, 0)), INDEX(Matches!$F:$F, MATCH(A384, Matches!$A:$A, 0)))</f>
        <v>4</v>
      </c>
      <c r="F384">
        <f>IF(D384="A", INDEX(Matches!$F:$F, MATCH(A384, Matches!$A:$A, 0)), INDEX(Matches!$E:$E, MATCH(A384, Matches!$A:$A, 0)))</f>
        <v>6</v>
      </c>
      <c r="G384" t="str">
        <f t="shared" si="30"/>
        <v>Loss</v>
      </c>
      <c r="K384" t="str">
        <f t="shared" si="27"/>
        <v>33_B</v>
      </c>
    </row>
    <row r="385" spans="1:11" x14ac:dyDescent="0.35">
      <c r="A385">
        <v>33</v>
      </c>
      <c r="B385" s="6">
        <v>46156</v>
      </c>
      <c r="C385" t="s">
        <v>21</v>
      </c>
      <c r="D385" t="s">
        <v>23</v>
      </c>
      <c r="E385">
        <f>IF(D385="A", INDEX(Matches!$E:$E, MATCH(A385, Matches!$A:$A, 0)), INDEX(Matches!$F:$F, MATCH(A385, Matches!$A:$A, 0)))</f>
        <v>4</v>
      </c>
      <c r="F385">
        <f>IF(D385="A", INDEX(Matches!$F:$F, MATCH(A385, Matches!$A:$A, 0)), INDEX(Matches!$E:$E, MATCH(A385, Matches!$A:$A, 0)))</f>
        <v>6</v>
      </c>
      <c r="G385" t="str">
        <f t="shared" si="30"/>
        <v>Loss</v>
      </c>
      <c r="K385" t="str">
        <f t="shared" si="27"/>
        <v>33_B</v>
      </c>
    </row>
    <row r="386" spans="1:11" x14ac:dyDescent="0.35">
      <c r="A386">
        <v>33</v>
      </c>
      <c r="B386" s="6">
        <v>46156</v>
      </c>
      <c r="C386" t="s">
        <v>99</v>
      </c>
      <c r="D386" t="s">
        <v>23</v>
      </c>
      <c r="E386">
        <f>IF(D386="A", INDEX(Matches!$E:$E, MATCH(A386, Matches!$A:$A, 0)), INDEX(Matches!$F:$F, MATCH(A386, Matches!$A:$A, 0)))</f>
        <v>4</v>
      </c>
      <c r="F386">
        <f>IF(D386="A", INDEX(Matches!$F:$F, MATCH(A386, Matches!$A:$A, 0)), INDEX(Matches!$E:$E, MATCH(A386, Matches!$A:$A, 0)))</f>
        <v>6</v>
      </c>
      <c r="G386" t="str">
        <f t="shared" si="30"/>
        <v>Loss</v>
      </c>
      <c r="K386" t="str">
        <f t="shared" si="27"/>
        <v>33_B</v>
      </c>
    </row>
    <row r="387" spans="1:11" x14ac:dyDescent="0.35">
      <c r="A387">
        <v>33</v>
      </c>
      <c r="B387" s="6">
        <v>46156</v>
      </c>
      <c r="C387" t="s">
        <v>89</v>
      </c>
      <c r="D387" t="s">
        <v>23</v>
      </c>
      <c r="E387">
        <f>IF(D387="A", INDEX(Matches!$E:$E, MATCH(A387, Matches!$A:$A, 0)), INDEX(Matches!$F:$F, MATCH(A387, Matches!$A:$A, 0)))</f>
        <v>4</v>
      </c>
      <c r="F387">
        <f>IF(D387="A", INDEX(Matches!$F:$F, MATCH(A387, Matches!$A:$A, 0)), INDEX(Matches!$E:$E, MATCH(A387, Matches!$A:$A, 0)))</f>
        <v>6</v>
      </c>
      <c r="G387" t="str">
        <f t="shared" si="30"/>
        <v>Loss</v>
      </c>
      <c r="H387">
        <v>3</v>
      </c>
      <c r="K387" t="str">
        <f t="shared" si="27"/>
        <v>33_B</v>
      </c>
    </row>
    <row r="388" spans="1:11" x14ac:dyDescent="0.35">
      <c r="A388">
        <v>33</v>
      </c>
      <c r="B388" s="6">
        <v>46156</v>
      </c>
      <c r="C388" t="s">
        <v>19</v>
      </c>
      <c r="D388" t="s">
        <v>23</v>
      </c>
      <c r="E388">
        <f>IF(D388="A", INDEX(Matches!$E:$E, MATCH(A388, Matches!$A:$A, 0)), INDEX(Matches!$F:$F, MATCH(A388, Matches!$A:$A, 0)))</f>
        <v>4</v>
      </c>
      <c r="F388">
        <f>IF(D388="A", INDEX(Matches!$F:$F, MATCH(A388, Matches!$A:$A, 0)), INDEX(Matches!$E:$E, MATCH(A388, Matches!$A:$A, 0)))</f>
        <v>6</v>
      </c>
      <c r="G388" t="str">
        <f t="shared" si="30"/>
        <v>Loss</v>
      </c>
      <c r="H388">
        <v>1</v>
      </c>
      <c r="I388">
        <v>1</v>
      </c>
      <c r="K388" t="str">
        <f t="shared" si="27"/>
        <v>33_B</v>
      </c>
    </row>
    <row r="389" spans="1:11" x14ac:dyDescent="0.35">
      <c r="A389">
        <v>33</v>
      </c>
      <c r="B389" s="6">
        <v>46156</v>
      </c>
      <c r="C389" t="s">
        <v>40</v>
      </c>
      <c r="D389" t="s">
        <v>23</v>
      </c>
      <c r="E389">
        <f>IF(D389="A", INDEX(Matches!$E:$E, MATCH(A389, Matches!$A:$A, 0)), INDEX(Matches!$F:$F, MATCH(A389, Matches!$A:$A, 0)))</f>
        <v>4</v>
      </c>
      <c r="F389">
        <f>IF(D389="A", INDEX(Matches!$F:$F, MATCH(A389, Matches!$A:$A, 0)), INDEX(Matches!$E:$E, MATCH(A389, Matches!$A:$A, 0)))</f>
        <v>6</v>
      </c>
      <c r="G389" t="str">
        <f t="shared" si="30"/>
        <v>Loss</v>
      </c>
      <c r="K389" t="str">
        <f t="shared" si="27"/>
        <v>33_B</v>
      </c>
    </row>
    <row r="390" spans="1:11" x14ac:dyDescent="0.35">
      <c r="A390">
        <v>33</v>
      </c>
      <c r="B390" s="6">
        <v>46156</v>
      </c>
      <c r="C390" t="s">
        <v>48</v>
      </c>
      <c r="D390" t="s">
        <v>23</v>
      </c>
      <c r="E390">
        <f>IF(D390="A", INDEX(Matches!$E:$E, MATCH(A390, Matches!$A:$A, 0)), INDEX(Matches!$F:$F, MATCH(A390, Matches!$A:$A, 0)))</f>
        <v>4</v>
      </c>
      <c r="F390">
        <f>IF(D390="A", INDEX(Matches!$F:$F, MATCH(A390, Matches!$A:$A, 0)), INDEX(Matches!$E:$E, MATCH(A390, Matches!$A:$A, 0)))</f>
        <v>6</v>
      </c>
      <c r="G390" t="str">
        <f t="shared" si="30"/>
        <v>Loss</v>
      </c>
      <c r="I390">
        <v>2</v>
      </c>
      <c r="K390" t="str">
        <f t="shared" si="27"/>
        <v>33_B</v>
      </c>
    </row>
    <row r="391" spans="1:11" x14ac:dyDescent="0.35">
      <c r="A391">
        <v>34</v>
      </c>
      <c r="B391" s="6">
        <v>46163</v>
      </c>
      <c r="C391" t="s">
        <v>48</v>
      </c>
      <c r="D391" t="s">
        <v>17</v>
      </c>
      <c r="E391">
        <f>IF(D391="A", INDEX(Matches!$E:$E, MATCH(A391, Matches!$A:$A, 0)), INDEX(Matches!$F:$F, MATCH(A391, Matches!$A:$A, 0)))</f>
        <v>17</v>
      </c>
      <c r="F391">
        <f>IF(D391="A", INDEX(Matches!$F:$F, MATCH(A391, Matches!$A:$A, 0)), INDEX(Matches!$E:$E, MATCH(A391, Matches!$A:$A, 0)))</f>
        <v>8</v>
      </c>
      <c r="G391" t="str">
        <f t="shared" si="30"/>
        <v>Win</v>
      </c>
      <c r="H391">
        <v>1</v>
      </c>
      <c r="I391">
        <v>1</v>
      </c>
      <c r="K391" t="str">
        <f t="shared" si="27"/>
        <v>34_A</v>
      </c>
    </row>
    <row r="392" spans="1:11" x14ac:dyDescent="0.35">
      <c r="A392">
        <v>34</v>
      </c>
      <c r="B392" s="6">
        <v>46163</v>
      </c>
      <c r="C392" t="s">
        <v>98</v>
      </c>
      <c r="D392" t="s">
        <v>17</v>
      </c>
      <c r="E392">
        <f>IF(D392="A", INDEX(Matches!$E:$E, MATCH(A392, Matches!$A:$A, 0)), INDEX(Matches!$F:$F, MATCH(A392, Matches!$A:$A, 0)))</f>
        <v>17</v>
      </c>
      <c r="F392">
        <f>IF(D392="A", INDEX(Matches!$F:$F, MATCH(A392, Matches!$A:$A, 0)), INDEX(Matches!$E:$E, MATCH(A392, Matches!$A:$A, 0)))</f>
        <v>8</v>
      </c>
      <c r="G392" t="str">
        <f t="shared" si="30"/>
        <v>Win</v>
      </c>
      <c r="H392">
        <v>6</v>
      </c>
      <c r="I392">
        <v>4</v>
      </c>
      <c r="K392" t="str">
        <f t="shared" si="27"/>
        <v>34_A</v>
      </c>
    </row>
    <row r="393" spans="1:11" x14ac:dyDescent="0.35">
      <c r="A393">
        <v>34</v>
      </c>
      <c r="B393" s="6">
        <v>46163</v>
      </c>
      <c r="C393" t="s">
        <v>22</v>
      </c>
      <c r="D393" t="s">
        <v>17</v>
      </c>
      <c r="E393">
        <f>IF(D393="A", INDEX(Matches!$E:$E, MATCH(A393, Matches!$A:$A, 0)), INDEX(Matches!$F:$F, MATCH(A393, Matches!$A:$A, 0)))</f>
        <v>17</v>
      </c>
      <c r="F393">
        <f>IF(D393="A", INDEX(Matches!$F:$F, MATCH(A393, Matches!$A:$A, 0)), INDEX(Matches!$E:$E, MATCH(A393, Matches!$A:$A, 0)))</f>
        <v>8</v>
      </c>
      <c r="G393" t="str">
        <f t="shared" si="30"/>
        <v>Win</v>
      </c>
      <c r="H393">
        <v>3</v>
      </c>
      <c r="I393">
        <v>1</v>
      </c>
      <c r="K393" t="str">
        <f t="shared" si="27"/>
        <v>34_A</v>
      </c>
    </row>
    <row r="394" spans="1:11" x14ac:dyDescent="0.35">
      <c r="A394">
        <v>34</v>
      </c>
      <c r="B394" s="6">
        <v>46163</v>
      </c>
      <c r="C394" t="s">
        <v>21</v>
      </c>
      <c r="D394" t="s">
        <v>17</v>
      </c>
      <c r="E394">
        <f>IF(D394="A", INDEX(Matches!$E:$E, MATCH(A394, Matches!$A:$A, 0)), INDEX(Matches!$F:$F, MATCH(A394, Matches!$A:$A, 0)))</f>
        <v>17</v>
      </c>
      <c r="F394">
        <f>IF(D394="A", INDEX(Matches!$F:$F, MATCH(A394, Matches!$A:$A, 0)), INDEX(Matches!$E:$E, MATCH(A394, Matches!$A:$A, 0)))</f>
        <v>8</v>
      </c>
      <c r="G394" t="str">
        <f t="shared" si="30"/>
        <v>Win</v>
      </c>
      <c r="I394">
        <v>1</v>
      </c>
      <c r="K394" t="str">
        <f t="shared" ref="K394:K457" si="31">A394&amp;"_"&amp;D394</f>
        <v>34_A</v>
      </c>
    </row>
    <row r="395" spans="1:11" x14ac:dyDescent="0.35">
      <c r="A395">
        <v>34</v>
      </c>
      <c r="B395" s="6">
        <v>46163</v>
      </c>
      <c r="C395" t="s">
        <v>46</v>
      </c>
      <c r="D395" t="s">
        <v>17</v>
      </c>
      <c r="E395">
        <f>IF(D395="A", INDEX(Matches!$E:$E, MATCH(A395, Matches!$A:$A, 0)), INDEX(Matches!$F:$F, MATCH(A395, Matches!$A:$A, 0)))</f>
        <v>17</v>
      </c>
      <c r="F395">
        <f>IF(D395="A", INDEX(Matches!$F:$F, MATCH(A395, Matches!$A:$A, 0)), INDEX(Matches!$E:$E, MATCH(A395, Matches!$A:$A, 0)))</f>
        <v>8</v>
      </c>
      <c r="G395" t="str">
        <f t="shared" si="30"/>
        <v>Win</v>
      </c>
      <c r="H395">
        <v>7</v>
      </c>
      <c r="I395">
        <v>1</v>
      </c>
      <c r="K395" t="str">
        <f t="shared" si="31"/>
        <v>34_A</v>
      </c>
    </row>
    <row r="396" spans="1:11" x14ac:dyDescent="0.35">
      <c r="A396">
        <v>34</v>
      </c>
      <c r="B396" s="6">
        <v>46163</v>
      </c>
      <c r="C396" t="s">
        <v>88</v>
      </c>
      <c r="D396" t="s">
        <v>17</v>
      </c>
      <c r="E396">
        <f>IF(D396="A", INDEX(Matches!$E:$E, MATCH(A396, Matches!$A:$A, 0)), INDEX(Matches!$F:$F, MATCH(A396, Matches!$A:$A, 0)))</f>
        <v>17</v>
      </c>
      <c r="F396">
        <f>IF(D396="A", INDEX(Matches!$F:$F, MATCH(A396, Matches!$A:$A, 0)), INDEX(Matches!$E:$E, MATCH(A396, Matches!$A:$A, 0)))</f>
        <v>8</v>
      </c>
      <c r="G396" t="str">
        <f t="shared" si="30"/>
        <v>Win</v>
      </c>
      <c r="H396">
        <v>1</v>
      </c>
      <c r="K396" t="str">
        <f t="shared" si="31"/>
        <v>34_A</v>
      </c>
    </row>
    <row r="397" spans="1:11" x14ac:dyDescent="0.35">
      <c r="A397">
        <v>34</v>
      </c>
      <c r="B397" s="6">
        <v>46163</v>
      </c>
      <c r="C397" t="s">
        <v>24</v>
      </c>
      <c r="D397" t="s">
        <v>23</v>
      </c>
      <c r="E397">
        <f>IF(D397="A", INDEX(Matches!$E:$E, MATCH(A397, Matches!$A:$A, 0)), INDEX(Matches!$F:$F, MATCH(A397, Matches!$A:$A, 0)))</f>
        <v>8</v>
      </c>
      <c r="F397">
        <f>IF(D397="A", INDEX(Matches!$F:$F, MATCH(A397, Matches!$A:$A, 0)), INDEX(Matches!$E:$E, MATCH(A397, Matches!$A:$A, 0)))</f>
        <v>17</v>
      </c>
      <c r="G397" t="str">
        <f t="shared" si="30"/>
        <v>Loss</v>
      </c>
      <c r="K397" t="str">
        <f t="shared" si="31"/>
        <v>34_B</v>
      </c>
    </row>
    <row r="398" spans="1:11" x14ac:dyDescent="0.35">
      <c r="A398">
        <v>34</v>
      </c>
      <c r="B398" s="6">
        <v>46163</v>
      </c>
      <c r="C398" t="s">
        <v>40</v>
      </c>
      <c r="D398" t="s">
        <v>23</v>
      </c>
      <c r="E398">
        <f>IF(D398="A", INDEX(Matches!$E:$E, MATCH(A398, Matches!$A:$A, 0)), INDEX(Matches!$F:$F, MATCH(A398, Matches!$A:$A, 0)))</f>
        <v>8</v>
      </c>
      <c r="F398">
        <f>IF(D398="A", INDEX(Matches!$F:$F, MATCH(A398, Matches!$A:$A, 0)), INDEX(Matches!$E:$E, MATCH(A398, Matches!$A:$A, 0)))</f>
        <v>17</v>
      </c>
      <c r="G398" t="str">
        <f t="shared" si="30"/>
        <v>Loss</v>
      </c>
      <c r="H398">
        <v>1</v>
      </c>
      <c r="K398" t="str">
        <f t="shared" si="31"/>
        <v>34_B</v>
      </c>
    </row>
    <row r="399" spans="1:11" x14ac:dyDescent="0.35">
      <c r="A399">
        <v>34</v>
      </c>
      <c r="B399" s="6">
        <v>46163</v>
      </c>
      <c r="C399" t="s">
        <v>66</v>
      </c>
      <c r="D399" t="s">
        <v>23</v>
      </c>
      <c r="E399">
        <f>IF(D399="A", INDEX(Matches!$E:$E, MATCH(A399, Matches!$A:$A, 0)), INDEX(Matches!$F:$F, MATCH(A399, Matches!$A:$A, 0)))</f>
        <v>8</v>
      </c>
      <c r="F399">
        <f>IF(D399="A", INDEX(Matches!$F:$F, MATCH(A399, Matches!$A:$A, 0)), INDEX(Matches!$E:$E, MATCH(A399, Matches!$A:$A, 0)))</f>
        <v>17</v>
      </c>
      <c r="G399" t="str">
        <f t="shared" si="30"/>
        <v>Loss</v>
      </c>
      <c r="H399">
        <v>1</v>
      </c>
      <c r="I399">
        <v>2</v>
      </c>
      <c r="K399" t="str">
        <f t="shared" si="31"/>
        <v>34_B</v>
      </c>
    </row>
    <row r="400" spans="1:11" x14ac:dyDescent="0.35">
      <c r="A400">
        <v>34</v>
      </c>
      <c r="B400" s="6">
        <v>46163</v>
      </c>
      <c r="C400" t="s">
        <v>42</v>
      </c>
      <c r="D400" t="s">
        <v>23</v>
      </c>
      <c r="E400">
        <f>IF(D400="A", INDEX(Matches!$E:$E, MATCH(A400, Matches!$A:$A, 0)), INDEX(Matches!$F:$F, MATCH(A400, Matches!$A:$A, 0)))</f>
        <v>8</v>
      </c>
      <c r="F400">
        <f>IF(D400="A", INDEX(Matches!$F:$F, MATCH(A400, Matches!$A:$A, 0)), INDEX(Matches!$E:$E, MATCH(A400, Matches!$A:$A, 0)))</f>
        <v>17</v>
      </c>
      <c r="G400" t="str">
        <f t="shared" si="30"/>
        <v>Loss</v>
      </c>
      <c r="I400">
        <v>3</v>
      </c>
      <c r="K400" t="str">
        <f t="shared" si="31"/>
        <v>34_B</v>
      </c>
    </row>
    <row r="401" spans="1:11" x14ac:dyDescent="0.35">
      <c r="A401">
        <v>34</v>
      </c>
      <c r="B401" s="6">
        <v>46163</v>
      </c>
      <c r="C401" t="s">
        <v>89</v>
      </c>
      <c r="D401" t="s">
        <v>23</v>
      </c>
      <c r="E401">
        <f>IF(D401="A", INDEX(Matches!$E:$E, MATCH(A401, Matches!$A:$A, 0)), INDEX(Matches!$F:$F, MATCH(A401, Matches!$A:$A, 0)))</f>
        <v>8</v>
      </c>
      <c r="F401">
        <f>IF(D401="A", INDEX(Matches!$F:$F, MATCH(A401, Matches!$A:$A, 0)), INDEX(Matches!$E:$E, MATCH(A401, Matches!$A:$A, 0)))</f>
        <v>17</v>
      </c>
      <c r="G401" t="str">
        <f t="shared" si="30"/>
        <v>Loss</v>
      </c>
      <c r="H401">
        <v>6</v>
      </c>
      <c r="K401" t="str">
        <f t="shared" si="31"/>
        <v>34_B</v>
      </c>
    </row>
    <row r="402" spans="1:11" x14ac:dyDescent="0.35">
      <c r="A402">
        <v>34</v>
      </c>
      <c r="B402" s="6">
        <v>46163</v>
      </c>
      <c r="C402" t="s">
        <v>51</v>
      </c>
      <c r="D402" t="s">
        <v>23</v>
      </c>
      <c r="E402">
        <f>IF(D402="A", INDEX(Matches!$E:$E, MATCH(A402, Matches!$A:$A, 0)), INDEX(Matches!$F:$F, MATCH(A402, Matches!$A:$A, 0)))</f>
        <v>8</v>
      </c>
      <c r="F402">
        <f>IF(D402="A", INDEX(Matches!$F:$F, MATCH(A402, Matches!$A:$A, 0)), INDEX(Matches!$E:$E, MATCH(A402, Matches!$A:$A, 0)))</f>
        <v>17</v>
      </c>
      <c r="G402" t="str">
        <f t="shared" si="30"/>
        <v>Loss</v>
      </c>
      <c r="I402">
        <v>1</v>
      </c>
      <c r="K402" t="str">
        <f t="shared" si="31"/>
        <v>34_B</v>
      </c>
    </row>
    <row r="403" spans="1:11" x14ac:dyDescent="0.35">
      <c r="A403">
        <v>35</v>
      </c>
      <c r="B403" s="6">
        <v>46170</v>
      </c>
      <c r="C403" t="s">
        <v>41</v>
      </c>
      <c r="D403" t="s">
        <v>17</v>
      </c>
      <c r="E403">
        <f>IF(D403="A", INDEX(Matches!$E:$E, MATCH(A403, Matches!$A:$A, 0)), INDEX(Matches!$F:$F, MATCH(A403, Matches!$A:$A, 0)))</f>
        <v>7</v>
      </c>
      <c r="F403">
        <f>IF(D403="A", INDEX(Matches!$F:$F, MATCH(A403, Matches!$A:$A, 0)), INDEX(Matches!$E:$E, MATCH(A403, Matches!$A:$A, 0)))</f>
        <v>5</v>
      </c>
      <c r="G403" t="str">
        <f t="shared" ref="G403:G416" si="32">IF(E403&gt;F403,"Win",IF(E403&lt;F403,"Loss","Draw"))</f>
        <v>Win</v>
      </c>
      <c r="H403">
        <v>2</v>
      </c>
      <c r="K403" t="str">
        <f t="shared" si="31"/>
        <v>35_A</v>
      </c>
    </row>
    <row r="404" spans="1:11" x14ac:dyDescent="0.35">
      <c r="A404">
        <v>35</v>
      </c>
      <c r="B404" s="6">
        <v>46170</v>
      </c>
      <c r="C404" t="s">
        <v>25</v>
      </c>
      <c r="D404" t="s">
        <v>17</v>
      </c>
      <c r="E404">
        <f>IF(D404="A", INDEX(Matches!$E:$E, MATCH(A404, Matches!$A:$A, 0)), INDEX(Matches!$F:$F, MATCH(A404, Matches!$A:$A, 0)))</f>
        <v>7</v>
      </c>
      <c r="F404">
        <f>IF(D404="A", INDEX(Matches!$F:$F, MATCH(A404, Matches!$A:$A, 0)), INDEX(Matches!$E:$E, MATCH(A404, Matches!$A:$A, 0)))</f>
        <v>5</v>
      </c>
      <c r="G404" t="str">
        <f t="shared" si="32"/>
        <v>Win</v>
      </c>
      <c r="K404" t="str">
        <f t="shared" si="31"/>
        <v>35_A</v>
      </c>
    </row>
    <row r="405" spans="1:11" x14ac:dyDescent="0.35">
      <c r="A405">
        <v>35</v>
      </c>
      <c r="B405" s="6">
        <v>46170</v>
      </c>
      <c r="C405" t="s">
        <v>75</v>
      </c>
      <c r="D405" t="s">
        <v>17</v>
      </c>
      <c r="E405">
        <f>IF(D405="A", INDEX(Matches!$E:$E, MATCH(A405, Matches!$A:$A, 0)), INDEX(Matches!$F:$F, MATCH(A405, Matches!$A:$A, 0)))</f>
        <v>7</v>
      </c>
      <c r="F405">
        <f>IF(D405="A", INDEX(Matches!$F:$F, MATCH(A405, Matches!$A:$A, 0)), INDEX(Matches!$E:$E, MATCH(A405, Matches!$A:$A, 0)))</f>
        <v>5</v>
      </c>
      <c r="G405" t="str">
        <f t="shared" si="32"/>
        <v>Win</v>
      </c>
      <c r="H405">
        <v>3</v>
      </c>
      <c r="K405" t="str">
        <f t="shared" si="31"/>
        <v>35_A</v>
      </c>
    </row>
    <row r="406" spans="1:11" x14ac:dyDescent="0.35">
      <c r="A406">
        <v>35</v>
      </c>
      <c r="B406" s="6">
        <v>46170</v>
      </c>
      <c r="C406" t="s">
        <v>89</v>
      </c>
      <c r="D406" t="s">
        <v>17</v>
      </c>
      <c r="E406">
        <f>IF(D406="A", INDEX(Matches!$E:$E, MATCH(A406, Matches!$A:$A, 0)), INDEX(Matches!$F:$F, MATCH(A406, Matches!$A:$A, 0)))</f>
        <v>7</v>
      </c>
      <c r="F406">
        <f>IF(D406="A", INDEX(Matches!$F:$F, MATCH(A406, Matches!$A:$A, 0)), INDEX(Matches!$E:$E, MATCH(A406, Matches!$A:$A, 0)))</f>
        <v>5</v>
      </c>
      <c r="G406" t="str">
        <f t="shared" si="32"/>
        <v>Win</v>
      </c>
      <c r="H406">
        <v>1</v>
      </c>
      <c r="I406">
        <v>2</v>
      </c>
      <c r="K406" t="str">
        <f t="shared" si="31"/>
        <v>35_A</v>
      </c>
    </row>
    <row r="407" spans="1:11" x14ac:dyDescent="0.35">
      <c r="A407">
        <v>35</v>
      </c>
      <c r="B407" s="6">
        <v>46170</v>
      </c>
      <c r="C407" t="s">
        <v>88</v>
      </c>
      <c r="D407" t="s">
        <v>17</v>
      </c>
      <c r="E407">
        <f>IF(D407="A", INDEX(Matches!$E:$E, MATCH(A407, Matches!$A:$A, 0)), INDEX(Matches!$F:$F, MATCH(A407, Matches!$A:$A, 0)))</f>
        <v>7</v>
      </c>
      <c r="F407">
        <f>IF(D407="A", INDEX(Matches!$F:$F, MATCH(A407, Matches!$A:$A, 0)), INDEX(Matches!$E:$E, MATCH(A407, Matches!$A:$A, 0)))</f>
        <v>5</v>
      </c>
      <c r="G407" t="str">
        <f t="shared" si="32"/>
        <v>Win</v>
      </c>
      <c r="H407">
        <v>1</v>
      </c>
      <c r="K407" t="str">
        <f t="shared" si="31"/>
        <v>35_A</v>
      </c>
    </row>
    <row r="408" spans="1:11" x14ac:dyDescent="0.35">
      <c r="A408">
        <v>35</v>
      </c>
      <c r="B408" s="6">
        <v>46170</v>
      </c>
      <c r="C408" t="s">
        <v>66</v>
      </c>
      <c r="D408" t="s">
        <v>17</v>
      </c>
      <c r="E408">
        <f>IF(D408="A", INDEX(Matches!$E:$E, MATCH(A408, Matches!$A:$A, 0)), INDEX(Matches!$F:$F, MATCH(A408, Matches!$A:$A, 0)))</f>
        <v>7</v>
      </c>
      <c r="F408">
        <f>IF(D408="A", INDEX(Matches!$F:$F, MATCH(A408, Matches!$A:$A, 0)), INDEX(Matches!$E:$E, MATCH(A408, Matches!$A:$A, 0)))</f>
        <v>5</v>
      </c>
      <c r="G408" t="str">
        <f t="shared" si="32"/>
        <v>Win</v>
      </c>
      <c r="H408">
        <v>1</v>
      </c>
      <c r="K408" t="str">
        <f t="shared" si="31"/>
        <v>35_A</v>
      </c>
    </row>
    <row r="409" spans="1:11" x14ac:dyDescent="0.35">
      <c r="A409">
        <v>35</v>
      </c>
      <c r="B409" s="6">
        <v>46170</v>
      </c>
      <c r="C409" t="s">
        <v>48</v>
      </c>
      <c r="D409" t="s">
        <v>17</v>
      </c>
      <c r="E409">
        <f>IF(D409="A", INDEX(Matches!$E:$E, MATCH(A409, Matches!$A:$A, 0)), INDEX(Matches!$F:$F, MATCH(A409, Matches!$A:$A, 0)))</f>
        <v>7</v>
      </c>
      <c r="F409">
        <f>IF(D409="A", INDEX(Matches!$F:$F, MATCH(A409, Matches!$A:$A, 0)), INDEX(Matches!$E:$E, MATCH(A409, Matches!$A:$A, 0)))</f>
        <v>5</v>
      </c>
      <c r="G409" t="str">
        <f t="shared" si="32"/>
        <v>Win</v>
      </c>
      <c r="K409" t="str">
        <f t="shared" si="31"/>
        <v>35_A</v>
      </c>
    </row>
    <row r="410" spans="1:11" x14ac:dyDescent="0.35">
      <c r="A410">
        <v>35</v>
      </c>
      <c r="B410" s="6">
        <v>46170</v>
      </c>
      <c r="C410" t="s">
        <v>77</v>
      </c>
      <c r="D410" t="s">
        <v>23</v>
      </c>
      <c r="E410">
        <f>IF(D410="A", INDEX(Matches!$E:$E, MATCH(A410, Matches!$A:$A, 0)), INDEX(Matches!$F:$F, MATCH(A410, Matches!$A:$A, 0)))</f>
        <v>5</v>
      </c>
      <c r="F410">
        <f>IF(D410="A", INDEX(Matches!$F:$F, MATCH(A410, Matches!$A:$A, 0)), INDEX(Matches!$E:$E, MATCH(A410, Matches!$A:$A, 0)))</f>
        <v>7</v>
      </c>
      <c r="G410" t="str">
        <f t="shared" si="32"/>
        <v>Loss</v>
      </c>
      <c r="H410">
        <v>1</v>
      </c>
      <c r="K410" t="str">
        <f t="shared" si="31"/>
        <v>35_B</v>
      </c>
    </row>
    <row r="411" spans="1:11" x14ac:dyDescent="0.35">
      <c r="A411">
        <v>35</v>
      </c>
      <c r="B411" s="6">
        <v>46170</v>
      </c>
      <c r="C411" t="s">
        <v>53</v>
      </c>
      <c r="D411" t="s">
        <v>23</v>
      </c>
      <c r="E411">
        <f>IF(D411="A", INDEX(Matches!$E:$E, MATCH(A411, Matches!$A:$A, 0)), INDEX(Matches!$F:$F, MATCH(A411, Matches!$A:$A, 0)))</f>
        <v>5</v>
      </c>
      <c r="F411">
        <f>IF(D411="A", INDEX(Matches!$F:$F, MATCH(A411, Matches!$A:$A, 0)), INDEX(Matches!$E:$E, MATCH(A411, Matches!$A:$A, 0)))</f>
        <v>7</v>
      </c>
      <c r="G411" t="str">
        <f t="shared" si="32"/>
        <v>Loss</v>
      </c>
      <c r="K411" t="str">
        <f t="shared" si="31"/>
        <v>35_B</v>
      </c>
    </row>
    <row r="412" spans="1:11" x14ac:dyDescent="0.35">
      <c r="A412">
        <v>35</v>
      </c>
      <c r="B412" s="6">
        <v>46170</v>
      </c>
      <c r="C412" t="s">
        <v>46</v>
      </c>
      <c r="D412" t="s">
        <v>23</v>
      </c>
      <c r="E412">
        <f>IF(D412="A", INDEX(Matches!$E:$E, MATCH(A412, Matches!$A:$A, 0)), INDEX(Matches!$F:$F, MATCH(A412, Matches!$A:$A, 0)))</f>
        <v>5</v>
      </c>
      <c r="F412">
        <f>IF(D412="A", INDEX(Matches!$F:$F, MATCH(A412, Matches!$A:$A, 0)), INDEX(Matches!$E:$E, MATCH(A412, Matches!$A:$A, 0)))</f>
        <v>7</v>
      </c>
      <c r="G412" t="str">
        <f t="shared" si="32"/>
        <v>Loss</v>
      </c>
      <c r="I412">
        <v>1</v>
      </c>
      <c r="K412" t="str">
        <f t="shared" si="31"/>
        <v>35_B</v>
      </c>
    </row>
    <row r="413" spans="1:11" x14ac:dyDescent="0.35">
      <c r="A413">
        <v>35</v>
      </c>
      <c r="B413" s="6">
        <v>46170</v>
      </c>
      <c r="C413" t="s">
        <v>98</v>
      </c>
      <c r="D413" t="s">
        <v>23</v>
      </c>
      <c r="E413">
        <f>IF(D413="A", INDEX(Matches!$E:$E, MATCH(A413, Matches!$A:$A, 0)), INDEX(Matches!$F:$F, MATCH(A413, Matches!$A:$A, 0)))</f>
        <v>5</v>
      </c>
      <c r="F413">
        <f>IF(D413="A", INDEX(Matches!$F:$F, MATCH(A413, Matches!$A:$A, 0)), INDEX(Matches!$E:$E, MATCH(A413, Matches!$A:$A, 0)))</f>
        <v>7</v>
      </c>
      <c r="G413" t="str">
        <f t="shared" si="32"/>
        <v>Loss</v>
      </c>
      <c r="H413">
        <v>3</v>
      </c>
      <c r="I413">
        <v>1</v>
      </c>
      <c r="K413" t="str">
        <f t="shared" si="31"/>
        <v>35_B</v>
      </c>
    </row>
    <row r="414" spans="1:11" x14ac:dyDescent="0.35">
      <c r="A414">
        <v>35</v>
      </c>
      <c r="B414" s="6">
        <v>46170</v>
      </c>
      <c r="C414" t="s">
        <v>52</v>
      </c>
      <c r="D414" t="s">
        <v>23</v>
      </c>
      <c r="E414">
        <f>IF(D414="A", INDEX(Matches!$E:$E, MATCH(A414, Matches!$A:$A, 0)), INDEX(Matches!$F:$F, MATCH(A414, Matches!$A:$A, 0)))</f>
        <v>5</v>
      </c>
      <c r="F414">
        <f>IF(D414="A", INDEX(Matches!$F:$F, MATCH(A414, Matches!$A:$A, 0)), INDEX(Matches!$E:$E, MATCH(A414, Matches!$A:$A, 0)))</f>
        <v>7</v>
      </c>
      <c r="G414" t="str">
        <f t="shared" si="32"/>
        <v>Loss</v>
      </c>
      <c r="I414">
        <v>1</v>
      </c>
      <c r="K414" t="str">
        <f t="shared" si="31"/>
        <v>35_B</v>
      </c>
    </row>
    <row r="415" spans="1:11" x14ac:dyDescent="0.35">
      <c r="A415">
        <v>35</v>
      </c>
      <c r="B415" s="6">
        <v>46170</v>
      </c>
      <c r="C415" t="s">
        <v>22</v>
      </c>
      <c r="D415" t="s">
        <v>23</v>
      </c>
      <c r="E415">
        <f>IF(D415="A", INDEX(Matches!$E:$E, MATCH(A415, Matches!$A:$A, 0)), INDEX(Matches!$F:$F, MATCH(A415, Matches!$A:$A, 0)))</f>
        <v>5</v>
      </c>
      <c r="F415">
        <f>IF(D415="A", INDEX(Matches!$F:$F, MATCH(A415, Matches!$A:$A, 0)), INDEX(Matches!$E:$E, MATCH(A415, Matches!$A:$A, 0)))</f>
        <v>7</v>
      </c>
      <c r="G415" t="str">
        <f t="shared" si="32"/>
        <v>Loss</v>
      </c>
      <c r="H415">
        <v>1</v>
      </c>
      <c r="K415" t="str">
        <f t="shared" si="31"/>
        <v>35_B</v>
      </c>
    </row>
    <row r="416" spans="1:11" x14ac:dyDescent="0.35">
      <c r="A416">
        <v>35</v>
      </c>
      <c r="B416" s="6">
        <v>46170</v>
      </c>
      <c r="C416" t="s">
        <v>43</v>
      </c>
      <c r="D416" t="s">
        <v>23</v>
      </c>
      <c r="E416">
        <f>IF(D416="A", INDEX(Matches!$E:$E, MATCH(A416, Matches!$A:$A, 0)), INDEX(Matches!$F:$F, MATCH(A416, Matches!$A:$A, 0)))</f>
        <v>5</v>
      </c>
      <c r="F416">
        <f>IF(D416="A", INDEX(Matches!$F:$F, MATCH(A416, Matches!$A:$A, 0)), INDEX(Matches!$E:$E, MATCH(A416, Matches!$A:$A, 0)))</f>
        <v>7</v>
      </c>
      <c r="G416" t="str">
        <f t="shared" si="32"/>
        <v>Loss</v>
      </c>
      <c r="I416">
        <v>1</v>
      </c>
      <c r="K416" t="str">
        <f t="shared" si="31"/>
        <v>35_B</v>
      </c>
    </row>
    <row r="417" spans="1:11" x14ac:dyDescent="0.35">
      <c r="A417">
        <v>36</v>
      </c>
      <c r="B417" s="6">
        <v>46177</v>
      </c>
      <c r="C417" t="s">
        <v>19</v>
      </c>
      <c r="D417" t="s">
        <v>17</v>
      </c>
      <c r="E417">
        <f>IF(D417="A", INDEX(Matches!$E:$E, MATCH(A417, Matches!$A:$A, 0)), INDEX(Matches!$F:$F, MATCH(A417, Matches!$A:$A, 0)))</f>
        <v>11</v>
      </c>
      <c r="F417">
        <f>IF(D417="A", INDEX(Matches!$F:$F, MATCH(A417, Matches!$A:$A, 0)), INDEX(Matches!$E:$E, MATCH(A417, Matches!$A:$A, 0)))</f>
        <v>11</v>
      </c>
      <c r="G417" t="str">
        <f t="shared" ref="G417:G436" si="33">IF(E417&gt;F417,"Win",IF(E417&lt;F417,"Loss","Draw"))</f>
        <v>Draw</v>
      </c>
      <c r="H417">
        <v>1</v>
      </c>
      <c r="I417">
        <v>5</v>
      </c>
      <c r="K417" t="str">
        <f t="shared" si="31"/>
        <v>36_A</v>
      </c>
    </row>
    <row r="418" spans="1:11" x14ac:dyDescent="0.35">
      <c r="A418">
        <v>36</v>
      </c>
      <c r="B418" s="6">
        <v>46177</v>
      </c>
      <c r="C418" t="s">
        <v>43</v>
      </c>
      <c r="D418" t="s">
        <v>17</v>
      </c>
      <c r="E418">
        <f>IF(D418="A", INDEX(Matches!$E:$E, MATCH(A418, Matches!$A:$A, 0)), INDEX(Matches!$F:$F, MATCH(A418, Matches!$A:$A, 0)))</f>
        <v>11</v>
      </c>
      <c r="F418">
        <f>IF(D418="A", INDEX(Matches!$F:$F, MATCH(A418, Matches!$A:$A, 0)), INDEX(Matches!$E:$E, MATCH(A418, Matches!$A:$A, 0)))</f>
        <v>11</v>
      </c>
      <c r="G418" t="str">
        <f t="shared" si="33"/>
        <v>Draw</v>
      </c>
      <c r="H418">
        <v>1</v>
      </c>
      <c r="K418" t="str">
        <f t="shared" si="31"/>
        <v>36_A</v>
      </c>
    </row>
    <row r="419" spans="1:11" x14ac:dyDescent="0.35">
      <c r="A419">
        <v>36</v>
      </c>
      <c r="B419" s="6">
        <v>46177</v>
      </c>
      <c r="C419" t="s">
        <v>40</v>
      </c>
      <c r="D419" t="s">
        <v>17</v>
      </c>
      <c r="E419">
        <f>IF(D419="A", INDEX(Matches!$E:$E, MATCH(A419, Matches!$A:$A, 0)), INDEX(Matches!$F:$F, MATCH(A419, Matches!$A:$A, 0)))</f>
        <v>11</v>
      </c>
      <c r="F419">
        <f>IF(D419="A", INDEX(Matches!$F:$F, MATCH(A419, Matches!$A:$A, 0)), INDEX(Matches!$E:$E, MATCH(A419, Matches!$A:$A, 0)))</f>
        <v>11</v>
      </c>
      <c r="G419" t="str">
        <f t="shared" si="33"/>
        <v>Draw</v>
      </c>
      <c r="H419">
        <v>1</v>
      </c>
      <c r="K419" t="str">
        <f t="shared" si="31"/>
        <v>36_A</v>
      </c>
    </row>
    <row r="420" spans="1:11" x14ac:dyDescent="0.35">
      <c r="A420">
        <v>36</v>
      </c>
      <c r="B420" s="6">
        <v>46177</v>
      </c>
      <c r="C420" t="s">
        <v>49</v>
      </c>
      <c r="D420" t="s">
        <v>17</v>
      </c>
      <c r="E420">
        <f>IF(D420="A", INDEX(Matches!$E:$E, MATCH(A420, Matches!$A:$A, 0)), INDEX(Matches!$F:$F, MATCH(A420, Matches!$A:$A, 0)))</f>
        <v>11</v>
      </c>
      <c r="F420">
        <f>IF(D420="A", INDEX(Matches!$F:$F, MATCH(A420, Matches!$A:$A, 0)), INDEX(Matches!$E:$E, MATCH(A420, Matches!$A:$A, 0)))</f>
        <v>11</v>
      </c>
      <c r="G420" t="str">
        <f t="shared" si="33"/>
        <v>Draw</v>
      </c>
      <c r="H420">
        <v>2</v>
      </c>
      <c r="I420">
        <v>1</v>
      </c>
      <c r="K420" t="str">
        <f t="shared" si="31"/>
        <v>36_A</v>
      </c>
    </row>
    <row r="421" spans="1:11" x14ac:dyDescent="0.35">
      <c r="A421">
        <v>36</v>
      </c>
      <c r="B421" s="6">
        <v>46177</v>
      </c>
      <c r="C421" t="s">
        <v>89</v>
      </c>
      <c r="D421" t="s">
        <v>17</v>
      </c>
      <c r="E421">
        <f>IF(D421="A", INDEX(Matches!$E:$E, MATCH(A421, Matches!$A:$A, 0)), INDEX(Matches!$F:$F, MATCH(A421, Matches!$A:$A, 0)))</f>
        <v>11</v>
      </c>
      <c r="F421">
        <f>IF(D421="A", INDEX(Matches!$F:$F, MATCH(A421, Matches!$A:$A, 0)), INDEX(Matches!$E:$E, MATCH(A421, Matches!$A:$A, 0)))</f>
        <v>11</v>
      </c>
      <c r="G421" t="str">
        <f t="shared" si="33"/>
        <v>Draw</v>
      </c>
      <c r="H421">
        <v>6</v>
      </c>
      <c r="K421" t="str">
        <f t="shared" si="31"/>
        <v>36_A</v>
      </c>
    </row>
    <row r="422" spans="1:11" x14ac:dyDescent="0.35">
      <c r="A422">
        <v>36</v>
      </c>
      <c r="B422" s="6">
        <v>46177</v>
      </c>
      <c r="C422" t="s">
        <v>66</v>
      </c>
      <c r="D422" t="s">
        <v>23</v>
      </c>
      <c r="E422">
        <f>IF(D422="A", INDEX(Matches!$E:$E, MATCH(A422, Matches!$A:$A, 0)), INDEX(Matches!$F:$F, MATCH(A422, Matches!$A:$A, 0)))</f>
        <v>11</v>
      </c>
      <c r="F422">
        <f>IF(D422="A", INDEX(Matches!$F:$F, MATCH(A422, Matches!$A:$A, 0)), INDEX(Matches!$E:$E, MATCH(A422, Matches!$A:$A, 0)))</f>
        <v>11</v>
      </c>
      <c r="G422" t="str">
        <f t="shared" si="33"/>
        <v>Draw</v>
      </c>
      <c r="H422">
        <v>4</v>
      </c>
      <c r="I422">
        <v>2</v>
      </c>
      <c r="K422" t="str">
        <f t="shared" si="31"/>
        <v>36_B</v>
      </c>
    </row>
    <row r="423" spans="1:11" x14ac:dyDescent="0.35">
      <c r="A423">
        <v>36</v>
      </c>
      <c r="B423" s="6">
        <v>46177</v>
      </c>
      <c r="C423" t="s">
        <v>41</v>
      </c>
      <c r="D423" t="s">
        <v>23</v>
      </c>
      <c r="E423">
        <f>IF(D423="A", INDEX(Matches!$E:$E, MATCH(A423, Matches!$A:$A, 0)), INDEX(Matches!$F:$F, MATCH(A423, Matches!$A:$A, 0)))</f>
        <v>11</v>
      </c>
      <c r="F423">
        <f>IF(D423="A", INDEX(Matches!$F:$F, MATCH(A423, Matches!$A:$A, 0)), INDEX(Matches!$E:$E, MATCH(A423, Matches!$A:$A, 0)))</f>
        <v>11</v>
      </c>
      <c r="G423" t="str">
        <f t="shared" si="33"/>
        <v>Draw</v>
      </c>
      <c r="H423">
        <v>3</v>
      </c>
      <c r="K423" t="str">
        <f t="shared" si="31"/>
        <v>36_B</v>
      </c>
    </row>
    <row r="424" spans="1:11" x14ac:dyDescent="0.35">
      <c r="A424">
        <v>36</v>
      </c>
      <c r="B424" s="6">
        <v>46177</v>
      </c>
      <c r="C424" t="s">
        <v>21</v>
      </c>
      <c r="D424" t="s">
        <v>23</v>
      </c>
      <c r="E424">
        <f>IF(D424="A", INDEX(Matches!$E:$E, MATCH(A424, Matches!$A:$A, 0)), INDEX(Matches!$F:$F, MATCH(A424, Matches!$A:$A, 0)))</f>
        <v>11</v>
      </c>
      <c r="F424">
        <f>IF(D424="A", INDEX(Matches!$F:$F, MATCH(A424, Matches!$A:$A, 0)), INDEX(Matches!$E:$E, MATCH(A424, Matches!$A:$A, 0)))</f>
        <v>11</v>
      </c>
      <c r="G424" t="str">
        <f t="shared" si="33"/>
        <v>Draw</v>
      </c>
      <c r="K424" t="str">
        <f t="shared" si="31"/>
        <v>36_B</v>
      </c>
    </row>
    <row r="425" spans="1:11" x14ac:dyDescent="0.35">
      <c r="A425">
        <v>36</v>
      </c>
      <c r="B425" s="6">
        <v>46177</v>
      </c>
      <c r="C425" t="s">
        <v>88</v>
      </c>
      <c r="D425" t="s">
        <v>23</v>
      </c>
      <c r="E425">
        <f>IF(D425="A", INDEX(Matches!$E:$E, MATCH(A425, Matches!$A:$A, 0)), INDEX(Matches!$F:$F, MATCH(A425, Matches!$A:$A, 0)))</f>
        <v>11</v>
      </c>
      <c r="F425">
        <f>IF(D425="A", INDEX(Matches!$F:$F, MATCH(A425, Matches!$A:$A, 0)), INDEX(Matches!$E:$E, MATCH(A425, Matches!$A:$A, 0)))</f>
        <v>11</v>
      </c>
      <c r="G425" t="str">
        <f t="shared" si="33"/>
        <v>Draw</v>
      </c>
      <c r="H425">
        <v>1</v>
      </c>
      <c r="I425">
        <v>2</v>
      </c>
      <c r="K425" t="str">
        <f t="shared" si="31"/>
        <v>36_B</v>
      </c>
    </row>
    <row r="426" spans="1:11" x14ac:dyDescent="0.35">
      <c r="A426">
        <v>36</v>
      </c>
      <c r="B426" s="6">
        <v>46177</v>
      </c>
      <c r="C426" t="s">
        <v>20</v>
      </c>
      <c r="D426" t="s">
        <v>23</v>
      </c>
      <c r="E426">
        <f>IF(D426="A", INDEX(Matches!$E:$E, MATCH(A426, Matches!$A:$A, 0)), INDEX(Matches!$F:$F, MATCH(A426, Matches!$A:$A, 0)))</f>
        <v>11</v>
      </c>
      <c r="F426">
        <f>IF(D426="A", INDEX(Matches!$F:$F, MATCH(A426, Matches!$A:$A, 0)), INDEX(Matches!$E:$E, MATCH(A426, Matches!$A:$A, 0)))</f>
        <v>11</v>
      </c>
      <c r="G426" t="str">
        <f t="shared" si="33"/>
        <v>Draw</v>
      </c>
      <c r="H426">
        <v>3</v>
      </c>
      <c r="I426">
        <v>3</v>
      </c>
      <c r="K426" t="str">
        <f t="shared" si="31"/>
        <v>36_B</v>
      </c>
    </row>
    <row r="427" spans="1:11" x14ac:dyDescent="0.35">
      <c r="A427">
        <v>37</v>
      </c>
      <c r="B427" s="6">
        <v>46177</v>
      </c>
      <c r="C427" t="s">
        <v>25</v>
      </c>
      <c r="D427" t="s">
        <v>17</v>
      </c>
      <c r="E427">
        <f>IF(D427="A", INDEX(Matches!$E:$E, MATCH(A427, Matches!$A:$A, 0)), INDEX(Matches!$F:$F, MATCH(A427, Matches!$A:$A, 0)))</f>
        <v>9</v>
      </c>
      <c r="F427">
        <f>IF(D427="A", INDEX(Matches!$F:$F, MATCH(A427, Matches!$A:$A, 0)), INDEX(Matches!$E:$E, MATCH(A427, Matches!$A:$A, 0)))</f>
        <v>7</v>
      </c>
      <c r="G427" t="str">
        <f t="shared" si="33"/>
        <v>Win</v>
      </c>
      <c r="H427">
        <v>1</v>
      </c>
      <c r="I427">
        <v>1</v>
      </c>
      <c r="K427" t="str">
        <f t="shared" si="31"/>
        <v>37_A</v>
      </c>
    </row>
    <row r="428" spans="1:11" x14ac:dyDescent="0.35">
      <c r="A428">
        <v>37</v>
      </c>
      <c r="B428" s="6">
        <v>46177</v>
      </c>
      <c r="C428" t="s">
        <v>53</v>
      </c>
      <c r="D428" t="s">
        <v>17</v>
      </c>
      <c r="E428">
        <f>IF(D428="A", INDEX(Matches!$E:$E, MATCH(A428, Matches!$A:$A, 0)), INDEX(Matches!$F:$F, MATCH(A428, Matches!$A:$A, 0)))</f>
        <v>9</v>
      </c>
      <c r="F428">
        <f>IF(D428="A", INDEX(Matches!$F:$F, MATCH(A428, Matches!$A:$A, 0)), INDEX(Matches!$E:$E, MATCH(A428, Matches!$A:$A, 0)))</f>
        <v>7</v>
      </c>
      <c r="G428" t="str">
        <f t="shared" si="33"/>
        <v>Win</v>
      </c>
      <c r="H428">
        <v>1</v>
      </c>
      <c r="I428">
        <v>1</v>
      </c>
      <c r="K428" t="str">
        <f t="shared" si="31"/>
        <v>37_A</v>
      </c>
    </row>
    <row r="429" spans="1:11" x14ac:dyDescent="0.35">
      <c r="A429">
        <v>37</v>
      </c>
      <c r="B429" s="6">
        <v>46177</v>
      </c>
      <c r="C429" t="s">
        <v>98</v>
      </c>
      <c r="D429" t="s">
        <v>17</v>
      </c>
      <c r="E429">
        <f>IF(D429="A", INDEX(Matches!$E:$E, MATCH(A429, Matches!$A:$A, 0)), INDEX(Matches!$F:$F, MATCH(A429, Matches!$A:$A, 0)))</f>
        <v>9</v>
      </c>
      <c r="F429">
        <f>IF(D429="A", INDEX(Matches!$F:$F, MATCH(A429, Matches!$A:$A, 0)), INDEX(Matches!$E:$E, MATCH(A429, Matches!$A:$A, 0)))</f>
        <v>7</v>
      </c>
      <c r="G429" t="str">
        <f t="shared" si="33"/>
        <v>Win</v>
      </c>
      <c r="H429">
        <v>4</v>
      </c>
      <c r="K429" t="str">
        <f t="shared" si="31"/>
        <v>37_A</v>
      </c>
    </row>
    <row r="430" spans="1:11" x14ac:dyDescent="0.35">
      <c r="A430">
        <v>37</v>
      </c>
      <c r="B430" s="6">
        <v>46177</v>
      </c>
      <c r="C430" t="s">
        <v>54</v>
      </c>
      <c r="D430" t="s">
        <v>17</v>
      </c>
      <c r="E430">
        <f>IF(D430="A", INDEX(Matches!$E:$E, MATCH(A430, Matches!$A:$A, 0)), INDEX(Matches!$F:$F, MATCH(A430, Matches!$A:$A, 0)))</f>
        <v>9</v>
      </c>
      <c r="F430">
        <f>IF(D430="A", INDEX(Matches!$F:$F, MATCH(A430, Matches!$A:$A, 0)), INDEX(Matches!$E:$E, MATCH(A430, Matches!$A:$A, 0)))</f>
        <v>7</v>
      </c>
      <c r="G430" t="str">
        <f t="shared" si="33"/>
        <v>Win</v>
      </c>
      <c r="H430">
        <v>2</v>
      </c>
      <c r="I430">
        <v>1</v>
      </c>
      <c r="K430" t="str">
        <f t="shared" si="31"/>
        <v>37_A</v>
      </c>
    </row>
    <row r="431" spans="1:11" x14ac:dyDescent="0.35">
      <c r="A431">
        <v>37</v>
      </c>
      <c r="B431" s="6">
        <v>46177</v>
      </c>
      <c r="C431" t="s">
        <v>46</v>
      </c>
      <c r="D431" t="s">
        <v>17</v>
      </c>
      <c r="E431">
        <f>IF(D431="A", INDEX(Matches!$E:$E, MATCH(A431, Matches!$A:$A, 0)), INDEX(Matches!$F:$F, MATCH(A431, Matches!$A:$A, 0)))</f>
        <v>9</v>
      </c>
      <c r="F431">
        <f>IF(D431="A", INDEX(Matches!$F:$F, MATCH(A431, Matches!$A:$A, 0)), INDEX(Matches!$E:$E, MATCH(A431, Matches!$A:$A, 0)))</f>
        <v>7</v>
      </c>
      <c r="G431" t="str">
        <f t="shared" si="33"/>
        <v>Win</v>
      </c>
      <c r="H431">
        <v>1</v>
      </c>
      <c r="I431">
        <v>2</v>
      </c>
      <c r="K431" t="str">
        <f t="shared" si="31"/>
        <v>37_A</v>
      </c>
    </row>
    <row r="432" spans="1:11" x14ac:dyDescent="0.35">
      <c r="A432">
        <v>37</v>
      </c>
      <c r="B432" s="6">
        <v>46177</v>
      </c>
      <c r="C432" t="s">
        <v>75</v>
      </c>
      <c r="D432" t="s">
        <v>23</v>
      </c>
      <c r="E432">
        <f>IF(D432="A", INDEX(Matches!$E:$E, MATCH(A432, Matches!$A:$A, 0)), INDEX(Matches!$F:$F, MATCH(A432, Matches!$A:$A, 0)))</f>
        <v>7</v>
      </c>
      <c r="F432">
        <f>IF(D432="A", INDEX(Matches!$F:$F, MATCH(A432, Matches!$A:$A, 0)), INDEX(Matches!$E:$E, MATCH(A432, Matches!$A:$A, 0)))</f>
        <v>9</v>
      </c>
      <c r="G432" t="str">
        <f t="shared" si="33"/>
        <v>Loss</v>
      </c>
      <c r="H432">
        <v>1</v>
      </c>
      <c r="I432">
        <v>1</v>
      </c>
      <c r="K432" t="str">
        <f t="shared" si="31"/>
        <v>37_B</v>
      </c>
    </row>
    <row r="433" spans="1:11" x14ac:dyDescent="0.35">
      <c r="A433">
        <v>37</v>
      </c>
      <c r="B433" s="6">
        <v>46177</v>
      </c>
      <c r="C433" t="s">
        <v>84</v>
      </c>
      <c r="D433" t="s">
        <v>23</v>
      </c>
      <c r="E433">
        <f>IF(D433="A", INDEX(Matches!$E:$E, MATCH(A433, Matches!$A:$A, 0)), INDEX(Matches!$F:$F, MATCH(A433, Matches!$A:$A, 0)))</f>
        <v>7</v>
      </c>
      <c r="F433">
        <f>IF(D433="A", INDEX(Matches!$F:$F, MATCH(A433, Matches!$A:$A, 0)), INDEX(Matches!$E:$E, MATCH(A433, Matches!$A:$A, 0)))</f>
        <v>9</v>
      </c>
      <c r="G433" t="str">
        <f t="shared" si="33"/>
        <v>Loss</v>
      </c>
      <c r="I433">
        <v>2</v>
      </c>
      <c r="K433" t="str">
        <f t="shared" si="31"/>
        <v>37_B</v>
      </c>
    </row>
    <row r="434" spans="1:11" x14ac:dyDescent="0.35">
      <c r="A434">
        <v>37</v>
      </c>
      <c r="B434" s="6">
        <v>46177</v>
      </c>
      <c r="C434" t="s">
        <v>85</v>
      </c>
      <c r="D434" t="s">
        <v>23</v>
      </c>
      <c r="E434">
        <f>IF(D434="A", INDEX(Matches!$E:$E, MATCH(A434, Matches!$A:$A, 0)), INDEX(Matches!$F:$F, MATCH(A434, Matches!$A:$A, 0)))</f>
        <v>7</v>
      </c>
      <c r="F434">
        <f>IF(D434="A", INDEX(Matches!$F:$F, MATCH(A434, Matches!$A:$A, 0)), INDEX(Matches!$E:$E, MATCH(A434, Matches!$A:$A, 0)))</f>
        <v>9</v>
      </c>
      <c r="G434" t="str">
        <f t="shared" si="33"/>
        <v>Loss</v>
      </c>
      <c r="H434">
        <v>4</v>
      </c>
      <c r="K434" t="str">
        <f t="shared" si="31"/>
        <v>37_B</v>
      </c>
    </row>
    <row r="435" spans="1:11" x14ac:dyDescent="0.35">
      <c r="A435">
        <v>37</v>
      </c>
      <c r="B435" s="6">
        <v>46177</v>
      </c>
      <c r="C435" t="s">
        <v>22</v>
      </c>
      <c r="D435" t="s">
        <v>23</v>
      </c>
      <c r="E435">
        <f>IF(D435="A", INDEX(Matches!$E:$E, MATCH(A435, Matches!$A:$A, 0)), INDEX(Matches!$F:$F, MATCH(A435, Matches!$A:$A, 0)))</f>
        <v>7</v>
      </c>
      <c r="F435">
        <f>IF(D435="A", INDEX(Matches!$F:$F, MATCH(A435, Matches!$A:$A, 0)), INDEX(Matches!$E:$E, MATCH(A435, Matches!$A:$A, 0)))</f>
        <v>9</v>
      </c>
      <c r="G435" t="str">
        <f t="shared" si="33"/>
        <v>Loss</v>
      </c>
      <c r="H435">
        <v>1</v>
      </c>
      <c r="K435" t="str">
        <f t="shared" si="31"/>
        <v>37_B</v>
      </c>
    </row>
    <row r="436" spans="1:11" x14ac:dyDescent="0.35">
      <c r="A436">
        <v>37</v>
      </c>
      <c r="B436" s="6">
        <v>46177</v>
      </c>
      <c r="C436" t="s">
        <v>111</v>
      </c>
      <c r="D436" t="s">
        <v>23</v>
      </c>
      <c r="E436">
        <f>IF(D436="A", INDEX(Matches!$E:$E, MATCH(A436, Matches!$A:$A, 0)), INDEX(Matches!$F:$F, MATCH(A436, Matches!$A:$A, 0)))</f>
        <v>7</v>
      </c>
      <c r="F436">
        <f>IF(D436="A", INDEX(Matches!$F:$F, MATCH(A436, Matches!$A:$A, 0)), INDEX(Matches!$E:$E, MATCH(A436, Matches!$A:$A, 0)))</f>
        <v>9</v>
      </c>
      <c r="G436" t="str">
        <f t="shared" si="33"/>
        <v>Loss</v>
      </c>
      <c r="H436">
        <v>1</v>
      </c>
      <c r="I436">
        <v>1</v>
      </c>
      <c r="K436" t="str">
        <f t="shared" si="31"/>
        <v>37_B</v>
      </c>
    </row>
    <row r="437" spans="1:11" x14ac:dyDescent="0.35">
      <c r="A437">
        <v>38</v>
      </c>
      <c r="B437" s="6">
        <v>46184</v>
      </c>
      <c r="C437" t="s">
        <v>22</v>
      </c>
      <c r="D437" t="s">
        <v>17</v>
      </c>
      <c r="E437">
        <f>IF(D437="A", INDEX(Matches!$E:$E, MATCH(A437, Matches!$A:$A, 0)), INDEX(Matches!$F:$F, MATCH(A437, Matches!$A:$A, 0)))</f>
        <v>12</v>
      </c>
      <c r="F437">
        <f>IF(D437="A", INDEX(Matches!$F:$F, MATCH(A437, Matches!$A:$A, 0)), INDEX(Matches!$E:$E, MATCH(A437, Matches!$A:$A, 0)))</f>
        <v>4</v>
      </c>
      <c r="G437" t="str">
        <f t="shared" ref="G437:G448" si="34">IF(E437&gt;F437,"Win",IF(E437&lt;F437,"Loss","Draw"))</f>
        <v>Win</v>
      </c>
      <c r="H437">
        <v>4</v>
      </c>
      <c r="K437" t="str">
        <f t="shared" si="31"/>
        <v>38_A</v>
      </c>
    </row>
    <row r="438" spans="1:11" x14ac:dyDescent="0.35">
      <c r="A438">
        <v>38</v>
      </c>
      <c r="B438" s="6">
        <v>46184</v>
      </c>
      <c r="C438" t="s">
        <v>46</v>
      </c>
      <c r="D438" t="s">
        <v>17</v>
      </c>
      <c r="E438">
        <f>IF(D438="A", INDEX(Matches!$E:$E, MATCH(A438, Matches!$A:$A, 0)), INDEX(Matches!$F:$F, MATCH(A438, Matches!$A:$A, 0)))</f>
        <v>12</v>
      </c>
      <c r="F438">
        <f>IF(D438="A", INDEX(Matches!$F:$F, MATCH(A438, Matches!$A:$A, 0)), INDEX(Matches!$E:$E, MATCH(A438, Matches!$A:$A, 0)))</f>
        <v>4</v>
      </c>
      <c r="G438" t="str">
        <f t="shared" si="34"/>
        <v>Win</v>
      </c>
      <c r="H438">
        <v>2</v>
      </c>
      <c r="I438">
        <v>2</v>
      </c>
      <c r="K438" t="str">
        <f t="shared" si="31"/>
        <v>38_A</v>
      </c>
    </row>
    <row r="439" spans="1:11" x14ac:dyDescent="0.35">
      <c r="A439">
        <v>38</v>
      </c>
      <c r="B439" s="6">
        <v>46184</v>
      </c>
      <c r="C439" t="s">
        <v>49</v>
      </c>
      <c r="D439" t="s">
        <v>17</v>
      </c>
      <c r="E439">
        <f>IF(D439="A", INDEX(Matches!$E:$E, MATCH(A439, Matches!$A:$A, 0)), INDEX(Matches!$F:$F, MATCH(A439, Matches!$A:$A, 0)))</f>
        <v>12</v>
      </c>
      <c r="F439">
        <f>IF(D439="A", INDEX(Matches!$F:$F, MATCH(A439, Matches!$A:$A, 0)), INDEX(Matches!$E:$E, MATCH(A439, Matches!$A:$A, 0)))</f>
        <v>4</v>
      </c>
      <c r="G439" t="str">
        <f t="shared" si="34"/>
        <v>Win</v>
      </c>
      <c r="K439" t="str">
        <f t="shared" si="31"/>
        <v>38_A</v>
      </c>
    </row>
    <row r="440" spans="1:11" x14ac:dyDescent="0.35">
      <c r="A440">
        <v>38</v>
      </c>
      <c r="B440" s="6">
        <v>46184</v>
      </c>
      <c r="C440" t="s">
        <v>42</v>
      </c>
      <c r="D440" t="s">
        <v>17</v>
      </c>
      <c r="E440">
        <f>IF(D440="A", INDEX(Matches!$E:$E, MATCH(A440, Matches!$A:$A, 0)), INDEX(Matches!$F:$F, MATCH(A440, Matches!$A:$A, 0)))</f>
        <v>12</v>
      </c>
      <c r="F440">
        <f>IF(D440="A", INDEX(Matches!$F:$F, MATCH(A440, Matches!$A:$A, 0)), INDEX(Matches!$E:$E, MATCH(A440, Matches!$A:$A, 0)))</f>
        <v>4</v>
      </c>
      <c r="G440" t="str">
        <f t="shared" si="34"/>
        <v>Win</v>
      </c>
      <c r="H440">
        <v>1</v>
      </c>
      <c r="I440">
        <v>2</v>
      </c>
      <c r="K440" t="str">
        <f t="shared" si="31"/>
        <v>38_A</v>
      </c>
    </row>
    <row r="441" spans="1:11" x14ac:dyDescent="0.35">
      <c r="A441">
        <v>38</v>
      </c>
      <c r="B441" s="6">
        <v>46184</v>
      </c>
      <c r="C441" t="s">
        <v>89</v>
      </c>
      <c r="D441" t="s">
        <v>17</v>
      </c>
      <c r="E441">
        <f>IF(D441="A", INDEX(Matches!$E:$E, MATCH(A441, Matches!$A:$A, 0)), INDEX(Matches!$F:$F, MATCH(A441, Matches!$A:$A, 0)))</f>
        <v>12</v>
      </c>
      <c r="F441">
        <f>IF(D441="A", INDEX(Matches!$F:$F, MATCH(A441, Matches!$A:$A, 0)), INDEX(Matches!$E:$E, MATCH(A441, Matches!$A:$A, 0)))</f>
        <v>4</v>
      </c>
      <c r="G441" t="str">
        <f t="shared" si="34"/>
        <v>Win</v>
      </c>
      <c r="H441">
        <v>5</v>
      </c>
      <c r="I441">
        <v>4</v>
      </c>
      <c r="K441" t="str">
        <f t="shared" si="31"/>
        <v>38_A</v>
      </c>
    </row>
    <row r="442" spans="1:11" x14ac:dyDescent="0.35">
      <c r="A442">
        <v>38</v>
      </c>
      <c r="B442" s="6">
        <v>46184</v>
      </c>
      <c r="C442" t="s">
        <v>99</v>
      </c>
      <c r="D442" t="s">
        <v>17</v>
      </c>
      <c r="E442">
        <f>IF(D442="A", INDEX(Matches!$E:$E, MATCH(A442, Matches!$A:$A, 0)), INDEX(Matches!$F:$F, MATCH(A442, Matches!$A:$A, 0)))</f>
        <v>12</v>
      </c>
      <c r="F442">
        <f>IF(D442="A", INDEX(Matches!$F:$F, MATCH(A442, Matches!$A:$A, 0)), INDEX(Matches!$E:$E, MATCH(A442, Matches!$A:$A, 0)))</f>
        <v>4</v>
      </c>
      <c r="G442" t="str">
        <f t="shared" si="34"/>
        <v>Win</v>
      </c>
      <c r="I442">
        <v>1</v>
      </c>
      <c r="K442" t="str">
        <f t="shared" si="31"/>
        <v>38_A</v>
      </c>
    </row>
    <row r="443" spans="1:11" x14ac:dyDescent="0.35">
      <c r="A443">
        <v>38</v>
      </c>
      <c r="B443" s="6">
        <v>46184</v>
      </c>
      <c r="C443" t="s">
        <v>25</v>
      </c>
      <c r="D443" t="s">
        <v>23</v>
      </c>
      <c r="E443">
        <f>IF(D443="A", INDEX(Matches!$E:$E, MATCH(A443, Matches!$A:$A, 0)), INDEX(Matches!$F:$F, MATCH(A443, Matches!$A:$A, 0)))</f>
        <v>4</v>
      </c>
      <c r="F443">
        <f>IF(D443="A", INDEX(Matches!$F:$F, MATCH(A443, Matches!$A:$A, 0)), INDEX(Matches!$E:$E, MATCH(A443, Matches!$A:$A, 0)))</f>
        <v>12</v>
      </c>
      <c r="G443" t="str">
        <f t="shared" si="34"/>
        <v>Loss</v>
      </c>
      <c r="K443" t="str">
        <f t="shared" si="31"/>
        <v>38_B</v>
      </c>
    </row>
    <row r="444" spans="1:11" x14ac:dyDescent="0.35">
      <c r="A444">
        <v>38</v>
      </c>
      <c r="B444" s="6">
        <v>46184</v>
      </c>
      <c r="C444" t="s">
        <v>20</v>
      </c>
      <c r="D444" t="s">
        <v>23</v>
      </c>
      <c r="E444">
        <f>IF(D444="A", INDEX(Matches!$E:$E, MATCH(A444, Matches!$A:$A, 0)), INDEX(Matches!$F:$F, MATCH(A444, Matches!$A:$A, 0)))</f>
        <v>4</v>
      </c>
      <c r="F444">
        <f>IF(D444="A", INDEX(Matches!$F:$F, MATCH(A444, Matches!$A:$A, 0)), INDEX(Matches!$E:$E, MATCH(A444, Matches!$A:$A, 0)))</f>
        <v>12</v>
      </c>
      <c r="G444" t="str">
        <f t="shared" si="34"/>
        <v>Loss</v>
      </c>
      <c r="H444">
        <v>2</v>
      </c>
      <c r="K444" t="str">
        <f t="shared" si="31"/>
        <v>38_B</v>
      </c>
    </row>
    <row r="445" spans="1:11" x14ac:dyDescent="0.35">
      <c r="A445">
        <v>38</v>
      </c>
      <c r="B445" s="6">
        <v>46184</v>
      </c>
      <c r="C445" t="s">
        <v>21</v>
      </c>
      <c r="D445" t="s">
        <v>23</v>
      </c>
      <c r="E445">
        <f>IF(D445="A", INDEX(Matches!$E:$E, MATCH(A445, Matches!$A:$A, 0)), INDEX(Matches!$F:$F, MATCH(A445, Matches!$A:$A, 0)))</f>
        <v>4</v>
      </c>
      <c r="F445">
        <f>IF(D445="A", INDEX(Matches!$F:$F, MATCH(A445, Matches!$A:$A, 0)), INDEX(Matches!$E:$E, MATCH(A445, Matches!$A:$A, 0)))</f>
        <v>12</v>
      </c>
      <c r="G445" t="str">
        <f t="shared" si="34"/>
        <v>Loss</v>
      </c>
      <c r="H445">
        <v>1</v>
      </c>
      <c r="I445">
        <v>1</v>
      </c>
      <c r="K445" t="str">
        <f t="shared" si="31"/>
        <v>38_B</v>
      </c>
    </row>
    <row r="446" spans="1:11" x14ac:dyDescent="0.35">
      <c r="A446">
        <v>38</v>
      </c>
      <c r="B446" s="6">
        <v>46184</v>
      </c>
      <c r="C446" t="s">
        <v>52</v>
      </c>
      <c r="D446" t="s">
        <v>23</v>
      </c>
      <c r="E446">
        <f>IF(D446="A", INDEX(Matches!$E:$E, MATCH(A446, Matches!$A:$A, 0)), INDEX(Matches!$F:$F, MATCH(A446, Matches!$A:$A, 0)))</f>
        <v>4</v>
      </c>
      <c r="F446">
        <f>IF(D446="A", INDEX(Matches!$F:$F, MATCH(A446, Matches!$A:$A, 0)), INDEX(Matches!$E:$E, MATCH(A446, Matches!$A:$A, 0)))</f>
        <v>12</v>
      </c>
      <c r="G446" t="str">
        <f t="shared" si="34"/>
        <v>Loss</v>
      </c>
      <c r="H446">
        <v>1</v>
      </c>
      <c r="I446">
        <v>2</v>
      </c>
      <c r="K446" t="str">
        <f t="shared" si="31"/>
        <v>38_B</v>
      </c>
    </row>
    <row r="447" spans="1:11" x14ac:dyDescent="0.35">
      <c r="A447">
        <v>38</v>
      </c>
      <c r="B447" s="6">
        <v>46184</v>
      </c>
      <c r="C447" t="s">
        <v>53</v>
      </c>
      <c r="D447" t="s">
        <v>23</v>
      </c>
      <c r="E447">
        <f>IF(D447="A", INDEX(Matches!$E:$E, MATCH(A447, Matches!$A:$A, 0)), INDEX(Matches!$F:$F, MATCH(A447, Matches!$A:$A, 0)))</f>
        <v>4</v>
      </c>
      <c r="F447">
        <f>IF(D447="A", INDEX(Matches!$F:$F, MATCH(A447, Matches!$A:$A, 0)), INDEX(Matches!$E:$E, MATCH(A447, Matches!$A:$A, 0)))</f>
        <v>12</v>
      </c>
      <c r="G447" t="str">
        <f t="shared" si="34"/>
        <v>Loss</v>
      </c>
      <c r="K447" t="str">
        <f t="shared" si="31"/>
        <v>38_B</v>
      </c>
    </row>
    <row r="448" spans="1:11" x14ac:dyDescent="0.35">
      <c r="A448">
        <v>38</v>
      </c>
      <c r="B448" s="6">
        <v>46184</v>
      </c>
      <c r="C448" t="s">
        <v>88</v>
      </c>
      <c r="D448" t="s">
        <v>23</v>
      </c>
      <c r="E448">
        <f>IF(D448="A", INDEX(Matches!$E:$E, MATCH(A448, Matches!$A:$A, 0)), INDEX(Matches!$F:$F, MATCH(A448, Matches!$A:$A, 0)))</f>
        <v>4</v>
      </c>
      <c r="F448">
        <f>IF(D448="A", INDEX(Matches!$F:$F, MATCH(A448, Matches!$A:$A, 0)), INDEX(Matches!$E:$E, MATCH(A448, Matches!$A:$A, 0)))</f>
        <v>12</v>
      </c>
      <c r="G448" t="str">
        <f t="shared" si="34"/>
        <v>Loss</v>
      </c>
      <c r="I448">
        <v>1</v>
      </c>
      <c r="K448" t="str">
        <f t="shared" si="31"/>
        <v>38_B</v>
      </c>
    </row>
    <row r="449" spans="1:11" x14ac:dyDescent="0.35">
      <c r="A449">
        <v>39</v>
      </c>
      <c r="B449" s="6">
        <v>46191</v>
      </c>
      <c r="C449" t="s">
        <v>16</v>
      </c>
      <c r="D449" t="s">
        <v>17</v>
      </c>
      <c r="E449">
        <f>IF(D449="A", INDEX(Matches!$E:$E, MATCH(A449, Matches!$A:$A, 0)), INDEX(Matches!$F:$F, MATCH(A449, Matches!$A:$A, 0)))</f>
        <v>7</v>
      </c>
      <c r="F449">
        <f>IF(D449="A", INDEX(Matches!$F:$F, MATCH(A449, Matches!$A:$A, 0)), INDEX(Matches!$E:$E, MATCH(A449, Matches!$A:$A, 0)))</f>
        <v>5</v>
      </c>
      <c r="G449" t="str">
        <f t="shared" ref="G449:G462" si="35">IF(E449&gt;F449,"Win",IF(E449&lt;F449,"Loss","Draw"))</f>
        <v>Win</v>
      </c>
      <c r="K449" t="str">
        <f t="shared" si="31"/>
        <v>39_A</v>
      </c>
    </row>
    <row r="450" spans="1:11" x14ac:dyDescent="0.35">
      <c r="A450">
        <v>39</v>
      </c>
      <c r="B450" s="6">
        <v>46191</v>
      </c>
      <c r="C450" t="s">
        <v>42</v>
      </c>
      <c r="D450" t="s">
        <v>17</v>
      </c>
      <c r="E450">
        <f>IF(D450="A", INDEX(Matches!$E:$E, MATCH(A450, Matches!$A:$A, 0)), INDEX(Matches!$F:$F, MATCH(A450, Matches!$A:$A, 0)))</f>
        <v>7</v>
      </c>
      <c r="F450">
        <f>IF(D450="A", INDEX(Matches!$F:$F, MATCH(A450, Matches!$A:$A, 0)), INDEX(Matches!$E:$E, MATCH(A450, Matches!$A:$A, 0)))</f>
        <v>5</v>
      </c>
      <c r="G450" t="str">
        <f t="shared" si="35"/>
        <v>Win</v>
      </c>
      <c r="H450">
        <v>1</v>
      </c>
      <c r="I450">
        <v>1</v>
      </c>
      <c r="K450" t="str">
        <f t="shared" si="31"/>
        <v>39_A</v>
      </c>
    </row>
    <row r="451" spans="1:11" x14ac:dyDescent="0.35">
      <c r="A451">
        <v>39</v>
      </c>
      <c r="B451" s="6">
        <v>46191</v>
      </c>
      <c r="C451" t="s">
        <v>19</v>
      </c>
      <c r="D451" t="s">
        <v>17</v>
      </c>
      <c r="E451">
        <f>IF(D451="A", INDEX(Matches!$E:$E, MATCH(A451, Matches!$A:$A, 0)), INDEX(Matches!$F:$F, MATCH(A451, Matches!$A:$A, 0)))</f>
        <v>7</v>
      </c>
      <c r="F451">
        <f>IF(D451="A", INDEX(Matches!$F:$F, MATCH(A451, Matches!$A:$A, 0)), INDEX(Matches!$E:$E, MATCH(A451, Matches!$A:$A, 0)))</f>
        <v>5</v>
      </c>
      <c r="G451" t="str">
        <f t="shared" si="35"/>
        <v>Win</v>
      </c>
      <c r="H451">
        <v>2</v>
      </c>
      <c r="I451">
        <v>2</v>
      </c>
      <c r="K451" t="str">
        <f t="shared" si="31"/>
        <v>39_A</v>
      </c>
    </row>
    <row r="452" spans="1:11" x14ac:dyDescent="0.35">
      <c r="A452">
        <v>39</v>
      </c>
      <c r="B452" s="6">
        <v>46191</v>
      </c>
      <c r="C452" t="s">
        <v>24</v>
      </c>
      <c r="D452" t="s">
        <v>17</v>
      </c>
      <c r="E452">
        <f>IF(D452="A", INDEX(Matches!$E:$E, MATCH(A452, Matches!$A:$A, 0)), INDEX(Matches!$F:$F, MATCH(A452, Matches!$A:$A, 0)))</f>
        <v>7</v>
      </c>
      <c r="F452">
        <f>IF(D452="A", INDEX(Matches!$F:$F, MATCH(A452, Matches!$A:$A, 0)), INDEX(Matches!$E:$E, MATCH(A452, Matches!$A:$A, 0)))</f>
        <v>5</v>
      </c>
      <c r="G452" t="str">
        <f t="shared" si="35"/>
        <v>Win</v>
      </c>
      <c r="H452">
        <v>1</v>
      </c>
      <c r="K452" t="str">
        <f t="shared" si="31"/>
        <v>39_A</v>
      </c>
    </row>
    <row r="453" spans="1:11" x14ac:dyDescent="0.35">
      <c r="A453">
        <v>39</v>
      </c>
      <c r="B453" s="6">
        <v>46191</v>
      </c>
      <c r="C453" t="s">
        <v>25</v>
      </c>
      <c r="D453" t="s">
        <v>17</v>
      </c>
      <c r="E453">
        <f>IF(D453="A", INDEX(Matches!$E:$E, MATCH(A453, Matches!$A:$A, 0)), INDEX(Matches!$F:$F, MATCH(A453, Matches!$A:$A, 0)))</f>
        <v>7</v>
      </c>
      <c r="F453">
        <f>IF(D453="A", INDEX(Matches!$F:$F, MATCH(A453, Matches!$A:$A, 0)), INDEX(Matches!$E:$E, MATCH(A453, Matches!$A:$A, 0)))</f>
        <v>5</v>
      </c>
      <c r="G453" t="str">
        <f t="shared" si="35"/>
        <v>Win</v>
      </c>
      <c r="H453">
        <v>1</v>
      </c>
      <c r="I453">
        <v>1</v>
      </c>
      <c r="K453" t="str">
        <f t="shared" si="31"/>
        <v>39_A</v>
      </c>
    </row>
    <row r="454" spans="1:11" x14ac:dyDescent="0.35">
      <c r="A454">
        <v>39</v>
      </c>
      <c r="B454" s="6">
        <v>46191</v>
      </c>
      <c r="C454" t="s">
        <v>21</v>
      </c>
      <c r="D454" t="s">
        <v>17</v>
      </c>
      <c r="E454">
        <f>IF(D454="A", INDEX(Matches!$E:$E, MATCH(A454, Matches!$A:$A, 0)), INDEX(Matches!$F:$F, MATCH(A454, Matches!$A:$A, 0)))</f>
        <v>7</v>
      </c>
      <c r="F454">
        <f>IF(D454="A", INDEX(Matches!$F:$F, MATCH(A454, Matches!$A:$A, 0)), INDEX(Matches!$E:$E, MATCH(A454, Matches!$A:$A, 0)))</f>
        <v>5</v>
      </c>
      <c r="G454" t="str">
        <f t="shared" si="35"/>
        <v>Win</v>
      </c>
      <c r="H454">
        <v>1</v>
      </c>
      <c r="K454" t="str">
        <f t="shared" si="31"/>
        <v>39_A</v>
      </c>
    </row>
    <row r="455" spans="1:11" x14ac:dyDescent="0.35">
      <c r="A455">
        <v>39</v>
      </c>
      <c r="B455" s="6">
        <v>46191</v>
      </c>
      <c r="C455" t="s">
        <v>40</v>
      </c>
      <c r="D455" t="s">
        <v>17</v>
      </c>
      <c r="E455">
        <f>IF(D455="A", INDEX(Matches!$E:$E, MATCH(A455, Matches!$A:$A, 0)), INDEX(Matches!$F:$F, MATCH(A455, Matches!$A:$A, 0)))</f>
        <v>7</v>
      </c>
      <c r="F455">
        <f>IF(D455="A", INDEX(Matches!$F:$F, MATCH(A455, Matches!$A:$A, 0)), INDEX(Matches!$E:$E, MATCH(A455, Matches!$A:$A, 0)))</f>
        <v>5</v>
      </c>
      <c r="G455" t="str">
        <f t="shared" si="35"/>
        <v>Win</v>
      </c>
      <c r="H455">
        <v>1</v>
      </c>
      <c r="K455" t="str">
        <f t="shared" si="31"/>
        <v>39_A</v>
      </c>
    </row>
    <row r="456" spans="1:11" x14ac:dyDescent="0.35">
      <c r="A456">
        <v>39</v>
      </c>
      <c r="B456" s="6">
        <v>46191</v>
      </c>
      <c r="C456" t="s">
        <v>98</v>
      </c>
      <c r="D456" t="s">
        <v>23</v>
      </c>
      <c r="E456">
        <f>IF(D456="A", INDEX(Matches!$E:$E, MATCH(A456, Matches!$A:$A, 0)), INDEX(Matches!$F:$F, MATCH(A456, Matches!$A:$A, 0)))</f>
        <v>5</v>
      </c>
      <c r="F456">
        <f>IF(D456="A", INDEX(Matches!$F:$F, MATCH(A456, Matches!$A:$A, 0)), INDEX(Matches!$E:$E, MATCH(A456, Matches!$A:$A, 0)))</f>
        <v>7</v>
      </c>
      <c r="G456" t="str">
        <f t="shared" si="35"/>
        <v>Loss</v>
      </c>
      <c r="H456">
        <v>1</v>
      </c>
      <c r="I456">
        <v>3</v>
      </c>
      <c r="K456" t="str">
        <f t="shared" si="31"/>
        <v>39_B</v>
      </c>
    </row>
    <row r="457" spans="1:11" x14ac:dyDescent="0.35">
      <c r="A457">
        <v>39</v>
      </c>
      <c r="B457" s="6">
        <v>46191</v>
      </c>
      <c r="C457" t="s">
        <v>88</v>
      </c>
      <c r="D457" t="s">
        <v>23</v>
      </c>
      <c r="E457">
        <f>IF(D457="A", INDEX(Matches!$E:$E, MATCH(A457, Matches!$A:$A, 0)), INDEX(Matches!$F:$F, MATCH(A457, Matches!$A:$A, 0)))</f>
        <v>5</v>
      </c>
      <c r="F457">
        <f>IF(D457="A", INDEX(Matches!$F:$F, MATCH(A457, Matches!$A:$A, 0)), INDEX(Matches!$E:$E, MATCH(A457, Matches!$A:$A, 0)))</f>
        <v>7</v>
      </c>
      <c r="G457" t="str">
        <f t="shared" si="35"/>
        <v>Loss</v>
      </c>
      <c r="K457" t="str">
        <f t="shared" si="31"/>
        <v>39_B</v>
      </c>
    </row>
    <row r="458" spans="1:11" x14ac:dyDescent="0.35">
      <c r="A458">
        <v>39</v>
      </c>
      <c r="B458" s="6">
        <v>46191</v>
      </c>
      <c r="C458" t="s">
        <v>99</v>
      </c>
      <c r="D458" t="s">
        <v>23</v>
      </c>
      <c r="E458">
        <f>IF(D458="A", INDEX(Matches!$E:$E, MATCH(A458, Matches!$A:$A, 0)), INDEX(Matches!$F:$F, MATCH(A458, Matches!$A:$A, 0)))</f>
        <v>5</v>
      </c>
      <c r="F458">
        <f>IF(D458="A", INDEX(Matches!$F:$F, MATCH(A458, Matches!$A:$A, 0)), INDEX(Matches!$E:$E, MATCH(A458, Matches!$A:$A, 0)))</f>
        <v>7</v>
      </c>
      <c r="G458" t="str">
        <f t="shared" si="35"/>
        <v>Loss</v>
      </c>
      <c r="K458" t="str">
        <f t="shared" ref="K458:K521" si="36">A458&amp;"_"&amp;D458</f>
        <v>39_B</v>
      </c>
    </row>
    <row r="459" spans="1:11" x14ac:dyDescent="0.35">
      <c r="A459">
        <v>39</v>
      </c>
      <c r="B459" s="6">
        <v>46191</v>
      </c>
      <c r="C459" t="s">
        <v>84</v>
      </c>
      <c r="D459" t="s">
        <v>23</v>
      </c>
      <c r="E459">
        <f>IF(D459="A", INDEX(Matches!$E:$E, MATCH(A459, Matches!$A:$A, 0)), INDEX(Matches!$F:$F, MATCH(A459, Matches!$A:$A, 0)))</f>
        <v>5</v>
      </c>
      <c r="F459">
        <f>IF(D459="A", INDEX(Matches!$F:$F, MATCH(A459, Matches!$A:$A, 0)), INDEX(Matches!$E:$E, MATCH(A459, Matches!$A:$A, 0)))</f>
        <v>7</v>
      </c>
      <c r="G459" t="str">
        <f t="shared" si="35"/>
        <v>Loss</v>
      </c>
      <c r="H459">
        <v>3</v>
      </c>
      <c r="K459" t="str">
        <f t="shared" si="36"/>
        <v>39_B</v>
      </c>
    </row>
    <row r="460" spans="1:11" x14ac:dyDescent="0.35">
      <c r="A460">
        <v>39</v>
      </c>
      <c r="B460" s="6">
        <v>46191</v>
      </c>
      <c r="C460" t="s">
        <v>66</v>
      </c>
      <c r="D460" t="s">
        <v>23</v>
      </c>
      <c r="E460">
        <f>IF(D460="A", INDEX(Matches!$E:$E, MATCH(A460, Matches!$A:$A, 0)), INDEX(Matches!$F:$F, MATCH(A460, Matches!$A:$A, 0)))</f>
        <v>5</v>
      </c>
      <c r="F460">
        <f>IF(D460="A", INDEX(Matches!$F:$F, MATCH(A460, Matches!$A:$A, 0)), INDEX(Matches!$E:$E, MATCH(A460, Matches!$A:$A, 0)))</f>
        <v>7</v>
      </c>
      <c r="G460" t="str">
        <f t="shared" si="35"/>
        <v>Loss</v>
      </c>
      <c r="K460" t="str">
        <f t="shared" si="36"/>
        <v>39_B</v>
      </c>
    </row>
    <row r="461" spans="1:11" x14ac:dyDescent="0.35">
      <c r="A461">
        <v>39</v>
      </c>
      <c r="B461" s="6">
        <v>46191</v>
      </c>
      <c r="C461" t="s">
        <v>43</v>
      </c>
      <c r="D461" t="s">
        <v>23</v>
      </c>
      <c r="E461">
        <f>IF(D461="A", INDEX(Matches!$E:$E, MATCH(A461, Matches!$A:$A, 0)), INDEX(Matches!$F:$F, MATCH(A461, Matches!$A:$A, 0)))</f>
        <v>5</v>
      </c>
      <c r="F461">
        <f>IF(D461="A", INDEX(Matches!$F:$F, MATCH(A461, Matches!$A:$A, 0)), INDEX(Matches!$E:$E, MATCH(A461, Matches!$A:$A, 0)))</f>
        <v>7</v>
      </c>
      <c r="G461" t="str">
        <f t="shared" si="35"/>
        <v>Loss</v>
      </c>
      <c r="H461">
        <v>1</v>
      </c>
      <c r="K461" t="str">
        <f t="shared" si="36"/>
        <v>39_B</v>
      </c>
    </row>
    <row r="462" spans="1:11" x14ac:dyDescent="0.35">
      <c r="A462">
        <v>39</v>
      </c>
      <c r="B462" s="6">
        <v>46191</v>
      </c>
      <c r="C462" t="s">
        <v>22</v>
      </c>
      <c r="D462" t="s">
        <v>23</v>
      </c>
      <c r="E462">
        <f>IF(D462="A", INDEX(Matches!$E:$E, MATCH(A462, Matches!$A:$A, 0)), INDEX(Matches!$F:$F, MATCH(A462, Matches!$A:$A, 0)))</f>
        <v>5</v>
      </c>
      <c r="F462">
        <f>IF(D462="A", INDEX(Matches!$F:$F, MATCH(A462, Matches!$A:$A, 0)), INDEX(Matches!$E:$E, MATCH(A462, Matches!$A:$A, 0)))</f>
        <v>7</v>
      </c>
      <c r="G462" t="str">
        <f t="shared" si="35"/>
        <v>Loss</v>
      </c>
      <c r="K462" t="str">
        <f t="shared" si="36"/>
        <v>39_B</v>
      </c>
    </row>
    <row r="463" spans="1:11" x14ac:dyDescent="0.35">
      <c r="A463">
        <v>40</v>
      </c>
      <c r="B463" s="6">
        <v>46198</v>
      </c>
      <c r="C463" t="s">
        <v>40</v>
      </c>
      <c r="D463" t="s">
        <v>17</v>
      </c>
      <c r="E463">
        <f>IF(D463="A", INDEX(Matches!$E:$E, MATCH(A463, Matches!$A:$A, 0)), INDEX(Matches!$F:$F, MATCH(A463, Matches!$A:$A, 0)))</f>
        <v>4</v>
      </c>
      <c r="F463">
        <f>IF(D463="A", INDEX(Matches!$F:$F, MATCH(A463, Matches!$A:$A, 0)), INDEX(Matches!$E:$E, MATCH(A463, Matches!$A:$A, 0)))</f>
        <v>4</v>
      </c>
      <c r="G463" t="str">
        <f t="shared" ref="G463:G474" si="37">IF(E463&gt;F463,"Win",IF(E463&lt;F463,"Loss","Draw"))</f>
        <v>Draw</v>
      </c>
      <c r="H463">
        <v>1</v>
      </c>
      <c r="K463" t="str">
        <f t="shared" si="36"/>
        <v>40_A</v>
      </c>
    </row>
    <row r="464" spans="1:11" x14ac:dyDescent="0.35">
      <c r="A464">
        <v>40</v>
      </c>
      <c r="B464" s="6">
        <v>46198</v>
      </c>
      <c r="C464" t="s">
        <v>41</v>
      </c>
      <c r="D464" t="s">
        <v>17</v>
      </c>
      <c r="E464">
        <f>IF(D464="A", INDEX(Matches!$E:$E, MATCH(A464, Matches!$A:$A, 0)), INDEX(Matches!$F:$F, MATCH(A464, Matches!$A:$A, 0)))</f>
        <v>4</v>
      </c>
      <c r="F464">
        <f>IF(D464="A", INDEX(Matches!$F:$F, MATCH(A464, Matches!$A:$A, 0)), INDEX(Matches!$E:$E, MATCH(A464, Matches!$A:$A, 0)))</f>
        <v>4</v>
      </c>
      <c r="G464" t="str">
        <f t="shared" si="37"/>
        <v>Draw</v>
      </c>
      <c r="H464">
        <v>1</v>
      </c>
      <c r="K464" t="str">
        <f t="shared" si="36"/>
        <v>40_A</v>
      </c>
    </row>
    <row r="465" spans="1:11" x14ac:dyDescent="0.35">
      <c r="A465">
        <v>40</v>
      </c>
      <c r="B465" s="6">
        <v>46198</v>
      </c>
      <c r="C465" t="s">
        <v>22</v>
      </c>
      <c r="D465" t="s">
        <v>17</v>
      </c>
      <c r="E465">
        <f>IF(D465="A", INDEX(Matches!$E:$E, MATCH(A465, Matches!$A:$A, 0)), INDEX(Matches!$F:$F, MATCH(A465, Matches!$A:$A, 0)))</f>
        <v>4</v>
      </c>
      <c r="F465">
        <f>IF(D465="A", INDEX(Matches!$F:$F, MATCH(A465, Matches!$A:$A, 0)), INDEX(Matches!$E:$E, MATCH(A465, Matches!$A:$A, 0)))</f>
        <v>4</v>
      </c>
      <c r="G465" t="str">
        <f t="shared" si="37"/>
        <v>Draw</v>
      </c>
      <c r="H465">
        <v>1</v>
      </c>
      <c r="K465" t="str">
        <f t="shared" si="36"/>
        <v>40_A</v>
      </c>
    </row>
    <row r="466" spans="1:11" x14ac:dyDescent="0.35">
      <c r="A466">
        <v>40</v>
      </c>
      <c r="B466" s="6">
        <v>46198</v>
      </c>
      <c r="C466" t="s">
        <v>89</v>
      </c>
      <c r="D466" t="s">
        <v>17</v>
      </c>
      <c r="E466">
        <f>IF(D466="A", INDEX(Matches!$E:$E, MATCH(A466, Matches!$A:$A, 0)), INDEX(Matches!$F:$F, MATCH(A466, Matches!$A:$A, 0)))</f>
        <v>4</v>
      </c>
      <c r="F466">
        <f>IF(D466="A", INDEX(Matches!$F:$F, MATCH(A466, Matches!$A:$A, 0)), INDEX(Matches!$E:$E, MATCH(A466, Matches!$A:$A, 0)))</f>
        <v>4</v>
      </c>
      <c r="G466" t="str">
        <f t="shared" si="37"/>
        <v>Draw</v>
      </c>
      <c r="H466">
        <v>1</v>
      </c>
      <c r="K466" t="str">
        <f t="shared" si="36"/>
        <v>40_A</v>
      </c>
    </row>
    <row r="467" spans="1:11" x14ac:dyDescent="0.35">
      <c r="A467">
        <v>40</v>
      </c>
      <c r="B467" s="6">
        <v>46198</v>
      </c>
      <c r="C467" t="s">
        <v>54</v>
      </c>
      <c r="D467" t="s">
        <v>17</v>
      </c>
      <c r="E467">
        <f>IF(D467="A", INDEX(Matches!$E:$E, MATCH(A467, Matches!$A:$A, 0)), INDEX(Matches!$F:$F, MATCH(A467, Matches!$A:$A, 0)))</f>
        <v>4</v>
      </c>
      <c r="F467">
        <f>IF(D467="A", INDEX(Matches!$F:$F, MATCH(A467, Matches!$A:$A, 0)), INDEX(Matches!$E:$E, MATCH(A467, Matches!$A:$A, 0)))</f>
        <v>4</v>
      </c>
      <c r="G467" t="str">
        <f t="shared" si="37"/>
        <v>Draw</v>
      </c>
      <c r="I467">
        <v>1</v>
      </c>
      <c r="K467" t="str">
        <f t="shared" si="36"/>
        <v>40_A</v>
      </c>
    </row>
    <row r="468" spans="1:11" x14ac:dyDescent="0.35">
      <c r="A468">
        <v>40</v>
      </c>
      <c r="B468" s="6">
        <v>46198</v>
      </c>
      <c r="C468" t="s">
        <v>21</v>
      </c>
      <c r="D468" t="s">
        <v>17</v>
      </c>
      <c r="E468">
        <f>IF(D468="A", INDEX(Matches!$E:$E, MATCH(A468, Matches!$A:$A, 0)), INDEX(Matches!$F:$F, MATCH(A468, Matches!$A:$A, 0)))</f>
        <v>4</v>
      </c>
      <c r="F468">
        <f>IF(D468="A", INDEX(Matches!$F:$F, MATCH(A468, Matches!$A:$A, 0)), INDEX(Matches!$E:$E, MATCH(A468, Matches!$A:$A, 0)))</f>
        <v>4</v>
      </c>
      <c r="G468" t="str">
        <f t="shared" si="37"/>
        <v>Draw</v>
      </c>
      <c r="I468">
        <v>1</v>
      </c>
      <c r="K468" t="str">
        <f t="shared" si="36"/>
        <v>40_A</v>
      </c>
    </row>
    <row r="469" spans="1:11" x14ac:dyDescent="0.35">
      <c r="A469">
        <v>40</v>
      </c>
      <c r="B469" s="6">
        <v>46198</v>
      </c>
      <c r="C469" t="s">
        <v>24</v>
      </c>
      <c r="D469" t="s">
        <v>23</v>
      </c>
      <c r="E469">
        <f>IF(D469="A", INDEX(Matches!$E:$E, MATCH(A469, Matches!$A:$A, 0)), INDEX(Matches!$F:$F, MATCH(A469, Matches!$A:$A, 0)))</f>
        <v>4</v>
      </c>
      <c r="F469">
        <f>IF(D469="A", INDEX(Matches!$F:$F, MATCH(A469, Matches!$A:$A, 0)), INDEX(Matches!$E:$E, MATCH(A469, Matches!$A:$A, 0)))</f>
        <v>4</v>
      </c>
      <c r="G469" t="str">
        <f t="shared" si="37"/>
        <v>Draw</v>
      </c>
      <c r="H469">
        <v>1</v>
      </c>
      <c r="I469">
        <v>1</v>
      </c>
      <c r="K469" t="str">
        <f t="shared" si="36"/>
        <v>40_B</v>
      </c>
    </row>
    <row r="470" spans="1:11" x14ac:dyDescent="0.35">
      <c r="A470">
        <v>40</v>
      </c>
      <c r="B470" s="6">
        <v>46198</v>
      </c>
      <c r="C470" t="s">
        <v>84</v>
      </c>
      <c r="D470" t="s">
        <v>23</v>
      </c>
      <c r="E470">
        <f>IF(D470="A", INDEX(Matches!$E:$E, MATCH(A470, Matches!$A:$A, 0)), INDEX(Matches!$F:$F, MATCH(A470, Matches!$A:$A, 0)))</f>
        <v>4</v>
      </c>
      <c r="F470">
        <f>IF(D470="A", INDEX(Matches!$F:$F, MATCH(A470, Matches!$A:$A, 0)), INDEX(Matches!$E:$E, MATCH(A470, Matches!$A:$A, 0)))</f>
        <v>4</v>
      </c>
      <c r="G470" t="str">
        <f t="shared" si="37"/>
        <v>Draw</v>
      </c>
      <c r="H470">
        <v>1</v>
      </c>
      <c r="I470">
        <v>1</v>
      </c>
      <c r="K470" t="str">
        <f t="shared" si="36"/>
        <v>40_B</v>
      </c>
    </row>
    <row r="471" spans="1:11" x14ac:dyDescent="0.35">
      <c r="A471">
        <v>40</v>
      </c>
      <c r="B471" s="6">
        <v>46198</v>
      </c>
      <c r="C471" t="s">
        <v>46</v>
      </c>
      <c r="D471" t="s">
        <v>23</v>
      </c>
      <c r="E471">
        <f>IF(D471="A", INDEX(Matches!$E:$E, MATCH(A471, Matches!$A:$A, 0)), INDEX(Matches!$F:$F, MATCH(A471, Matches!$A:$A, 0)))</f>
        <v>4</v>
      </c>
      <c r="F471">
        <f>IF(D471="A", INDEX(Matches!$F:$F, MATCH(A471, Matches!$A:$A, 0)), INDEX(Matches!$E:$E, MATCH(A471, Matches!$A:$A, 0)))</f>
        <v>4</v>
      </c>
      <c r="G471" t="str">
        <f t="shared" si="37"/>
        <v>Draw</v>
      </c>
      <c r="H471">
        <v>2</v>
      </c>
      <c r="K471" t="str">
        <f t="shared" si="36"/>
        <v>40_B</v>
      </c>
    </row>
    <row r="472" spans="1:11" x14ac:dyDescent="0.35">
      <c r="A472">
        <v>40</v>
      </c>
      <c r="B472" s="6">
        <v>46198</v>
      </c>
      <c r="C472" t="s">
        <v>88</v>
      </c>
      <c r="D472" t="s">
        <v>23</v>
      </c>
      <c r="E472">
        <f>IF(D472="A", INDEX(Matches!$E:$E, MATCH(A472, Matches!$A:$A, 0)), INDEX(Matches!$F:$F, MATCH(A472, Matches!$A:$A, 0)))</f>
        <v>4</v>
      </c>
      <c r="F472">
        <f>IF(D472="A", INDEX(Matches!$F:$F, MATCH(A472, Matches!$A:$A, 0)), INDEX(Matches!$E:$E, MATCH(A472, Matches!$A:$A, 0)))</f>
        <v>4</v>
      </c>
      <c r="G472" t="str">
        <f t="shared" si="37"/>
        <v>Draw</v>
      </c>
      <c r="K472" t="str">
        <f t="shared" si="36"/>
        <v>40_B</v>
      </c>
    </row>
    <row r="473" spans="1:11" x14ac:dyDescent="0.35">
      <c r="A473">
        <v>40</v>
      </c>
      <c r="B473" s="6">
        <v>46198</v>
      </c>
      <c r="C473" t="s">
        <v>43</v>
      </c>
      <c r="D473" t="s">
        <v>23</v>
      </c>
      <c r="E473">
        <f>IF(D473="A", INDEX(Matches!$E:$E, MATCH(A473, Matches!$A:$A, 0)), INDEX(Matches!$F:$F, MATCH(A473, Matches!$A:$A, 0)))</f>
        <v>4</v>
      </c>
      <c r="F473">
        <f>IF(D473="A", INDEX(Matches!$F:$F, MATCH(A473, Matches!$A:$A, 0)), INDEX(Matches!$E:$E, MATCH(A473, Matches!$A:$A, 0)))</f>
        <v>4</v>
      </c>
      <c r="G473" t="str">
        <f t="shared" si="37"/>
        <v>Draw</v>
      </c>
      <c r="K473" t="str">
        <f t="shared" si="36"/>
        <v>40_B</v>
      </c>
    </row>
    <row r="474" spans="1:11" x14ac:dyDescent="0.35">
      <c r="A474">
        <v>40</v>
      </c>
      <c r="B474" s="6">
        <v>46198</v>
      </c>
      <c r="C474" t="s">
        <v>99</v>
      </c>
      <c r="D474" t="s">
        <v>23</v>
      </c>
      <c r="E474">
        <f>IF(D474="A", INDEX(Matches!$E:$E, MATCH(A474, Matches!$A:$A, 0)), INDEX(Matches!$F:$F, MATCH(A474, Matches!$A:$A, 0)))</f>
        <v>4</v>
      </c>
      <c r="F474">
        <f>IF(D474="A", INDEX(Matches!$F:$F, MATCH(A474, Matches!$A:$A, 0)), INDEX(Matches!$E:$E, MATCH(A474, Matches!$A:$A, 0)))</f>
        <v>4</v>
      </c>
      <c r="G474" t="str">
        <f t="shared" si="37"/>
        <v>Draw</v>
      </c>
      <c r="K474" t="str">
        <f t="shared" si="36"/>
        <v>40_B</v>
      </c>
    </row>
    <row r="475" spans="1:11" x14ac:dyDescent="0.35">
      <c r="A475">
        <v>41</v>
      </c>
      <c r="B475" s="6">
        <v>46205</v>
      </c>
      <c r="C475" t="s">
        <v>16</v>
      </c>
      <c r="D475" t="s">
        <v>17</v>
      </c>
      <c r="E475">
        <f>IF(D475="A", INDEX(Matches!$E:$E, MATCH(A475, Matches!$A:$A, 0)), INDEX(Matches!$F:$F, MATCH(A475, Matches!$A:$A, 0)))</f>
        <v>13</v>
      </c>
      <c r="F475">
        <f>IF(D475="A", INDEX(Matches!$F:$F, MATCH(A475, Matches!$A:$A, 0)), INDEX(Matches!$E:$E, MATCH(A475, Matches!$A:$A, 0)))</f>
        <v>15</v>
      </c>
      <c r="G475" t="str">
        <f t="shared" ref="G475:G494" si="38">IF(E475&gt;F475,"Win",IF(E475&lt;F475,"Loss","Draw"))</f>
        <v>Loss</v>
      </c>
      <c r="H475">
        <v>5</v>
      </c>
      <c r="I475">
        <v>2</v>
      </c>
      <c r="K475" t="str">
        <f t="shared" si="36"/>
        <v>41_A</v>
      </c>
    </row>
    <row r="476" spans="1:11" x14ac:dyDescent="0.35">
      <c r="A476">
        <v>41</v>
      </c>
      <c r="B476" s="6">
        <v>46205</v>
      </c>
      <c r="C476" t="s">
        <v>19</v>
      </c>
      <c r="D476" t="s">
        <v>17</v>
      </c>
      <c r="E476">
        <f>IF(D476="A", INDEX(Matches!$E:$E, MATCH(A476, Matches!$A:$A, 0)), INDEX(Matches!$F:$F, MATCH(A476, Matches!$A:$A, 0)))</f>
        <v>13</v>
      </c>
      <c r="F476">
        <f>IF(D476="A", INDEX(Matches!$F:$F, MATCH(A476, Matches!$A:$A, 0)), INDEX(Matches!$E:$E, MATCH(A476, Matches!$A:$A, 0)))</f>
        <v>15</v>
      </c>
      <c r="G476" t="str">
        <f t="shared" si="38"/>
        <v>Loss</v>
      </c>
      <c r="H476">
        <v>2</v>
      </c>
      <c r="I476">
        <v>2</v>
      </c>
      <c r="K476" t="str">
        <f t="shared" si="36"/>
        <v>41_A</v>
      </c>
    </row>
    <row r="477" spans="1:11" x14ac:dyDescent="0.35">
      <c r="A477">
        <v>41</v>
      </c>
      <c r="B477" s="6">
        <v>46205</v>
      </c>
      <c r="C477" t="s">
        <v>40</v>
      </c>
      <c r="D477" t="s">
        <v>17</v>
      </c>
      <c r="E477">
        <f>IF(D477="A", INDEX(Matches!$E:$E, MATCH(A477, Matches!$A:$A, 0)), INDEX(Matches!$F:$F, MATCH(A477, Matches!$A:$A, 0)))</f>
        <v>13</v>
      </c>
      <c r="F477">
        <f>IF(D477="A", INDEX(Matches!$F:$F, MATCH(A477, Matches!$A:$A, 0)), INDEX(Matches!$E:$E, MATCH(A477, Matches!$A:$A, 0)))</f>
        <v>15</v>
      </c>
      <c r="G477" t="str">
        <f t="shared" si="38"/>
        <v>Loss</v>
      </c>
      <c r="H477">
        <v>2</v>
      </c>
      <c r="K477" t="str">
        <f t="shared" si="36"/>
        <v>41_A</v>
      </c>
    </row>
    <row r="478" spans="1:11" x14ac:dyDescent="0.35">
      <c r="A478">
        <v>41</v>
      </c>
      <c r="B478" s="6">
        <v>46205</v>
      </c>
      <c r="C478" t="s">
        <v>88</v>
      </c>
      <c r="D478" t="s">
        <v>17</v>
      </c>
      <c r="E478">
        <f>IF(D478="A", INDEX(Matches!$E:$E, MATCH(A478, Matches!$A:$A, 0)), INDEX(Matches!$F:$F, MATCH(A478, Matches!$A:$A, 0)))</f>
        <v>13</v>
      </c>
      <c r="F478">
        <f>IF(D478="A", INDEX(Matches!$F:$F, MATCH(A478, Matches!$A:$A, 0)), INDEX(Matches!$E:$E, MATCH(A478, Matches!$A:$A, 0)))</f>
        <v>15</v>
      </c>
      <c r="G478" t="str">
        <f t="shared" si="38"/>
        <v>Loss</v>
      </c>
      <c r="K478" t="str">
        <f t="shared" si="36"/>
        <v>41_A</v>
      </c>
    </row>
    <row r="479" spans="1:11" x14ac:dyDescent="0.35">
      <c r="A479">
        <v>41</v>
      </c>
      <c r="B479" s="6">
        <v>46205</v>
      </c>
      <c r="C479" t="s">
        <v>41</v>
      </c>
      <c r="D479" t="s">
        <v>17</v>
      </c>
      <c r="E479">
        <f>IF(D479="A", INDEX(Matches!$E:$E, MATCH(A479, Matches!$A:$A, 0)), INDEX(Matches!$F:$F, MATCH(A479, Matches!$A:$A, 0)))</f>
        <v>13</v>
      </c>
      <c r="F479">
        <f>IF(D479="A", INDEX(Matches!$F:$F, MATCH(A479, Matches!$A:$A, 0)), INDEX(Matches!$E:$E, MATCH(A479, Matches!$A:$A, 0)))</f>
        <v>15</v>
      </c>
      <c r="G479" t="str">
        <f t="shared" si="38"/>
        <v>Loss</v>
      </c>
      <c r="H479">
        <v>4</v>
      </c>
      <c r="K479" t="str">
        <f t="shared" si="36"/>
        <v>41_A</v>
      </c>
    </row>
    <row r="480" spans="1:11" x14ac:dyDescent="0.35">
      <c r="A480">
        <v>41</v>
      </c>
      <c r="B480" s="6">
        <v>46205</v>
      </c>
      <c r="C480" t="s">
        <v>99</v>
      </c>
      <c r="D480" t="s">
        <v>23</v>
      </c>
      <c r="E480">
        <f>IF(D480="A", INDEX(Matches!$E:$E, MATCH(A480, Matches!$A:$A, 0)), INDEX(Matches!$F:$F, MATCH(A480, Matches!$A:$A, 0)))</f>
        <v>15</v>
      </c>
      <c r="F480">
        <f>IF(D480="A", INDEX(Matches!$F:$F, MATCH(A480, Matches!$A:$A, 0)), INDEX(Matches!$E:$E, MATCH(A480, Matches!$A:$A, 0)))</f>
        <v>13</v>
      </c>
      <c r="G480" t="str">
        <f t="shared" si="38"/>
        <v>Win</v>
      </c>
      <c r="H480">
        <v>2</v>
      </c>
      <c r="K480" t="str">
        <f t="shared" si="36"/>
        <v>41_B</v>
      </c>
    </row>
    <row r="481" spans="1:11" x14ac:dyDescent="0.35">
      <c r="A481">
        <v>41</v>
      </c>
      <c r="B481" s="6">
        <v>46205</v>
      </c>
      <c r="C481" t="s">
        <v>75</v>
      </c>
      <c r="D481" t="s">
        <v>23</v>
      </c>
      <c r="E481">
        <f>IF(D481="A", INDEX(Matches!$E:$E, MATCH(A481, Matches!$A:$A, 0)), INDEX(Matches!$F:$F, MATCH(A481, Matches!$A:$A, 0)))</f>
        <v>15</v>
      </c>
      <c r="F481">
        <f>IF(D481="A", INDEX(Matches!$F:$F, MATCH(A481, Matches!$A:$A, 0)), INDEX(Matches!$E:$E, MATCH(A481, Matches!$A:$A, 0)))</f>
        <v>13</v>
      </c>
      <c r="G481" t="str">
        <f t="shared" si="38"/>
        <v>Win</v>
      </c>
      <c r="H481">
        <v>4</v>
      </c>
      <c r="I481">
        <v>4</v>
      </c>
      <c r="K481" t="str">
        <f t="shared" si="36"/>
        <v>41_B</v>
      </c>
    </row>
    <row r="482" spans="1:11" x14ac:dyDescent="0.35">
      <c r="A482">
        <v>41</v>
      </c>
      <c r="B482" s="6">
        <v>46205</v>
      </c>
      <c r="C482" t="s">
        <v>98</v>
      </c>
      <c r="D482" t="s">
        <v>23</v>
      </c>
      <c r="E482">
        <f>IF(D482="A", INDEX(Matches!$E:$E, MATCH(A482, Matches!$A:$A, 0)), INDEX(Matches!$F:$F, MATCH(A482, Matches!$A:$A, 0)))</f>
        <v>15</v>
      </c>
      <c r="F482">
        <f>IF(D482="A", INDEX(Matches!$F:$F, MATCH(A482, Matches!$A:$A, 0)), INDEX(Matches!$E:$E, MATCH(A482, Matches!$A:$A, 0)))</f>
        <v>13</v>
      </c>
      <c r="G482" t="str">
        <f t="shared" si="38"/>
        <v>Win</v>
      </c>
      <c r="H482">
        <v>3</v>
      </c>
      <c r="I482">
        <v>2</v>
      </c>
      <c r="K482" t="str">
        <f t="shared" si="36"/>
        <v>41_B</v>
      </c>
    </row>
    <row r="483" spans="1:11" x14ac:dyDescent="0.35">
      <c r="A483">
        <v>41</v>
      </c>
      <c r="B483" s="6">
        <v>46205</v>
      </c>
      <c r="C483" t="s">
        <v>61</v>
      </c>
      <c r="D483" t="s">
        <v>23</v>
      </c>
      <c r="E483">
        <f>IF(D483="A", INDEX(Matches!$E:$E, MATCH(A483, Matches!$A:$A, 0)), INDEX(Matches!$F:$F, MATCH(A483, Matches!$A:$A, 0)))</f>
        <v>15</v>
      </c>
      <c r="F483">
        <f>IF(D483="A", INDEX(Matches!$F:$F, MATCH(A483, Matches!$A:$A, 0)), INDEX(Matches!$E:$E, MATCH(A483, Matches!$A:$A, 0)))</f>
        <v>13</v>
      </c>
      <c r="G483" t="str">
        <f t="shared" si="38"/>
        <v>Win</v>
      </c>
      <c r="K483" t="str">
        <f t="shared" si="36"/>
        <v>41_B</v>
      </c>
    </row>
    <row r="484" spans="1:11" x14ac:dyDescent="0.35">
      <c r="A484">
        <v>41</v>
      </c>
      <c r="B484" s="6">
        <v>46205</v>
      </c>
      <c r="C484" t="s">
        <v>89</v>
      </c>
      <c r="D484" t="s">
        <v>23</v>
      </c>
      <c r="E484">
        <f>IF(D484="A", INDEX(Matches!$E:$E, MATCH(A484, Matches!$A:$A, 0)), INDEX(Matches!$F:$F, MATCH(A484, Matches!$A:$A, 0)))</f>
        <v>15</v>
      </c>
      <c r="F484">
        <f>IF(D484="A", INDEX(Matches!$F:$F, MATCH(A484, Matches!$A:$A, 0)), INDEX(Matches!$E:$E, MATCH(A484, Matches!$A:$A, 0)))</f>
        <v>13</v>
      </c>
      <c r="G484" t="str">
        <f t="shared" si="38"/>
        <v>Win</v>
      </c>
      <c r="H484">
        <v>6</v>
      </c>
      <c r="I484">
        <v>3</v>
      </c>
      <c r="K484" t="str">
        <f t="shared" si="36"/>
        <v>41_B</v>
      </c>
    </row>
    <row r="485" spans="1:11" x14ac:dyDescent="0.35">
      <c r="A485">
        <v>42</v>
      </c>
      <c r="B485" s="6">
        <v>46205</v>
      </c>
      <c r="C485" t="s">
        <v>53</v>
      </c>
      <c r="D485" t="s">
        <v>17</v>
      </c>
      <c r="E485">
        <f>IF(D485="A", INDEX(Matches!$E:$E, MATCH(A485, Matches!$A:$A, 0)), INDEX(Matches!$F:$F, MATCH(A485, Matches!$A:$A, 0)))</f>
        <v>9</v>
      </c>
      <c r="F485">
        <f>IF(D485="A", INDEX(Matches!$F:$F, MATCH(A485, Matches!$A:$A, 0)), INDEX(Matches!$E:$E, MATCH(A485, Matches!$A:$A, 0)))</f>
        <v>6</v>
      </c>
      <c r="G485" t="str">
        <f t="shared" si="38"/>
        <v>Win</v>
      </c>
      <c r="H485">
        <v>1</v>
      </c>
      <c r="I485">
        <v>3</v>
      </c>
      <c r="K485" t="str">
        <f t="shared" si="36"/>
        <v>42_A</v>
      </c>
    </row>
    <row r="486" spans="1:11" x14ac:dyDescent="0.35">
      <c r="A486">
        <v>42</v>
      </c>
      <c r="B486" s="6">
        <v>46205</v>
      </c>
      <c r="C486" t="s">
        <v>24</v>
      </c>
      <c r="D486" t="s">
        <v>17</v>
      </c>
      <c r="E486">
        <f>IF(D486="A", INDEX(Matches!$E:$E, MATCH(A486, Matches!$A:$A, 0)), INDEX(Matches!$F:$F, MATCH(A486, Matches!$A:$A, 0)))</f>
        <v>9</v>
      </c>
      <c r="F486">
        <f>IF(D486="A", INDEX(Matches!$F:$F, MATCH(A486, Matches!$A:$A, 0)), INDEX(Matches!$E:$E, MATCH(A486, Matches!$A:$A, 0)))</f>
        <v>6</v>
      </c>
      <c r="G486" t="str">
        <f t="shared" si="38"/>
        <v>Win</v>
      </c>
      <c r="K486" t="str">
        <f t="shared" si="36"/>
        <v>42_A</v>
      </c>
    </row>
    <row r="487" spans="1:11" x14ac:dyDescent="0.35">
      <c r="A487">
        <v>42</v>
      </c>
      <c r="B487" s="6">
        <v>46205</v>
      </c>
      <c r="C487" t="s">
        <v>21</v>
      </c>
      <c r="D487" t="s">
        <v>17</v>
      </c>
      <c r="E487">
        <f>IF(D487="A", INDEX(Matches!$E:$E, MATCH(A487, Matches!$A:$A, 0)), INDEX(Matches!$F:$F, MATCH(A487, Matches!$A:$A, 0)))</f>
        <v>9</v>
      </c>
      <c r="F487">
        <f>IF(D487="A", INDEX(Matches!$F:$F, MATCH(A487, Matches!$A:$A, 0)), INDEX(Matches!$E:$E, MATCH(A487, Matches!$A:$A, 0)))</f>
        <v>6</v>
      </c>
      <c r="G487" t="str">
        <f t="shared" si="38"/>
        <v>Win</v>
      </c>
      <c r="H487">
        <v>3</v>
      </c>
      <c r="K487" t="str">
        <f t="shared" si="36"/>
        <v>42_A</v>
      </c>
    </row>
    <row r="488" spans="1:11" x14ac:dyDescent="0.35">
      <c r="A488">
        <v>42</v>
      </c>
      <c r="B488" s="6">
        <v>46205</v>
      </c>
      <c r="C488" t="s">
        <v>22</v>
      </c>
      <c r="D488" t="s">
        <v>17</v>
      </c>
      <c r="E488">
        <f>IF(D488="A", INDEX(Matches!$E:$E, MATCH(A488, Matches!$A:$A, 0)), INDEX(Matches!$F:$F, MATCH(A488, Matches!$A:$A, 0)))</f>
        <v>9</v>
      </c>
      <c r="F488">
        <f>IF(D488="A", INDEX(Matches!$F:$F, MATCH(A488, Matches!$A:$A, 0)), INDEX(Matches!$E:$E, MATCH(A488, Matches!$A:$A, 0)))</f>
        <v>6</v>
      </c>
      <c r="G488" t="str">
        <f t="shared" si="38"/>
        <v>Win</v>
      </c>
      <c r="H488">
        <v>3</v>
      </c>
      <c r="K488" t="str">
        <f t="shared" si="36"/>
        <v>42_A</v>
      </c>
    </row>
    <row r="489" spans="1:11" x14ac:dyDescent="0.35">
      <c r="A489">
        <v>42</v>
      </c>
      <c r="B489" s="6">
        <v>46205</v>
      </c>
      <c r="C489" t="s">
        <v>66</v>
      </c>
      <c r="D489" t="s">
        <v>17</v>
      </c>
      <c r="E489">
        <f>IF(D489="A", INDEX(Matches!$E:$E, MATCH(A489, Matches!$A:$A, 0)), INDEX(Matches!$F:$F, MATCH(A489, Matches!$A:$A, 0)))</f>
        <v>9</v>
      </c>
      <c r="F489">
        <f>IF(D489="A", INDEX(Matches!$F:$F, MATCH(A489, Matches!$A:$A, 0)), INDEX(Matches!$E:$E, MATCH(A489, Matches!$A:$A, 0)))</f>
        <v>6</v>
      </c>
      <c r="G489" t="str">
        <f t="shared" si="38"/>
        <v>Win</v>
      </c>
      <c r="H489">
        <v>2</v>
      </c>
      <c r="I489">
        <v>1</v>
      </c>
      <c r="K489" t="str">
        <f t="shared" si="36"/>
        <v>42_A</v>
      </c>
    </row>
    <row r="490" spans="1:11" x14ac:dyDescent="0.35">
      <c r="A490">
        <v>42</v>
      </c>
      <c r="B490" s="6">
        <v>46205</v>
      </c>
      <c r="C490" t="s">
        <v>20</v>
      </c>
      <c r="D490" t="s">
        <v>23</v>
      </c>
      <c r="E490">
        <f>IF(D490="A", INDEX(Matches!$E:$E, MATCH(A490, Matches!$A:$A, 0)), INDEX(Matches!$F:$F, MATCH(A490, Matches!$A:$A, 0)))</f>
        <v>6</v>
      </c>
      <c r="F490">
        <f>IF(D490="A", INDEX(Matches!$F:$F, MATCH(A490, Matches!$A:$A, 0)), INDEX(Matches!$E:$E, MATCH(A490, Matches!$A:$A, 0)))</f>
        <v>9</v>
      </c>
      <c r="G490" t="str">
        <f t="shared" si="38"/>
        <v>Loss</v>
      </c>
      <c r="H490">
        <v>1</v>
      </c>
      <c r="I490">
        <v>1</v>
      </c>
      <c r="K490" t="str">
        <f t="shared" si="36"/>
        <v>42_B</v>
      </c>
    </row>
    <row r="491" spans="1:11" x14ac:dyDescent="0.35">
      <c r="A491">
        <v>42</v>
      </c>
      <c r="B491" s="6">
        <v>46205</v>
      </c>
      <c r="C491" t="s">
        <v>54</v>
      </c>
      <c r="D491" t="s">
        <v>23</v>
      </c>
      <c r="E491">
        <f>IF(D491="A", INDEX(Matches!$E:$E, MATCH(A491, Matches!$A:$A, 0)), INDEX(Matches!$F:$F, MATCH(A491, Matches!$A:$A, 0)))</f>
        <v>6</v>
      </c>
      <c r="F491">
        <f>IF(D491="A", INDEX(Matches!$F:$F, MATCH(A491, Matches!$A:$A, 0)), INDEX(Matches!$E:$E, MATCH(A491, Matches!$A:$A, 0)))</f>
        <v>9</v>
      </c>
      <c r="G491" t="str">
        <f t="shared" si="38"/>
        <v>Loss</v>
      </c>
      <c r="H491">
        <v>2</v>
      </c>
      <c r="K491" t="str">
        <f t="shared" si="36"/>
        <v>42_B</v>
      </c>
    </row>
    <row r="492" spans="1:11" x14ac:dyDescent="0.35">
      <c r="A492">
        <v>42</v>
      </c>
      <c r="B492" s="6">
        <v>46205</v>
      </c>
      <c r="C492" t="s">
        <v>46</v>
      </c>
      <c r="D492" t="s">
        <v>23</v>
      </c>
      <c r="E492">
        <f>IF(D492="A", INDEX(Matches!$E:$E, MATCH(A492, Matches!$A:$A, 0)), INDEX(Matches!$F:$F, MATCH(A492, Matches!$A:$A, 0)))</f>
        <v>6</v>
      </c>
      <c r="F492">
        <f>IF(D492="A", INDEX(Matches!$F:$F, MATCH(A492, Matches!$A:$A, 0)), INDEX(Matches!$E:$E, MATCH(A492, Matches!$A:$A, 0)))</f>
        <v>9</v>
      </c>
      <c r="G492" t="str">
        <f t="shared" si="38"/>
        <v>Loss</v>
      </c>
      <c r="K492" t="str">
        <f t="shared" si="36"/>
        <v>42_B</v>
      </c>
    </row>
    <row r="493" spans="1:11" x14ac:dyDescent="0.35">
      <c r="A493">
        <v>42</v>
      </c>
      <c r="B493" s="6">
        <v>46205</v>
      </c>
      <c r="C493" t="s">
        <v>51</v>
      </c>
      <c r="D493" t="s">
        <v>23</v>
      </c>
      <c r="E493">
        <f>IF(D493="A", INDEX(Matches!$E:$E, MATCH(A493, Matches!$A:$A, 0)), INDEX(Matches!$F:$F, MATCH(A493, Matches!$A:$A, 0)))</f>
        <v>6</v>
      </c>
      <c r="F493">
        <f>IF(D493="A", INDEX(Matches!$F:$F, MATCH(A493, Matches!$A:$A, 0)), INDEX(Matches!$E:$E, MATCH(A493, Matches!$A:$A, 0)))</f>
        <v>9</v>
      </c>
      <c r="G493" t="str">
        <f t="shared" si="38"/>
        <v>Loss</v>
      </c>
      <c r="H493">
        <v>2</v>
      </c>
      <c r="I493">
        <v>2</v>
      </c>
      <c r="K493" t="str">
        <f t="shared" si="36"/>
        <v>42_B</v>
      </c>
    </row>
    <row r="494" spans="1:11" x14ac:dyDescent="0.35">
      <c r="A494">
        <v>42</v>
      </c>
      <c r="B494" s="6">
        <v>46205</v>
      </c>
      <c r="C494" t="s">
        <v>84</v>
      </c>
      <c r="D494" t="s">
        <v>23</v>
      </c>
      <c r="E494">
        <f>IF(D494="A", INDEX(Matches!$E:$E, MATCH(A494, Matches!$A:$A, 0)), INDEX(Matches!$F:$F, MATCH(A494, Matches!$A:$A, 0)))</f>
        <v>6</v>
      </c>
      <c r="F494">
        <f>IF(D494="A", INDEX(Matches!$F:$F, MATCH(A494, Matches!$A:$A, 0)), INDEX(Matches!$E:$E, MATCH(A494, Matches!$A:$A, 0)))</f>
        <v>9</v>
      </c>
      <c r="G494" t="str">
        <f t="shared" si="38"/>
        <v>Loss</v>
      </c>
      <c r="H494">
        <v>1</v>
      </c>
      <c r="I494">
        <v>1</v>
      </c>
      <c r="K494" t="str">
        <f t="shared" si="36"/>
        <v>42_B</v>
      </c>
    </row>
    <row r="495" spans="1:11" x14ac:dyDescent="0.35">
      <c r="A495">
        <v>43</v>
      </c>
      <c r="B495" s="6">
        <v>46212</v>
      </c>
      <c r="C495" t="s">
        <v>40</v>
      </c>
      <c r="D495" t="s">
        <v>17</v>
      </c>
      <c r="E495">
        <f>IF(D495="A", INDEX(Matches!$E:$E, MATCH(A495, Matches!$A:$A, 0)), INDEX(Matches!$F:$F, MATCH(A495, Matches!$A:$A, 0)))</f>
        <v>12</v>
      </c>
      <c r="F495">
        <f>IF(D495="A", INDEX(Matches!$F:$F, MATCH(A495, Matches!$A:$A, 0)), INDEX(Matches!$E:$E, MATCH(A495, Matches!$A:$A, 0)))</f>
        <v>6</v>
      </c>
      <c r="G495" t="str">
        <f t="shared" ref="G495:G506" si="39">IF(E495&gt;F495,"Win",IF(E495&lt;F495,"Loss","Draw"))</f>
        <v>Win</v>
      </c>
      <c r="H495">
        <v>1</v>
      </c>
      <c r="I495">
        <v>1</v>
      </c>
      <c r="K495" t="str">
        <f t="shared" si="36"/>
        <v>43_A</v>
      </c>
    </row>
    <row r="496" spans="1:11" x14ac:dyDescent="0.35">
      <c r="A496">
        <v>43</v>
      </c>
      <c r="B496" s="6">
        <v>46212</v>
      </c>
      <c r="C496" t="s">
        <v>53</v>
      </c>
      <c r="D496" t="s">
        <v>17</v>
      </c>
      <c r="E496">
        <f>IF(D496="A", INDEX(Matches!$E:$E, MATCH(A496, Matches!$A:$A, 0)), INDEX(Matches!$F:$F, MATCH(A496, Matches!$A:$A, 0)))</f>
        <v>12</v>
      </c>
      <c r="F496">
        <f>IF(D496="A", INDEX(Matches!$F:$F, MATCH(A496, Matches!$A:$A, 0)), INDEX(Matches!$E:$E, MATCH(A496, Matches!$A:$A, 0)))</f>
        <v>6</v>
      </c>
      <c r="G496" t="str">
        <f t="shared" si="39"/>
        <v>Win</v>
      </c>
      <c r="H496">
        <v>3</v>
      </c>
      <c r="K496" t="str">
        <f t="shared" si="36"/>
        <v>43_A</v>
      </c>
    </row>
    <row r="497" spans="1:11" x14ac:dyDescent="0.35">
      <c r="A497">
        <v>43</v>
      </c>
      <c r="B497" s="6">
        <v>46212</v>
      </c>
      <c r="C497" t="s">
        <v>16</v>
      </c>
      <c r="D497" t="s">
        <v>17</v>
      </c>
      <c r="E497">
        <f>IF(D497="A", INDEX(Matches!$E:$E, MATCH(A497, Matches!$A:$A, 0)), INDEX(Matches!$F:$F, MATCH(A497, Matches!$A:$A, 0)))</f>
        <v>12</v>
      </c>
      <c r="F497">
        <f>IF(D497="A", INDEX(Matches!$F:$F, MATCH(A497, Matches!$A:$A, 0)), INDEX(Matches!$E:$E, MATCH(A497, Matches!$A:$A, 0)))</f>
        <v>6</v>
      </c>
      <c r="G497" t="str">
        <f t="shared" si="39"/>
        <v>Win</v>
      </c>
      <c r="H497">
        <v>5</v>
      </c>
      <c r="I497">
        <v>1</v>
      </c>
      <c r="K497" t="str">
        <f t="shared" si="36"/>
        <v>43_A</v>
      </c>
    </row>
    <row r="498" spans="1:11" x14ac:dyDescent="0.35">
      <c r="A498">
        <v>43</v>
      </c>
      <c r="B498" s="6">
        <v>46212</v>
      </c>
      <c r="C498" t="s">
        <v>46</v>
      </c>
      <c r="D498" t="s">
        <v>17</v>
      </c>
      <c r="E498">
        <f>IF(D498="A", INDEX(Matches!$E:$E, MATCH(A498, Matches!$A:$A, 0)), INDEX(Matches!$F:$F, MATCH(A498, Matches!$A:$A, 0)))</f>
        <v>12</v>
      </c>
      <c r="F498">
        <f>IF(D498="A", INDEX(Matches!$F:$F, MATCH(A498, Matches!$A:$A, 0)), INDEX(Matches!$E:$E, MATCH(A498, Matches!$A:$A, 0)))</f>
        <v>6</v>
      </c>
      <c r="G498" t="str">
        <f t="shared" si="39"/>
        <v>Win</v>
      </c>
      <c r="H498">
        <v>1</v>
      </c>
      <c r="I498">
        <v>7</v>
      </c>
      <c r="K498" t="str">
        <f t="shared" si="36"/>
        <v>43_A</v>
      </c>
    </row>
    <row r="499" spans="1:11" x14ac:dyDescent="0.35">
      <c r="A499">
        <v>43</v>
      </c>
      <c r="B499" s="6">
        <v>46212</v>
      </c>
      <c r="C499" t="s">
        <v>88</v>
      </c>
      <c r="D499" t="s">
        <v>17</v>
      </c>
      <c r="E499">
        <f>IF(D499="A", INDEX(Matches!$E:$E, MATCH(A499, Matches!$A:$A, 0)), INDEX(Matches!$F:$F, MATCH(A499, Matches!$A:$A, 0)))</f>
        <v>12</v>
      </c>
      <c r="F499">
        <f>IF(D499="A", INDEX(Matches!$F:$F, MATCH(A499, Matches!$A:$A, 0)), INDEX(Matches!$E:$E, MATCH(A499, Matches!$A:$A, 0)))</f>
        <v>6</v>
      </c>
      <c r="G499" t="str">
        <f t="shared" si="39"/>
        <v>Win</v>
      </c>
      <c r="H499">
        <v>1</v>
      </c>
      <c r="K499" t="str">
        <f t="shared" si="36"/>
        <v>43_A</v>
      </c>
    </row>
    <row r="500" spans="1:11" x14ac:dyDescent="0.35">
      <c r="A500">
        <v>43</v>
      </c>
      <c r="B500" s="6">
        <v>46212</v>
      </c>
      <c r="C500" t="s">
        <v>116</v>
      </c>
      <c r="D500" t="s">
        <v>17</v>
      </c>
      <c r="E500">
        <f>IF(D500="A", INDEX(Matches!$E:$E, MATCH(A500, Matches!$A:$A, 0)), INDEX(Matches!$F:$F, MATCH(A500, Matches!$A:$A, 0)))</f>
        <v>12</v>
      </c>
      <c r="F500">
        <f>IF(D500="A", INDEX(Matches!$F:$F, MATCH(A500, Matches!$A:$A, 0)), INDEX(Matches!$E:$E, MATCH(A500, Matches!$A:$A, 0)))</f>
        <v>6</v>
      </c>
      <c r="G500" t="str">
        <f t="shared" si="39"/>
        <v>Win</v>
      </c>
      <c r="H500">
        <v>1</v>
      </c>
      <c r="K500" t="str">
        <f t="shared" si="36"/>
        <v>43_A</v>
      </c>
    </row>
    <row r="501" spans="1:11" x14ac:dyDescent="0.35">
      <c r="A501">
        <v>43</v>
      </c>
      <c r="B501" s="6">
        <v>46212</v>
      </c>
      <c r="C501" t="s">
        <v>66</v>
      </c>
      <c r="D501" t="s">
        <v>23</v>
      </c>
      <c r="E501">
        <f>IF(D501="A", INDEX(Matches!$E:$E, MATCH(A501, Matches!$A:$A, 0)), INDEX(Matches!$F:$F, MATCH(A501, Matches!$A:$A, 0)))</f>
        <v>6</v>
      </c>
      <c r="F501">
        <f>IF(D501="A", INDEX(Matches!$F:$F, MATCH(A501, Matches!$A:$A, 0)), INDEX(Matches!$E:$E, MATCH(A501, Matches!$A:$A, 0)))</f>
        <v>12</v>
      </c>
      <c r="G501" t="str">
        <f t="shared" si="39"/>
        <v>Loss</v>
      </c>
      <c r="H501">
        <v>3</v>
      </c>
      <c r="K501" t="str">
        <f t="shared" si="36"/>
        <v>43_B</v>
      </c>
    </row>
    <row r="502" spans="1:11" x14ac:dyDescent="0.35">
      <c r="A502">
        <v>43</v>
      </c>
      <c r="B502" s="6">
        <v>46212</v>
      </c>
      <c r="C502" t="s">
        <v>41</v>
      </c>
      <c r="D502" t="s">
        <v>23</v>
      </c>
      <c r="E502">
        <f>IF(D502="A", INDEX(Matches!$E:$E, MATCH(A502, Matches!$A:$A, 0)), INDEX(Matches!$F:$F, MATCH(A502, Matches!$A:$A, 0)))</f>
        <v>6</v>
      </c>
      <c r="F502">
        <f>IF(D502="A", INDEX(Matches!$F:$F, MATCH(A502, Matches!$A:$A, 0)), INDEX(Matches!$E:$E, MATCH(A502, Matches!$A:$A, 0)))</f>
        <v>12</v>
      </c>
      <c r="G502" t="str">
        <f t="shared" si="39"/>
        <v>Loss</v>
      </c>
      <c r="K502" t="str">
        <f t="shared" si="36"/>
        <v>43_B</v>
      </c>
    </row>
    <row r="503" spans="1:11" x14ac:dyDescent="0.35">
      <c r="A503">
        <v>43</v>
      </c>
      <c r="B503" s="6">
        <v>46212</v>
      </c>
      <c r="C503" t="s">
        <v>52</v>
      </c>
      <c r="D503" t="s">
        <v>23</v>
      </c>
      <c r="E503">
        <f>IF(D503="A", INDEX(Matches!$E:$E, MATCH(A503, Matches!$A:$A, 0)), INDEX(Matches!$F:$F, MATCH(A503, Matches!$A:$A, 0)))</f>
        <v>6</v>
      </c>
      <c r="F503">
        <f>IF(D503="A", INDEX(Matches!$F:$F, MATCH(A503, Matches!$A:$A, 0)), INDEX(Matches!$E:$E, MATCH(A503, Matches!$A:$A, 0)))</f>
        <v>12</v>
      </c>
      <c r="G503" t="str">
        <f t="shared" si="39"/>
        <v>Loss</v>
      </c>
      <c r="H503">
        <v>2</v>
      </c>
      <c r="I503">
        <v>1</v>
      </c>
      <c r="K503" t="str">
        <f t="shared" si="36"/>
        <v>43_B</v>
      </c>
    </row>
    <row r="504" spans="1:11" x14ac:dyDescent="0.35">
      <c r="A504">
        <v>43</v>
      </c>
      <c r="B504" s="6">
        <v>46212</v>
      </c>
      <c r="C504" t="s">
        <v>21</v>
      </c>
      <c r="D504" t="s">
        <v>23</v>
      </c>
      <c r="E504">
        <f>IF(D504="A", INDEX(Matches!$E:$E, MATCH(A504, Matches!$A:$A, 0)), INDEX(Matches!$F:$F, MATCH(A504, Matches!$A:$A, 0)))</f>
        <v>6</v>
      </c>
      <c r="F504">
        <f>IF(D504="A", INDEX(Matches!$F:$F, MATCH(A504, Matches!$A:$A, 0)), INDEX(Matches!$E:$E, MATCH(A504, Matches!$A:$A, 0)))</f>
        <v>12</v>
      </c>
      <c r="G504" t="str">
        <f t="shared" si="39"/>
        <v>Loss</v>
      </c>
      <c r="K504" t="str">
        <f t="shared" si="36"/>
        <v>43_B</v>
      </c>
    </row>
    <row r="505" spans="1:11" x14ac:dyDescent="0.35">
      <c r="A505">
        <v>43</v>
      </c>
      <c r="B505" s="6">
        <v>46212</v>
      </c>
      <c r="C505" t="s">
        <v>25</v>
      </c>
      <c r="D505" t="s">
        <v>23</v>
      </c>
      <c r="E505">
        <f>IF(D505="A", INDEX(Matches!$E:$E, MATCH(A505, Matches!$A:$A, 0)), INDEX(Matches!$F:$F, MATCH(A505, Matches!$A:$A, 0)))</f>
        <v>6</v>
      </c>
      <c r="F505">
        <f>IF(D505="A", INDEX(Matches!$F:$F, MATCH(A505, Matches!$A:$A, 0)), INDEX(Matches!$E:$E, MATCH(A505, Matches!$A:$A, 0)))</f>
        <v>12</v>
      </c>
      <c r="G505" t="str">
        <f t="shared" si="39"/>
        <v>Loss</v>
      </c>
      <c r="I505">
        <v>1</v>
      </c>
      <c r="K505" t="str">
        <f t="shared" si="36"/>
        <v>43_B</v>
      </c>
    </row>
    <row r="506" spans="1:11" x14ac:dyDescent="0.35">
      <c r="A506">
        <v>43</v>
      </c>
      <c r="B506" s="6">
        <v>46212</v>
      </c>
      <c r="C506" t="s">
        <v>89</v>
      </c>
      <c r="D506" t="s">
        <v>23</v>
      </c>
      <c r="E506">
        <f>IF(D506="A", INDEX(Matches!$E:$E, MATCH(A506, Matches!$A:$A, 0)), INDEX(Matches!$F:$F, MATCH(A506, Matches!$A:$A, 0)))</f>
        <v>6</v>
      </c>
      <c r="F506">
        <f>IF(D506="A", INDEX(Matches!$F:$F, MATCH(A506, Matches!$A:$A, 0)), INDEX(Matches!$E:$E, MATCH(A506, Matches!$A:$A, 0)))</f>
        <v>12</v>
      </c>
      <c r="G506" t="str">
        <f t="shared" si="39"/>
        <v>Loss</v>
      </c>
      <c r="H506">
        <v>1</v>
      </c>
      <c r="I506">
        <v>2</v>
      </c>
      <c r="K506" t="str">
        <f t="shared" si="36"/>
        <v>43_B</v>
      </c>
    </row>
    <row r="507" spans="1:11" x14ac:dyDescent="0.35">
      <c r="A507">
        <v>44</v>
      </c>
      <c r="B507" s="6">
        <v>46219</v>
      </c>
      <c r="C507" t="s">
        <v>66</v>
      </c>
      <c r="D507" t="s">
        <v>17</v>
      </c>
      <c r="E507">
        <f>IF(D507="A", INDEX(Matches!$E:$E, MATCH(A507, Matches!$A:$A, 0)), INDEX(Matches!$F:$F, MATCH(A507, Matches!$A:$A, 0)))</f>
        <v>8</v>
      </c>
      <c r="F507">
        <f>IF(D507="A", INDEX(Matches!$F:$F, MATCH(A507, Matches!$A:$A, 0)), INDEX(Matches!$E:$E, MATCH(A507, Matches!$A:$A, 0)))</f>
        <v>14</v>
      </c>
      <c r="G507" t="str">
        <f t="shared" ref="G507:G526" si="40">IF(E507&gt;F507,"Win",IF(E507&lt;F507,"Loss","Draw"))</f>
        <v>Loss</v>
      </c>
      <c r="H507">
        <v>1</v>
      </c>
      <c r="I507">
        <v>5</v>
      </c>
      <c r="K507" t="str">
        <f t="shared" si="36"/>
        <v>44_A</v>
      </c>
    </row>
    <row r="508" spans="1:11" x14ac:dyDescent="0.35">
      <c r="A508">
        <v>44</v>
      </c>
      <c r="B508" s="6">
        <v>46219</v>
      </c>
      <c r="C508" t="s">
        <v>16</v>
      </c>
      <c r="D508" t="s">
        <v>17</v>
      </c>
      <c r="E508">
        <f>IF(D508="A", INDEX(Matches!$E:$E, MATCH(A508, Matches!$A:$A, 0)), INDEX(Matches!$F:$F, MATCH(A508, Matches!$A:$A, 0)))</f>
        <v>8</v>
      </c>
      <c r="F508">
        <f>IF(D508="A", INDEX(Matches!$F:$F, MATCH(A508, Matches!$A:$A, 0)), INDEX(Matches!$E:$E, MATCH(A508, Matches!$A:$A, 0)))</f>
        <v>14</v>
      </c>
      <c r="G508" t="str">
        <f t="shared" si="40"/>
        <v>Loss</v>
      </c>
      <c r="H508">
        <v>2</v>
      </c>
      <c r="I508">
        <v>1</v>
      </c>
      <c r="K508" t="str">
        <f t="shared" si="36"/>
        <v>44_A</v>
      </c>
    </row>
    <row r="509" spans="1:11" x14ac:dyDescent="0.35">
      <c r="A509">
        <v>44</v>
      </c>
      <c r="B509" s="6">
        <v>46219</v>
      </c>
      <c r="C509" t="s">
        <v>88</v>
      </c>
      <c r="D509" t="s">
        <v>17</v>
      </c>
      <c r="E509">
        <f>IF(D509="A", INDEX(Matches!$E:$E, MATCH(A509, Matches!$A:$A, 0)), INDEX(Matches!$F:$F, MATCH(A509, Matches!$A:$A, 0)))</f>
        <v>8</v>
      </c>
      <c r="F509">
        <f>IF(D509="A", INDEX(Matches!$F:$F, MATCH(A509, Matches!$A:$A, 0)), INDEX(Matches!$E:$E, MATCH(A509, Matches!$A:$A, 0)))</f>
        <v>14</v>
      </c>
      <c r="G509" t="str">
        <f t="shared" si="40"/>
        <v>Loss</v>
      </c>
      <c r="H509">
        <v>1</v>
      </c>
      <c r="K509" t="str">
        <f t="shared" si="36"/>
        <v>44_A</v>
      </c>
    </row>
    <row r="510" spans="1:11" x14ac:dyDescent="0.35">
      <c r="A510">
        <v>44</v>
      </c>
      <c r="B510" s="6">
        <v>46219</v>
      </c>
      <c r="C510" t="s">
        <v>25</v>
      </c>
      <c r="D510" t="s">
        <v>17</v>
      </c>
      <c r="E510">
        <f>IF(D510="A", INDEX(Matches!$E:$E, MATCH(A510, Matches!$A:$A, 0)), INDEX(Matches!$F:$F, MATCH(A510, Matches!$A:$A, 0)))</f>
        <v>8</v>
      </c>
      <c r="F510">
        <f>IF(D510="A", INDEX(Matches!$F:$F, MATCH(A510, Matches!$A:$A, 0)), INDEX(Matches!$E:$E, MATCH(A510, Matches!$A:$A, 0)))</f>
        <v>14</v>
      </c>
      <c r="G510" t="str">
        <f t="shared" si="40"/>
        <v>Loss</v>
      </c>
      <c r="H510">
        <v>3</v>
      </c>
      <c r="K510" t="str">
        <f t="shared" si="36"/>
        <v>44_A</v>
      </c>
    </row>
    <row r="511" spans="1:11" x14ac:dyDescent="0.35">
      <c r="A511">
        <v>44</v>
      </c>
      <c r="B511" s="6">
        <v>46219</v>
      </c>
      <c r="C511" t="s">
        <v>40</v>
      </c>
      <c r="D511" t="s">
        <v>17</v>
      </c>
      <c r="E511">
        <f>IF(D511="A", INDEX(Matches!$E:$E, MATCH(A511, Matches!$A:$A, 0)), INDEX(Matches!$F:$F, MATCH(A511, Matches!$A:$A, 0)))</f>
        <v>8</v>
      </c>
      <c r="F511">
        <f>IF(D511="A", INDEX(Matches!$F:$F, MATCH(A511, Matches!$A:$A, 0)), INDEX(Matches!$E:$E, MATCH(A511, Matches!$A:$A, 0)))</f>
        <v>14</v>
      </c>
      <c r="G511" t="str">
        <f t="shared" si="40"/>
        <v>Loss</v>
      </c>
      <c r="H511">
        <v>1</v>
      </c>
      <c r="K511" t="str">
        <f t="shared" si="36"/>
        <v>44_A</v>
      </c>
    </row>
    <row r="512" spans="1:11" x14ac:dyDescent="0.35">
      <c r="A512">
        <v>44</v>
      </c>
      <c r="B512" s="6">
        <v>46219</v>
      </c>
      <c r="C512" t="s">
        <v>41</v>
      </c>
      <c r="D512" t="s">
        <v>23</v>
      </c>
      <c r="E512">
        <f>IF(D512="A", INDEX(Matches!$E:$E, MATCH(A512, Matches!$A:$A, 0)), INDEX(Matches!$F:$F, MATCH(A512, Matches!$A:$A, 0)))</f>
        <v>14</v>
      </c>
      <c r="F512">
        <f>IF(D512="A", INDEX(Matches!$F:$F, MATCH(A512, Matches!$A:$A, 0)), INDEX(Matches!$E:$E, MATCH(A512, Matches!$A:$A, 0)))</f>
        <v>8</v>
      </c>
      <c r="G512" t="str">
        <f t="shared" si="40"/>
        <v>Win</v>
      </c>
      <c r="H512">
        <v>5</v>
      </c>
      <c r="K512" t="str">
        <f t="shared" si="36"/>
        <v>44_B</v>
      </c>
    </row>
    <row r="513" spans="1:11" x14ac:dyDescent="0.35">
      <c r="A513">
        <v>44</v>
      </c>
      <c r="B513" s="6">
        <v>46219</v>
      </c>
      <c r="C513" t="s">
        <v>98</v>
      </c>
      <c r="D513" t="s">
        <v>23</v>
      </c>
      <c r="E513">
        <f>IF(D513="A", INDEX(Matches!$E:$E, MATCH(A513, Matches!$A:$A, 0)), INDEX(Matches!$F:$F, MATCH(A513, Matches!$A:$A, 0)))</f>
        <v>14</v>
      </c>
      <c r="F513">
        <f>IF(D513="A", INDEX(Matches!$F:$F, MATCH(A513, Matches!$A:$A, 0)), INDEX(Matches!$E:$E, MATCH(A513, Matches!$A:$A, 0)))</f>
        <v>8</v>
      </c>
      <c r="G513" t="str">
        <f t="shared" si="40"/>
        <v>Win</v>
      </c>
      <c r="H513">
        <v>3</v>
      </c>
      <c r="I513">
        <v>1</v>
      </c>
      <c r="K513" t="str">
        <f t="shared" si="36"/>
        <v>44_B</v>
      </c>
    </row>
    <row r="514" spans="1:11" x14ac:dyDescent="0.35">
      <c r="A514">
        <v>44</v>
      </c>
      <c r="B514" s="6">
        <v>46219</v>
      </c>
      <c r="C514" t="s">
        <v>24</v>
      </c>
      <c r="D514" t="s">
        <v>23</v>
      </c>
      <c r="E514">
        <f>IF(D514="A", INDEX(Matches!$E:$E, MATCH(A514, Matches!$A:$A, 0)), INDEX(Matches!$F:$F, MATCH(A514, Matches!$A:$A, 0)))</f>
        <v>14</v>
      </c>
      <c r="F514">
        <f>IF(D514="A", INDEX(Matches!$F:$F, MATCH(A514, Matches!$A:$A, 0)), INDEX(Matches!$E:$E, MATCH(A514, Matches!$A:$A, 0)))</f>
        <v>8</v>
      </c>
      <c r="G514" t="str">
        <f t="shared" si="40"/>
        <v>Win</v>
      </c>
      <c r="H514">
        <v>2</v>
      </c>
      <c r="I514">
        <v>2</v>
      </c>
      <c r="K514" t="str">
        <f t="shared" si="36"/>
        <v>44_B</v>
      </c>
    </row>
    <row r="515" spans="1:11" x14ac:dyDescent="0.35">
      <c r="A515">
        <v>44</v>
      </c>
      <c r="B515" s="6">
        <v>46219</v>
      </c>
      <c r="C515" t="s">
        <v>120</v>
      </c>
      <c r="D515" t="s">
        <v>23</v>
      </c>
      <c r="E515">
        <f>IF(D515="A", INDEX(Matches!$E:$E, MATCH(A515, Matches!$A:$A, 0)), INDEX(Matches!$F:$F, MATCH(A515, Matches!$A:$A, 0)))</f>
        <v>14</v>
      </c>
      <c r="F515">
        <f>IF(D515="A", INDEX(Matches!$F:$F, MATCH(A515, Matches!$A:$A, 0)), INDEX(Matches!$E:$E, MATCH(A515, Matches!$A:$A, 0)))</f>
        <v>8</v>
      </c>
      <c r="G515" t="str">
        <f t="shared" si="40"/>
        <v>Win</v>
      </c>
      <c r="H515">
        <v>2</v>
      </c>
      <c r="I515">
        <v>4</v>
      </c>
      <c r="K515" t="str">
        <f t="shared" si="36"/>
        <v>44_B</v>
      </c>
    </row>
    <row r="516" spans="1:11" x14ac:dyDescent="0.35">
      <c r="A516">
        <v>44</v>
      </c>
      <c r="B516" s="6">
        <v>46219</v>
      </c>
      <c r="C516" t="s">
        <v>45</v>
      </c>
      <c r="D516" t="s">
        <v>23</v>
      </c>
      <c r="E516">
        <f>IF(D516="A", INDEX(Matches!$E:$E, MATCH(A516, Matches!$A:$A, 0)), INDEX(Matches!$F:$F, MATCH(A516, Matches!$A:$A, 0)))</f>
        <v>14</v>
      </c>
      <c r="F516">
        <f>IF(D516="A", INDEX(Matches!$F:$F, MATCH(A516, Matches!$A:$A, 0)), INDEX(Matches!$E:$E, MATCH(A516, Matches!$A:$A, 0)))</f>
        <v>8</v>
      </c>
      <c r="G516" t="str">
        <f t="shared" si="40"/>
        <v>Win</v>
      </c>
      <c r="H516">
        <v>2</v>
      </c>
      <c r="I516">
        <v>1</v>
      </c>
      <c r="K516" t="str">
        <f t="shared" si="36"/>
        <v>44_B</v>
      </c>
    </row>
    <row r="517" spans="1:11" x14ac:dyDescent="0.35">
      <c r="A517">
        <v>45</v>
      </c>
      <c r="B517" s="6">
        <v>46219</v>
      </c>
      <c r="C517" t="s">
        <v>19</v>
      </c>
      <c r="D517" t="s">
        <v>17</v>
      </c>
      <c r="E517">
        <f>IF(D517="A", INDEX(Matches!$E:$E, MATCH(A517, Matches!$A:$A, 0)), INDEX(Matches!$F:$F, MATCH(A517, Matches!$A:$A, 0)))</f>
        <v>14</v>
      </c>
      <c r="F517">
        <f>IF(D517="A", INDEX(Matches!$F:$F, MATCH(A517, Matches!$A:$A, 0)), INDEX(Matches!$E:$E, MATCH(A517, Matches!$A:$A, 0)))</f>
        <v>15</v>
      </c>
      <c r="G517" t="str">
        <f t="shared" si="40"/>
        <v>Loss</v>
      </c>
      <c r="H517">
        <v>2</v>
      </c>
      <c r="I517">
        <v>4</v>
      </c>
      <c r="K517" t="str">
        <f t="shared" si="36"/>
        <v>45_A</v>
      </c>
    </row>
    <row r="518" spans="1:11" x14ac:dyDescent="0.35">
      <c r="A518">
        <v>45</v>
      </c>
      <c r="B518" s="6">
        <v>46219</v>
      </c>
      <c r="C518" t="s">
        <v>20</v>
      </c>
      <c r="D518" t="s">
        <v>17</v>
      </c>
      <c r="E518">
        <f>IF(D518="A", INDEX(Matches!$E:$E, MATCH(A518, Matches!$A:$A, 0)), INDEX(Matches!$F:$F, MATCH(A518, Matches!$A:$A, 0)))</f>
        <v>14</v>
      </c>
      <c r="F518">
        <f>IF(D518="A", INDEX(Matches!$F:$F, MATCH(A518, Matches!$A:$A, 0)), INDEX(Matches!$E:$E, MATCH(A518, Matches!$A:$A, 0)))</f>
        <v>15</v>
      </c>
      <c r="G518" t="str">
        <f t="shared" si="40"/>
        <v>Loss</v>
      </c>
      <c r="H518">
        <v>1</v>
      </c>
      <c r="I518">
        <v>1</v>
      </c>
      <c r="K518" t="str">
        <f t="shared" si="36"/>
        <v>45_A</v>
      </c>
    </row>
    <row r="519" spans="1:11" x14ac:dyDescent="0.35">
      <c r="A519">
        <v>45</v>
      </c>
      <c r="B519" s="6">
        <v>46219</v>
      </c>
      <c r="C519" t="s">
        <v>52</v>
      </c>
      <c r="D519" t="s">
        <v>17</v>
      </c>
      <c r="E519">
        <f>IF(D519="A", INDEX(Matches!$E:$E, MATCH(A519, Matches!$A:$A, 0)), INDEX(Matches!$F:$F, MATCH(A519, Matches!$A:$A, 0)))</f>
        <v>14</v>
      </c>
      <c r="F519">
        <f>IF(D519="A", INDEX(Matches!$F:$F, MATCH(A519, Matches!$A:$A, 0)), INDEX(Matches!$E:$E, MATCH(A519, Matches!$A:$A, 0)))</f>
        <v>15</v>
      </c>
      <c r="G519" t="str">
        <f t="shared" si="40"/>
        <v>Loss</v>
      </c>
      <c r="H519">
        <v>5</v>
      </c>
      <c r="I519">
        <v>1</v>
      </c>
      <c r="K519" t="str">
        <f t="shared" si="36"/>
        <v>45_A</v>
      </c>
    </row>
    <row r="520" spans="1:11" x14ac:dyDescent="0.35">
      <c r="A520">
        <v>45</v>
      </c>
      <c r="B520" s="6">
        <v>46219</v>
      </c>
      <c r="C520" t="s">
        <v>89</v>
      </c>
      <c r="D520" t="s">
        <v>17</v>
      </c>
      <c r="E520">
        <f>IF(D520="A", INDEX(Matches!$E:$E, MATCH(A520, Matches!$A:$A, 0)), INDEX(Matches!$F:$F, MATCH(A520, Matches!$A:$A, 0)))</f>
        <v>14</v>
      </c>
      <c r="F520">
        <f>IF(D520="A", INDEX(Matches!$F:$F, MATCH(A520, Matches!$A:$A, 0)), INDEX(Matches!$E:$E, MATCH(A520, Matches!$A:$A, 0)))</f>
        <v>15</v>
      </c>
      <c r="G520" t="str">
        <f t="shared" si="40"/>
        <v>Loss</v>
      </c>
      <c r="H520">
        <v>4</v>
      </c>
      <c r="K520" t="str">
        <f t="shared" si="36"/>
        <v>45_A</v>
      </c>
    </row>
    <row r="521" spans="1:11" x14ac:dyDescent="0.35">
      <c r="A521">
        <v>45</v>
      </c>
      <c r="B521" s="6">
        <v>46219</v>
      </c>
      <c r="C521" t="s">
        <v>46</v>
      </c>
      <c r="D521" t="s">
        <v>17</v>
      </c>
      <c r="E521">
        <f>IF(D521="A", INDEX(Matches!$E:$E, MATCH(A521, Matches!$A:$A, 0)), INDEX(Matches!$F:$F, MATCH(A521, Matches!$A:$A, 0)))</f>
        <v>14</v>
      </c>
      <c r="F521">
        <f>IF(D521="A", INDEX(Matches!$F:$F, MATCH(A521, Matches!$A:$A, 0)), INDEX(Matches!$E:$E, MATCH(A521, Matches!$A:$A, 0)))</f>
        <v>15</v>
      </c>
      <c r="G521" t="str">
        <f t="shared" si="40"/>
        <v>Loss</v>
      </c>
      <c r="H521">
        <v>2</v>
      </c>
      <c r="I521">
        <v>1</v>
      </c>
      <c r="K521" t="str">
        <f t="shared" si="36"/>
        <v>45_A</v>
      </c>
    </row>
    <row r="522" spans="1:11" x14ac:dyDescent="0.35">
      <c r="A522">
        <v>45</v>
      </c>
      <c r="B522" s="6">
        <v>46219</v>
      </c>
      <c r="C522" t="s">
        <v>53</v>
      </c>
      <c r="D522" t="s">
        <v>23</v>
      </c>
      <c r="E522">
        <f>IF(D522="A", INDEX(Matches!$E:$E, MATCH(A522, Matches!$A:$A, 0)), INDEX(Matches!$F:$F, MATCH(A522, Matches!$A:$A, 0)))</f>
        <v>15</v>
      </c>
      <c r="F522">
        <f>IF(D522="A", INDEX(Matches!$F:$F, MATCH(A522, Matches!$A:$A, 0)), INDEX(Matches!$E:$E, MATCH(A522, Matches!$A:$A, 0)))</f>
        <v>14</v>
      </c>
      <c r="G522" t="str">
        <f t="shared" si="40"/>
        <v>Win</v>
      </c>
      <c r="H522">
        <v>1</v>
      </c>
      <c r="I522">
        <v>1</v>
      </c>
      <c r="K522" t="str">
        <f t="shared" ref="K522:K585" si="41">A522&amp;"_"&amp;D522</f>
        <v>45_B</v>
      </c>
    </row>
    <row r="523" spans="1:11" x14ac:dyDescent="0.35">
      <c r="A523">
        <v>45</v>
      </c>
      <c r="B523" s="6">
        <v>46219</v>
      </c>
      <c r="C523" t="s">
        <v>42</v>
      </c>
      <c r="D523" t="s">
        <v>23</v>
      </c>
      <c r="E523">
        <f>IF(D523="A", INDEX(Matches!$E:$E, MATCH(A523, Matches!$A:$A, 0)), INDEX(Matches!$F:$F, MATCH(A523, Matches!$A:$A, 0)))</f>
        <v>15</v>
      </c>
      <c r="F523">
        <f>IF(D523="A", INDEX(Matches!$F:$F, MATCH(A523, Matches!$A:$A, 0)), INDEX(Matches!$E:$E, MATCH(A523, Matches!$A:$A, 0)))</f>
        <v>14</v>
      </c>
      <c r="G523" t="str">
        <f t="shared" si="40"/>
        <v>Win</v>
      </c>
      <c r="H523">
        <v>3</v>
      </c>
      <c r="I523">
        <v>4</v>
      </c>
      <c r="K523" t="str">
        <f t="shared" si="41"/>
        <v>45_B</v>
      </c>
    </row>
    <row r="524" spans="1:11" x14ac:dyDescent="0.35">
      <c r="A524">
        <v>45</v>
      </c>
      <c r="B524" s="6">
        <v>46219</v>
      </c>
      <c r="C524" t="s">
        <v>75</v>
      </c>
      <c r="D524" t="s">
        <v>23</v>
      </c>
      <c r="E524">
        <f>IF(D524="A", INDEX(Matches!$E:$E, MATCH(A524, Matches!$A:$A, 0)), INDEX(Matches!$F:$F, MATCH(A524, Matches!$A:$A, 0)))</f>
        <v>15</v>
      </c>
      <c r="F524">
        <f>IF(D524="A", INDEX(Matches!$F:$F, MATCH(A524, Matches!$A:$A, 0)), INDEX(Matches!$E:$E, MATCH(A524, Matches!$A:$A, 0)))</f>
        <v>14</v>
      </c>
      <c r="G524" t="str">
        <f t="shared" si="40"/>
        <v>Win</v>
      </c>
      <c r="H524">
        <v>2</v>
      </c>
      <c r="I524">
        <v>2</v>
      </c>
      <c r="K524" t="str">
        <f t="shared" si="41"/>
        <v>45_B</v>
      </c>
    </row>
    <row r="525" spans="1:11" x14ac:dyDescent="0.35">
      <c r="A525">
        <v>45</v>
      </c>
      <c r="B525" s="6">
        <v>46219</v>
      </c>
      <c r="C525" t="s">
        <v>22</v>
      </c>
      <c r="D525" t="s">
        <v>23</v>
      </c>
      <c r="E525">
        <f>IF(D525="A", INDEX(Matches!$E:$E, MATCH(A525, Matches!$A:$A, 0)), INDEX(Matches!$F:$F, MATCH(A525, Matches!$A:$A, 0)))</f>
        <v>15</v>
      </c>
      <c r="F525">
        <f>IF(D525="A", INDEX(Matches!$F:$F, MATCH(A525, Matches!$A:$A, 0)), INDEX(Matches!$E:$E, MATCH(A525, Matches!$A:$A, 0)))</f>
        <v>14</v>
      </c>
      <c r="G525" t="str">
        <f t="shared" si="40"/>
        <v>Win</v>
      </c>
      <c r="H525">
        <v>7</v>
      </c>
      <c r="I525">
        <v>2</v>
      </c>
      <c r="K525" t="str">
        <f t="shared" si="41"/>
        <v>45_B</v>
      </c>
    </row>
    <row r="526" spans="1:11" x14ac:dyDescent="0.35">
      <c r="A526">
        <v>45</v>
      </c>
      <c r="B526" s="6">
        <v>46219</v>
      </c>
      <c r="C526" t="s">
        <v>21</v>
      </c>
      <c r="D526" t="s">
        <v>23</v>
      </c>
      <c r="E526">
        <f>IF(D526="A", INDEX(Matches!$E:$E, MATCH(A526, Matches!$A:$A, 0)), INDEX(Matches!$F:$F, MATCH(A526, Matches!$A:$A, 0)))</f>
        <v>15</v>
      </c>
      <c r="F526">
        <f>IF(D526="A", INDEX(Matches!$F:$F, MATCH(A526, Matches!$A:$A, 0)), INDEX(Matches!$E:$E, MATCH(A526, Matches!$A:$A, 0)))</f>
        <v>14</v>
      </c>
      <c r="G526" t="str">
        <f t="shared" si="40"/>
        <v>Win</v>
      </c>
      <c r="H526">
        <v>2</v>
      </c>
      <c r="K526" t="str">
        <f t="shared" si="41"/>
        <v>45_B</v>
      </c>
    </row>
    <row r="527" spans="1:11" x14ac:dyDescent="0.35">
      <c r="A527">
        <v>46</v>
      </c>
      <c r="B527" s="6">
        <v>46226</v>
      </c>
      <c r="C527" t="s">
        <v>75</v>
      </c>
      <c r="D527" t="s">
        <v>17</v>
      </c>
      <c r="E527">
        <f>IF(D527="A", INDEX(Matches!$E:$E, MATCH(A527, Matches!$A:$A, 0)), INDEX(Matches!$F:$F, MATCH(A527, Matches!$A:$A, 0)))</f>
        <v>4</v>
      </c>
      <c r="F527">
        <f>IF(D527="A", INDEX(Matches!$F:$F, MATCH(A527, Matches!$A:$A, 0)), INDEX(Matches!$E:$E, MATCH(A527, Matches!$A:$A, 0)))</f>
        <v>5</v>
      </c>
      <c r="G527" t="str">
        <f t="shared" ref="G527:G540" si="42">IF(E527&gt;F527,"Win",IF(E527&lt;F527,"Loss","Draw"))</f>
        <v>Loss</v>
      </c>
      <c r="H527">
        <v>1</v>
      </c>
      <c r="K527" t="str">
        <f t="shared" si="41"/>
        <v>46_A</v>
      </c>
    </row>
    <row r="528" spans="1:11" x14ac:dyDescent="0.35">
      <c r="A528">
        <v>46</v>
      </c>
      <c r="B528" s="6">
        <v>46226</v>
      </c>
      <c r="C528" t="s">
        <v>42</v>
      </c>
      <c r="D528" t="s">
        <v>17</v>
      </c>
      <c r="E528">
        <f>IF(D528="A", INDEX(Matches!$E:$E, MATCH(A528, Matches!$A:$A, 0)), INDEX(Matches!$F:$F, MATCH(A528, Matches!$A:$A, 0)))</f>
        <v>4</v>
      </c>
      <c r="F528">
        <f>IF(D528="A", INDEX(Matches!$F:$F, MATCH(A528, Matches!$A:$A, 0)), INDEX(Matches!$E:$E, MATCH(A528, Matches!$A:$A, 0)))</f>
        <v>5</v>
      </c>
      <c r="G528" t="str">
        <f t="shared" si="42"/>
        <v>Loss</v>
      </c>
      <c r="K528" t="str">
        <f t="shared" si="41"/>
        <v>46_A</v>
      </c>
    </row>
    <row r="529" spans="1:11" x14ac:dyDescent="0.35">
      <c r="A529">
        <v>46</v>
      </c>
      <c r="B529" s="6">
        <v>46226</v>
      </c>
      <c r="C529" t="s">
        <v>24</v>
      </c>
      <c r="D529" t="s">
        <v>17</v>
      </c>
      <c r="E529">
        <f>IF(D529="A", INDEX(Matches!$E:$E, MATCH(A529, Matches!$A:$A, 0)), INDEX(Matches!$F:$F, MATCH(A529, Matches!$A:$A, 0)))</f>
        <v>4</v>
      </c>
      <c r="F529">
        <f>IF(D529="A", INDEX(Matches!$F:$F, MATCH(A529, Matches!$A:$A, 0)), INDEX(Matches!$E:$E, MATCH(A529, Matches!$A:$A, 0)))</f>
        <v>5</v>
      </c>
      <c r="G529" t="str">
        <f t="shared" si="42"/>
        <v>Loss</v>
      </c>
      <c r="K529" t="str">
        <f t="shared" si="41"/>
        <v>46_A</v>
      </c>
    </row>
    <row r="530" spans="1:11" x14ac:dyDescent="0.35">
      <c r="A530">
        <v>46</v>
      </c>
      <c r="B530" s="6">
        <v>46226</v>
      </c>
      <c r="C530" t="s">
        <v>99</v>
      </c>
      <c r="D530" t="s">
        <v>17</v>
      </c>
      <c r="E530">
        <f>IF(D530="A", INDEX(Matches!$E:$E, MATCH(A530, Matches!$A:$A, 0)), INDEX(Matches!$F:$F, MATCH(A530, Matches!$A:$A, 0)))</f>
        <v>4</v>
      </c>
      <c r="F530">
        <f>IF(D530="A", INDEX(Matches!$F:$F, MATCH(A530, Matches!$A:$A, 0)), INDEX(Matches!$E:$E, MATCH(A530, Matches!$A:$A, 0)))</f>
        <v>5</v>
      </c>
      <c r="G530" t="str">
        <f t="shared" si="42"/>
        <v>Loss</v>
      </c>
      <c r="H530">
        <v>1</v>
      </c>
      <c r="K530" t="str">
        <f t="shared" si="41"/>
        <v>46_A</v>
      </c>
    </row>
    <row r="531" spans="1:11" x14ac:dyDescent="0.35">
      <c r="A531">
        <v>46</v>
      </c>
      <c r="B531" s="6">
        <v>46226</v>
      </c>
      <c r="C531" t="s">
        <v>52</v>
      </c>
      <c r="D531" t="s">
        <v>17</v>
      </c>
      <c r="E531">
        <f>IF(D531="A", INDEX(Matches!$E:$E, MATCH(A531, Matches!$A:$A, 0)), INDEX(Matches!$F:$F, MATCH(A531, Matches!$A:$A, 0)))</f>
        <v>4</v>
      </c>
      <c r="F531">
        <f>IF(D531="A", INDEX(Matches!$F:$F, MATCH(A531, Matches!$A:$A, 0)), INDEX(Matches!$E:$E, MATCH(A531, Matches!$A:$A, 0)))</f>
        <v>5</v>
      </c>
      <c r="G531" t="str">
        <f t="shared" si="42"/>
        <v>Loss</v>
      </c>
      <c r="H531">
        <v>1</v>
      </c>
      <c r="I531">
        <v>1</v>
      </c>
      <c r="K531" t="str">
        <f t="shared" si="41"/>
        <v>46_A</v>
      </c>
    </row>
    <row r="532" spans="1:11" x14ac:dyDescent="0.35">
      <c r="A532">
        <v>46</v>
      </c>
      <c r="B532" s="6">
        <v>46226</v>
      </c>
      <c r="C532" t="s">
        <v>121</v>
      </c>
      <c r="D532" t="s">
        <v>17</v>
      </c>
      <c r="E532">
        <f>IF(D532="A", INDEX(Matches!$E:$E, MATCH(A532, Matches!$A:$A, 0)), INDEX(Matches!$F:$F, MATCH(A532, Matches!$A:$A, 0)))</f>
        <v>4</v>
      </c>
      <c r="F532">
        <f>IF(D532="A", INDEX(Matches!$F:$F, MATCH(A532, Matches!$A:$A, 0)), INDEX(Matches!$E:$E, MATCH(A532, Matches!$A:$A, 0)))</f>
        <v>5</v>
      </c>
      <c r="G532" t="str">
        <f t="shared" si="42"/>
        <v>Loss</v>
      </c>
      <c r="K532" t="str">
        <f t="shared" si="41"/>
        <v>46_A</v>
      </c>
    </row>
    <row r="533" spans="1:11" x14ac:dyDescent="0.35">
      <c r="A533">
        <v>46</v>
      </c>
      <c r="B533" s="6">
        <v>46226</v>
      </c>
      <c r="C533" t="s">
        <v>89</v>
      </c>
      <c r="D533" t="s">
        <v>17</v>
      </c>
      <c r="E533">
        <f>IF(D533="A", INDEX(Matches!$E:$E, MATCH(A533, Matches!$A:$A, 0)), INDEX(Matches!$F:$F, MATCH(A533, Matches!$A:$A, 0)))</f>
        <v>4</v>
      </c>
      <c r="F533">
        <f>IF(D533="A", INDEX(Matches!$F:$F, MATCH(A533, Matches!$A:$A, 0)), INDEX(Matches!$E:$E, MATCH(A533, Matches!$A:$A, 0)))</f>
        <v>5</v>
      </c>
      <c r="G533" t="str">
        <f t="shared" si="42"/>
        <v>Loss</v>
      </c>
      <c r="H533">
        <v>1</v>
      </c>
      <c r="K533" t="str">
        <f t="shared" si="41"/>
        <v>46_A</v>
      </c>
    </row>
    <row r="534" spans="1:11" x14ac:dyDescent="0.35">
      <c r="A534">
        <v>46</v>
      </c>
      <c r="B534" s="6">
        <v>46226</v>
      </c>
      <c r="C534" t="s">
        <v>88</v>
      </c>
      <c r="D534" t="s">
        <v>23</v>
      </c>
      <c r="E534">
        <f>IF(D534="A", INDEX(Matches!$E:$E, MATCH(A534, Matches!$A:$A, 0)), INDEX(Matches!$F:$F, MATCH(A534, Matches!$A:$A, 0)))</f>
        <v>5</v>
      </c>
      <c r="F534">
        <f>IF(D534="A", INDEX(Matches!$F:$F, MATCH(A534, Matches!$A:$A, 0)), INDEX(Matches!$E:$E, MATCH(A534, Matches!$A:$A, 0)))</f>
        <v>4</v>
      </c>
      <c r="G534" t="str">
        <f t="shared" si="42"/>
        <v>Win</v>
      </c>
      <c r="I534">
        <v>1</v>
      </c>
      <c r="K534" t="str">
        <f t="shared" si="41"/>
        <v>46_B</v>
      </c>
    </row>
    <row r="535" spans="1:11" x14ac:dyDescent="0.35">
      <c r="A535">
        <v>46</v>
      </c>
      <c r="B535" s="6">
        <v>46226</v>
      </c>
      <c r="C535" t="s">
        <v>19</v>
      </c>
      <c r="D535" t="s">
        <v>23</v>
      </c>
      <c r="E535">
        <f>IF(D535="A", INDEX(Matches!$E:$E, MATCH(A535, Matches!$A:$A, 0)), INDEX(Matches!$F:$F, MATCH(A535, Matches!$A:$A, 0)))</f>
        <v>5</v>
      </c>
      <c r="F535">
        <f>IF(D535="A", INDEX(Matches!$F:$F, MATCH(A535, Matches!$A:$A, 0)), INDEX(Matches!$E:$E, MATCH(A535, Matches!$A:$A, 0)))</f>
        <v>4</v>
      </c>
      <c r="G535" t="str">
        <f t="shared" si="42"/>
        <v>Win</v>
      </c>
      <c r="H535">
        <v>2</v>
      </c>
      <c r="K535" t="str">
        <f t="shared" si="41"/>
        <v>46_B</v>
      </c>
    </row>
    <row r="536" spans="1:11" x14ac:dyDescent="0.35">
      <c r="A536">
        <v>46</v>
      </c>
      <c r="B536" s="6">
        <v>46226</v>
      </c>
      <c r="C536" t="s">
        <v>16</v>
      </c>
      <c r="D536" t="s">
        <v>23</v>
      </c>
      <c r="E536">
        <f>IF(D536="A", INDEX(Matches!$E:$E, MATCH(A536, Matches!$A:$A, 0)), INDEX(Matches!$F:$F, MATCH(A536, Matches!$A:$A, 0)))</f>
        <v>5</v>
      </c>
      <c r="F536">
        <f>IF(D536="A", INDEX(Matches!$F:$F, MATCH(A536, Matches!$A:$A, 0)), INDEX(Matches!$E:$E, MATCH(A536, Matches!$A:$A, 0)))</f>
        <v>4</v>
      </c>
      <c r="G536" t="str">
        <f t="shared" si="42"/>
        <v>Win</v>
      </c>
      <c r="K536" t="str">
        <f t="shared" si="41"/>
        <v>46_B</v>
      </c>
    </row>
    <row r="537" spans="1:11" x14ac:dyDescent="0.35">
      <c r="A537">
        <v>46</v>
      </c>
      <c r="B537" s="6">
        <v>46226</v>
      </c>
      <c r="C537" t="s">
        <v>54</v>
      </c>
      <c r="D537" t="s">
        <v>23</v>
      </c>
      <c r="E537">
        <f>IF(D537="A", INDEX(Matches!$E:$E, MATCH(A537, Matches!$A:$A, 0)), INDEX(Matches!$F:$F, MATCH(A537, Matches!$A:$A, 0)))</f>
        <v>5</v>
      </c>
      <c r="F537">
        <f>IF(D537="A", INDEX(Matches!$F:$F, MATCH(A537, Matches!$A:$A, 0)), INDEX(Matches!$E:$E, MATCH(A537, Matches!$A:$A, 0)))</f>
        <v>4</v>
      </c>
      <c r="G537" t="str">
        <f t="shared" si="42"/>
        <v>Win</v>
      </c>
      <c r="H537">
        <v>1</v>
      </c>
      <c r="K537" t="str">
        <f t="shared" si="41"/>
        <v>46_B</v>
      </c>
    </row>
    <row r="538" spans="1:11" x14ac:dyDescent="0.35">
      <c r="A538">
        <v>46</v>
      </c>
      <c r="B538" s="6">
        <v>46226</v>
      </c>
      <c r="C538" t="s">
        <v>66</v>
      </c>
      <c r="D538" t="s">
        <v>23</v>
      </c>
      <c r="E538">
        <f>IF(D538="A", INDEX(Matches!$E:$E, MATCH(A538, Matches!$A:$A, 0)), INDEX(Matches!$F:$F, MATCH(A538, Matches!$A:$A, 0)))</f>
        <v>5</v>
      </c>
      <c r="F538">
        <f>IF(D538="A", INDEX(Matches!$F:$F, MATCH(A538, Matches!$A:$A, 0)), INDEX(Matches!$E:$E, MATCH(A538, Matches!$A:$A, 0)))</f>
        <v>4</v>
      </c>
      <c r="G538" t="str">
        <f t="shared" si="42"/>
        <v>Win</v>
      </c>
      <c r="I538">
        <v>1</v>
      </c>
      <c r="K538" t="str">
        <f t="shared" si="41"/>
        <v>46_B</v>
      </c>
    </row>
    <row r="539" spans="1:11" x14ac:dyDescent="0.35">
      <c r="A539">
        <v>46</v>
      </c>
      <c r="B539" s="6">
        <v>46226</v>
      </c>
      <c r="C539" t="s">
        <v>22</v>
      </c>
      <c r="D539" t="s">
        <v>23</v>
      </c>
      <c r="E539">
        <f>IF(D539="A", INDEX(Matches!$E:$E, MATCH(A539, Matches!$A:$A, 0)), INDEX(Matches!$F:$F, MATCH(A539, Matches!$A:$A, 0)))</f>
        <v>5</v>
      </c>
      <c r="F539">
        <f>IF(D539="A", INDEX(Matches!$F:$F, MATCH(A539, Matches!$A:$A, 0)), INDEX(Matches!$E:$E, MATCH(A539, Matches!$A:$A, 0)))</f>
        <v>4</v>
      </c>
      <c r="G539" t="str">
        <f t="shared" si="42"/>
        <v>Win</v>
      </c>
      <c r="H539">
        <v>2</v>
      </c>
      <c r="I539">
        <v>2</v>
      </c>
      <c r="K539" t="str">
        <f t="shared" si="41"/>
        <v>46_B</v>
      </c>
    </row>
    <row r="540" spans="1:11" x14ac:dyDescent="0.35">
      <c r="A540">
        <v>46</v>
      </c>
      <c r="B540" s="6">
        <v>46226</v>
      </c>
      <c r="C540" t="s">
        <v>45</v>
      </c>
      <c r="D540" t="s">
        <v>23</v>
      </c>
      <c r="E540">
        <f>IF(D540="A", INDEX(Matches!$E:$E, MATCH(A540, Matches!$A:$A, 0)), INDEX(Matches!$F:$F, MATCH(A540, Matches!$A:$A, 0)))</f>
        <v>5</v>
      </c>
      <c r="F540">
        <f>IF(D540="A", INDEX(Matches!$F:$F, MATCH(A540, Matches!$A:$A, 0)), INDEX(Matches!$E:$E, MATCH(A540, Matches!$A:$A, 0)))</f>
        <v>4</v>
      </c>
      <c r="G540" t="str">
        <f t="shared" si="42"/>
        <v>Win</v>
      </c>
      <c r="K540" t="str">
        <f t="shared" si="41"/>
        <v>46_B</v>
      </c>
    </row>
    <row r="541" spans="1:11" x14ac:dyDescent="0.35">
      <c r="A541">
        <v>47</v>
      </c>
      <c r="B541" s="6">
        <v>46233</v>
      </c>
      <c r="C541" t="s">
        <v>25</v>
      </c>
      <c r="D541" t="s">
        <v>17</v>
      </c>
      <c r="E541">
        <f>IF(D541="A", INDEX(Matches!$E:$E, MATCH(A541, Matches!$A:$A, 0)), INDEX(Matches!$F:$F, MATCH(A541, Matches!$A:$A, 0)))</f>
        <v>10</v>
      </c>
      <c r="F541">
        <f>IF(D541="A", INDEX(Matches!$F:$F, MATCH(A541, Matches!$A:$A, 0)), INDEX(Matches!$E:$E, MATCH(A541, Matches!$A:$A, 0)))</f>
        <v>5</v>
      </c>
      <c r="G541" t="str">
        <f t="shared" ref="G541:G554" si="43">IF(E541&gt;F541,"Win",IF(E541&lt;F541,"Loss","Draw"))</f>
        <v>Win</v>
      </c>
      <c r="K541" t="str">
        <f t="shared" si="41"/>
        <v>47_A</v>
      </c>
    </row>
    <row r="542" spans="1:11" x14ac:dyDescent="0.35">
      <c r="A542">
        <v>47</v>
      </c>
      <c r="B542" s="6">
        <v>46233</v>
      </c>
      <c r="C542" t="s">
        <v>20</v>
      </c>
      <c r="D542" t="s">
        <v>17</v>
      </c>
      <c r="E542">
        <f>IF(D542="A", INDEX(Matches!$E:$E, MATCH(A542, Matches!$A:$A, 0)), INDEX(Matches!$F:$F, MATCH(A542, Matches!$A:$A, 0)))</f>
        <v>10</v>
      </c>
      <c r="F542">
        <f>IF(D542="A", INDEX(Matches!$F:$F, MATCH(A542, Matches!$A:$A, 0)), INDEX(Matches!$E:$E, MATCH(A542, Matches!$A:$A, 0)))</f>
        <v>5</v>
      </c>
      <c r="G542" t="str">
        <f t="shared" si="43"/>
        <v>Win</v>
      </c>
      <c r="K542" t="str">
        <f t="shared" si="41"/>
        <v>47_A</v>
      </c>
    </row>
    <row r="543" spans="1:11" x14ac:dyDescent="0.35">
      <c r="A543">
        <v>47</v>
      </c>
      <c r="B543" s="6">
        <v>46233</v>
      </c>
      <c r="C543" t="s">
        <v>84</v>
      </c>
      <c r="D543" t="s">
        <v>17</v>
      </c>
      <c r="E543">
        <f>IF(D543="A", INDEX(Matches!$E:$E, MATCH(A543, Matches!$A:$A, 0)), INDEX(Matches!$F:$F, MATCH(A543, Matches!$A:$A, 0)))</f>
        <v>10</v>
      </c>
      <c r="F543">
        <f>IF(D543="A", INDEX(Matches!$F:$F, MATCH(A543, Matches!$A:$A, 0)), INDEX(Matches!$E:$E, MATCH(A543, Matches!$A:$A, 0)))</f>
        <v>5</v>
      </c>
      <c r="G543" t="str">
        <f t="shared" si="43"/>
        <v>Win</v>
      </c>
      <c r="I543">
        <v>2</v>
      </c>
      <c r="K543" t="str">
        <f t="shared" si="41"/>
        <v>47_A</v>
      </c>
    </row>
    <row r="544" spans="1:11" x14ac:dyDescent="0.35">
      <c r="A544">
        <v>47</v>
      </c>
      <c r="B544" s="6">
        <v>46233</v>
      </c>
      <c r="C544" t="s">
        <v>89</v>
      </c>
      <c r="D544" t="s">
        <v>17</v>
      </c>
      <c r="E544">
        <f>IF(D544="A", INDEX(Matches!$E:$E, MATCH(A544, Matches!$A:$A, 0)), INDEX(Matches!$F:$F, MATCH(A544, Matches!$A:$A, 0)))</f>
        <v>10</v>
      </c>
      <c r="F544">
        <f>IF(D544="A", INDEX(Matches!$F:$F, MATCH(A544, Matches!$A:$A, 0)), INDEX(Matches!$E:$E, MATCH(A544, Matches!$A:$A, 0)))</f>
        <v>5</v>
      </c>
      <c r="G544" t="str">
        <f t="shared" si="43"/>
        <v>Win</v>
      </c>
      <c r="H544">
        <v>4</v>
      </c>
      <c r="I544">
        <v>1</v>
      </c>
      <c r="K544" t="str">
        <f t="shared" si="41"/>
        <v>47_A</v>
      </c>
    </row>
    <row r="545" spans="1:11" x14ac:dyDescent="0.35">
      <c r="A545">
        <v>47</v>
      </c>
      <c r="B545" s="6">
        <v>46233</v>
      </c>
      <c r="C545" t="s">
        <v>121</v>
      </c>
      <c r="D545" t="s">
        <v>17</v>
      </c>
      <c r="E545">
        <f>IF(D545="A", INDEX(Matches!$E:$E, MATCH(A545, Matches!$A:$A, 0)), INDEX(Matches!$F:$F, MATCH(A545, Matches!$A:$A, 0)))</f>
        <v>10</v>
      </c>
      <c r="F545">
        <f>IF(D545="A", INDEX(Matches!$F:$F, MATCH(A545, Matches!$A:$A, 0)), INDEX(Matches!$E:$E, MATCH(A545, Matches!$A:$A, 0)))</f>
        <v>5</v>
      </c>
      <c r="G545" t="str">
        <f t="shared" si="43"/>
        <v>Win</v>
      </c>
      <c r="H545">
        <v>5</v>
      </c>
      <c r="K545" t="str">
        <f t="shared" si="41"/>
        <v>47_A</v>
      </c>
    </row>
    <row r="546" spans="1:11" x14ac:dyDescent="0.35">
      <c r="A546">
        <v>47</v>
      </c>
      <c r="B546" s="6">
        <v>46233</v>
      </c>
      <c r="C546" t="s">
        <v>45</v>
      </c>
      <c r="D546" t="s">
        <v>17</v>
      </c>
      <c r="E546">
        <f>IF(D546="A", INDEX(Matches!$E:$E, MATCH(A546, Matches!$A:$A, 0)), INDEX(Matches!$F:$F, MATCH(A546, Matches!$A:$A, 0)))</f>
        <v>10</v>
      </c>
      <c r="F546">
        <f>IF(D546="A", INDEX(Matches!$F:$F, MATCH(A546, Matches!$A:$A, 0)), INDEX(Matches!$E:$E, MATCH(A546, Matches!$A:$A, 0)))</f>
        <v>5</v>
      </c>
      <c r="G546" t="str">
        <f t="shared" si="43"/>
        <v>Win</v>
      </c>
      <c r="K546" t="str">
        <f t="shared" si="41"/>
        <v>47_A</v>
      </c>
    </row>
    <row r="547" spans="1:11" x14ac:dyDescent="0.35">
      <c r="A547">
        <v>47</v>
      </c>
      <c r="B547" s="6">
        <v>46233</v>
      </c>
      <c r="C547" t="s">
        <v>22</v>
      </c>
      <c r="D547" t="s">
        <v>17</v>
      </c>
      <c r="E547">
        <f>IF(D547="A", INDEX(Matches!$E:$E, MATCH(A547, Matches!$A:$A, 0)), INDEX(Matches!$F:$F, MATCH(A547, Matches!$A:$A, 0)))</f>
        <v>10</v>
      </c>
      <c r="F547">
        <f>IF(D547="A", INDEX(Matches!$F:$F, MATCH(A547, Matches!$A:$A, 0)), INDEX(Matches!$E:$E, MATCH(A547, Matches!$A:$A, 0)))</f>
        <v>5</v>
      </c>
      <c r="G547" t="str">
        <f t="shared" si="43"/>
        <v>Win</v>
      </c>
      <c r="H547">
        <v>1</v>
      </c>
      <c r="I547">
        <v>1</v>
      </c>
      <c r="K547" t="str">
        <f t="shared" si="41"/>
        <v>47_A</v>
      </c>
    </row>
    <row r="548" spans="1:11" x14ac:dyDescent="0.35">
      <c r="A548">
        <v>47</v>
      </c>
      <c r="B548" s="6">
        <v>46233</v>
      </c>
      <c r="C548" t="s">
        <v>53</v>
      </c>
      <c r="D548" t="s">
        <v>23</v>
      </c>
      <c r="E548">
        <f>IF(D548="A", INDEX(Matches!$E:$E, MATCH(A548, Matches!$A:$A, 0)), INDEX(Matches!$F:$F, MATCH(A548, Matches!$A:$A, 0)))</f>
        <v>5</v>
      </c>
      <c r="F548">
        <f>IF(D548="A", INDEX(Matches!$F:$F, MATCH(A548, Matches!$A:$A, 0)), INDEX(Matches!$E:$E, MATCH(A548, Matches!$A:$A, 0)))</f>
        <v>10</v>
      </c>
      <c r="G548" t="str">
        <f t="shared" si="43"/>
        <v>Loss</v>
      </c>
      <c r="K548" t="str">
        <f t="shared" si="41"/>
        <v>47_B</v>
      </c>
    </row>
    <row r="549" spans="1:11" x14ac:dyDescent="0.35">
      <c r="A549">
        <v>47</v>
      </c>
      <c r="B549" s="6">
        <v>46233</v>
      </c>
      <c r="C549" t="s">
        <v>88</v>
      </c>
      <c r="D549" t="s">
        <v>23</v>
      </c>
      <c r="E549">
        <f>IF(D549="A", INDEX(Matches!$E:$E, MATCH(A549, Matches!$A:$A, 0)), INDEX(Matches!$F:$F, MATCH(A549, Matches!$A:$A, 0)))</f>
        <v>5</v>
      </c>
      <c r="F549">
        <f>IF(D549="A", INDEX(Matches!$F:$F, MATCH(A549, Matches!$A:$A, 0)), INDEX(Matches!$E:$E, MATCH(A549, Matches!$A:$A, 0)))</f>
        <v>10</v>
      </c>
      <c r="G549" t="str">
        <f t="shared" si="43"/>
        <v>Loss</v>
      </c>
      <c r="K549" t="str">
        <f t="shared" si="41"/>
        <v>47_B</v>
      </c>
    </row>
    <row r="550" spans="1:11" x14ac:dyDescent="0.35">
      <c r="A550">
        <v>47</v>
      </c>
      <c r="B550" s="6">
        <v>46233</v>
      </c>
      <c r="C550" t="s">
        <v>40</v>
      </c>
      <c r="D550" t="s">
        <v>23</v>
      </c>
      <c r="E550">
        <f>IF(D550="A", INDEX(Matches!$E:$E, MATCH(A550, Matches!$A:$A, 0)), INDEX(Matches!$F:$F, MATCH(A550, Matches!$A:$A, 0)))</f>
        <v>5</v>
      </c>
      <c r="F550">
        <f>IF(D550="A", INDEX(Matches!$F:$F, MATCH(A550, Matches!$A:$A, 0)), INDEX(Matches!$E:$E, MATCH(A550, Matches!$A:$A, 0)))</f>
        <v>10</v>
      </c>
      <c r="G550" t="str">
        <f t="shared" si="43"/>
        <v>Loss</v>
      </c>
      <c r="I550">
        <v>1</v>
      </c>
      <c r="K550" t="str">
        <f t="shared" si="41"/>
        <v>47_B</v>
      </c>
    </row>
    <row r="551" spans="1:11" x14ac:dyDescent="0.35">
      <c r="A551">
        <v>47</v>
      </c>
      <c r="B551" s="6">
        <v>46233</v>
      </c>
      <c r="C551" t="s">
        <v>99</v>
      </c>
      <c r="D551" t="s">
        <v>23</v>
      </c>
      <c r="E551">
        <f>IF(D551="A", INDEX(Matches!$E:$E, MATCH(A551, Matches!$A:$A, 0)), INDEX(Matches!$F:$F, MATCH(A551, Matches!$A:$A, 0)))</f>
        <v>5</v>
      </c>
      <c r="F551">
        <f>IF(D551="A", INDEX(Matches!$F:$F, MATCH(A551, Matches!$A:$A, 0)), INDEX(Matches!$E:$E, MATCH(A551, Matches!$A:$A, 0)))</f>
        <v>10</v>
      </c>
      <c r="G551" t="str">
        <f t="shared" si="43"/>
        <v>Loss</v>
      </c>
      <c r="K551" t="str">
        <f t="shared" si="41"/>
        <v>47_B</v>
      </c>
    </row>
    <row r="552" spans="1:11" x14ac:dyDescent="0.35">
      <c r="A552">
        <v>47</v>
      </c>
      <c r="B552" s="6">
        <v>46233</v>
      </c>
      <c r="C552" t="s">
        <v>52</v>
      </c>
      <c r="D552" t="s">
        <v>23</v>
      </c>
      <c r="E552">
        <f>IF(D552="A", INDEX(Matches!$E:$E, MATCH(A552, Matches!$A:$A, 0)), INDEX(Matches!$F:$F, MATCH(A552, Matches!$A:$A, 0)))</f>
        <v>5</v>
      </c>
      <c r="F552">
        <f>IF(D552="A", INDEX(Matches!$F:$F, MATCH(A552, Matches!$A:$A, 0)), INDEX(Matches!$E:$E, MATCH(A552, Matches!$A:$A, 0)))</f>
        <v>10</v>
      </c>
      <c r="G552" t="str">
        <f t="shared" si="43"/>
        <v>Loss</v>
      </c>
      <c r="H552">
        <v>1</v>
      </c>
      <c r="K552" t="str">
        <f t="shared" si="41"/>
        <v>47_B</v>
      </c>
    </row>
    <row r="553" spans="1:11" x14ac:dyDescent="0.35">
      <c r="A553">
        <v>47</v>
      </c>
      <c r="B553" s="6">
        <v>46233</v>
      </c>
      <c r="C553" t="s">
        <v>66</v>
      </c>
      <c r="D553" t="s">
        <v>23</v>
      </c>
      <c r="E553">
        <f>IF(D553="A", INDEX(Matches!$E:$E, MATCH(A553, Matches!$A:$A, 0)), INDEX(Matches!$F:$F, MATCH(A553, Matches!$A:$A, 0)))</f>
        <v>5</v>
      </c>
      <c r="F553">
        <f>IF(D553="A", INDEX(Matches!$F:$F, MATCH(A553, Matches!$A:$A, 0)), INDEX(Matches!$E:$E, MATCH(A553, Matches!$A:$A, 0)))</f>
        <v>10</v>
      </c>
      <c r="G553" t="str">
        <f t="shared" si="43"/>
        <v>Loss</v>
      </c>
      <c r="H553">
        <v>1</v>
      </c>
      <c r="K553" t="str">
        <f t="shared" si="41"/>
        <v>47_B</v>
      </c>
    </row>
    <row r="554" spans="1:11" x14ac:dyDescent="0.35">
      <c r="A554">
        <v>47</v>
      </c>
      <c r="B554" s="6">
        <v>46233</v>
      </c>
      <c r="C554" t="s">
        <v>42</v>
      </c>
      <c r="D554" t="s">
        <v>23</v>
      </c>
      <c r="E554">
        <f>IF(D554="A", INDEX(Matches!$E:$E, MATCH(A554, Matches!$A:$A, 0)), INDEX(Matches!$F:$F, MATCH(A554, Matches!$A:$A, 0)))</f>
        <v>5</v>
      </c>
      <c r="F554">
        <f>IF(D554="A", INDEX(Matches!$F:$F, MATCH(A554, Matches!$A:$A, 0)), INDEX(Matches!$E:$E, MATCH(A554, Matches!$A:$A, 0)))</f>
        <v>10</v>
      </c>
      <c r="G554" t="str">
        <f t="shared" si="43"/>
        <v>Loss</v>
      </c>
      <c r="H554">
        <v>3</v>
      </c>
      <c r="K554" t="str">
        <f t="shared" si="41"/>
        <v>47_B</v>
      </c>
    </row>
    <row r="555" spans="1:11" x14ac:dyDescent="0.35">
      <c r="A555">
        <v>48</v>
      </c>
      <c r="B555" s="6">
        <v>46240</v>
      </c>
      <c r="C555" t="s">
        <v>16</v>
      </c>
      <c r="D555" t="s">
        <v>17</v>
      </c>
      <c r="E555">
        <f>IF(D555="A", INDEX(Matches!$E:$E, MATCH(A555, Matches!$A:$A, 0)), INDEX(Matches!$F:$F, MATCH(A555, Matches!$A:$A, 0)))</f>
        <v>12</v>
      </c>
      <c r="F555">
        <f>IF(D555="A", INDEX(Matches!$F:$F, MATCH(A555, Matches!$A:$A, 0)), INDEX(Matches!$E:$E, MATCH(A555, Matches!$A:$A, 0)))</f>
        <v>10</v>
      </c>
      <c r="G555" t="str">
        <f t="shared" ref="G555:G574" si="44">IF(E555&gt;F555,"Win",IF(E555&lt;F555,"Loss","Draw"))</f>
        <v>Win</v>
      </c>
      <c r="H555">
        <v>3</v>
      </c>
      <c r="I555">
        <v>2</v>
      </c>
      <c r="K555" t="str">
        <f t="shared" si="41"/>
        <v>48_A</v>
      </c>
    </row>
    <row r="556" spans="1:11" x14ac:dyDescent="0.35">
      <c r="A556">
        <v>48</v>
      </c>
      <c r="B556" s="6">
        <v>46240</v>
      </c>
      <c r="C556" t="s">
        <v>25</v>
      </c>
      <c r="D556" t="s">
        <v>17</v>
      </c>
      <c r="E556">
        <f>IF(D556="A", INDEX(Matches!$E:$E, MATCH(A556, Matches!$A:$A, 0)), INDEX(Matches!$F:$F, MATCH(A556, Matches!$A:$A, 0)))</f>
        <v>12</v>
      </c>
      <c r="F556">
        <f>IF(D556="A", INDEX(Matches!$F:$F, MATCH(A556, Matches!$A:$A, 0)), INDEX(Matches!$E:$E, MATCH(A556, Matches!$A:$A, 0)))</f>
        <v>10</v>
      </c>
      <c r="G556" t="str">
        <f t="shared" si="44"/>
        <v>Win</v>
      </c>
      <c r="K556" t="str">
        <f t="shared" si="41"/>
        <v>48_A</v>
      </c>
    </row>
    <row r="557" spans="1:11" x14ac:dyDescent="0.35">
      <c r="A557">
        <v>48</v>
      </c>
      <c r="B557" s="6">
        <v>46240</v>
      </c>
      <c r="C557" t="s">
        <v>42</v>
      </c>
      <c r="D557" t="s">
        <v>17</v>
      </c>
      <c r="E557">
        <f>IF(D557="A", INDEX(Matches!$E:$E, MATCH(A557, Matches!$A:$A, 0)), INDEX(Matches!$F:$F, MATCH(A557, Matches!$A:$A, 0)))</f>
        <v>12</v>
      </c>
      <c r="F557">
        <f>IF(D557="A", INDEX(Matches!$F:$F, MATCH(A557, Matches!$A:$A, 0)), INDEX(Matches!$E:$E, MATCH(A557, Matches!$A:$A, 0)))</f>
        <v>10</v>
      </c>
      <c r="G557" t="str">
        <f t="shared" si="44"/>
        <v>Win</v>
      </c>
      <c r="H557">
        <v>3</v>
      </c>
      <c r="I557">
        <v>2</v>
      </c>
      <c r="K557" t="str">
        <f t="shared" si="41"/>
        <v>48_A</v>
      </c>
    </row>
    <row r="558" spans="1:11" x14ac:dyDescent="0.35">
      <c r="A558">
        <v>48</v>
      </c>
      <c r="B558" s="6">
        <v>46240</v>
      </c>
      <c r="C558" t="s">
        <v>45</v>
      </c>
      <c r="D558" t="s">
        <v>17</v>
      </c>
      <c r="E558">
        <f>IF(D558="A", INDEX(Matches!$E:$E, MATCH(A558, Matches!$A:$A, 0)), INDEX(Matches!$F:$F, MATCH(A558, Matches!$A:$A, 0)))</f>
        <v>12</v>
      </c>
      <c r="F558">
        <f>IF(D558="A", INDEX(Matches!$F:$F, MATCH(A558, Matches!$A:$A, 0)), INDEX(Matches!$E:$E, MATCH(A558, Matches!$A:$A, 0)))</f>
        <v>10</v>
      </c>
      <c r="G558" t="str">
        <f t="shared" si="44"/>
        <v>Win</v>
      </c>
      <c r="K558" t="str">
        <f t="shared" si="41"/>
        <v>48_A</v>
      </c>
    </row>
    <row r="559" spans="1:11" x14ac:dyDescent="0.35">
      <c r="A559">
        <v>48</v>
      </c>
      <c r="B559" s="6">
        <v>46240</v>
      </c>
      <c r="C559" t="s">
        <v>66</v>
      </c>
      <c r="D559" t="s">
        <v>17</v>
      </c>
      <c r="E559">
        <f>IF(D559="A", INDEX(Matches!$E:$E, MATCH(A559, Matches!$A:$A, 0)), INDEX(Matches!$F:$F, MATCH(A559, Matches!$A:$A, 0)))</f>
        <v>12</v>
      </c>
      <c r="F559">
        <f>IF(D559="A", INDEX(Matches!$F:$F, MATCH(A559, Matches!$A:$A, 0)), INDEX(Matches!$E:$E, MATCH(A559, Matches!$A:$A, 0)))</f>
        <v>10</v>
      </c>
      <c r="G559" t="str">
        <f t="shared" si="44"/>
        <v>Win</v>
      </c>
      <c r="H559">
        <v>6</v>
      </c>
      <c r="I559">
        <v>3</v>
      </c>
      <c r="K559" t="str">
        <f t="shared" si="41"/>
        <v>48_A</v>
      </c>
    </row>
    <row r="560" spans="1:11" x14ac:dyDescent="0.35">
      <c r="A560">
        <v>48</v>
      </c>
      <c r="B560" s="6">
        <v>46240</v>
      </c>
      <c r="C560" t="s">
        <v>51</v>
      </c>
      <c r="D560" t="s">
        <v>23</v>
      </c>
      <c r="E560">
        <f>IF(D560="A", INDEX(Matches!$E:$E, MATCH(A560, Matches!$A:$A, 0)), INDEX(Matches!$F:$F, MATCH(A560, Matches!$A:$A, 0)))</f>
        <v>10</v>
      </c>
      <c r="F560">
        <f>IF(D560="A", INDEX(Matches!$F:$F, MATCH(A560, Matches!$A:$A, 0)), INDEX(Matches!$E:$E, MATCH(A560, Matches!$A:$A, 0)))</f>
        <v>12</v>
      </c>
      <c r="G560" t="str">
        <f t="shared" si="44"/>
        <v>Loss</v>
      </c>
      <c r="I560">
        <v>1</v>
      </c>
      <c r="K560" t="str">
        <f t="shared" si="41"/>
        <v>48_B</v>
      </c>
    </row>
    <row r="561" spans="1:11" x14ac:dyDescent="0.35">
      <c r="A561">
        <v>48</v>
      </c>
      <c r="B561" s="6">
        <v>46240</v>
      </c>
      <c r="C561" t="s">
        <v>53</v>
      </c>
      <c r="D561" t="s">
        <v>23</v>
      </c>
      <c r="E561">
        <f>IF(D561="A", INDEX(Matches!$E:$E, MATCH(A561, Matches!$A:$A, 0)), INDEX(Matches!$F:$F, MATCH(A561, Matches!$A:$A, 0)))</f>
        <v>10</v>
      </c>
      <c r="F561">
        <f>IF(D561="A", INDEX(Matches!$F:$F, MATCH(A561, Matches!$A:$A, 0)), INDEX(Matches!$E:$E, MATCH(A561, Matches!$A:$A, 0)))</f>
        <v>12</v>
      </c>
      <c r="G561" t="str">
        <f t="shared" si="44"/>
        <v>Loss</v>
      </c>
      <c r="H561">
        <v>2</v>
      </c>
      <c r="I561">
        <v>3</v>
      </c>
      <c r="K561" t="str">
        <f t="shared" si="41"/>
        <v>48_B</v>
      </c>
    </row>
    <row r="562" spans="1:11" x14ac:dyDescent="0.35">
      <c r="A562">
        <v>48</v>
      </c>
      <c r="B562" s="6">
        <v>46240</v>
      </c>
      <c r="C562" t="s">
        <v>46</v>
      </c>
      <c r="D562" t="s">
        <v>23</v>
      </c>
      <c r="E562">
        <f>IF(D562="A", INDEX(Matches!$E:$E, MATCH(A562, Matches!$A:$A, 0)), INDEX(Matches!$F:$F, MATCH(A562, Matches!$A:$A, 0)))</f>
        <v>10</v>
      </c>
      <c r="F562">
        <f>IF(D562="A", INDEX(Matches!$F:$F, MATCH(A562, Matches!$A:$A, 0)), INDEX(Matches!$E:$E, MATCH(A562, Matches!$A:$A, 0)))</f>
        <v>12</v>
      </c>
      <c r="G562" t="str">
        <f t="shared" si="44"/>
        <v>Loss</v>
      </c>
      <c r="H562">
        <v>5</v>
      </c>
      <c r="K562" t="str">
        <f t="shared" si="41"/>
        <v>48_B</v>
      </c>
    </row>
    <row r="563" spans="1:11" x14ac:dyDescent="0.35">
      <c r="A563">
        <v>48</v>
      </c>
      <c r="B563" s="6">
        <v>46240</v>
      </c>
      <c r="C563" t="s">
        <v>19</v>
      </c>
      <c r="D563" t="s">
        <v>23</v>
      </c>
      <c r="E563">
        <f>IF(D563="A", INDEX(Matches!$E:$E, MATCH(A563, Matches!$A:$A, 0)), INDEX(Matches!$F:$F, MATCH(A563, Matches!$A:$A, 0)))</f>
        <v>10</v>
      </c>
      <c r="F563">
        <f>IF(D563="A", INDEX(Matches!$F:$F, MATCH(A563, Matches!$A:$A, 0)), INDEX(Matches!$E:$E, MATCH(A563, Matches!$A:$A, 0)))</f>
        <v>12</v>
      </c>
      <c r="G563" t="str">
        <f t="shared" si="44"/>
        <v>Loss</v>
      </c>
      <c r="I563">
        <v>2</v>
      </c>
      <c r="K563" t="str">
        <f t="shared" si="41"/>
        <v>48_B</v>
      </c>
    </row>
    <row r="564" spans="1:11" x14ac:dyDescent="0.35">
      <c r="A564">
        <v>48</v>
      </c>
      <c r="B564" s="6">
        <v>46240</v>
      </c>
      <c r="C564" t="s">
        <v>52</v>
      </c>
      <c r="D564" t="s">
        <v>23</v>
      </c>
      <c r="E564">
        <f>IF(D564="A", INDEX(Matches!$E:$E, MATCH(A564, Matches!$A:$A, 0)), INDEX(Matches!$F:$F, MATCH(A564, Matches!$A:$A, 0)))</f>
        <v>10</v>
      </c>
      <c r="F564">
        <f>IF(D564="A", INDEX(Matches!$F:$F, MATCH(A564, Matches!$A:$A, 0)), INDEX(Matches!$E:$E, MATCH(A564, Matches!$A:$A, 0)))</f>
        <v>12</v>
      </c>
      <c r="G564" t="str">
        <f t="shared" si="44"/>
        <v>Loss</v>
      </c>
      <c r="H564">
        <v>3</v>
      </c>
      <c r="I564">
        <v>2</v>
      </c>
      <c r="K564" t="str">
        <f t="shared" si="41"/>
        <v>48_B</v>
      </c>
    </row>
    <row r="565" spans="1:11" x14ac:dyDescent="0.35">
      <c r="A565">
        <v>49</v>
      </c>
      <c r="B565" s="6">
        <v>46240</v>
      </c>
      <c r="C565" t="s">
        <v>22</v>
      </c>
      <c r="D565" t="s">
        <v>17</v>
      </c>
      <c r="E565">
        <f>IF(D565="A", INDEX(Matches!$E:$E, MATCH(A565, Matches!$A:$A, 0)), INDEX(Matches!$F:$F, MATCH(A565, Matches!$A:$A, 0)))</f>
        <v>11</v>
      </c>
      <c r="F565">
        <f>IF(D565="A", INDEX(Matches!$F:$F, MATCH(A565, Matches!$A:$A, 0)), INDEX(Matches!$E:$E, MATCH(A565, Matches!$A:$A, 0)))</f>
        <v>8</v>
      </c>
      <c r="G565" t="str">
        <f t="shared" si="44"/>
        <v>Win</v>
      </c>
      <c r="H565">
        <v>1</v>
      </c>
      <c r="I565">
        <v>2</v>
      </c>
      <c r="K565" t="str">
        <f t="shared" si="41"/>
        <v>49_A</v>
      </c>
    </row>
    <row r="566" spans="1:11" x14ac:dyDescent="0.35">
      <c r="A566">
        <v>49</v>
      </c>
      <c r="B566" s="6">
        <v>46240</v>
      </c>
      <c r="C566" t="s">
        <v>121</v>
      </c>
      <c r="D566" t="s">
        <v>17</v>
      </c>
      <c r="E566">
        <f>IF(D566="A", INDEX(Matches!$E:$E, MATCH(A566, Matches!$A:$A, 0)), INDEX(Matches!$F:$F, MATCH(A566, Matches!$A:$A, 0)))</f>
        <v>11</v>
      </c>
      <c r="F566">
        <f>IF(D566="A", INDEX(Matches!$F:$F, MATCH(A566, Matches!$A:$A, 0)), INDEX(Matches!$E:$E, MATCH(A566, Matches!$A:$A, 0)))</f>
        <v>8</v>
      </c>
      <c r="G566" t="str">
        <f t="shared" si="44"/>
        <v>Win</v>
      </c>
      <c r="H566">
        <v>2</v>
      </c>
      <c r="K566" t="str">
        <f t="shared" si="41"/>
        <v>49_A</v>
      </c>
    </row>
    <row r="567" spans="1:11" x14ac:dyDescent="0.35">
      <c r="A567">
        <v>49</v>
      </c>
      <c r="B567" s="6">
        <v>46240</v>
      </c>
      <c r="C567" t="s">
        <v>75</v>
      </c>
      <c r="D567" t="s">
        <v>17</v>
      </c>
      <c r="E567">
        <f>IF(D567="A", INDEX(Matches!$E:$E, MATCH(A567, Matches!$A:$A, 0)), INDEX(Matches!$F:$F, MATCH(A567, Matches!$A:$A, 0)))</f>
        <v>11</v>
      </c>
      <c r="F567">
        <f>IF(D567="A", INDEX(Matches!$F:$F, MATCH(A567, Matches!$A:$A, 0)), INDEX(Matches!$E:$E, MATCH(A567, Matches!$A:$A, 0)))</f>
        <v>8</v>
      </c>
      <c r="G567" t="str">
        <f t="shared" si="44"/>
        <v>Win</v>
      </c>
      <c r="H567">
        <v>5</v>
      </c>
      <c r="K567" t="str">
        <f t="shared" si="41"/>
        <v>49_A</v>
      </c>
    </row>
    <row r="568" spans="1:11" x14ac:dyDescent="0.35">
      <c r="A568">
        <v>49</v>
      </c>
      <c r="B568" s="6">
        <v>46240</v>
      </c>
      <c r="C568" t="s">
        <v>88</v>
      </c>
      <c r="D568" t="s">
        <v>17</v>
      </c>
      <c r="E568">
        <f>IF(D568="A", INDEX(Matches!$E:$E, MATCH(A568, Matches!$A:$A, 0)), INDEX(Matches!$F:$F, MATCH(A568, Matches!$A:$A, 0)))</f>
        <v>11</v>
      </c>
      <c r="F568">
        <f>IF(D568="A", INDEX(Matches!$F:$F, MATCH(A568, Matches!$A:$A, 0)), INDEX(Matches!$E:$E, MATCH(A568, Matches!$A:$A, 0)))</f>
        <v>8</v>
      </c>
      <c r="G568" t="str">
        <f t="shared" si="44"/>
        <v>Win</v>
      </c>
      <c r="H568">
        <v>2</v>
      </c>
      <c r="I568">
        <v>1</v>
      </c>
      <c r="K568" t="str">
        <f t="shared" si="41"/>
        <v>49_A</v>
      </c>
    </row>
    <row r="569" spans="1:11" x14ac:dyDescent="0.35">
      <c r="A569">
        <v>49</v>
      </c>
      <c r="B569" s="6">
        <v>46240</v>
      </c>
      <c r="C569" t="s">
        <v>40</v>
      </c>
      <c r="D569" t="s">
        <v>17</v>
      </c>
      <c r="E569">
        <f>IF(D569="A", INDEX(Matches!$E:$E, MATCH(A569, Matches!$A:$A, 0)), INDEX(Matches!$F:$F, MATCH(A569, Matches!$A:$A, 0)))</f>
        <v>11</v>
      </c>
      <c r="F569">
        <f>IF(D569="A", INDEX(Matches!$F:$F, MATCH(A569, Matches!$A:$A, 0)), INDEX(Matches!$E:$E, MATCH(A569, Matches!$A:$A, 0)))</f>
        <v>8</v>
      </c>
      <c r="G569" t="str">
        <f t="shared" si="44"/>
        <v>Win</v>
      </c>
      <c r="H569">
        <v>1</v>
      </c>
      <c r="K569" t="str">
        <f t="shared" si="41"/>
        <v>49_A</v>
      </c>
    </row>
    <row r="570" spans="1:11" x14ac:dyDescent="0.35">
      <c r="A570">
        <v>49</v>
      </c>
      <c r="B570" s="6">
        <v>46240</v>
      </c>
      <c r="C570" t="s">
        <v>89</v>
      </c>
      <c r="D570" t="s">
        <v>23</v>
      </c>
      <c r="E570">
        <f>IF(D570="A", INDEX(Matches!$E:$E, MATCH(A570, Matches!$A:$A, 0)), INDEX(Matches!$F:$F, MATCH(A570, Matches!$A:$A, 0)))</f>
        <v>8</v>
      </c>
      <c r="F570">
        <f>IF(D570="A", INDEX(Matches!$F:$F, MATCH(A570, Matches!$A:$A, 0)), INDEX(Matches!$E:$E, MATCH(A570, Matches!$A:$A, 0)))</f>
        <v>11</v>
      </c>
      <c r="G570" t="str">
        <f t="shared" si="44"/>
        <v>Loss</v>
      </c>
      <c r="H570">
        <v>6</v>
      </c>
      <c r="K570" t="str">
        <f t="shared" si="41"/>
        <v>49_B</v>
      </c>
    </row>
    <row r="571" spans="1:11" x14ac:dyDescent="0.35">
      <c r="A571">
        <v>49</v>
      </c>
      <c r="B571" s="6">
        <v>46240</v>
      </c>
      <c r="C571" t="s">
        <v>84</v>
      </c>
      <c r="D571" t="s">
        <v>23</v>
      </c>
      <c r="E571">
        <f>IF(D571="A", INDEX(Matches!$E:$E, MATCH(A571, Matches!$A:$A, 0)), INDEX(Matches!$F:$F, MATCH(A571, Matches!$A:$A, 0)))</f>
        <v>8</v>
      </c>
      <c r="F571">
        <f>IF(D571="A", INDEX(Matches!$F:$F, MATCH(A571, Matches!$A:$A, 0)), INDEX(Matches!$E:$E, MATCH(A571, Matches!$A:$A, 0)))</f>
        <v>11</v>
      </c>
      <c r="G571" t="str">
        <f t="shared" si="44"/>
        <v>Loss</v>
      </c>
      <c r="H571">
        <v>1</v>
      </c>
      <c r="K571" t="str">
        <f t="shared" si="41"/>
        <v>49_B</v>
      </c>
    </row>
    <row r="572" spans="1:11" x14ac:dyDescent="0.35">
      <c r="A572">
        <v>49</v>
      </c>
      <c r="B572" s="6">
        <v>46240</v>
      </c>
      <c r="C572" t="s">
        <v>99</v>
      </c>
      <c r="D572" t="s">
        <v>23</v>
      </c>
      <c r="E572">
        <f>IF(D572="A", INDEX(Matches!$E:$E, MATCH(A572, Matches!$A:$A, 0)), INDEX(Matches!$F:$F, MATCH(A572, Matches!$A:$A, 0)))</f>
        <v>8</v>
      </c>
      <c r="F572">
        <f>IF(D572="A", INDEX(Matches!$F:$F, MATCH(A572, Matches!$A:$A, 0)), INDEX(Matches!$E:$E, MATCH(A572, Matches!$A:$A, 0)))</f>
        <v>11</v>
      </c>
      <c r="G572" t="str">
        <f t="shared" si="44"/>
        <v>Loss</v>
      </c>
      <c r="H572">
        <v>1</v>
      </c>
      <c r="I572">
        <v>1</v>
      </c>
      <c r="K572" t="str">
        <f t="shared" si="41"/>
        <v>49_B</v>
      </c>
    </row>
    <row r="573" spans="1:11" x14ac:dyDescent="0.35">
      <c r="A573">
        <v>49</v>
      </c>
      <c r="B573" s="6">
        <v>46240</v>
      </c>
      <c r="C573" t="s">
        <v>20</v>
      </c>
      <c r="D573" t="s">
        <v>23</v>
      </c>
      <c r="E573">
        <f>IF(D573="A", INDEX(Matches!$E:$E, MATCH(A573, Matches!$A:$A, 0)), INDEX(Matches!$F:$F, MATCH(A573, Matches!$A:$A, 0)))</f>
        <v>8</v>
      </c>
      <c r="F573">
        <f>IF(D573="A", INDEX(Matches!$F:$F, MATCH(A573, Matches!$A:$A, 0)), INDEX(Matches!$E:$E, MATCH(A573, Matches!$A:$A, 0)))</f>
        <v>11</v>
      </c>
      <c r="G573" t="str">
        <f t="shared" si="44"/>
        <v>Loss</v>
      </c>
      <c r="K573" t="str">
        <f t="shared" si="41"/>
        <v>49_B</v>
      </c>
    </row>
    <row r="574" spans="1:11" x14ac:dyDescent="0.35">
      <c r="A574">
        <v>49</v>
      </c>
      <c r="B574" s="6">
        <v>46240</v>
      </c>
      <c r="C574" t="s">
        <v>54</v>
      </c>
      <c r="D574" t="s">
        <v>23</v>
      </c>
      <c r="E574">
        <f>IF(D574="A", INDEX(Matches!$E:$E, MATCH(A574, Matches!$A:$A, 0)), INDEX(Matches!$F:$F, MATCH(A574, Matches!$A:$A, 0)))</f>
        <v>8</v>
      </c>
      <c r="F574">
        <f>IF(D574="A", INDEX(Matches!$F:$F, MATCH(A574, Matches!$A:$A, 0)), INDEX(Matches!$E:$E, MATCH(A574, Matches!$A:$A, 0)))</f>
        <v>11</v>
      </c>
      <c r="G574" t="str">
        <f t="shared" si="44"/>
        <v>Loss</v>
      </c>
      <c r="I574">
        <v>2</v>
      </c>
      <c r="K574" t="str">
        <f t="shared" si="41"/>
        <v>49_B</v>
      </c>
    </row>
    <row r="575" spans="1:11" x14ac:dyDescent="0.35">
      <c r="A575">
        <v>50</v>
      </c>
      <c r="B575" s="6">
        <v>46247</v>
      </c>
      <c r="C575" t="s">
        <v>16</v>
      </c>
      <c r="D575" t="s">
        <v>17</v>
      </c>
      <c r="E575">
        <f>IF(D575="A", INDEX(Matches!$E:$E, MATCH(A575, Matches!$A:$A, 0)), INDEX(Matches!$F:$F, MATCH(A575, Matches!$A:$A, 0)))</f>
        <v>9</v>
      </c>
      <c r="F575">
        <f>IF(D575="A", INDEX(Matches!$F:$F, MATCH(A575, Matches!$A:$A, 0)), INDEX(Matches!$E:$E, MATCH(A575, Matches!$A:$A, 0)))</f>
        <v>7</v>
      </c>
      <c r="G575" t="str">
        <f t="shared" ref="G575:G588" si="45">IF(E575&gt;F575,"Win",IF(E575&lt;F575,"Loss","Draw"))</f>
        <v>Win</v>
      </c>
      <c r="H575">
        <v>1</v>
      </c>
      <c r="K575" t="str">
        <f t="shared" si="41"/>
        <v>50_A</v>
      </c>
    </row>
    <row r="576" spans="1:11" x14ac:dyDescent="0.35">
      <c r="A576">
        <v>50</v>
      </c>
      <c r="B576" s="6">
        <v>46247</v>
      </c>
      <c r="C576" t="s">
        <v>99</v>
      </c>
      <c r="D576" t="s">
        <v>17</v>
      </c>
      <c r="E576">
        <f>IF(D576="A", INDEX(Matches!$E:$E, MATCH(A576, Matches!$A:$A, 0)), INDEX(Matches!$F:$F, MATCH(A576, Matches!$A:$A, 0)))</f>
        <v>9</v>
      </c>
      <c r="F576">
        <f>IF(D576="A", INDEX(Matches!$F:$F, MATCH(A576, Matches!$A:$A, 0)), INDEX(Matches!$E:$E, MATCH(A576, Matches!$A:$A, 0)))</f>
        <v>7</v>
      </c>
      <c r="G576" t="str">
        <f t="shared" si="45"/>
        <v>Win</v>
      </c>
      <c r="K576" t="str">
        <f t="shared" si="41"/>
        <v>50_A</v>
      </c>
    </row>
    <row r="577" spans="1:11" x14ac:dyDescent="0.35">
      <c r="A577">
        <v>50</v>
      </c>
      <c r="B577" s="6">
        <v>46247</v>
      </c>
      <c r="C577" t="s">
        <v>89</v>
      </c>
      <c r="D577" t="s">
        <v>17</v>
      </c>
      <c r="E577">
        <f>IF(D577="A", INDEX(Matches!$E:$E, MATCH(A577, Matches!$A:$A, 0)), INDEX(Matches!$F:$F, MATCH(A577, Matches!$A:$A, 0)))</f>
        <v>9</v>
      </c>
      <c r="F577">
        <f>IF(D577="A", INDEX(Matches!$F:$F, MATCH(A577, Matches!$A:$A, 0)), INDEX(Matches!$E:$E, MATCH(A577, Matches!$A:$A, 0)))</f>
        <v>7</v>
      </c>
      <c r="G577" t="str">
        <f t="shared" si="45"/>
        <v>Win</v>
      </c>
      <c r="H577">
        <v>3</v>
      </c>
      <c r="I577">
        <v>2</v>
      </c>
      <c r="K577" t="str">
        <f t="shared" si="41"/>
        <v>50_A</v>
      </c>
    </row>
    <row r="578" spans="1:11" x14ac:dyDescent="0.35">
      <c r="A578">
        <v>50</v>
      </c>
      <c r="B578" s="6">
        <v>46247</v>
      </c>
      <c r="C578" t="s">
        <v>19</v>
      </c>
      <c r="D578" t="s">
        <v>17</v>
      </c>
      <c r="E578">
        <f>IF(D578="A", INDEX(Matches!$E:$E, MATCH(A578, Matches!$A:$A, 0)), INDEX(Matches!$F:$F, MATCH(A578, Matches!$A:$A, 0)))</f>
        <v>9</v>
      </c>
      <c r="F578">
        <f>IF(D578="A", INDEX(Matches!$F:$F, MATCH(A578, Matches!$A:$A, 0)), INDEX(Matches!$E:$E, MATCH(A578, Matches!$A:$A, 0)))</f>
        <v>7</v>
      </c>
      <c r="G578" t="str">
        <f t="shared" si="45"/>
        <v>Win</v>
      </c>
      <c r="H578">
        <v>3</v>
      </c>
      <c r="I578">
        <v>1</v>
      </c>
      <c r="K578" t="str">
        <f t="shared" si="41"/>
        <v>50_A</v>
      </c>
    </row>
    <row r="579" spans="1:11" x14ac:dyDescent="0.35">
      <c r="A579">
        <v>50</v>
      </c>
      <c r="B579" s="6">
        <v>46247</v>
      </c>
      <c r="C579" t="s">
        <v>51</v>
      </c>
      <c r="D579" t="s">
        <v>17</v>
      </c>
      <c r="E579">
        <f>IF(D579="A", INDEX(Matches!$E:$E, MATCH(A579, Matches!$A:$A, 0)), INDEX(Matches!$F:$F, MATCH(A579, Matches!$A:$A, 0)))</f>
        <v>9</v>
      </c>
      <c r="F579">
        <f>IF(D579="A", INDEX(Matches!$F:$F, MATCH(A579, Matches!$A:$A, 0)), INDEX(Matches!$E:$E, MATCH(A579, Matches!$A:$A, 0)))</f>
        <v>7</v>
      </c>
      <c r="G579" t="str">
        <f t="shared" si="45"/>
        <v>Win</v>
      </c>
      <c r="K579" t="str">
        <f t="shared" si="41"/>
        <v>50_A</v>
      </c>
    </row>
    <row r="580" spans="1:11" x14ac:dyDescent="0.35">
      <c r="A580">
        <v>50</v>
      </c>
      <c r="B580" s="6">
        <v>46247</v>
      </c>
      <c r="C580" t="s">
        <v>121</v>
      </c>
      <c r="D580" t="s">
        <v>17</v>
      </c>
      <c r="E580">
        <f>IF(D580="A", INDEX(Matches!$E:$E, MATCH(A580, Matches!$A:$A, 0)), INDEX(Matches!$F:$F, MATCH(A580, Matches!$A:$A, 0)))</f>
        <v>9</v>
      </c>
      <c r="F580">
        <f>IF(D580="A", INDEX(Matches!$F:$F, MATCH(A580, Matches!$A:$A, 0)), INDEX(Matches!$E:$E, MATCH(A580, Matches!$A:$A, 0)))</f>
        <v>7</v>
      </c>
      <c r="G580" t="str">
        <f t="shared" si="45"/>
        <v>Win</v>
      </c>
      <c r="H580">
        <v>2</v>
      </c>
      <c r="K580" t="str">
        <f t="shared" si="41"/>
        <v>50_A</v>
      </c>
    </row>
    <row r="581" spans="1:11" x14ac:dyDescent="0.35">
      <c r="A581">
        <v>50</v>
      </c>
      <c r="B581" s="6">
        <v>46247</v>
      </c>
      <c r="C581" t="s">
        <v>88</v>
      </c>
      <c r="D581" t="s">
        <v>17</v>
      </c>
      <c r="E581">
        <f>IF(D581="A", INDEX(Matches!$E:$E, MATCH(A581, Matches!$A:$A, 0)), INDEX(Matches!$F:$F, MATCH(A581, Matches!$A:$A, 0)))</f>
        <v>9</v>
      </c>
      <c r="F581">
        <f>IF(D581="A", INDEX(Matches!$F:$F, MATCH(A581, Matches!$A:$A, 0)), INDEX(Matches!$E:$E, MATCH(A581, Matches!$A:$A, 0)))</f>
        <v>7</v>
      </c>
      <c r="G581" t="str">
        <f t="shared" si="45"/>
        <v>Win</v>
      </c>
      <c r="J581">
        <v>1</v>
      </c>
      <c r="K581" t="str">
        <f t="shared" si="41"/>
        <v>50_A</v>
      </c>
    </row>
    <row r="582" spans="1:11" x14ac:dyDescent="0.35">
      <c r="A582">
        <v>50</v>
      </c>
      <c r="B582" s="6">
        <v>46247</v>
      </c>
      <c r="C582" t="s">
        <v>46</v>
      </c>
      <c r="D582" t="s">
        <v>23</v>
      </c>
      <c r="E582">
        <f>IF(D582="A", INDEX(Matches!$E:$E, MATCH(A582, Matches!$A:$A, 0)), INDEX(Matches!$F:$F, MATCH(A582, Matches!$A:$A, 0)))</f>
        <v>7</v>
      </c>
      <c r="F582">
        <f>IF(D582="A", INDEX(Matches!$F:$F, MATCH(A582, Matches!$A:$A, 0)), INDEX(Matches!$E:$E, MATCH(A582, Matches!$A:$A, 0)))</f>
        <v>9</v>
      </c>
      <c r="G582" t="str">
        <f t="shared" si="45"/>
        <v>Loss</v>
      </c>
      <c r="H582">
        <v>2</v>
      </c>
      <c r="K582" t="str">
        <f t="shared" si="41"/>
        <v>50_B</v>
      </c>
    </row>
    <row r="583" spans="1:11" x14ac:dyDescent="0.35">
      <c r="A583">
        <v>50</v>
      </c>
      <c r="B583" s="6">
        <v>46247</v>
      </c>
      <c r="C583" t="s">
        <v>75</v>
      </c>
      <c r="D583" t="s">
        <v>23</v>
      </c>
      <c r="E583">
        <f>IF(D583="A", INDEX(Matches!$E:$E, MATCH(A583, Matches!$A:$A, 0)), INDEX(Matches!$F:$F, MATCH(A583, Matches!$A:$A, 0)))</f>
        <v>7</v>
      </c>
      <c r="F583">
        <f>IF(D583="A", INDEX(Matches!$F:$F, MATCH(A583, Matches!$A:$A, 0)), INDEX(Matches!$E:$E, MATCH(A583, Matches!$A:$A, 0)))</f>
        <v>9</v>
      </c>
      <c r="G583" t="str">
        <f t="shared" si="45"/>
        <v>Loss</v>
      </c>
      <c r="I583">
        <v>2</v>
      </c>
      <c r="K583" t="str">
        <f t="shared" si="41"/>
        <v>50_B</v>
      </c>
    </row>
    <row r="584" spans="1:11" x14ac:dyDescent="0.35">
      <c r="A584">
        <v>50</v>
      </c>
      <c r="B584" s="6">
        <v>46247</v>
      </c>
      <c r="C584" t="s">
        <v>42</v>
      </c>
      <c r="D584" t="s">
        <v>23</v>
      </c>
      <c r="E584">
        <f>IF(D584="A", INDEX(Matches!$E:$E, MATCH(A584, Matches!$A:$A, 0)), INDEX(Matches!$F:$F, MATCH(A584, Matches!$A:$A, 0)))</f>
        <v>7</v>
      </c>
      <c r="F584">
        <f>IF(D584="A", INDEX(Matches!$F:$F, MATCH(A584, Matches!$A:$A, 0)), INDEX(Matches!$E:$E, MATCH(A584, Matches!$A:$A, 0)))</f>
        <v>9</v>
      </c>
      <c r="G584" t="str">
        <f t="shared" si="45"/>
        <v>Loss</v>
      </c>
      <c r="H584">
        <v>1</v>
      </c>
      <c r="K584" t="str">
        <f t="shared" si="41"/>
        <v>50_B</v>
      </c>
    </row>
    <row r="585" spans="1:11" x14ac:dyDescent="0.35">
      <c r="A585">
        <v>50</v>
      </c>
      <c r="B585" s="6">
        <v>46247</v>
      </c>
      <c r="C585" t="s">
        <v>22</v>
      </c>
      <c r="D585" t="s">
        <v>23</v>
      </c>
      <c r="E585">
        <f>IF(D585="A", INDEX(Matches!$E:$E, MATCH(A585, Matches!$A:$A, 0)), INDEX(Matches!$F:$F, MATCH(A585, Matches!$A:$A, 0)))</f>
        <v>7</v>
      </c>
      <c r="F585">
        <f>IF(D585="A", INDEX(Matches!$F:$F, MATCH(A585, Matches!$A:$A, 0)), INDEX(Matches!$E:$E, MATCH(A585, Matches!$A:$A, 0)))</f>
        <v>9</v>
      </c>
      <c r="G585" t="str">
        <f t="shared" si="45"/>
        <v>Loss</v>
      </c>
      <c r="H585">
        <v>1</v>
      </c>
      <c r="K585" t="str">
        <f t="shared" si="41"/>
        <v>50_B</v>
      </c>
    </row>
    <row r="586" spans="1:11" x14ac:dyDescent="0.35">
      <c r="A586">
        <v>50</v>
      </c>
      <c r="B586" s="6">
        <v>46247</v>
      </c>
      <c r="C586" t="s">
        <v>53</v>
      </c>
      <c r="D586" t="s">
        <v>23</v>
      </c>
      <c r="E586">
        <f>IF(D586="A", INDEX(Matches!$E:$E, MATCH(A586, Matches!$A:$A, 0)), INDEX(Matches!$F:$F, MATCH(A586, Matches!$A:$A, 0)))</f>
        <v>7</v>
      </c>
      <c r="F586">
        <f>IF(D586="A", INDEX(Matches!$F:$F, MATCH(A586, Matches!$A:$A, 0)), INDEX(Matches!$E:$E, MATCH(A586, Matches!$A:$A, 0)))</f>
        <v>9</v>
      </c>
      <c r="G586" t="str">
        <f t="shared" si="45"/>
        <v>Loss</v>
      </c>
      <c r="H586">
        <v>1</v>
      </c>
      <c r="K586" t="str">
        <f t="shared" ref="K586:K649" si="46">A586&amp;"_"&amp;D586</f>
        <v>50_B</v>
      </c>
    </row>
    <row r="587" spans="1:11" x14ac:dyDescent="0.35">
      <c r="A587">
        <v>50</v>
      </c>
      <c r="B587" s="6">
        <v>46247</v>
      </c>
      <c r="C587" t="s">
        <v>84</v>
      </c>
      <c r="D587" t="s">
        <v>23</v>
      </c>
      <c r="E587">
        <f>IF(D587="A", INDEX(Matches!$E:$E, MATCH(A587, Matches!$A:$A, 0)), INDEX(Matches!$F:$F, MATCH(A587, Matches!$A:$A, 0)))</f>
        <v>7</v>
      </c>
      <c r="F587">
        <f>IF(D587="A", INDEX(Matches!$F:$F, MATCH(A587, Matches!$A:$A, 0)), INDEX(Matches!$E:$E, MATCH(A587, Matches!$A:$A, 0)))</f>
        <v>9</v>
      </c>
      <c r="G587" t="str">
        <f t="shared" si="45"/>
        <v>Loss</v>
      </c>
      <c r="I587">
        <v>1</v>
      </c>
      <c r="K587" t="str">
        <f t="shared" si="46"/>
        <v>50_B</v>
      </c>
    </row>
    <row r="588" spans="1:11" x14ac:dyDescent="0.35">
      <c r="A588">
        <v>50</v>
      </c>
      <c r="B588" s="6">
        <v>46247</v>
      </c>
      <c r="C588" t="s">
        <v>25</v>
      </c>
      <c r="D588" t="s">
        <v>23</v>
      </c>
      <c r="E588">
        <f>IF(D588="A", INDEX(Matches!$E:$E, MATCH(A588, Matches!$A:$A, 0)), INDEX(Matches!$F:$F, MATCH(A588, Matches!$A:$A, 0)))</f>
        <v>7</v>
      </c>
      <c r="F588">
        <f>IF(D588="A", INDEX(Matches!$F:$F, MATCH(A588, Matches!$A:$A, 0)), INDEX(Matches!$E:$E, MATCH(A588, Matches!$A:$A, 0)))</f>
        <v>9</v>
      </c>
      <c r="G588" t="str">
        <f t="shared" si="45"/>
        <v>Loss</v>
      </c>
      <c r="H588">
        <v>1</v>
      </c>
      <c r="I588">
        <v>1</v>
      </c>
      <c r="K588" t="str">
        <f t="shared" si="46"/>
        <v>50_B</v>
      </c>
    </row>
    <row r="589" spans="1:11" x14ac:dyDescent="0.35">
      <c r="A589">
        <v>51</v>
      </c>
      <c r="B589" s="6">
        <v>46254</v>
      </c>
      <c r="C589" t="s">
        <v>66</v>
      </c>
      <c r="D589" t="s">
        <v>17</v>
      </c>
      <c r="E589">
        <f>IF(D589="A", INDEX(Matches!$E:$E, MATCH(A589, Matches!$A:$A, 0)), INDEX(Matches!$F:$F, MATCH(A589, Matches!$A:$A, 0)))</f>
        <v>3</v>
      </c>
      <c r="F589">
        <f>IF(D589="A", INDEX(Matches!$F:$F, MATCH(A589, Matches!$A:$A, 0)), INDEX(Matches!$E:$E, MATCH(A589, Matches!$A:$A, 0)))</f>
        <v>4</v>
      </c>
      <c r="G589" t="str">
        <f t="shared" ref="G589:G602" si="47">IF(E589&gt;F589,"Win",IF(E589&lt;F589,"Loss","Draw"))</f>
        <v>Loss</v>
      </c>
      <c r="H589">
        <v>1</v>
      </c>
      <c r="K589" t="str">
        <f t="shared" si="46"/>
        <v>51_A</v>
      </c>
    </row>
    <row r="590" spans="1:11" x14ac:dyDescent="0.35">
      <c r="A590">
        <v>51</v>
      </c>
      <c r="B590" s="6">
        <v>46254</v>
      </c>
      <c r="C590" t="s">
        <v>16</v>
      </c>
      <c r="D590" t="s">
        <v>17</v>
      </c>
      <c r="E590">
        <f>IF(D590="A", INDEX(Matches!$E:$E, MATCH(A590, Matches!$A:$A, 0)), INDEX(Matches!$F:$F, MATCH(A590, Matches!$A:$A, 0)))</f>
        <v>3</v>
      </c>
      <c r="F590">
        <f>IF(D590="A", INDEX(Matches!$F:$F, MATCH(A590, Matches!$A:$A, 0)), INDEX(Matches!$E:$E, MATCH(A590, Matches!$A:$A, 0)))</f>
        <v>4</v>
      </c>
      <c r="G590" t="str">
        <f t="shared" si="47"/>
        <v>Loss</v>
      </c>
      <c r="K590" t="str">
        <f t="shared" si="46"/>
        <v>51_A</v>
      </c>
    </row>
    <row r="591" spans="1:11" x14ac:dyDescent="0.35">
      <c r="A591">
        <v>51</v>
      </c>
      <c r="B591" s="6">
        <v>46254</v>
      </c>
      <c r="C591" t="s">
        <v>22</v>
      </c>
      <c r="D591" t="s">
        <v>17</v>
      </c>
      <c r="E591">
        <f>IF(D591="A", INDEX(Matches!$E:$E, MATCH(A591, Matches!$A:$A, 0)), INDEX(Matches!$F:$F, MATCH(A591, Matches!$A:$A, 0)))</f>
        <v>3</v>
      </c>
      <c r="F591">
        <f>IF(D591="A", INDEX(Matches!$F:$F, MATCH(A591, Matches!$A:$A, 0)), INDEX(Matches!$E:$E, MATCH(A591, Matches!$A:$A, 0)))</f>
        <v>4</v>
      </c>
      <c r="G591" t="str">
        <f t="shared" si="47"/>
        <v>Loss</v>
      </c>
      <c r="H591">
        <v>1</v>
      </c>
      <c r="K591" t="str">
        <f t="shared" si="46"/>
        <v>51_A</v>
      </c>
    </row>
    <row r="592" spans="1:11" x14ac:dyDescent="0.35">
      <c r="A592">
        <v>51</v>
      </c>
      <c r="B592" s="6">
        <v>46254</v>
      </c>
      <c r="C592" t="s">
        <v>42</v>
      </c>
      <c r="D592" t="s">
        <v>17</v>
      </c>
      <c r="E592">
        <f>IF(D592="A", INDEX(Matches!$E:$E, MATCH(A592, Matches!$A:$A, 0)), INDEX(Matches!$F:$F, MATCH(A592, Matches!$A:$A, 0)))</f>
        <v>3</v>
      </c>
      <c r="F592">
        <f>IF(D592="A", INDEX(Matches!$F:$F, MATCH(A592, Matches!$A:$A, 0)), INDEX(Matches!$E:$E, MATCH(A592, Matches!$A:$A, 0)))</f>
        <v>4</v>
      </c>
      <c r="G592" t="str">
        <f t="shared" si="47"/>
        <v>Loss</v>
      </c>
      <c r="H592">
        <v>1</v>
      </c>
      <c r="I592">
        <v>1</v>
      </c>
      <c r="K592" t="str">
        <f t="shared" si="46"/>
        <v>51_A</v>
      </c>
    </row>
    <row r="593" spans="1:11" x14ac:dyDescent="0.35">
      <c r="A593">
        <v>51</v>
      </c>
      <c r="B593" s="6">
        <v>46254</v>
      </c>
      <c r="C593" t="s">
        <v>53</v>
      </c>
      <c r="D593" t="s">
        <v>17</v>
      </c>
      <c r="E593">
        <f>IF(D593="A", INDEX(Matches!$E:$E, MATCH(A593, Matches!$A:$A, 0)), INDEX(Matches!$F:$F, MATCH(A593, Matches!$A:$A, 0)))</f>
        <v>3</v>
      </c>
      <c r="F593">
        <f>IF(D593="A", INDEX(Matches!$F:$F, MATCH(A593, Matches!$A:$A, 0)), INDEX(Matches!$E:$E, MATCH(A593, Matches!$A:$A, 0)))</f>
        <v>4</v>
      </c>
      <c r="G593" t="str">
        <f t="shared" si="47"/>
        <v>Loss</v>
      </c>
      <c r="I593">
        <v>1</v>
      </c>
      <c r="K593" t="str">
        <f t="shared" si="46"/>
        <v>51_A</v>
      </c>
    </row>
    <row r="594" spans="1:11" x14ac:dyDescent="0.35">
      <c r="A594">
        <v>51</v>
      </c>
      <c r="B594" s="6">
        <v>46254</v>
      </c>
      <c r="C594" t="s">
        <v>25</v>
      </c>
      <c r="D594" t="s">
        <v>17</v>
      </c>
      <c r="E594">
        <f>IF(D594="A", INDEX(Matches!$E:$E, MATCH(A594, Matches!$A:$A, 0)), INDEX(Matches!$F:$F, MATCH(A594, Matches!$A:$A, 0)))</f>
        <v>3</v>
      </c>
      <c r="F594">
        <f>IF(D594="A", INDEX(Matches!$F:$F, MATCH(A594, Matches!$A:$A, 0)), INDEX(Matches!$E:$E, MATCH(A594, Matches!$A:$A, 0)))</f>
        <v>4</v>
      </c>
      <c r="G594" t="str">
        <f t="shared" si="47"/>
        <v>Loss</v>
      </c>
      <c r="K594" t="str">
        <f t="shared" si="46"/>
        <v>51_A</v>
      </c>
    </row>
    <row r="595" spans="1:11" x14ac:dyDescent="0.35">
      <c r="A595">
        <v>51</v>
      </c>
      <c r="B595" s="6">
        <v>46254</v>
      </c>
      <c r="C595" t="s">
        <v>125</v>
      </c>
      <c r="D595" t="s">
        <v>17</v>
      </c>
      <c r="E595">
        <f>IF(D595="A", INDEX(Matches!$E:$E, MATCH(A595, Matches!$A:$A, 0)), INDEX(Matches!$F:$F, MATCH(A595, Matches!$A:$A, 0)))</f>
        <v>3</v>
      </c>
      <c r="F595">
        <f>IF(D595="A", INDEX(Matches!$F:$F, MATCH(A595, Matches!$A:$A, 0)), INDEX(Matches!$E:$E, MATCH(A595, Matches!$A:$A, 0)))</f>
        <v>4</v>
      </c>
      <c r="G595" t="str">
        <f t="shared" si="47"/>
        <v>Loss</v>
      </c>
      <c r="K595" t="str">
        <f t="shared" si="46"/>
        <v>51_A</v>
      </c>
    </row>
    <row r="596" spans="1:11" x14ac:dyDescent="0.35">
      <c r="A596">
        <v>51</v>
      </c>
      <c r="B596" s="6">
        <v>46254</v>
      </c>
      <c r="C596" t="s">
        <v>54</v>
      </c>
      <c r="D596" t="s">
        <v>23</v>
      </c>
      <c r="E596">
        <f>IF(D596="A", INDEX(Matches!$E:$E, MATCH(A596, Matches!$A:$A, 0)), INDEX(Matches!$F:$F, MATCH(A596, Matches!$A:$A, 0)))</f>
        <v>4</v>
      </c>
      <c r="F596">
        <f>IF(D596="A", INDEX(Matches!$F:$F, MATCH(A596, Matches!$A:$A, 0)), INDEX(Matches!$E:$E, MATCH(A596, Matches!$A:$A, 0)))</f>
        <v>3</v>
      </c>
      <c r="G596" t="str">
        <f t="shared" si="47"/>
        <v>Win</v>
      </c>
      <c r="K596" t="str">
        <f t="shared" si="46"/>
        <v>51_B</v>
      </c>
    </row>
    <row r="597" spans="1:11" x14ac:dyDescent="0.35">
      <c r="A597">
        <v>51</v>
      </c>
      <c r="B597" s="6">
        <v>46254</v>
      </c>
      <c r="C597" t="s">
        <v>88</v>
      </c>
      <c r="D597" t="s">
        <v>23</v>
      </c>
      <c r="E597">
        <f>IF(D597="A", INDEX(Matches!$E:$E, MATCH(A597, Matches!$A:$A, 0)), INDEX(Matches!$F:$F, MATCH(A597, Matches!$A:$A, 0)))</f>
        <v>4</v>
      </c>
      <c r="F597">
        <f>IF(D597="A", INDEX(Matches!$F:$F, MATCH(A597, Matches!$A:$A, 0)), INDEX(Matches!$E:$E, MATCH(A597, Matches!$A:$A, 0)))</f>
        <v>3</v>
      </c>
      <c r="G597" t="str">
        <f t="shared" si="47"/>
        <v>Win</v>
      </c>
      <c r="K597" t="str">
        <f t="shared" si="46"/>
        <v>51_B</v>
      </c>
    </row>
    <row r="598" spans="1:11" x14ac:dyDescent="0.35">
      <c r="A598">
        <v>51</v>
      </c>
      <c r="B598" s="6">
        <v>46254</v>
      </c>
      <c r="C598" t="s">
        <v>75</v>
      </c>
      <c r="D598" t="s">
        <v>23</v>
      </c>
      <c r="E598">
        <f>IF(D598="A", INDEX(Matches!$E:$E, MATCH(A598, Matches!$A:$A, 0)), INDEX(Matches!$F:$F, MATCH(A598, Matches!$A:$A, 0)))</f>
        <v>4</v>
      </c>
      <c r="F598">
        <f>IF(D598="A", INDEX(Matches!$F:$F, MATCH(A598, Matches!$A:$A, 0)), INDEX(Matches!$E:$E, MATCH(A598, Matches!$A:$A, 0)))</f>
        <v>3</v>
      </c>
      <c r="G598" t="str">
        <f t="shared" si="47"/>
        <v>Win</v>
      </c>
      <c r="H598">
        <v>2</v>
      </c>
      <c r="K598" t="str">
        <f t="shared" si="46"/>
        <v>51_B</v>
      </c>
    </row>
    <row r="599" spans="1:11" x14ac:dyDescent="0.35">
      <c r="A599">
        <v>51</v>
      </c>
      <c r="B599" s="6">
        <v>46254</v>
      </c>
      <c r="C599" t="s">
        <v>99</v>
      </c>
      <c r="D599" t="s">
        <v>23</v>
      </c>
      <c r="E599">
        <f>IF(D599="A", INDEX(Matches!$E:$E, MATCH(A599, Matches!$A:$A, 0)), INDEX(Matches!$F:$F, MATCH(A599, Matches!$A:$A, 0)))</f>
        <v>4</v>
      </c>
      <c r="F599">
        <f>IF(D599="A", INDEX(Matches!$F:$F, MATCH(A599, Matches!$A:$A, 0)), INDEX(Matches!$E:$E, MATCH(A599, Matches!$A:$A, 0)))</f>
        <v>3</v>
      </c>
      <c r="G599" t="str">
        <f t="shared" si="47"/>
        <v>Win</v>
      </c>
      <c r="K599" t="str">
        <f t="shared" si="46"/>
        <v>51_B</v>
      </c>
    </row>
    <row r="600" spans="1:11" x14ac:dyDescent="0.35">
      <c r="A600">
        <v>51</v>
      </c>
      <c r="B600" s="6">
        <v>46254</v>
      </c>
      <c r="C600" t="s">
        <v>121</v>
      </c>
      <c r="D600" t="s">
        <v>23</v>
      </c>
      <c r="E600">
        <f>IF(D600="A", INDEX(Matches!$E:$E, MATCH(A600, Matches!$A:$A, 0)), INDEX(Matches!$F:$F, MATCH(A600, Matches!$A:$A, 0)))</f>
        <v>4</v>
      </c>
      <c r="F600">
        <f>IF(D600="A", INDEX(Matches!$F:$F, MATCH(A600, Matches!$A:$A, 0)), INDEX(Matches!$E:$E, MATCH(A600, Matches!$A:$A, 0)))</f>
        <v>3</v>
      </c>
      <c r="G600" t="str">
        <f t="shared" si="47"/>
        <v>Win</v>
      </c>
      <c r="H600">
        <v>2</v>
      </c>
      <c r="K600" t="str">
        <f t="shared" si="46"/>
        <v>51_B</v>
      </c>
    </row>
    <row r="601" spans="1:11" x14ac:dyDescent="0.35">
      <c r="A601">
        <v>51</v>
      </c>
      <c r="B601" s="6">
        <v>46254</v>
      </c>
      <c r="C601" t="s">
        <v>52</v>
      </c>
      <c r="D601" t="s">
        <v>23</v>
      </c>
      <c r="E601">
        <f>IF(D601="A", INDEX(Matches!$E:$E, MATCH(A601, Matches!$A:$A, 0)), INDEX(Matches!$F:$F, MATCH(A601, Matches!$A:$A, 0)))</f>
        <v>4</v>
      </c>
      <c r="F601">
        <f>IF(D601="A", INDEX(Matches!$F:$F, MATCH(A601, Matches!$A:$A, 0)), INDEX(Matches!$E:$E, MATCH(A601, Matches!$A:$A, 0)))</f>
        <v>3</v>
      </c>
      <c r="G601" t="str">
        <f t="shared" si="47"/>
        <v>Win</v>
      </c>
      <c r="I601">
        <v>1</v>
      </c>
      <c r="K601" t="str">
        <f t="shared" si="46"/>
        <v>51_B</v>
      </c>
    </row>
    <row r="602" spans="1:11" x14ac:dyDescent="0.35">
      <c r="A602">
        <v>51</v>
      </c>
      <c r="B602" s="6">
        <v>46254</v>
      </c>
      <c r="C602" t="s">
        <v>46</v>
      </c>
      <c r="D602" t="s">
        <v>23</v>
      </c>
      <c r="E602">
        <f>IF(D602="A", INDEX(Matches!$E:$E, MATCH(A602, Matches!$A:$A, 0)), INDEX(Matches!$F:$F, MATCH(A602, Matches!$A:$A, 0)))</f>
        <v>4</v>
      </c>
      <c r="F602">
        <f>IF(D602="A", INDEX(Matches!$F:$F, MATCH(A602, Matches!$A:$A, 0)), INDEX(Matches!$E:$E, MATCH(A602, Matches!$A:$A, 0)))</f>
        <v>3</v>
      </c>
      <c r="G602" t="str">
        <f t="shared" si="47"/>
        <v>Win</v>
      </c>
      <c r="K602" t="str">
        <f t="shared" si="46"/>
        <v>51_B</v>
      </c>
    </row>
    <row r="603" spans="1:11" x14ac:dyDescent="0.35">
      <c r="A603">
        <v>52</v>
      </c>
      <c r="B603" s="6">
        <v>46261</v>
      </c>
      <c r="C603" t="s">
        <v>19</v>
      </c>
      <c r="D603" t="s">
        <v>17</v>
      </c>
      <c r="E603">
        <f>IF(D603="A", INDEX(Matches!$E:$E, MATCH(A603, Matches!$A:$A, 0)), INDEX(Matches!$F:$F, MATCH(A603, Matches!$A:$A, 0)))</f>
        <v>10</v>
      </c>
      <c r="F603">
        <f>IF(D603="A", INDEX(Matches!$F:$F, MATCH(A603, Matches!$A:$A, 0)), INDEX(Matches!$E:$E, MATCH(A603, Matches!$A:$A, 0)))</f>
        <v>4</v>
      </c>
      <c r="G603" t="str">
        <f t="shared" ref="G603:G618" si="48">IF(E603&gt;F603,"Win",IF(E603&lt;F603,"Loss","Draw"))</f>
        <v>Win</v>
      </c>
      <c r="H603">
        <v>2</v>
      </c>
      <c r="I603">
        <v>1</v>
      </c>
      <c r="K603" t="str">
        <f t="shared" si="46"/>
        <v>52_A</v>
      </c>
    </row>
    <row r="604" spans="1:11" x14ac:dyDescent="0.35">
      <c r="A604">
        <v>52</v>
      </c>
      <c r="B604" s="6">
        <v>46261</v>
      </c>
      <c r="C604" t="s">
        <v>88</v>
      </c>
      <c r="D604" t="s">
        <v>17</v>
      </c>
      <c r="E604">
        <f>IF(D604="A", INDEX(Matches!$E:$E, MATCH(A604, Matches!$A:$A, 0)), INDEX(Matches!$F:$F, MATCH(A604, Matches!$A:$A, 0)))</f>
        <v>10</v>
      </c>
      <c r="F604">
        <f>IF(D604="A", INDEX(Matches!$F:$F, MATCH(A604, Matches!$A:$A, 0)), INDEX(Matches!$E:$E, MATCH(A604, Matches!$A:$A, 0)))</f>
        <v>4</v>
      </c>
      <c r="G604" t="str">
        <f t="shared" si="48"/>
        <v>Win</v>
      </c>
      <c r="K604" t="str">
        <f t="shared" si="46"/>
        <v>52_A</v>
      </c>
    </row>
    <row r="605" spans="1:11" x14ac:dyDescent="0.35">
      <c r="A605">
        <v>52</v>
      </c>
      <c r="B605" s="6">
        <v>46261</v>
      </c>
      <c r="C605" t="s">
        <v>22</v>
      </c>
      <c r="D605" t="s">
        <v>17</v>
      </c>
      <c r="E605">
        <f>IF(D605="A", INDEX(Matches!$E:$E, MATCH(A605, Matches!$A:$A, 0)), INDEX(Matches!$F:$F, MATCH(A605, Matches!$A:$A, 0)))</f>
        <v>10</v>
      </c>
      <c r="F605">
        <f>IF(D605="A", INDEX(Matches!$F:$F, MATCH(A605, Matches!$A:$A, 0)), INDEX(Matches!$E:$E, MATCH(A605, Matches!$A:$A, 0)))</f>
        <v>4</v>
      </c>
      <c r="G605" t="str">
        <f t="shared" si="48"/>
        <v>Win</v>
      </c>
      <c r="H605">
        <v>1</v>
      </c>
      <c r="I605">
        <v>1</v>
      </c>
      <c r="K605" t="str">
        <f t="shared" si="46"/>
        <v>52_A</v>
      </c>
    </row>
    <row r="606" spans="1:11" x14ac:dyDescent="0.35">
      <c r="A606">
        <v>52</v>
      </c>
      <c r="B606" s="6">
        <v>46261</v>
      </c>
      <c r="C606" t="s">
        <v>66</v>
      </c>
      <c r="D606" t="s">
        <v>17</v>
      </c>
      <c r="E606">
        <f>IF(D606="A", INDEX(Matches!$E:$E, MATCH(A606, Matches!$A:$A, 0)), INDEX(Matches!$F:$F, MATCH(A606, Matches!$A:$A, 0)))</f>
        <v>10</v>
      </c>
      <c r="F606">
        <f>IF(D606="A", INDEX(Matches!$F:$F, MATCH(A606, Matches!$A:$A, 0)), INDEX(Matches!$E:$E, MATCH(A606, Matches!$A:$A, 0)))</f>
        <v>4</v>
      </c>
      <c r="G606" t="str">
        <f t="shared" si="48"/>
        <v>Win</v>
      </c>
      <c r="H606">
        <v>3</v>
      </c>
      <c r="I606">
        <v>3</v>
      </c>
      <c r="K606" t="str">
        <f t="shared" si="46"/>
        <v>52_A</v>
      </c>
    </row>
    <row r="607" spans="1:11" x14ac:dyDescent="0.35">
      <c r="A607">
        <v>52</v>
      </c>
      <c r="B607" s="6">
        <v>46261</v>
      </c>
      <c r="C607" t="s">
        <v>54</v>
      </c>
      <c r="D607" t="s">
        <v>17</v>
      </c>
      <c r="E607">
        <f>IF(D607="A", INDEX(Matches!$E:$E, MATCH(A607, Matches!$A:$A, 0)), INDEX(Matches!$F:$F, MATCH(A607, Matches!$A:$A, 0)))</f>
        <v>10</v>
      </c>
      <c r="F607">
        <f>IF(D607="A", INDEX(Matches!$F:$F, MATCH(A607, Matches!$A:$A, 0)), INDEX(Matches!$E:$E, MATCH(A607, Matches!$A:$A, 0)))</f>
        <v>4</v>
      </c>
      <c r="G607" t="str">
        <f t="shared" si="48"/>
        <v>Win</v>
      </c>
      <c r="H607">
        <v>1</v>
      </c>
      <c r="I607">
        <v>1</v>
      </c>
      <c r="K607" t="str">
        <f t="shared" si="46"/>
        <v>52_A</v>
      </c>
    </row>
    <row r="608" spans="1:11" x14ac:dyDescent="0.35">
      <c r="A608">
        <v>52</v>
      </c>
      <c r="B608" s="6">
        <v>46261</v>
      </c>
      <c r="C608" t="s">
        <v>121</v>
      </c>
      <c r="D608" t="s">
        <v>17</v>
      </c>
      <c r="E608">
        <f>IF(D608="A", INDEX(Matches!$E:$E, MATCH(A608, Matches!$A:$A, 0)), INDEX(Matches!$F:$F, MATCH(A608, Matches!$A:$A, 0)))</f>
        <v>10</v>
      </c>
      <c r="F608">
        <f>IF(D608="A", INDEX(Matches!$F:$F, MATCH(A608, Matches!$A:$A, 0)), INDEX(Matches!$E:$E, MATCH(A608, Matches!$A:$A, 0)))</f>
        <v>4</v>
      </c>
      <c r="G608" t="str">
        <f t="shared" si="48"/>
        <v>Win</v>
      </c>
      <c r="H608">
        <v>2</v>
      </c>
      <c r="I608">
        <v>1</v>
      </c>
      <c r="K608" t="str">
        <f t="shared" si="46"/>
        <v>52_A</v>
      </c>
    </row>
    <row r="609" spans="1:11" x14ac:dyDescent="0.35">
      <c r="A609">
        <v>52</v>
      </c>
      <c r="B609" s="6">
        <v>46261</v>
      </c>
      <c r="C609" t="s">
        <v>50</v>
      </c>
      <c r="D609" t="s">
        <v>17</v>
      </c>
      <c r="E609">
        <f>IF(D609="A", INDEX(Matches!$E:$E, MATCH(A609, Matches!$A:$A, 0)), INDEX(Matches!$F:$F, MATCH(A609, Matches!$A:$A, 0)))</f>
        <v>10</v>
      </c>
      <c r="F609">
        <f>IF(D609="A", INDEX(Matches!$F:$F, MATCH(A609, Matches!$A:$A, 0)), INDEX(Matches!$E:$E, MATCH(A609, Matches!$A:$A, 0)))</f>
        <v>4</v>
      </c>
      <c r="G609" t="str">
        <f t="shared" si="48"/>
        <v>Win</v>
      </c>
      <c r="K609" t="str">
        <f t="shared" si="46"/>
        <v>52_A</v>
      </c>
    </row>
    <row r="610" spans="1:11" x14ac:dyDescent="0.35">
      <c r="A610">
        <v>52</v>
      </c>
      <c r="B610" s="6">
        <v>46261</v>
      </c>
      <c r="C610" t="s">
        <v>45</v>
      </c>
      <c r="D610" t="s">
        <v>17</v>
      </c>
      <c r="E610">
        <f>IF(D610="A", INDEX(Matches!$E:$E, MATCH(A610, Matches!$A:$A, 0)), INDEX(Matches!$F:$F, MATCH(A610, Matches!$A:$A, 0)))</f>
        <v>10</v>
      </c>
      <c r="F610">
        <f>IF(D610="A", INDEX(Matches!$F:$F, MATCH(A610, Matches!$A:$A, 0)), INDEX(Matches!$E:$E, MATCH(A610, Matches!$A:$A, 0)))</f>
        <v>4</v>
      </c>
      <c r="G610" t="str">
        <f t="shared" si="48"/>
        <v>Win</v>
      </c>
      <c r="K610" t="str">
        <f t="shared" si="46"/>
        <v>52_A</v>
      </c>
    </row>
    <row r="611" spans="1:11" x14ac:dyDescent="0.35">
      <c r="A611">
        <v>52</v>
      </c>
      <c r="B611" s="6">
        <v>46261</v>
      </c>
      <c r="C611" t="s">
        <v>89</v>
      </c>
      <c r="D611" t="s">
        <v>23</v>
      </c>
      <c r="E611">
        <f>IF(D611="A", INDEX(Matches!$E:$E, MATCH(A611, Matches!$A:$A, 0)), INDEX(Matches!$F:$F, MATCH(A611, Matches!$A:$A, 0)))</f>
        <v>4</v>
      </c>
      <c r="F611">
        <f>IF(D611="A", INDEX(Matches!$F:$F, MATCH(A611, Matches!$A:$A, 0)), INDEX(Matches!$E:$E, MATCH(A611, Matches!$A:$A, 0)))</f>
        <v>10</v>
      </c>
      <c r="G611" t="str">
        <f t="shared" si="48"/>
        <v>Loss</v>
      </c>
      <c r="K611" t="str">
        <f t="shared" si="46"/>
        <v>52_B</v>
      </c>
    </row>
    <row r="612" spans="1:11" x14ac:dyDescent="0.35">
      <c r="A612">
        <v>52</v>
      </c>
      <c r="B612" s="6">
        <v>46261</v>
      </c>
      <c r="C612" t="s">
        <v>42</v>
      </c>
      <c r="D612" t="s">
        <v>23</v>
      </c>
      <c r="E612">
        <f>IF(D612="A", INDEX(Matches!$E:$E, MATCH(A612, Matches!$A:$A, 0)), INDEX(Matches!$F:$F, MATCH(A612, Matches!$A:$A, 0)))</f>
        <v>4</v>
      </c>
      <c r="F612">
        <f>IF(D612="A", INDEX(Matches!$F:$F, MATCH(A612, Matches!$A:$A, 0)), INDEX(Matches!$E:$E, MATCH(A612, Matches!$A:$A, 0)))</f>
        <v>10</v>
      </c>
      <c r="G612" t="str">
        <f t="shared" si="48"/>
        <v>Loss</v>
      </c>
      <c r="K612" t="str">
        <f t="shared" si="46"/>
        <v>52_B</v>
      </c>
    </row>
    <row r="613" spans="1:11" x14ac:dyDescent="0.35">
      <c r="A613">
        <v>52</v>
      </c>
      <c r="B613" s="6">
        <v>46261</v>
      </c>
      <c r="C613" t="s">
        <v>25</v>
      </c>
      <c r="D613" t="s">
        <v>23</v>
      </c>
      <c r="E613">
        <f>IF(D613="A", INDEX(Matches!$E:$E, MATCH(A613, Matches!$A:$A, 0)), INDEX(Matches!$F:$F, MATCH(A613, Matches!$A:$A, 0)))</f>
        <v>4</v>
      </c>
      <c r="F613">
        <f>IF(D613="A", INDEX(Matches!$F:$F, MATCH(A613, Matches!$A:$A, 0)), INDEX(Matches!$E:$E, MATCH(A613, Matches!$A:$A, 0)))</f>
        <v>10</v>
      </c>
      <c r="G613" t="str">
        <f t="shared" si="48"/>
        <v>Loss</v>
      </c>
      <c r="H613">
        <v>1</v>
      </c>
      <c r="K613" t="str">
        <f t="shared" si="46"/>
        <v>52_B</v>
      </c>
    </row>
    <row r="614" spans="1:11" x14ac:dyDescent="0.35">
      <c r="A614">
        <v>52</v>
      </c>
      <c r="B614" s="6">
        <v>46261</v>
      </c>
      <c r="C614" t="s">
        <v>53</v>
      </c>
      <c r="D614" t="s">
        <v>23</v>
      </c>
      <c r="E614">
        <f>IF(D614="A", INDEX(Matches!$E:$E, MATCH(A614, Matches!$A:$A, 0)), INDEX(Matches!$F:$F, MATCH(A614, Matches!$A:$A, 0)))</f>
        <v>4</v>
      </c>
      <c r="F614">
        <f>IF(D614="A", INDEX(Matches!$F:$F, MATCH(A614, Matches!$A:$A, 0)), INDEX(Matches!$E:$E, MATCH(A614, Matches!$A:$A, 0)))</f>
        <v>10</v>
      </c>
      <c r="G614" t="str">
        <f t="shared" si="48"/>
        <v>Loss</v>
      </c>
      <c r="I614">
        <v>2</v>
      </c>
      <c r="K614" t="str">
        <f t="shared" si="46"/>
        <v>52_B</v>
      </c>
    </row>
    <row r="615" spans="1:11" x14ac:dyDescent="0.35">
      <c r="A615">
        <v>52</v>
      </c>
      <c r="B615" s="6">
        <v>46261</v>
      </c>
      <c r="C615" t="s">
        <v>46</v>
      </c>
      <c r="D615" t="s">
        <v>23</v>
      </c>
      <c r="E615">
        <f>IF(D615="A", INDEX(Matches!$E:$E, MATCH(A615, Matches!$A:$A, 0)), INDEX(Matches!$F:$F, MATCH(A615, Matches!$A:$A, 0)))</f>
        <v>4</v>
      </c>
      <c r="F615">
        <f>IF(D615="A", INDEX(Matches!$F:$F, MATCH(A615, Matches!$A:$A, 0)), INDEX(Matches!$E:$E, MATCH(A615, Matches!$A:$A, 0)))</f>
        <v>10</v>
      </c>
      <c r="G615" t="str">
        <f t="shared" si="48"/>
        <v>Loss</v>
      </c>
      <c r="H615">
        <v>3</v>
      </c>
      <c r="K615" t="str">
        <f t="shared" si="46"/>
        <v>52_B</v>
      </c>
    </row>
    <row r="616" spans="1:11" x14ac:dyDescent="0.35">
      <c r="A616">
        <v>52</v>
      </c>
      <c r="B616" s="6">
        <v>46261</v>
      </c>
      <c r="C616" t="s">
        <v>51</v>
      </c>
      <c r="D616" t="s">
        <v>23</v>
      </c>
      <c r="E616">
        <f>IF(D616="A", INDEX(Matches!$E:$E, MATCH(A616, Matches!$A:$A, 0)), INDEX(Matches!$F:$F, MATCH(A616, Matches!$A:$A, 0)))</f>
        <v>4</v>
      </c>
      <c r="F616">
        <f>IF(D616="A", INDEX(Matches!$F:$F, MATCH(A616, Matches!$A:$A, 0)), INDEX(Matches!$E:$E, MATCH(A616, Matches!$A:$A, 0)))</f>
        <v>10</v>
      </c>
      <c r="G616" t="str">
        <f t="shared" si="48"/>
        <v>Loss</v>
      </c>
      <c r="I616">
        <v>1</v>
      </c>
      <c r="K616" t="str">
        <f t="shared" si="46"/>
        <v>52_B</v>
      </c>
    </row>
    <row r="617" spans="1:11" x14ac:dyDescent="0.35">
      <c r="A617">
        <v>52</v>
      </c>
      <c r="B617" s="6">
        <v>46261</v>
      </c>
      <c r="C617" t="s">
        <v>43</v>
      </c>
      <c r="D617" t="s">
        <v>23</v>
      </c>
      <c r="E617">
        <f>IF(D617="A", INDEX(Matches!$E:$E, MATCH(A617, Matches!$A:$A, 0)), INDEX(Matches!$F:$F, MATCH(A617, Matches!$A:$A, 0)))</f>
        <v>4</v>
      </c>
      <c r="F617">
        <f>IF(D617="A", INDEX(Matches!$F:$F, MATCH(A617, Matches!$A:$A, 0)), INDEX(Matches!$E:$E, MATCH(A617, Matches!$A:$A, 0)))</f>
        <v>10</v>
      </c>
      <c r="G617" t="str">
        <f t="shared" si="48"/>
        <v>Loss</v>
      </c>
      <c r="J617">
        <v>1</v>
      </c>
      <c r="K617" t="str">
        <f t="shared" si="46"/>
        <v>52_B</v>
      </c>
    </row>
    <row r="618" spans="1:11" x14ac:dyDescent="0.35">
      <c r="A618">
        <v>52</v>
      </c>
      <c r="B618" s="6">
        <v>46261</v>
      </c>
      <c r="C618" t="s">
        <v>52</v>
      </c>
      <c r="D618" t="s">
        <v>23</v>
      </c>
      <c r="E618">
        <f>IF(D618="A", INDEX(Matches!$E:$E, MATCH(A618, Matches!$A:$A, 0)), INDEX(Matches!$F:$F, MATCH(A618, Matches!$A:$A, 0)))</f>
        <v>4</v>
      </c>
      <c r="F618">
        <f>IF(D618="A", INDEX(Matches!$F:$F, MATCH(A618, Matches!$A:$A, 0)), INDEX(Matches!$E:$E, MATCH(A618, Matches!$A:$A, 0)))</f>
        <v>10</v>
      </c>
      <c r="G618" t="str">
        <f t="shared" si="48"/>
        <v>Loss</v>
      </c>
      <c r="I618">
        <v>1</v>
      </c>
      <c r="K618" t="str">
        <f t="shared" si="46"/>
        <v>52_B</v>
      </c>
    </row>
    <row r="619" spans="1:11" x14ac:dyDescent="0.35">
      <c r="A619">
        <v>53</v>
      </c>
      <c r="B619" s="6">
        <v>46268</v>
      </c>
      <c r="C619" t="s">
        <v>25</v>
      </c>
      <c r="D619" t="s">
        <v>17</v>
      </c>
      <c r="E619">
        <f>IF(D619="A", INDEX(Matches!$E:$E, MATCH(A619, Matches!$A:$A, 0)), INDEX(Matches!$F:$F, MATCH(A619, Matches!$A:$A, 0)))</f>
        <v>6</v>
      </c>
      <c r="F619">
        <f>IF(D619="A", INDEX(Matches!$F:$F, MATCH(A619, Matches!$A:$A, 0)), INDEX(Matches!$E:$E, MATCH(A619, Matches!$A:$A, 0)))</f>
        <v>5</v>
      </c>
      <c r="G619" t="str">
        <f t="shared" ref="G619:G638" si="49">IF(E619&gt;F619,"Win",IF(E619&lt;F619,"Loss","Draw"))</f>
        <v>Win</v>
      </c>
      <c r="H619">
        <v>1</v>
      </c>
      <c r="K619" t="str">
        <f t="shared" si="46"/>
        <v>53_A</v>
      </c>
    </row>
    <row r="620" spans="1:11" x14ac:dyDescent="0.35">
      <c r="A620">
        <v>53</v>
      </c>
      <c r="B620" s="6">
        <v>46268</v>
      </c>
      <c r="C620" t="s">
        <v>19</v>
      </c>
      <c r="D620" t="s">
        <v>17</v>
      </c>
      <c r="E620">
        <f>IF(D620="A", INDEX(Matches!$E:$E, MATCH(A620, Matches!$A:$A, 0)), INDEX(Matches!$F:$F, MATCH(A620, Matches!$A:$A, 0)))</f>
        <v>6</v>
      </c>
      <c r="F620">
        <f>IF(D620="A", INDEX(Matches!$F:$F, MATCH(A620, Matches!$A:$A, 0)), INDEX(Matches!$E:$E, MATCH(A620, Matches!$A:$A, 0)))</f>
        <v>5</v>
      </c>
      <c r="G620" t="str">
        <f t="shared" si="49"/>
        <v>Win</v>
      </c>
      <c r="K620" t="str">
        <f t="shared" si="46"/>
        <v>53_A</v>
      </c>
    </row>
    <row r="621" spans="1:11" x14ac:dyDescent="0.35">
      <c r="A621">
        <v>53</v>
      </c>
      <c r="B621" s="6">
        <v>46268</v>
      </c>
      <c r="C621" t="s">
        <v>121</v>
      </c>
      <c r="D621" t="s">
        <v>17</v>
      </c>
      <c r="E621">
        <f>IF(D621="A", INDEX(Matches!$E:$E, MATCH(A621, Matches!$A:$A, 0)), INDEX(Matches!$F:$F, MATCH(A621, Matches!$A:$A, 0)))</f>
        <v>6</v>
      </c>
      <c r="F621">
        <f>IF(D621="A", INDEX(Matches!$F:$F, MATCH(A621, Matches!$A:$A, 0)), INDEX(Matches!$E:$E, MATCH(A621, Matches!$A:$A, 0)))</f>
        <v>5</v>
      </c>
      <c r="G621" t="str">
        <f t="shared" si="49"/>
        <v>Win</v>
      </c>
      <c r="H621">
        <v>3</v>
      </c>
      <c r="I621">
        <v>2</v>
      </c>
      <c r="K621" t="str">
        <f t="shared" si="46"/>
        <v>53_A</v>
      </c>
    </row>
    <row r="622" spans="1:11" x14ac:dyDescent="0.35">
      <c r="A622">
        <v>53</v>
      </c>
      <c r="B622" s="6">
        <v>46268</v>
      </c>
      <c r="C622" t="s">
        <v>52</v>
      </c>
      <c r="D622" t="s">
        <v>17</v>
      </c>
      <c r="E622">
        <f>IF(D622="A", INDEX(Matches!$E:$E, MATCH(A622, Matches!$A:$A, 0)), INDEX(Matches!$F:$F, MATCH(A622, Matches!$A:$A, 0)))</f>
        <v>6</v>
      </c>
      <c r="F622">
        <f>IF(D622="A", INDEX(Matches!$F:$F, MATCH(A622, Matches!$A:$A, 0)), INDEX(Matches!$E:$E, MATCH(A622, Matches!$A:$A, 0)))</f>
        <v>5</v>
      </c>
      <c r="G622" t="str">
        <f t="shared" si="49"/>
        <v>Win</v>
      </c>
      <c r="H622">
        <v>2</v>
      </c>
      <c r="I622">
        <v>1</v>
      </c>
      <c r="K622" t="str">
        <f t="shared" si="46"/>
        <v>53_A</v>
      </c>
    </row>
    <row r="623" spans="1:11" x14ac:dyDescent="0.35">
      <c r="A623">
        <v>53</v>
      </c>
      <c r="B623" s="6">
        <v>46268</v>
      </c>
      <c r="C623" t="s">
        <v>45</v>
      </c>
      <c r="D623" t="s">
        <v>17</v>
      </c>
      <c r="E623">
        <f>IF(D623="A", INDEX(Matches!$E:$E, MATCH(A623, Matches!$A:$A, 0)), INDEX(Matches!$F:$F, MATCH(A623, Matches!$A:$A, 0)))</f>
        <v>6</v>
      </c>
      <c r="F623">
        <f>IF(D623="A", INDEX(Matches!$F:$F, MATCH(A623, Matches!$A:$A, 0)), INDEX(Matches!$E:$E, MATCH(A623, Matches!$A:$A, 0)))</f>
        <v>5</v>
      </c>
      <c r="G623" t="str">
        <f t="shared" si="49"/>
        <v>Win</v>
      </c>
      <c r="K623" t="str">
        <f t="shared" si="46"/>
        <v>53_A</v>
      </c>
    </row>
    <row r="624" spans="1:11" x14ac:dyDescent="0.35">
      <c r="A624">
        <v>53</v>
      </c>
      <c r="B624" s="6">
        <v>46268</v>
      </c>
      <c r="C624" t="s">
        <v>41</v>
      </c>
      <c r="D624" t="s">
        <v>23</v>
      </c>
      <c r="E624">
        <f>IF(D624="A", INDEX(Matches!$E:$E, MATCH(A624, Matches!$A:$A, 0)), INDEX(Matches!$F:$F, MATCH(A624, Matches!$A:$A, 0)))</f>
        <v>5</v>
      </c>
      <c r="F624">
        <f>IF(D624="A", INDEX(Matches!$F:$F, MATCH(A624, Matches!$A:$A, 0)), INDEX(Matches!$E:$E, MATCH(A624, Matches!$A:$A, 0)))</f>
        <v>6</v>
      </c>
      <c r="G624" t="str">
        <f t="shared" si="49"/>
        <v>Loss</v>
      </c>
      <c r="K624" t="str">
        <f t="shared" si="46"/>
        <v>53_B</v>
      </c>
    </row>
    <row r="625" spans="1:11" x14ac:dyDescent="0.35">
      <c r="A625">
        <v>53</v>
      </c>
      <c r="B625" s="6">
        <v>46268</v>
      </c>
      <c r="C625" t="s">
        <v>21</v>
      </c>
      <c r="D625" t="s">
        <v>23</v>
      </c>
      <c r="E625">
        <f>IF(D625="A", INDEX(Matches!$E:$E, MATCH(A625, Matches!$A:$A, 0)), INDEX(Matches!$F:$F, MATCH(A625, Matches!$A:$A, 0)))</f>
        <v>5</v>
      </c>
      <c r="F625">
        <f>IF(D625="A", INDEX(Matches!$F:$F, MATCH(A625, Matches!$A:$A, 0)), INDEX(Matches!$E:$E, MATCH(A625, Matches!$A:$A, 0)))</f>
        <v>6</v>
      </c>
      <c r="G625" t="str">
        <f t="shared" si="49"/>
        <v>Loss</v>
      </c>
      <c r="H625">
        <v>1</v>
      </c>
      <c r="I625">
        <v>1</v>
      </c>
      <c r="K625" t="str">
        <f t="shared" si="46"/>
        <v>53_B</v>
      </c>
    </row>
    <row r="626" spans="1:11" x14ac:dyDescent="0.35">
      <c r="A626">
        <v>53</v>
      </c>
      <c r="B626" s="6">
        <v>46268</v>
      </c>
      <c r="C626" t="s">
        <v>16</v>
      </c>
      <c r="D626" t="s">
        <v>23</v>
      </c>
      <c r="E626">
        <f>IF(D626="A", INDEX(Matches!$E:$E, MATCH(A626, Matches!$A:$A, 0)), INDEX(Matches!$F:$F, MATCH(A626, Matches!$A:$A, 0)))</f>
        <v>5</v>
      </c>
      <c r="F626">
        <f>IF(D626="A", INDEX(Matches!$F:$F, MATCH(A626, Matches!$A:$A, 0)), INDEX(Matches!$E:$E, MATCH(A626, Matches!$A:$A, 0)))</f>
        <v>6</v>
      </c>
      <c r="G626" t="str">
        <f t="shared" si="49"/>
        <v>Loss</v>
      </c>
      <c r="H626">
        <v>1</v>
      </c>
      <c r="I626">
        <v>1</v>
      </c>
      <c r="K626" t="str">
        <f t="shared" si="46"/>
        <v>53_B</v>
      </c>
    </row>
    <row r="627" spans="1:11" x14ac:dyDescent="0.35">
      <c r="A627">
        <v>53</v>
      </c>
      <c r="B627" s="6">
        <v>46268</v>
      </c>
      <c r="C627" t="s">
        <v>66</v>
      </c>
      <c r="D627" t="s">
        <v>23</v>
      </c>
      <c r="E627">
        <f>IF(D627="A", INDEX(Matches!$E:$E, MATCH(A627, Matches!$A:$A, 0)), INDEX(Matches!$F:$F, MATCH(A627, Matches!$A:$A, 0)))</f>
        <v>5</v>
      </c>
      <c r="F627">
        <f>IF(D627="A", INDEX(Matches!$F:$F, MATCH(A627, Matches!$A:$A, 0)), INDEX(Matches!$E:$E, MATCH(A627, Matches!$A:$A, 0)))</f>
        <v>6</v>
      </c>
      <c r="G627" t="str">
        <f t="shared" si="49"/>
        <v>Loss</v>
      </c>
      <c r="H627">
        <v>3</v>
      </c>
      <c r="I627">
        <v>1</v>
      </c>
      <c r="K627" t="str">
        <f t="shared" si="46"/>
        <v>53_B</v>
      </c>
    </row>
    <row r="628" spans="1:11" x14ac:dyDescent="0.35">
      <c r="A628">
        <v>53</v>
      </c>
      <c r="B628" s="6">
        <v>46268</v>
      </c>
      <c r="C628" t="s">
        <v>50</v>
      </c>
      <c r="D628" t="s">
        <v>23</v>
      </c>
      <c r="E628">
        <f>IF(D628="A", INDEX(Matches!$E:$E, MATCH(A628, Matches!$A:$A, 0)), INDEX(Matches!$F:$F, MATCH(A628, Matches!$A:$A, 0)))</f>
        <v>5</v>
      </c>
      <c r="F628">
        <f>IF(D628="A", INDEX(Matches!$F:$F, MATCH(A628, Matches!$A:$A, 0)), INDEX(Matches!$E:$E, MATCH(A628, Matches!$A:$A, 0)))</f>
        <v>6</v>
      </c>
      <c r="G628" t="str">
        <f t="shared" si="49"/>
        <v>Loss</v>
      </c>
      <c r="K628" t="str">
        <f t="shared" si="46"/>
        <v>53_B</v>
      </c>
    </row>
    <row r="629" spans="1:11" x14ac:dyDescent="0.35">
      <c r="A629">
        <v>54</v>
      </c>
      <c r="B629" s="6">
        <v>46268</v>
      </c>
      <c r="C629" t="s">
        <v>46</v>
      </c>
      <c r="D629" t="s">
        <v>17</v>
      </c>
      <c r="E629">
        <f>IF(D629="A", INDEX(Matches!$E:$E, MATCH(A629, Matches!$A:$A, 0)), INDEX(Matches!$F:$F, MATCH(A629, Matches!$A:$A, 0)))</f>
        <v>5</v>
      </c>
      <c r="F629">
        <f>IF(D629="A", INDEX(Matches!$F:$F, MATCH(A629, Matches!$A:$A, 0)), INDEX(Matches!$E:$E, MATCH(A629, Matches!$A:$A, 0)))</f>
        <v>8</v>
      </c>
      <c r="G629" t="str">
        <f t="shared" si="49"/>
        <v>Loss</v>
      </c>
      <c r="H629">
        <v>3</v>
      </c>
      <c r="J629">
        <v>1</v>
      </c>
      <c r="K629" t="str">
        <f t="shared" si="46"/>
        <v>54_A</v>
      </c>
    </row>
    <row r="630" spans="1:11" x14ac:dyDescent="0.35">
      <c r="A630">
        <v>54</v>
      </c>
      <c r="B630" s="6">
        <v>46268</v>
      </c>
      <c r="C630" t="s">
        <v>51</v>
      </c>
      <c r="D630" t="s">
        <v>17</v>
      </c>
      <c r="E630">
        <f>IF(D630="A", INDEX(Matches!$E:$E, MATCH(A630, Matches!$A:$A, 0)), INDEX(Matches!$F:$F, MATCH(A630, Matches!$A:$A, 0)))</f>
        <v>5</v>
      </c>
      <c r="F630">
        <f>IF(D630="A", INDEX(Matches!$F:$F, MATCH(A630, Matches!$A:$A, 0)), INDEX(Matches!$E:$E, MATCH(A630, Matches!$A:$A, 0)))</f>
        <v>8</v>
      </c>
      <c r="G630" t="str">
        <f t="shared" si="49"/>
        <v>Loss</v>
      </c>
      <c r="H630">
        <v>1</v>
      </c>
      <c r="I630">
        <v>1</v>
      </c>
      <c r="K630" t="str">
        <f t="shared" si="46"/>
        <v>54_A</v>
      </c>
    </row>
    <row r="631" spans="1:11" x14ac:dyDescent="0.35">
      <c r="A631">
        <v>54</v>
      </c>
      <c r="B631" s="6">
        <v>46268</v>
      </c>
      <c r="C631" t="s">
        <v>20</v>
      </c>
      <c r="D631" t="s">
        <v>17</v>
      </c>
      <c r="E631">
        <f>IF(D631="A", INDEX(Matches!$E:$E, MATCH(A631, Matches!$A:$A, 0)), INDEX(Matches!$F:$F, MATCH(A631, Matches!$A:$A, 0)))</f>
        <v>5</v>
      </c>
      <c r="F631">
        <f>IF(D631="A", INDEX(Matches!$F:$F, MATCH(A631, Matches!$A:$A, 0)), INDEX(Matches!$E:$E, MATCH(A631, Matches!$A:$A, 0)))</f>
        <v>8</v>
      </c>
      <c r="G631" t="str">
        <f t="shared" si="49"/>
        <v>Loss</v>
      </c>
      <c r="H631">
        <v>1</v>
      </c>
      <c r="I631">
        <v>1</v>
      </c>
      <c r="K631" t="str">
        <f t="shared" si="46"/>
        <v>54_A</v>
      </c>
    </row>
    <row r="632" spans="1:11" x14ac:dyDescent="0.35">
      <c r="A632">
        <v>54</v>
      </c>
      <c r="B632" s="6">
        <v>46268</v>
      </c>
      <c r="C632" t="s">
        <v>24</v>
      </c>
      <c r="D632" t="s">
        <v>17</v>
      </c>
      <c r="E632">
        <f>IF(D632="A", INDEX(Matches!$E:$E, MATCH(A632, Matches!$A:$A, 0)), INDEX(Matches!$F:$F, MATCH(A632, Matches!$A:$A, 0)))</f>
        <v>5</v>
      </c>
      <c r="F632">
        <f>IF(D632="A", INDEX(Matches!$F:$F, MATCH(A632, Matches!$A:$A, 0)), INDEX(Matches!$E:$E, MATCH(A632, Matches!$A:$A, 0)))</f>
        <v>8</v>
      </c>
      <c r="G632" t="str">
        <f t="shared" si="49"/>
        <v>Loss</v>
      </c>
      <c r="K632" t="str">
        <f t="shared" si="46"/>
        <v>54_A</v>
      </c>
    </row>
    <row r="633" spans="1:11" x14ac:dyDescent="0.35">
      <c r="A633">
        <v>54</v>
      </c>
      <c r="B633" s="6">
        <v>46268</v>
      </c>
      <c r="C633" t="s">
        <v>54</v>
      </c>
      <c r="D633" t="s">
        <v>17</v>
      </c>
      <c r="E633">
        <f>IF(D633="A", INDEX(Matches!$E:$E, MATCH(A633, Matches!$A:$A, 0)), INDEX(Matches!$F:$F, MATCH(A633, Matches!$A:$A, 0)))</f>
        <v>5</v>
      </c>
      <c r="F633">
        <f>IF(D633="A", INDEX(Matches!$F:$F, MATCH(A633, Matches!$A:$A, 0)), INDEX(Matches!$E:$E, MATCH(A633, Matches!$A:$A, 0)))</f>
        <v>8</v>
      </c>
      <c r="G633" t="str">
        <f t="shared" si="49"/>
        <v>Loss</v>
      </c>
      <c r="I633">
        <v>3</v>
      </c>
      <c r="K633" t="str">
        <f t="shared" si="46"/>
        <v>54_A</v>
      </c>
    </row>
    <row r="634" spans="1:11" x14ac:dyDescent="0.35">
      <c r="A634">
        <v>54</v>
      </c>
      <c r="B634" s="6">
        <v>46268</v>
      </c>
      <c r="C634" t="s">
        <v>89</v>
      </c>
      <c r="D634" t="s">
        <v>23</v>
      </c>
      <c r="E634">
        <f>IF(D634="A", INDEX(Matches!$E:$E, MATCH(A634, Matches!$A:$A, 0)), INDEX(Matches!$F:$F, MATCH(A634, Matches!$A:$A, 0)))</f>
        <v>8</v>
      </c>
      <c r="F634">
        <f>IF(D634="A", INDEX(Matches!$F:$F, MATCH(A634, Matches!$A:$A, 0)), INDEX(Matches!$E:$E, MATCH(A634, Matches!$A:$A, 0)))</f>
        <v>5</v>
      </c>
      <c r="G634" t="str">
        <f t="shared" si="49"/>
        <v>Win</v>
      </c>
      <c r="H634">
        <v>3</v>
      </c>
      <c r="K634" t="str">
        <f t="shared" si="46"/>
        <v>54_B</v>
      </c>
    </row>
    <row r="635" spans="1:11" x14ac:dyDescent="0.35">
      <c r="A635">
        <v>54</v>
      </c>
      <c r="B635" s="6">
        <v>46268</v>
      </c>
      <c r="C635" t="s">
        <v>40</v>
      </c>
      <c r="D635" t="s">
        <v>23</v>
      </c>
      <c r="E635">
        <f>IF(D635="A", INDEX(Matches!$E:$E, MATCH(A635, Matches!$A:$A, 0)), INDEX(Matches!$F:$F, MATCH(A635, Matches!$A:$A, 0)))</f>
        <v>8</v>
      </c>
      <c r="F635">
        <f>IF(D635="A", INDEX(Matches!$F:$F, MATCH(A635, Matches!$A:$A, 0)), INDEX(Matches!$E:$E, MATCH(A635, Matches!$A:$A, 0)))</f>
        <v>5</v>
      </c>
      <c r="G635" t="str">
        <f t="shared" si="49"/>
        <v>Win</v>
      </c>
      <c r="H635">
        <v>1</v>
      </c>
      <c r="K635" t="str">
        <f t="shared" si="46"/>
        <v>54_B</v>
      </c>
    </row>
    <row r="636" spans="1:11" x14ac:dyDescent="0.35">
      <c r="A636">
        <v>54</v>
      </c>
      <c r="B636" s="6">
        <v>46268</v>
      </c>
      <c r="C636" t="s">
        <v>22</v>
      </c>
      <c r="D636" t="s">
        <v>23</v>
      </c>
      <c r="E636">
        <f>IF(D636="A", INDEX(Matches!$E:$E, MATCH(A636, Matches!$A:$A, 0)), INDEX(Matches!$F:$F, MATCH(A636, Matches!$A:$A, 0)))</f>
        <v>8</v>
      </c>
      <c r="F636">
        <f>IF(D636="A", INDEX(Matches!$F:$F, MATCH(A636, Matches!$A:$A, 0)), INDEX(Matches!$E:$E, MATCH(A636, Matches!$A:$A, 0)))</f>
        <v>5</v>
      </c>
      <c r="G636" t="str">
        <f t="shared" si="49"/>
        <v>Win</v>
      </c>
      <c r="I636">
        <v>1</v>
      </c>
      <c r="K636" t="str">
        <f t="shared" si="46"/>
        <v>54_B</v>
      </c>
    </row>
    <row r="637" spans="1:11" x14ac:dyDescent="0.35">
      <c r="A637">
        <v>54</v>
      </c>
      <c r="B637" s="6">
        <v>46268</v>
      </c>
      <c r="C637" t="s">
        <v>42</v>
      </c>
      <c r="D637" t="s">
        <v>23</v>
      </c>
      <c r="E637">
        <f>IF(D637="A", INDEX(Matches!$E:$E, MATCH(A637, Matches!$A:$A, 0)), INDEX(Matches!$F:$F, MATCH(A637, Matches!$A:$A, 0)))</f>
        <v>8</v>
      </c>
      <c r="F637">
        <f>IF(D637="A", INDEX(Matches!$F:$F, MATCH(A637, Matches!$A:$A, 0)), INDEX(Matches!$E:$E, MATCH(A637, Matches!$A:$A, 0)))</f>
        <v>5</v>
      </c>
      <c r="G637" t="str">
        <f t="shared" si="49"/>
        <v>Win</v>
      </c>
      <c r="H637">
        <v>1</v>
      </c>
      <c r="K637" t="str">
        <f t="shared" si="46"/>
        <v>54_B</v>
      </c>
    </row>
    <row r="638" spans="1:11" x14ac:dyDescent="0.35">
      <c r="A638">
        <v>54</v>
      </c>
      <c r="B638" s="6">
        <v>46268</v>
      </c>
      <c r="C638" t="s">
        <v>128</v>
      </c>
      <c r="D638" t="s">
        <v>23</v>
      </c>
      <c r="E638">
        <f>IF(D638="A", INDEX(Matches!$E:$E, MATCH(A638, Matches!$A:$A, 0)), INDEX(Matches!$F:$F, MATCH(A638, Matches!$A:$A, 0)))</f>
        <v>8</v>
      </c>
      <c r="F638">
        <f>IF(D638="A", INDEX(Matches!$F:$F, MATCH(A638, Matches!$A:$A, 0)), INDEX(Matches!$E:$E, MATCH(A638, Matches!$A:$A, 0)))</f>
        <v>5</v>
      </c>
      <c r="G638" t="str">
        <f t="shared" si="49"/>
        <v>Win</v>
      </c>
      <c r="H638">
        <v>2</v>
      </c>
      <c r="K638" t="str">
        <f t="shared" si="46"/>
        <v>54_B</v>
      </c>
    </row>
    <row r="639" spans="1:11" x14ac:dyDescent="0.35">
      <c r="A639">
        <v>55</v>
      </c>
      <c r="B639" s="6">
        <v>46275</v>
      </c>
      <c r="C639" t="s">
        <v>43</v>
      </c>
      <c r="D639" t="s">
        <v>17</v>
      </c>
      <c r="E639">
        <f>IF(D639="A", INDEX(Matches!$E:$E, MATCH(A639, Matches!$A:$A, 0)), INDEX(Matches!$F:$F, MATCH(A639, Matches!$A:$A, 0)))</f>
        <v>9</v>
      </c>
      <c r="F639">
        <f>IF(D639="A", INDEX(Matches!$F:$F, MATCH(A639, Matches!$A:$A, 0)), INDEX(Matches!$E:$E, MATCH(A639, Matches!$A:$A, 0)))</f>
        <v>6</v>
      </c>
      <c r="G639" t="str">
        <f t="shared" ref="G639:G674" si="50">IF(E639&gt;F639,"Win",IF(E639&lt;F639,"Loss","Draw"))</f>
        <v>Win</v>
      </c>
      <c r="K639" t="str">
        <f t="shared" si="46"/>
        <v>55_A</v>
      </c>
    </row>
    <row r="640" spans="1:11" x14ac:dyDescent="0.35">
      <c r="A640">
        <v>55</v>
      </c>
      <c r="B640" s="6">
        <v>46275</v>
      </c>
      <c r="C640" t="s">
        <v>46</v>
      </c>
      <c r="D640" t="s">
        <v>17</v>
      </c>
      <c r="E640">
        <f>IF(D640="A", INDEX(Matches!$E:$E, MATCH(A640, Matches!$A:$A, 0)), INDEX(Matches!$F:$F, MATCH(A640, Matches!$A:$A, 0)))</f>
        <v>9</v>
      </c>
      <c r="F640">
        <f>IF(D640="A", INDEX(Matches!$F:$F, MATCH(A640, Matches!$A:$A, 0)), INDEX(Matches!$E:$E, MATCH(A640, Matches!$A:$A, 0)))</f>
        <v>6</v>
      </c>
      <c r="G640" t="str">
        <f t="shared" si="50"/>
        <v>Win</v>
      </c>
      <c r="H640">
        <v>1</v>
      </c>
      <c r="I640">
        <v>3</v>
      </c>
      <c r="J640">
        <v>1</v>
      </c>
      <c r="K640" t="str">
        <f t="shared" si="46"/>
        <v>55_A</v>
      </c>
    </row>
    <row r="641" spans="1:11" x14ac:dyDescent="0.35">
      <c r="A641">
        <v>55</v>
      </c>
      <c r="B641" s="6">
        <v>46275</v>
      </c>
      <c r="C641" t="s">
        <v>53</v>
      </c>
      <c r="D641" t="s">
        <v>17</v>
      </c>
      <c r="E641">
        <f>IF(D641="A", INDEX(Matches!$E:$E, MATCH(A641, Matches!$A:$A, 0)), INDEX(Matches!$F:$F, MATCH(A641, Matches!$A:$A, 0)))</f>
        <v>9</v>
      </c>
      <c r="F641">
        <f>IF(D641="A", INDEX(Matches!$F:$F, MATCH(A641, Matches!$A:$A, 0)), INDEX(Matches!$E:$E, MATCH(A641, Matches!$A:$A, 0)))</f>
        <v>6</v>
      </c>
      <c r="G641" t="str">
        <f t="shared" si="50"/>
        <v>Win</v>
      </c>
      <c r="I641">
        <v>1</v>
      </c>
      <c r="K641" t="str">
        <f t="shared" si="46"/>
        <v>55_A</v>
      </c>
    </row>
    <row r="642" spans="1:11" x14ac:dyDescent="0.35">
      <c r="A642">
        <v>55</v>
      </c>
      <c r="B642" s="6">
        <v>46275</v>
      </c>
      <c r="C642" t="s">
        <v>75</v>
      </c>
      <c r="D642" t="s">
        <v>17</v>
      </c>
      <c r="E642">
        <f>IF(D642="A", INDEX(Matches!$E:$E, MATCH(A642, Matches!$A:$A, 0)), INDEX(Matches!$F:$F, MATCH(A642, Matches!$A:$A, 0)))</f>
        <v>9</v>
      </c>
      <c r="F642">
        <f>IF(D642="A", INDEX(Matches!$F:$F, MATCH(A642, Matches!$A:$A, 0)), INDEX(Matches!$E:$E, MATCH(A642, Matches!$A:$A, 0)))</f>
        <v>6</v>
      </c>
      <c r="G642" t="str">
        <f t="shared" si="50"/>
        <v>Win</v>
      </c>
      <c r="H642">
        <v>5</v>
      </c>
      <c r="I642">
        <v>2</v>
      </c>
      <c r="K642" t="str">
        <f t="shared" si="46"/>
        <v>55_A</v>
      </c>
    </row>
    <row r="643" spans="1:11" x14ac:dyDescent="0.35">
      <c r="A643">
        <v>55</v>
      </c>
      <c r="B643" s="6">
        <v>46275</v>
      </c>
      <c r="C643" t="s">
        <v>42</v>
      </c>
      <c r="D643" t="s">
        <v>17</v>
      </c>
      <c r="E643">
        <f>IF(D643="A", INDEX(Matches!$E:$E, MATCH(A643, Matches!$A:$A, 0)), INDEX(Matches!$F:$F, MATCH(A643, Matches!$A:$A, 0)))</f>
        <v>9</v>
      </c>
      <c r="F643">
        <f>IF(D643="A", INDEX(Matches!$F:$F, MATCH(A643, Matches!$A:$A, 0)), INDEX(Matches!$E:$E, MATCH(A643, Matches!$A:$A, 0)))</f>
        <v>6</v>
      </c>
      <c r="G643" t="str">
        <f t="shared" si="50"/>
        <v>Win</v>
      </c>
      <c r="K643" t="str">
        <f t="shared" si="46"/>
        <v>55_A</v>
      </c>
    </row>
    <row r="644" spans="1:11" x14ac:dyDescent="0.35">
      <c r="A644">
        <v>55</v>
      </c>
      <c r="B644" s="6">
        <v>46275</v>
      </c>
      <c r="C644" t="s">
        <v>45</v>
      </c>
      <c r="D644" t="s">
        <v>17</v>
      </c>
      <c r="E644">
        <f>IF(D644="A", INDEX(Matches!$E:$E, MATCH(A644, Matches!$A:$A, 0)), INDEX(Matches!$F:$F, MATCH(A644, Matches!$A:$A, 0)))</f>
        <v>9</v>
      </c>
      <c r="F644">
        <f>IF(D644="A", INDEX(Matches!$F:$F, MATCH(A644, Matches!$A:$A, 0)), INDEX(Matches!$E:$E, MATCH(A644, Matches!$A:$A, 0)))</f>
        <v>6</v>
      </c>
      <c r="G644" t="str">
        <f t="shared" si="50"/>
        <v>Win</v>
      </c>
      <c r="H644">
        <v>1</v>
      </c>
      <c r="K644" t="str">
        <f t="shared" si="46"/>
        <v>55_A</v>
      </c>
    </row>
    <row r="645" spans="1:11" x14ac:dyDescent="0.35">
      <c r="A645">
        <v>55</v>
      </c>
      <c r="B645" s="6">
        <v>46275</v>
      </c>
      <c r="C645" t="s">
        <v>66</v>
      </c>
      <c r="D645" t="s">
        <v>17</v>
      </c>
      <c r="E645">
        <f>IF(D645="A", INDEX(Matches!$E:$E, MATCH(A645, Matches!$A:$A, 0)), INDEX(Matches!$F:$F, MATCH(A645, Matches!$A:$A, 0)))</f>
        <v>9</v>
      </c>
      <c r="F645">
        <f>IF(D645="A", INDEX(Matches!$F:$F, MATCH(A645, Matches!$A:$A, 0)), INDEX(Matches!$E:$E, MATCH(A645, Matches!$A:$A, 0)))</f>
        <v>6</v>
      </c>
      <c r="G645" t="str">
        <f t="shared" si="50"/>
        <v>Win</v>
      </c>
      <c r="H645">
        <v>2</v>
      </c>
      <c r="K645" t="str">
        <f t="shared" si="46"/>
        <v>55_A</v>
      </c>
    </row>
    <row r="646" spans="1:11" x14ac:dyDescent="0.35">
      <c r="A646">
        <v>55</v>
      </c>
      <c r="B646" s="6">
        <v>46275</v>
      </c>
      <c r="C646" t="s">
        <v>52</v>
      </c>
      <c r="D646" t="s">
        <v>23</v>
      </c>
      <c r="E646">
        <f>IF(D646="A", INDEX(Matches!$E:$E, MATCH(A646, Matches!$A:$A, 0)), INDEX(Matches!$F:$F, MATCH(A646, Matches!$A:$A, 0)))</f>
        <v>6</v>
      </c>
      <c r="F646">
        <f>IF(D646="A", INDEX(Matches!$F:$F, MATCH(A646, Matches!$A:$A, 0)), INDEX(Matches!$E:$E, MATCH(A646, Matches!$A:$A, 0)))</f>
        <v>9</v>
      </c>
      <c r="G646" t="str">
        <f t="shared" si="50"/>
        <v>Loss</v>
      </c>
      <c r="H646">
        <v>1</v>
      </c>
      <c r="K646" t="str">
        <f t="shared" si="46"/>
        <v>55_B</v>
      </c>
    </row>
    <row r="647" spans="1:11" x14ac:dyDescent="0.35">
      <c r="A647">
        <v>55</v>
      </c>
      <c r="B647" s="6">
        <v>46275</v>
      </c>
      <c r="C647" t="s">
        <v>89</v>
      </c>
      <c r="D647" t="s">
        <v>23</v>
      </c>
      <c r="E647">
        <f>IF(D647="A", INDEX(Matches!$E:$E, MATCH(A647, Matches!$A:$A, 0)), INDEX(Matches!$F:$F, MATCH(A647, Matches!$A:$A, 0)))</f>
        <v>6</v>
      </c>
      <c r="F647">
        <f>IF(D647="A", INDEX(Matches!$F:$F, MATCH(A647, Matches!$A:$A, 0)), INDEX(Matches!$E:$E, MATCH(A647, Matches!$A:$A, 0)))</f>
        <v>9</v>
      </c>
      <c r="G647" t="str">
        <f t="shared" si="50"/>
        <v>Loss</v>
      </c>
      <c r="H647">
        <v>2</v>
      </c>
      <c r="K647" t="str">
        <f t="shared" si="46"/>
        <v>55_B</v>
      </c>
    </row>
    <row r="648" spans="1:11" x14ac:dyDescent="0.35">
      <c r="A648">
        <v>55</v>
      </c>
      <c r="B648" s="6">
        <v>46275</v>
      </c>
      <c r="C648" t="s">
        <v>121</v>
      </c>
      <c r="D648" t="s">
        <v>23</v>
      </c>
      <c r="E648">
        <f>IF(D648="A", INDEX(Matches!$E:$E, MATCH(A648, Matches!$A:$A, 0)), INDEX(Matches!$F:$F, MATCH(A648, Matches!$A:$A, 0)))</f>
        <v>6</v>
      </c>
      <c r="F648">
        <f>IF(D648="A", INDEX(Matches!$F:$F, MATCH(A648, Matches!$A:$A, 0)), INDEX(Matches!$E:$E, MATCH(A648, Matches!$A:$A, 0)))</f>
        <v>9</v>
      </c>
      <c r="G648" t="str">
        <f t="shared" si="50"/>
        <v>Loss</v>
      </c>
      <c r="H648">
        <v>1</v>
      </c>
      <c r="K648" t="str">
        <f t="shared" si="46"/>
        <v>55_B</v>
      </c>
    </row>
    <row r="649" spans="1:11" x14ac:dyDescent="0.35">
      <c r="A649">
        <v>55</v>
      </c>
      <c r="B649" s="6">
        <v>46275</v>
      </c>
      <c r="C649" t="s">
        <v>21</v>
      </c>
      <c r="D649" t="s">
        <v>23</v>
      </c>
      <c r="E649">
        <f>IF(D649="A", INDEX(Matches!$E:$E, MATCH(A649, Matches!$A:$A, 0)), INDEX(Matches!$F:$F, MATCH(A649, Matches!$A:$A, 0)))</f>
        <v>6</v>
      </c>
      <c r="F649">
        <f>IF(D649="A", INDEX(Matches!$F:$F, MATCH(A649, Matches!$A:$A, 0)), INDEX(Matches!$E:$E, MATCH(A649, Matches!$A:$A, 0)))</f>
        <v>9</v>
      </c>
      <c r="G649" t="str">
        <f t="shared" si="50"/>
        <v>Loss</v>
      </c>
      <c r="K649" t="str">
        <f t="shared" si="46"/>
        <v>55_B</v>
      </c>
    </row>
    <row r="650" spans="1:11" x14ac:dyDescent="0.35">
      <c r="A650">
        <v>55</v>
      </c>
      <c r="B650" s="6">
        <v>46275</v>
      </c>
      <c r="C650" t="s">
        <v>22</v>
      </c>
      <c r="D650" t="s">
        <v>23</v>
      </c>
      <c r="E650">
        <f>IF(D650="A", INDEX(Matches!$E:$E, MATCH(A650, Matches!$A:$A, 0)), INDEX(Matches!$F:$F, MATCH(A650, Matches!$A:$A, 0)))</f>
        <v>6</v>
      </c>
      <c r="F650">
        <f>IF(D650="A", INDEX(Matches!$F:$F, MATCH(A650, Matches!$A:$A, 0)), INDEX(Matches!$E:$E, MATCH(A650, Matches!$A:$A, 0)))</f>
        <v>9</v>
      </c>
      <c r="G650" t="str">
        <f t="shared" si="50"/>
        <v>Loss</v>
      </c>
      <c r="K650" t="str">
        <f t="shared" ref="K650:K713" si="51">A650&amp;"_"&amp;D650</f>
        <v>55_B</v>
      </c>
    </row>
    <row r="651" spans="1:11" x14ac:dyDescent="0.35">
      <c r="A651">
        <v>55</v>
      </c>
      <c r="B651" s="6">
        <v>46275</v>
      </c>
      <c r="C651" t="s">
        <v>24</v>
      </c>
      <c r="D651" t="s">
        <v>23</v>
      </c>
      <c r="E651">
        <f>IF(D651="A", INDEX(Matches!$E:$E, MATCH(A651, Matches!$A:$A, 0)), INDEX(Matches!$F:$F, MATCH(A651, Matches!$A:$A, 0)))</f>
        <v>6</v>
      </c>
      <c r="F651">
        <f>IF(D651="A", INDEX(Matches!$F:$F, MATCH(A651, Matches!$A:$A, 0)), INDEX(Matches!$E:$E, MATCH(A651, Matches!$A:$A, 0)))</f>
        <v>9</v>
      </c>
      <c r="G651" t="str">
        <f t="shared" si="50"/>
        <v>Loss</v>
      </c>
      <c r="K651" t="str">
        <f t="shared" si="51"/>
        <v>55_B</v>
      </c>
    </row>
    <row r="652" spans="1:11" x14ac:dyDescent="0.35">
      <c r="A652">
        <v>55</v>
      </c>
      <c r="B652" s="6">
        <v>46275</v>
      </c>
      <c r="C652" t="s">
        <v>40</v>
      </c>
      <c r="D652" t="s">
        <v>23</v>
      </c>
      <c r="E652">
        <f>IF(D652="A", INDEX(Matches!$E:$E, MATCH(A652, Matches!$A:$A, 0)), INDEX(Matches!$F:$F, MATCH(A652, Matches!$A:$A, 0)))</f>
        <v>6</v>
      </c>
      <c r="F652">
        <f>IF(D652="A", INDEX(Matches!$F:$F, MATCH(A652, Matches!$A:$A, 0)), INDEX(Matches!$E:$E, MATCH(A652, Matches!$A:$A, 0)))</f>
        <v>9</v>
      </c>
      <c r="G652" t="str">
        <f t="shared" si="50"/>
        <v>Loss</v>
      </c>
      <c r="I652">
        <v>1</v>
      </c>
      <c r="K652" t="str">
        <f t="shared" si="51"/>
        <v>55_B</v>
      </c>
    </row>
    <row r="653" spans="1:11" x14ac:dyDescent="0.35">
      <c r="A653">
        <v>56</v>
      </c>
      <c r="B653" s="6">
        <v>46282</v>
      </c>
      <c r="C653" t="s">
        <v>46</v>
      </c>
      <c r="D653" t="s">
        <v>17</v>
      </c>
      <c r="E653">
        <f>IF(D653="A", INDEX(Matches!$E:$E, MATCH(A653, Matches!$A:$A, 0)), INDEX(Matches!$F:$F, MATCH(A653, Matches!$A:$A, 0)))</f>
        <v>4</v>
      </c>
      <c r="F653">
        <f>IF(D653="A", INDEX(Matches!$F:$F, MATCH(A653, Matches!$A:$A, 0)), INDEX(Matches!$E:$E, MATCH(A653, Matches!$A:$A, 0)))</f>
        <v>5</v>
      </c>
      <c r="G653" t="str">
        <f t="shared" si="50"/>
        <v>Loss</v>
      </c>
      <c r="H653">
        <v>2</v>
      </c>
      <c r="K653" t="str">
        <f t="shared" si="51"/>
        <v>56_A</v>
      </c>
    </row>
    <row r="654" spans="1:11" x14ac:dyDescent="0.35">
      <c r="A654">
        <v>56</v>
      </c>
      <c r="B654" s="6">
        <v>46282</v>
      </c>
      <c r="C654" t="s">
        <v>40</v>
      </c>
      <c r="D654" t="s">
        <v>17</v>
      </c>
      <c r="E654">
        <f>IF(D654="A", INDEX(Matches!$E:$E, MATCH(A654, Matches!$A:$A, 0)), INDEX(Matches!$F:$F, MATCH(A654, Matches!$A:$A, 0)))</f>
        <v>4</v>
      </c>
      <c r="F654">
        <f>IF(D654="A", INDEX(Matches!$F:$F, MATCH(A654, Matches!$A:$A, 0)), INDEX(Matches!$E:$E, MATCH(A654, Matches!$A:$A, 0)))</f>
        <v>5</v>
      </c>
      <c r="G654" t="str">
        <f t="shared" si="50"/>
        <v>Loss</v>
      </c>
      <c r="H654">
        <v>1</v>
      </c>
      <c r="K654" t="str">
        <f t="shared" si="51"/>
        <v>56_A</v>
      </c>
    </row>
    <row r="655" spans="1:11" x14ac:dyDescent="0.35">
      <c r="A655">
        <v>56</v>
      </c>
      <c r="B655" s="6">
        <v>46282</v>
      </c>
      <c r="C655" t="s">
        <v>19</v>
      </c>
      <c r="D655" t="s">
        <v>17</v>
      </c>
      <c r="E655">
        <f>IF(D655="A", INDEX(Matches!$E:$E, MATCH(A655, Matches!$A:$A, 0)), INDEX(Matches!$F:$F, MATCH(A655, Matches!$A:$A, 0)))</f>
        <v>4</v>
      </c>
      <c r="F655">
        <f>IF(D655="A", INDEX(Matches!$F:$F, MATCH(A655, Matches!$A:$A, 0)), INDEX(Matches!$E:$E, MATCH(A655, Matches!$A:$A, 0)))</f>
        <v>5</v>
      </c>
      <c r="G655" t="str">
        <f t="shared" si="50"/>
        <v>Loss</v>
      </c>
      <c r="H655">
        <v>1</v>
      </c>
      <c r="K655" t="str">
        <f t="shared" si="51"/>
        <v>56_A</v>
      </c>
    </row>
    <row r="656" spans="1:11" x14ac:dyDescent="0.35">
      <c r="A656">
        <v>56</v>
      </c>
      <c r="B656" s="6">
        <v>46282</v>
      </c>
      <c r="C656" t="s">
        <v>42</v>
      </c>
      <c r="D656" t="s">
        <v>17</v>
      </c>
      <c r="E656">
        <f>IF(D656="A", INDEX(Matches!$E:$E, MATCH(A656, Matches!$A:$A, 0)), INDEX(Matches!$F:$F, MATCH(A656, Matches!$A:$A, 0)))</f>
        <v>4</v>
      </c>
      <c r="F656">
        <f>IF(D656="A", INDEX(Matches!$F:$F, MATCH(A656, Matches!$A:$A, 0)), INDEX(Matches!$E:$E, MATCH(A656, Matches!$A:$A, 0)))</f>
        <v>5</v>
      </c>
      <c r="G656" t="str">
        <f t="shared" si="50"/>
        <v>Loss</v>
      </c>
      <c r="I656">
        <v>2</v>
      </c>
      <c r="K656" t="str">
        <f t="shared" si="51"/>
        <v>56_A</v>
      </c>
    </row>
    <row r="657" spans="1:11" x14ac:dyDescent="0.35">
      <c r="A657">
        <v>56</v>
      </c>
      <c r="B657" s="6">
        <v>46282</v>
      </c>
      <c r="C657" t="s">
        <v>89</v>
      </c>
      <c r="D657" t="s">
        <v>17</v>
      </c>
      <c r="E657">
        <f>IF(D657="A", INDEX(Matches!$E:$E, MATCH(A657, Matches!$A:$A, 0)), INDEX(Matches!$F:$F, MATCH(A657, Matches!$A:$A, 0)))</f>
        <v>4</v>
      </c>
      <c r="F657">
        <f>IF(D657="A", INDEX(Matches!$F:$F, MATCH(A657, Matches!$A:$A, 0)), INDEX(Matches!$E:$E, MATCH(A657, Matches!$A:$A, 0)))</f>
        <v>5</v>
      </c>
      <c r="G657" t="str">
        <f t="shared" si="50"/>
        <v>Loss</v>
      </c>
      <c r="K657" t="str">
        <f t="shared" si="51"/>
        <v>56_A</v>
      </c>
    </row>
    <row r="658" spans="1:11" x14ac:dyDescent="0.35">
      <c r="A658">
        <v>56</v>
      </c>
      <c r="B658" s="6">
        <v>46282</v>
      </c>
      <c r="C658" t="s">
        <v>52</v>
      </c>
      <c r="D658" t="s">
        <v>23</v>
      </c>
      <c r="E658">
        <f>IF(D658="A", INDEX(Matches!$E:$E, MATCH(A658, Matches!$A:$A, 0)), INDEX(Matches!$F:$F, MATCH(A658, Matches!$A:$A, 0)))</f>
        <v>5</v>
      </c>
      <c r="F658">
        <f>IF(D658="A", INDEX(Matches!$F:$F, MATCH(A658, Matches!$A:$A, 0)), INDEX(Matches!$E:$E, MATCH(A658, Matches!$A:$A, 0)))</f>
        <v>4</v>
      </c>
      <c r="G658" t="str">
        <f t="shared" si="50"/>
        <v>Win</v>
      </c>
      <c r="H658">
        <v>2</v>
      </c>
      <c r="K658" t="str">
        <f t="shared" si="51"/>
        <v>56_B</v>
      </c>
    </row>
    <row r="659" spans="1:11" x14ac:dyDescent="0.35">
      <c r="A659">
        <v>56</v>
      </c>
      <c r="B659" s="6">
        <v>46282</v>
      </c>
      <c r="C659" t="s">
        <v>20</v>
      </c>
      <c r="D659" t="s">
        <v>23</v>
      </c>
      <c r="E659">
        <f>IF(D659="A", INDEX(Matches!$E:$E, MATCH(A659, Matches!$A:$A, 0)), INDEX(Matches!$F:$F, MATCH(A659, Matches!$A:$A, 0)))</f>
        <v>5</v>
      </c>
      <c r="F659">
        <f>IF(D659="A", INDEX(Matches!$F:$F, MATCH(A659, Matches!$A:$A, 0)), INDEX(Matches!$E:$E, MATCH(A659, Matches!$A:$A, 0)))</f>
        <v>4</v>
      </c>
      <c r="G659" t="str">
        <f t="shared" si="50"/>
        <v>Win</v>
      </c>
      <c r="H659">
        <v>2</v>
      </c>
      <c r="K659" t="str">
        <f t="shared" si="51"/>
        <v>56_B</v>
      </c>
    </row>
    <row r="660" spans="1:11" x14ac:dyDescent="0.35">
      <c r="A660">
        <v>56</v>
      </c>
      <c r="B660" s="6">
        <v>46282</v>
      </c>
      <c r="C660" t="s">
        <v>43</v>
      </c>
      <c r="D660" t="s">
        <v>23</v>
      </c>
      <c r="E660">
        <f>IF(D660="A", INDEX(Matches!$E:$E, MATCH(A660, Matches!$A:$A, 0)), INDEX(Matches!$F:$F, MATCH(A660, Matches!$A:$A, 0)))</f>
        <v>5</v>
      </c>
      <c r="F660">
        <f>IF(D660="A", INDEX(Matches!$F:$F, MATCH(A660, Matches!$A:$A, 0)), INDEX(Matches!$E:$E, MATCH(A660, Matches!$A:$A, 0)))</f>
        <v>4</v>
      </c>
      <c r="G660" t="str">
        <f t="shared" si="50"/>
        <v>Win</v>
      </c>
      <c r="H660">
        <v>1</v>
      </c>
      <c r="I660">
        <v>1</v>
      </c>
      <c r="K660" t="str">
        <f t="shared" si="51"/>
        <v>56_B</v>
      </c>
    </row>
    <row r="661" spans="1:11" x14ac:dyDescent="0.35">
      <c r="A661">
        <v>56</v>
      </c>
      <c r="B661" s="6">
        <v>46282</v>
      </c>
      <c r="C661" t="s">
        <v>99</v>
      </c>
      <c r="D661" t="s">
        <v>23</v>
      </c>
      <c r="E661">
        <f>IF(D661="A", INDEX(Matches!$E:$E, MATCH(A661, Matches!$A:$A, 0)), INDEX(Matches!$F:$F, MATCH(A661, Matches!$A:$A, 0)))</f>
        <v>5</v>
      </c>
      <c r="F661">
        <f>IF(D661="A", INDEX(Matches!$F:$F, MATCH(A661, Matches!$A:$A, 0)), INDEX(Matches!$E:$E, MATCH(A661, Matches!$A:$A, 0)))</f>
        <v>4</v>
      </c>
      <c r="G661" t="str">
        <f t="shared" si="50"/>
        <v>Win</v>
      </c>
      <c r="K661" t="str">
        <f t="shared" si="51"/>
        <v>56_B</v>
      </c>
    </row>
    <row r="662" spans="1:11" x14ac:dyDescent="0.35">
      <c r="A662">
        <v>56</v>
      </c>
      <c r="B662" s="6">
        <v>46282</v>
      </c>
      <c r="C662" t="s">
        <v>75</v>
      </c>
      <c r="D662" t="s">
        <v>23</v>
      </c>
      <c r="E662">
        <f>IF(D662="A", INDEX(Matches!$E:$E, MATCH(A662, Matches!$A:$A, 0)), INDEX(Matches!$F:$F, MATCH(A662, Matches!$A:$A, 0)))</f>
        <v>5</v>
      </c>
      <c r="F662">
        <f>IF(D662="A", INDEX(Matches!$F:$F, MATCH(A662, Matches!$A:$A, 0)), INDEX(Matches!$E:$E, MATCH(A662, Matches!$A:$A, 0)))</f>
        <v>4</v>
      </c>
      <c r="G662" t="str">
        <f t="shared" si="50"/>
        <v>Win</v>
      </c>
      <c r="K662" t="str">
        <f t="shared" si="51"/>
        <v>56_B</v>
      </c>
    </row>
    <row r="663" spans="1:11" x14ac:dyDescent="0.35">
      <c r="A663">
        <v>57</v>
      </c>
      <c r="B663" s="6">
        <v>46289</v>
      </c>
      <c r="C663" t="s">
        <v>41</v>
      </c>
      <c r="D663" t="s">
        <v>17</v>
      </c>
      <c r="E663">
        <f>IF(D663="A", INDEX(Matches!$E:$E, MATCH(A663, Matches!$A:$A, 0)), INDEX(Matches!$F:$F, MATCH(A663, Matches!$A:$A, 0)))</f>
        <v>3</v>
      </c>
      <c r="F663">
        <f>IF(D663="A", INDEX(Matches!$F:$F, MATCH(A663, Matches!$A:$A, 0)), INDEX(Matches!$E:$E, MATCH(A663, Matches!$A:$A, 0)))</f>
        <v>2</v>
      </c>
      <c r="G663" t="str">
        <f t="shared" si="50"/>
        <v>Win</v>
      </c>
      <c r="K663" t="str">
        <f t="shared" si="51"/>
        <v>57_A</v>
      </c>
    </row>
    <row r="664" spans="1:11" x14ac:dyDescent="0.35">
      <c r="A664">
        <v>57</v>
      </c>
      <c r="B664" s="6">
        <v>46289</v>
      </c>
      <c r="C664" t="s">
        <v>40</v>
      </c>
      <c r="D664" t="s">
        <v>17</v>
      </c>
      <c r="E664">
        <f>IF(D664="A", INDEX(Matches!$E:$E, MATCH(A664, Matches!$A:$A, 0)), INDEX(Matches!$F:$F, MATCH(A664, Matches!$A:$A, 0)))</f>
        <v>3</v>
      </c>
      <c r="F664">
        <f>IF(D664="A", INDEX(Matches!$F:$F, MATCH(A664, Matches!$A:$A, 0)), INDEX(Matches!$E:$E, MATCH(A664, Matches!$A:$A, 0)))</f>
        <v>2</v>
      </c>
      <c r="G664" t="str">
        <f t="shared" si="50"/>
        <v>Win</v>
      </c>
      <c r="K664" t="str">
        <f t="shared" si="51"/>
        <v>57_A</v>
      </c>
    </row>
    <row r="665" spans="1:11" x14ac:dyDescent="0.35">
      <c r="A665">
        <v>57</v>
      </c>
      <c r="B665" s="6">
        <v>46289</v>
      </c>
      <c r="C665" t="s">
        <v>42</v>
      </c>
      <c r="D665" t="s">
        <v>17</v>
      </c>
      <c r="E665">
        <f>IF(D665="A", INDEX(Matches!$E:$E, MATCH(A665, Matches!$A:$A, 0)), INDEX(Matches!$F:$F, MATCH(A665, Matches!$A:$A, 0)))</f>
        <v>3</v>
      </c>
      <c r="F665">
        <f>IF(D665="A", INDEX(Matches!$F:$F, MATCH(A665, Matches!$A:$A, 0)), INDEX(Matches!$E:$E, MATCH(A665, Matches!$A:$A, 0)))</f>
        <v>2</v>
      </c>
      <c r="G665" t="str">
        <f t="shared" si="50"/>
        <v>Win</v>
      </c>
      <c r="H665">
        <v>2</v>
      </c>
      <c r="K665" t="str">
        <f t="shared" si="51"/>
        <v>57_A</v>
      </c>
    </row>
    <row r="666" spans="1:11" x14ac:dyDescent="0.35">
      <c r="A666">
        <v>57</v>
      </c>
      <c r="B666" s="6">
        <v>46289</v>
      </c>
      <c r="C666" t="s">
        <v>24</v>
      </c>
      <c r="D666" t="s">
        <v>17</v>
      </c>
      <c r="E666">
        <f>IF(D666="A", INDEX(Matches!$E:$E, MATCH(A666, Matches!$A:$A, 0)), INDEX(Matches!$F:$F, MATCH(A666, Matches!$A:$A, 0)))</f>
        <v>3</v>
      </c>
      <c r="F666">
        <f>IF(D666="A", INDEX(Matches!$F:$F, MATCH(A666, Matches!$A:$A, 0)), INDEX(Matches!$E:$E, MATCH(A666, Matches!$A:$A, 0)))</f>
        <v>2</v>
      </c>
      <c r="G666" t="str">
        <f t="shared" si="50"/>
        <v>Win</v>
      </c>
      <c r="K666" t="str">
        <f t="shared" si="51"/>
        <v>57_A</v>
      </c>
    </row>
    <row r="667" spans="1:11" x14ac:dyDescent="0.35">
      <c r="A667">
        <v>57</v>
      </c>
      <c r="B667" s="6">
        <v>46289</v>
      </c>
      <c r="C667" t="s">
        <v>53</v>
      </c>
      <c r="D667" t="s">
        <v>17</v>
      </c>
      <c r="E667">
        <f>IF(D667="A", INDEX(Matches!$E:$E, MATCH(A667, Matches!$A:$A, 0)), INDEX(Matches!$F:$F, MATCH(A667, Matches!$A:$A, 0)))</f>
        <v>3</v>
      </c>
      <c r="F667">
        <f>IF(D667="A", INDEX(Matches!$F:$F, MATCH(A667, Matches!$A:$A, 0)), INDEX(Matches!$E:$E, MATCH(A667, Matches!$A:$A, 0)))</f>
        <v>2</v>
      </c>
      <c r="G667" t="str">
        <f t="shared" si="50"/>
        <v>Win</v>
      </c>
      <c r="K667" t="str">
        <f t="shared" si="51"/>
        <v>57_A</v>
      </c>
    </row>
    <row r="668" spans="1:11" x14ac:dyDescent="0.35">
      <c r="A668">
        <v>57</v>
      </c>
      <c r="B668" s="6">
        <v>46289</v>
      </c>
      <c r="C668" t="s">
        <v>66</v>
      </c>
      <c r="D668" t="s">
        <v>17</v>
      </c>
      <c r="E668">
        <f>IF(D668="A", INDEX(Matches!$E:$E, MATCH(A668, Matches!$A:$A, 0)), INDEX(Matches!$F:$F, MATCH(A668, Matches!$A:$A, 0)))</f>
        <v>3</v>
      </c>
      <c r="F668">
        <f>IF(D668="A", INDEX(Matches!$F:$F, MATCH(A668, Matches!$A:$A, 0)), INDEX(Matches!$E:$E, MATCH(A668, Matches!$A:$A, 0)))</f>
        <v>2</v>
      </c>
      <c r="G668" t="str">
        <f t="shared" si="50"/>
        <v>Win</v>
      </c>
      <c r="I668">
        <v>1</v>
      </c>
      <c r="K668" t="str">
        <f t="shared" si="51"/>
        <v>57_A</v>
      </c>
    </row>
    <row r="669" spans="1:11" x14ac:dyDescent="0.35">
      <c r="A669">
        <v>57</v>
      </c>
      <c r="B669" s="6">
        <v>46289</v>
      </c>
      <c r="C669" t="s">
        <v>22</v>
      </c>
      <c r="D669" t="s">
        <v>23</v>
      </c>
      <c r="E669">
        <f>IF(D669="A", INDEX(Matches!$E:$E, MATCH(A669, Matches!$A:$A, 0)), INDEX(Matches!$F:$F, MATCH(A669, Matches!$A:$A, 0)))</f>
        <v>2</v>
      </c>
      <c r="F669">
        <f>IF(D669="A", INDEX(Matches!$F:$F, MATCH(A669, Matches!$A:$A, 0)), INDEX(Matches!$E:$E, MATCH(A669, Matches!$A:$A, 0)))</f>
        <v>3</v>
      </c>
      <c r="G669" t="str">
        <f t="shared" si="50"/>
        <v>Loss</v>
      </c>
      <c r="K669" t="str">
        <f t="shared" si="51"/>
        <v>57_B</v>
      </c>
    </row>
    <row r="670" spans="1:11" x14ac:dyDescent="0.35">
      <c r="A670">
        <v>57</v>
      </c>
      <c r="B670" s="6">
        <v>46289</v>
      </c>
      <c r="C670" t="s">
        <v>121</v>
      </c>
      <c r="D670" t="s">
        <v>23</v>
      </c>
      <c r="E670">
        <f>IF(D670="A", INDEX(Matches!$E:$E, MATCH(A670, Matches!$A:$A, 0)), INDEX(Matches!$F:$F, MATCH(A670, Matches!$A:$A, 0)))</f>
        <v>2</v>
      </c>
      <c r="F670">
        <f>IF(D670="A", INDEX(Matches!$F:$F, MATCH(A670, Matches!$A:$A, 0)), INDEX(Matches!$E:$E, MATCH(A670, Matches!$A:$A, 0)))</f>
        <v>3</v>
      </c>
      <c r="G670" t="str">
        <f t="shared" si="50"/>
        <v>Loss</v>
      </c>
      <c r="H670">
        <v>1</v>
      </c>
      <c r="K670" t="str">
        <f t="shared" si="51"/>
        <v>57_B</v>
      </c>
    </row>
    <row r="671" spans="1:11" x14ac:dyDescent="0.35">
      <c r="A671">
        <v>57</v>
      </c>
      <c r="B671" s="6">
        <v>46289</v>
      </c>
      <c r="C671" t="s">
        <v>89</v>
      </c>
      <c r="D671" t="s">
        <v>23</v>
      </c>
      <c r="E671">
        <f>IF(D671="A", INDEX(Matches!$E:$E, MATCH(A671, Matches!$A:$A, 0)), INDEX(Matches!$F:$F, MATCH(A671, Matches!$A:$A, 0)))</f>
        <v>2</v>
      </c>
      <c r="F671">
        <f>IF(D671="A", INDEX(Matches!$F:$F, MATCH(A671, Matches!$A:$A, 0)), INDEX(Matches!$E:$E, MATCH(A671, Matches!$A:$A, 0)))</f>
        <v>3</v>
      </c>
      <c r="G671" t="str">
        <f t="shared" si="50"/>
        <v>Loss</v>
      </c>
      <c r="H671">
        <v>1</v>
      </c>
      <c r="K671" t="str">
        <f t="shared" si="51"/>
        <v>57_B</v>
      </c>
    </row>
    <row r="672" spans="1:11" x14ac:dyDescent="0.35">
      <c r="A672">
        <v>57</v>
      </c>
      <c r="B672" s="6">
        <v>46289</v>
      </c>
      <c r="C672" t="s">
        <v>21</v>
      </c>
      <c r="D672" t="s">
        <v>23</v>
      </c>
      <c r="E672">
        <f>IF(D672="A", INDEX(Matches!$E:$E, MATCH(A672, Matches!$A:$A, 0)), INDEX(Matches!$F:$F, MATCH(A672, Matches!$A:$A, 0)))</f>
        <v>2</v>
      </c>
      <c r="F672">
        <f>IF(D672="A", INDEX(Matches!$F:$F, MATCH(A672, Matches!$A:$A, 0)), INDEX(Matches!$E:$E, MATCH(A672, Matches!$A:$A, 0)))</f>
        <v>3</v>
      </c>
      <c r="G672" t="str">
        <f t="shared" si="50"/>
        <v>Loss</v>
      </c>
      <c r="K672" t="str">
        <f t="shared" si="51"/>
        <v>57_B</v>
      </c>
    </row>
    <row r="673" spans="1:11" x14ac:dyDescent="0.35">
      <c r="A673">
        <v>57</v>
      </c>
      <c r="B673" s="6">
        <v>46289</v>
      </c>
      <c r="C673" t="s">
        <v>99</v>
      </c>
      <c r="D673" t="s">
        <v>23</v>
      </c>
      <c r="E673">
        <f>IF(D673="A", INDEX(Matches!$E:$E, MATCH(A673, Matches!$A:$A, 0)), INDEX(Matches!$F:$F, MATCH(A673, Matches!$A:$A, 0)))</f>
        <v>2</v>
      </c>
      <c r="F673">
        <f>IF(D673="A", INDEX(Matches!$F:$F, MATCH(A673, Matches!$A:$A, 0)), INDEX(Matches!$E:$E, MATCH(A673, Matches!$A:$A, 0)))</f>
        <v>3</v>
      </c>
      <c r="G673" t="str">
        <f t="shared" si="50"/>
        <v>Loss</v>
      </c>
      <c r="J673">
        <v>1</v>
      </c>
      <c r="K673" t="str">
        <f t="shared" si="51"/>
        <v>57_B</v>
      </c>
    </row>
    <row r="674" spans="1:11" x14ac:dyDescent="0.35">
      <c r="A674">
        <v>57</v>
      </c>
      <c r="B674" s="6">
        <v>46289</v>
      </c>
      <c r="C674" t="s">
        <v>20</v>
      </c>
      <c r="D674" t="s">
        <v>23</v>
      </c>
      <c r="E674">
        <f>IF(D674="A", INDEX(Matches!$E:$E, MATCH(A674, Matches!$A:$A, 0)), INDEX(Matches!$F:$F, MATCH(A674, Matches!$A:$A, 0)))</f>
        <v>2</v>
      </c>
      <c r="F674">
        <f>IF(D674="A", INDEX(Matches!$F:$F, MATCH(A674, Matches!$A:$A, 0)), INDEX(Matches!$E:$E, MATCH(A674, Matches!$A:$A, 0)))</f>
        <v>3</v>
      </c>
      <c r="G674" t="str">
        <f t="shared" si="50"/>
        <v>Loss</v>
      </c>
      <c r="K674" t="str">
        <f t="shared" si="51"/>
        <v>57_B</v>
      </c>
    </row>
    <row r="675" spans="1:11" x14ac:dyDescent="0.35">
      <c r="A675">
        <v>58</v>
      </c>
      <c r="B675" s="6">
        <v>46296</v>
      </c>
      <c r="C675" t="s">
        <v>43</v>
      </c>
      <c r="D675" t="s">
        <v>17</v>
      </c>
      <c r="E675">
        <f>IF(D675="A", INDEX(Matches!$E:$E, MATCH(A675, Matches!$A:$A, 0)), INDEX(Matches!$F:$F, MATCH(A675, Matches!$A:$A, 0)))</f>
        <v>6</v>
      </c>
      <c r="F675">
        <f>IF(D675="A", INDEX(Matches!$F:$F, MATCH(A675, Matches!$A:$A, 0)), INDEX(Matches!$E:$E, MATCH(A675, Matches!$A:$A, 0)))</f>
        <v>6</v>
      </c>
      <c r="G675" t="str">
        <f t="shared" ref="G675:G686" si="52">IF(E675&gt;F675,"Win",IF(E675&lt;F675,"Loss","Draw"))</f>
        <v>Draw</v>
      </c>
      <c r="I675">
        <v>1</v>
      </c>
      <c r="K675" t="str">
        <f t="shared" si="51"/>
        <v>58_A</v>
      </c>
    </row>
    <row r="676" spans="1:11" x14ac:dyDescent="0.35">
      <c r="A676">
        <v>58</v>
      </c>
      <c r="B676" s="6">
        <v>46296</v>
      </c>
      <c r="C676" t="s">
        <v>88</v>
      </c>
      <c r="D676" t="s">
        <v>17</v>
      </c>
      <c r="E676">
        <f>IF(D676="A", INDEX(Matches!$E:$E, MATCH(A676, Matches!$A:$A, 0)), INDEX(Matches!$F:$F, MATCH(A676, Matches!$A:$A, 0)))</f>
        <v>6</v>
      </c>
      <c r="F676">
        <f>IF(D676="A", INDEX(Matches!$F:$F, MATCH(A676, Matches!$A:$A, 0)), INDEX(Matches!$E:$E, MATCH(A676, Matches!$A:$A, 0)))</f>
        <v>6</v>
      </c>
      <c r="G676" t="str">
        <f t="shared" si="52"/>
        <v>Draw</v>
      </c>
      <c r="I676">
        <v>1</v>
      </c>
      <c r="K676" t="str">
        <f t="shared" si="51"/>
        <v>58_A</v>
      </c>
    </row>
    <row r="677" spans="1:11" x14ac:dyDescent="0.35">
      <c r="A677">
        <v>58</v>
      </c>
      <c r="B677" s="6">
        <v>46296</v>
      </c>
      <c r="C677" t="s">
        <v>22</v>
      </c>
      <c r="D677" t="s">
        <v>17</v>
      </c>
      <c r="E677">
        <f>IF(D677="A", INDEX(Matches!$E:$E, MATCH(A677, Matches!$A:$A, 0)), INDEX(Matches!$F:$F, MATCH(A677, Matches!$A:$A, 0)))</f>
        <v>6</v>
      </c>
      <c r="F677">
        <f>IF(D677="A", INDEX(Matches!$F:$F, MATCH(A677, Matches!$A:$A, 0)), INDEX(Matches!$E:$E, MATCH(A677, Matches!$A:$A, 0)))</f>
        <v>6</v>
      </c>
      <c r="G677" t="str">
        <f t="shared" si="52"/>
        <v>Draw</v>
      </c>
      <c r="K677" t="str">
        <f t="shared" si="51"/>
        <v>58_A</v>
      </c>
    </row>
    <row r="678" spans="1:11" x14ac:dyDescent="0.35">
      <c r="A678">
        <v>58</v>
      </c>
      <c r="B678" s="6">
        <v>46296</v>
      </c>
      <c r="C678" t="s">
        <v>46</v>
      </c>
      <c r="D678" t="s">
        <v>17</v>
      </c>
      <c r="E678">
        <f>IF(D678="A", INDEX(Matches!$E:$E, MATCH(A678, Matches!$A:$A, 0)), INDEX(Matches!$F:$F, MATCH(A678, Matches!$A:$A, 0)))</f>
        <v>6</v>
      </c>
      <c r="F678">
        <f>IF(D678="A", INDEX(Matches!$F:$F, MATCH(A678, Matches!$A:$A, 0)), INDEX(Matches!$E:$E, MATCH(A678, Matches!$A:$A, 0)))</f>
        <v>6</v>
      </c>
      <c r="G678" t="str">
        <f t="shared" si="52"/>
        <v>Draw</v>
      </c>
      <c r="H678">
        <v>3</v>
      </c>
      <c r="I678">
        <v>1</v>
      </c>
      <c r="K678" t="str">
        <f t="shared" si="51"/>
        <v>58_A</v>
      </c>
    </row>
    <row r="679" spans="1:11" x14ac:dyDescent="0.35">
      <c r="A679">
        <v>58</v>
      </c>
      <c r="B679" s="6">
        <v>46296</v>
      </c>
      <c r="C679" t="s">
        <v>53</v>
      </c>
      <c r="D679" t="s">
        <v>17</v>
      </c>
      <c r="E679">
        <f>IF(D679="A", INDEX(Matches!$E:$E, MATCH(A679, Matches!$A:$A, 0)), INDEX(Matches!$F:$F, MATCH(A679, Matches!$A:$A, 0)))</f>
        <v>6</v>
      </c>
      <c r="F679">
        <f>IF(D679="A", INDEX(Matches!$F:$F, MATCH(A679, Matches!$A:$A, 0)), INDEX(Matches!$E:$E, MATCH(A679, Matches!$A:$A, 0)))</f>
        <v>6</v>
      </c>
      <c r="G679" t="str">
        <f t="shared" si="52"/>
        <v>Draw</v>
      </c>
      <c r="I679">
        <v>1</v>
      </c>
      <c r="K679" t="str">
        <f t="shared" si="51"/>
        <v>58_A</v>
      </c>
    </row>
    <row r="680" spans="1:11" x14ac:dyDescent="0.35">
      <c r="A680">
        <v>58</v>
      </c>
      <c r="B680" s="6">
        <v>46296</v>
      </c>
      <c r="C680" t="s">
        <v>19</v>
      </c>
      <c r="D680" t="s">
        <v>17</v>
      </c>
      <c r="E680">
        <f>IF(D680="A", INDEX(Matches!$E:$E, MATCH(A680, Matches!$A:$A, 0)), INDEX(Matches!$F:$F, MATCH(A680, Matches!$A:$A, 0)))</f>
        <v>6</v>
      </c>
      <c r="F680">
        <f>IF(D680="A", INDEX(Matches!$F:$F, MATCH(A680, Matches!$A:$A, 0)), INDEX(Matches!$E:$E, MATCH(A680, Matches!$A:$A, 0)))</f>
        <v>6</v>
      </c>
      <c r="G680" t="str">
        <f t="shared" si="52"/>
        <v>Draw</v>
      </c>
      <c r="H680">
        <v>3</v>
      </c>
      <c r="I680">
        <v>2</v>
      </c>
      <c r="K680" t="str">
        <f t="shared" si="51"/>
        <v>58_A</v>
      </c>
    </row>
    <row r="681" spans="1:11" x14ac:dyDescent="0.35">
      <c r="A681">
        <v>58</v>
      </c>
      <c r="B681" s="6">
        <v>46296</v>
      </c>
      <c r="C681" t="s">
        <v>21</v>
      </c>
      <c r="D681" t="s">
        <v>23</v>
      </c>
      <c r="E681">
        <f>IF(D681="A", INDEX(Matches!$E:$E, MATCH(A681, Matches!$A:$A, 0)), INDEX(Matches!$F:$F, MATCH(A681, Matches!$A:$A, 0)))</f>
        <v>6</v>
      </c>
      <c r="F681">
        <f>IF(D681="A", INDEX(Matches!$F:$F, MATCH(A681, Matches!$A:$A, 0)), INDEX(Matches!$E:$E, MATCH(A681, Matches!$A:$A, 0)))</f>
        <v>6</v>
      </c>
      <c r="G681" t="str">
        <f t="shared" si="52"/>
        <v>Draw</v>
      </c>
      <c r="K681" t="str">
        <f t="shared" si="51"/>
        <v>58_B</v>
      </c>
    </row>
    <row r="682" spans="1:11" x14ac:dyDescent="0.35">
      <c r="A682">
        <v>58</v>
      </c>
      <c r="B682" s="6">
        <v>46296</v>
      </c>
      <c r="C682" t="s">
        <v>75</v>
      </c>
      <c r="D682" t="s">
        <v>23</v>
      </c>
      <c r="E682">
        <f>IF(D682="A", INDEX(Matches!$E:$E, MATCH(A682, Matches!$A:$A, 0)), INDEX(Matches!$F:$F, MATCH(A682, Matches!$A:$A, 0)))</f>
        <v>6</v>
      </c>
      <c r="F682">
        <f>IF(D682="A", INDEX(Matches!$F:$F, MATCH(A682, Matches!$A:$A, 0)), INDEX(Matches!$E:$E, MATCH(A682, Matches!$A:$A, 0)))</f>
        <v>6</v>
      </c>
      <c r="G682" t="str">
        <f t="shared" si="52"/>
        <v>Draw</v>
      </c>
      <c r="H682">
        <v>3</v>
      </c>
      <c r="K682" t="str">
        <f t="shared" si="51"/>
        <v>58_B</v>
      </c>
    </row>
    <row r="683" spans="1:11" x14ac:dyDescent="0.35">
      <c r="A683">
        <v>58</v>
      </c>
      <c r="B683" s="6">
        <v>46296</v>
      </c>
      <c r="C683" t="s">
        <v>99</v>
      </c>
      <c r="D683" t="s">
        <v>23</v>
      </c>
      <c r="E683">
        <f>IF(D683="A", INDEX(Matches!$E:$E, MATCH(A683, Matches!$A:$A, 0)), INDEX(Matches!$F:$F, MATCH(A683, Matches!$A:$A, 0)))</f>
        <v>6</v>
      </c>
      <c r="F683">
        <f>IF(D683="A", INDEX(Matches!$F:$F, MATCH(A683, Matches!$A:$A, 0)), INDEX(Matches!$E:$E, MATCH(A683, Matches!$A:$A, 0)))</f>
        <v>6</v>
      </c>
      <c r="G683" t="str">
        <f t="shared" si="52"/>
        <v>Draw</v>
      </c>
      <c r="I683">
        <v>1</v>
      </c>
      <c r="K683" t="str">
        <f t="shared" si="51"/>
        <v>58_B</v>
      </c>
    </row>
    <row r="684" spans="1:11" x14ac:dyDescent="0.35">
      <c r="A684">
        <v>58</v>
      </c>
      <c r="B684" s="6">
        <v>46296</v>
      </c>
      <c r="C684" t="s">
        <v>51</v>
      </c>
      <c r="D684" t="s">
        <v>23</v>
      </c>
      <c r="E684">
        <f>IF(D684="A", INDEX(Matches!$E:$E, MATCH(A684, Matches!$A:$A, 0)), INDEX(Matches!$F:$F, MATCH(A684, Matches!$A:$A, 0)))</f>
        <v>6</v>
      </c>
      <c r="F684">
        <f>IF(D684="A", INDEX(Matches!$F:$F, MATCH(A684, Matches!$A:$A, 0)), INDEX(Matches!$E:$E, MATCH(A684, Matches!$A:$A, 0)))</f>
        <v>6</v>
      </c>
      <c r="G684" t="str">
        <f t="shared" si="52"/>
        <v>Draw</v>
      </c>
      <c r="H684">
        <v>2</v>
      </c>
      <c r="I684">
        <v>1</v>
      </c>
      <c r="K684" t="str">
        <f t="shared" si="51"/>
        <v>58_B</v>
      </c>
    </row>
    <row r="685" spans="1:11" x14ac:dyDescent="0.35">
      <c r="A685">
        <v>58</v>
      </c>
      <c r="B685" s="6">
        <v>46296</v>
      </c>
      <c r="C685" t="s">
        <v>24</v>
      </c>
      <c r="D685" t="s">
        <v>23</v>
      </c>
      <c r="E685">
        <f>IF(D685="A", INDEX(Matches!$E:$E, MATCH(A685, Matches!$A:$A, 0)), INDEX(Matches!$F:$F, MATCH(A685, Matches!$A:$A, 0)))</f>
        <v>6</v>
      </c>
      <c r="F685">
        <f>IF(D685="A", INDEX(Matches!$F:$F, MATCH(A685, Matches!$A:$A, 0)), INDEX(Matches!$E:$E, MATCH(A685, Matches!$A:$A, 0)))</f>
        <v>6</v>
      </c>
      <c r="G685" t="str">
        <f t="shared" si="52"/>
        <v>Draw</v>
      </c>
      <c r="I685">
        <v>1</v>
      </c>
      <c r="K685" t="str">
        <f t="shared" si="51"/>
        <v>58_B</v>
      </c>
    </row>
    <row r="686" spans="1:11" x14ac:dyDescent="0.35">
      <c r="A686">
        <v>58</v>
      </c>
      <c r="B686" s="6">
        <v>46296</v>
      </c>
      <c r="C686" t="s">
        <v>89</v>
      </c>
      <c r="D686" t="s">
        <v>23</v>
      </c>
      <c r="E686">
        <f>IF(D686="A", INDEX(Matches!$E:$E, MATCH(A686, Matches!$A:$A, 0)), INDEX(Matches!$F:$F, MATCH(A686, Matches!$A:$A, 0)))</f>
        <v>6</v>
      </c>
      <c r="F686">
        <f>IF(D686="A", INDEX(Matches!$F:$F, MATCH(A686, Matches!$A:$A, 0)), INDEX(Matches!$E:$E, MATCH(A686, Matches!$A:$A, 0)))</f>
        <v>6</v>
      </c>
      <c r="G686" t="str">
        <f t="shared" si="52"/>
        <v>Draw</v>
      </c>
      <c r="H686">
        <v>1</v>
      </c>
      <c r="I686">
        <v>1</v>
      </c>
      <c r="K686" t="str">
        <f t="shared" si="51"/>
        <v>58_B</v>
      </c>
    </row>
    <row r="687" spans="1:11" x14ac:dyDescent="0.35">
      <c r="A687">
        <v>59</v>
      </c>
      <c r="B687" s="6">
        <v>46303</v>
      </c>
      <c r="C687" t="s">
        <v>99</v>
      </c>
      <c r="D687" t="s">
        <v>17</v>
      </c>
      <c r="E687">
        <f>IF(D687="A", INDEX(Matches!$E:$E, MATCH(A687, Matches!$A:$A, 0)), INDEX(Matches!$F:$F, MATCH(A687, Matches!$A:$A, 0)))</f>
        <v>4</v>
      </c>
      <c r="F687">
        <f>IF(D687="A", INDEX(Matches!$F:$F, MATCH(A687, Matches!$A:$A, 0)), INDEX(Matches!$E:$E, MATCH(A687, Matches!$A:$A, 0)))</f>
        <v>7</v>
      </c>
      <c r="G687" t="str">
        <f t="shared" ref="G687:G702" si="53">IF(E687&gt;F687,"Win",IF(E687&lt;F687,"Loss","Draw"))</f>
        <v>Loss</v>
      </c>
      <c r="K687" t="str">
        <f t="shared" si="51"/>
        <v>59_A</v>
      </c>
    </row>
    <row r="688" spans="1:11" x14ac:dyDescent="0.35">
      <c r="A688">
        <v>59</v>
      </c>
      <c r="B688" s="6">
        <v>46303</v>
      </c>
      <c r="C688" t="s">
        <v>16</v>
      </c>
      <c r="D688" t="s">
        <v>17</v>
      </c>
      <c r="E688">
        <f>IF(D688="A", INDEX(Matches!$E:$E, MATCH(A688, Matches!$A:$A, 0)), INDEX(Matches!$F:$F, MATCH(A688, Matches!$A:$A, 0)))</f>
        <v>4</v>
      </c>
      <c r="F688">
        <f>IF(D688="A", INDEX(Matches!$F:$F, MATCH(A688, Matches!$A:$A, 0)), INDEX(Matches!$E:$E, MATCH(A688, Matches!$A:$A, 0)))</f>
        <v>7</v>
      </c>
      <c r="G688" t="str">
        <f t="shared" si="53"/>
        <v>Loss</v>
      </c>
      <c r="K688" t="str">
        <f t="shared" si="51"/>
        <v>59_A</v>
      </c>
    </row>
    <row r="689" spans="1:11" x14ac:dyDescent="0.35">
      <c r="A689">
        <v>59</v>
      </c>
      <c r="B689" s="6">
        <v>46303</v>
      </c>
      <c r="C689" t="s">
        <v>20</v>
      </c>
      <c r="D689" t="s">
        <v>17</v>
      </c>
      <c r="E689">
        <f>IF(D689="A", INDEX(Matches!$E:$E, MATCH(A689, Matches!$A:$A, 0)), INDEX(Matches!$F:$F, MATCH(A689, Matches!$A:$A, 0)))</f>
        <v>4</v>
      </c>
      <c r="F689">
        <f>IF(D689="A", INDEX(Matches!$F:$F, MATCH(A689, Matches!$A:$A, 0)), INDEX(Matches!$E:$E, MATCH(A689, Matches!$A:$A, 0)))</f>
        <v>7</v>
      </c>
      <c r="G689" t="str">
        <f t="shared" si="53"/>
        <v>Loss</v>
      </c>
      <c r="I689">
        <v>1</v>
      </c>
      <c r="K689" t="str">
        <f t="shared" si="51"/>
        <v>59_A</v>
      </c>
    </row>
    <row r="690" spans="1:11" x14ac:dyDescent="0.35">
      <c r="A690">
        <v>59</v>
      </c>
      <c r="B690" s="6">
        <v>46303</v>
      </c>
      <c r="C690" t="s">
        <v>19</v>
      </c>
      <c r="D690" t="s">
        <v>17</v>
      </c>
      <c r="E690">
        <f>IF(D690="A", INDEX(Matches!$E:$E, MATCH(A690, Matches!$A:$A, 0)), INDEX(Matches!$F:$F, MATCH(A690, Matches!$A:$A, 0)))</f>
        <v>4</v>
      </c>
      <c r="F690">
        <f>IF(D690="A", INDEX(Matches!$F:$F, MATCH(A690, Matches!$A:$A, 0)), INDEX(Matches!$E:$E, MATCH(A690, Matches!$A:$A, 0)))</f>
        <v>7</v>
      </c>
      <c r="G690" t="str">
        <f t="shared" si="53"/>
        <v>Loss</v>
      </c>
      <c r="K690" t="str">
        <f t="shared" si="51"/>
        <v>59_A</v>
      </c>
    </row>
    <row r="691" spans="1:11" x14ac:dyDescent="0.35">
      <c r="A691">
        <v>59</v>
      </c>
      <c r="B691" s="6">
        <v>46303</v>
      </c>
      <c r="C691" t="s">
        <v>40</v>
      </c>
      <c r="D691" t="s">
        <v>17</v>
      </c>
      <c r="E691">
        <f>IF(D691="A", INDEX(Matches!$E:$E, MATCH(A691, Matches!$A:$A, 0)), INDEX(Matches!$F:$F, MATCH(A691, Matches!$A:$A, 0)))</f>
        <v>4</v>
      </c>
      <c r="F691">
        <f>IF(D691="A", INDEX(Matches!$F:$F, MATCH(A691, Matches!$A:$A, 0)), INDEX(Matches!$E:$E, MATCH(A691, Matches!$A:$A, 0)))</f>
        <v>7</v>
      </c>
      <c r="G691" t="str">
        <f t="shared" si="53"/>
        <v>Loss</v>
      </c>
      <c r="K691" t="str">
        <f t="shared" si="51"/>
        <v>59_A</v>
      </c>
    </row>
    <row r="692" spans="1:11" x14ac:dyDescent="0.35">
      <c r="A692">
        <v>59</v>
      </c>
      <c r="B692" s="6">
        <v>46303</v>
      </c>
      <c r="C692" t="s">
        <v>21</v>
      </c>
      <c r="D692" t="s">
        <v>17</v>
      </c>
      <c r="E692">
        <f>IF(D692="A", INDEX(Matches!$E:$E, MATCH(A692, Matches!$A:$A, 0)), INDEX(Matches!$F:$F, MATCH(A692, Matches!$A:$A, 0)))</f>
        <v>4</v>
      </c>
      <c r="F692">
        <f>IF(D692="A", INDEX(Matches!$F:$F, MATCH(A692, Matches!$A:$A, 0)), INDEX(Matches!$E:$E, MATCH(A692, Matches!$A:$A, 0)))</f>
        <v>7</v>
      </c>
      <c r="G692" t="str">
        <f t="shared" si="53"/>
        <v>Loss</v>
      </c>
      <c r="K692" t="str">
        <f t="shared" si="51"/>
        <v>59_A</v>
      </c>
    </row>
    <row r="693" spans="1:11" x14ac:dyDescent="0.35">
      <c r="A693">
        <v>59</v>
      </c>
      <c r="B693" s="6">
        <v>46303</v>
      </c>
      <c r="C693" t="s">
        <v>89</v>
      </c>
      <c r="D693" t="s">
        <v>17</v>
      </c>
      <c r="E693">
        <f>IF(D693="A", INDEX(Matches!$E:$E, MATCH(A693, Matches!$A:$A, 0)), INDEX(Matches!$F:$F, MATCH(A693, Matches!$A:$A, 0)))</f>
        <v>4</v>
      </c>
      <c r="F693">
        <f>IF(D693="A", INDEX(Matches!$F:$F, MATCH(A693, Matches!$A:$A, 0)), INDEX(Matches!$E:$E, MATCH(A693, Matches!$A:$A, 0)))</f>
        <v>7</v>
      </c>
      <c r="G693" t="str">
        <f t="shared" si="53"/>
        <v>Loss</v>
      </c>
      <c r="H693">
        <v>3</v>
      </c>
      <c r="K693" t="str">
        <f t="shared" si="51"/>
        <v>59_A</v>
      </c>
    </row>
    <row r="694" spans="1:11" x14ac:dyDescent="0.35">
      <c r="A694">
        <v>59</v>
      </c>
      <c r="B694" s="6">
        <v>46303</v>
      </c>
      <c r="C694" t="s">
        <v>46</v>
      </c>
      <c r="D694" t="s">
        <v>17</v>
      </c>
      <c r="E694">
        <f>IF(D694="A", INDEX(Matches!$E:$E, MATCH(A694, Matches!$A:$A, 0)), INDEX(Matches!$F:$F, MATCH(A694, Matches!$A:$A, 0)))</f>
        <v>4</v>
      </c>
      <c r="F694">
        <f>IF(D694="A", INDEX(Matches!$F:$F, MATCH(A694, Matches!$A:$A, 0)), INDEX(Matches!$E:$E, MATCH(A694, Matches!$A:$A, 0)))</f>
        <v>7</v>
      </c>
      <c r="G694" t="str">
        <f t="shared" si="53"/>
        <v>Loss</v>
      </c>
      <c r="H694">
        <v>1</v>
      </c>
      <c r="I694">
        <v>1</v>
      </c>
      <c r="K694" t="str">
        <f t="shared" si="51"/>
        <v>59_A</v>
      </c>
    </row>
    <row r="695" spans="1:11" x14ac:dyDescent="0.35">
      <c r="A695">
        <v>59</v>
      </c>
      <c r="B695" s="6">
        <v>46303</v>
      </c>
      <c r="C695" t="s">
        <v>53</v>
      </c>
      <c r="D695" t="s">
        <v>23</v>
      </c>
      <c r="E695">
        <f>IF(D695="A", INDEX(Matches!$E:$E, MATCH(A695, Matches!$A:$A, 0)), INDEX(Matches!$F:$F, MATCH(A695, Matches!$A:$A, 0)))</f>
        <v>7</v>
      </c>
      <c r="F695">
        <f>IF(D695="A", INDEX(Matches!$F:$F, MATCH(A695, Matches!$A:$A, 0)), INDEX(Matches!$E:$E, MATCH(A695, Matches!$A:$A, 0)))</f>
        <v>4</v>
      </c>
      <c r="G695" t="str">
        <f t="shared" si="53"/>
        <v>Win</v>
      </c>
      <c r="I695">
        <v>1</v>
      </c>
      <c r="K695" t="str">
        <f t="shared" si="51"/>
        <v>59_B</v>
      </c>
    </row>
    <row r="696" spans="1:11" x14ac:dyDescent="0.35">
      <c r="A696">
        <v>59</v>
      </c>
      <c r="B696" s="6">
        <v>46303</v>
      </c>
      <c r="C696" t="s">
        <v>24</v>
      </c>
      <c r="D696" t="s">
        <v>23</v>
      </c>
      <c r="E696">
        <f>IF(D696="A", INDEX(Matches!$E:$E, MATCH(A696, Matches!$A:$A, 0)), INDEX(Matches!$F:$F, MATCH(A696, Matches!$A:$A, 0)))</f>
        <v>7</v>
      </c>
      <c r="F696">
        <f>IF(D696="A", INDEX(Matches!$F:$F, MATCH(A696, Matches!$A:$A, 0)), INDEX(Matches!$E:$E, MATCH(A696, Matches!$A:$A, 0)))</f>
        <v>4</v>
      </c>
      <c r="G696" t="str">
        <f t="shared" si="53"/>
        <v>Win</v>
      </c>
      <c r="I696">
        <v>1</v>
      </c>
      <c r="K696" t="str">
        <f t="shared" si="51"/>
        <v>59_B</v>
      </c>
    </row>
    <row r="697" spans="1:11" x14ac:dyDescent="0.35">
      <c r="A697">
        <v>59</v>
      </c>
      <c r="B697" s="6">
        <v>46303</v>
      </c>
      <c r="C697" t="s">
        <v>43</v>
      </c>
      <c r="D697" t="s">
        <v>23</v>
      </c>
      <c r="E697">
        <f>IF(D697="A", INDEX(Matches!$E:$E, MATCH(A697, Matches!$A:$A, 0)), INDEX(Matches!$F:$F, MATCH(A697, Matches!$A:$A, 0)))</f>
        <v>7</v>
      </c>
      <c r="F697">
        <f>IF(D697="A", INDEX(Matches!$F:$F, MATCH(A697, Matches!$A:$A, 0)), INDEX(Matches!$E:$E, MATCH(A697, Matches!$A:$A, 0)))</f>
        <v>4</v>
      </c>
      <c r="G697" t="str">
        <f t="shared" si="53"/>
        <v>Win</v>
      </c>
      <c r="K697" t="str">
        <f t="shared" si="51"/>
        <v>59_B</v>
      </c>
    </row>
    <row r="698" spans="1:11" x14ac:dyDescent="0.35">
      <c r="A698">
        <v>59</v>
      </c>
      <c r="B698" s="6">
        <v>46303</v>
      </c>
      <c r="C698" t="s">
        <v>25</v>
      </c>
      <c r="D698" t="s">
        <v>23</v>
      </c>
      <c r="E698">
        <f>IF(D698="A", INDEX(Matches!$E:$E, MATCH(A698, Matches!$A:$A, 0)), INDEX(Matches!$F:$F, MATCH(A698, Matches!$A:$A, 0)))</f>
        <v>7</v>
      </c>
      <c r="F698">
        <f>IF(D698="A", INDEX(Matches!$F:$F, MATCH(A698, Matches!$A:$A, 0)), INDEX(Matches!$E:$E, MATCH(A698, Matches!$A:$A, 0)))</f>
        <v>4</v>
      </c>
      <c r="G698" t="str">
        <f t="shared" si="53"/>
        <v>Win</v>
      </c>
      <c r="H698">
        <v>1</v>
      </c>
      <c r="I698">
        <v>1</v>
      </c>
      <c r="K698" t="str">
        <f t="shared" si="51"/>
        <v>59_B</v>
      </c>
    </row>
    <row r="699" spans="1:11" x14ac:dyDescent="0.35">
      <c r="A699">
        <v>59</v>
      </c>
      <c r="B699" s="6">
        <v>46303</v>
      </c>
      <c r="C699" t="s">
        <v>41</v>
      </c>
      <c r="D699" t="s">
        <v>23</v>
      </c>
      <c r="E699">
        <f>IF(D699="A", INDEX(Matches!$E:$E, MATCH(A699, Matches!$A:$A, 0)), INDEX(Matches!$F:$F, MATCH(A699, Matches!$A:$A, 0)))</f>
        <v>7</v>
      </c>
      <c r="F699">
        <f>IF(D699="A", INDEX(Matches!$F:$F, MATCH(A699, Matches!$A:$A, 0)), INDEX(Matches!$E:$E, MATCH(A699, Matches!$A:$A, 0)))</f>
        <v>4</v>
      </c>
      <c r="G699" t="str">
        <f t="shared" si="53"/>
        <v>Win</v>
      </c>
      <c r="K699" t="str">
        <f t="shared" si="51"/>
        <v>59_B</v>
      </c>
    </row>
    <row r="700" spans="1:11" x14ac:dyDescent="0.35">
      <c r="A700">
        <v>59</v>
      </c>
      <c r="B700" s="6">
        <v>46303</v>
      </c>
      <c r="C700" t="s">
        <v>131</v>
      </c>
      <c r="D700" t="s">
        <v>23</v>
      </c>
      <c r="E700">
        <f>IF(D700="A", INDEX(Matches!$E:$E, MATCH(A700, Matches!$A:$A, 0)), INDEX(Matches!$F:$F, MATCH(A700, Matches!$A:$A, 0)))</f>
        <v>7</v>
      </c>
      <c r="F700">
        <f>IF(D700="A", INDEX(Matches!$F:$F, MATCH(A700, Matches!$A:$A, 0)), INDEX(Matches!$E:$E, MATCH(A700, Matches!$A:$A, 0)))</f>
        <v>4</v>
      </c>
      <c r="G700" t="str">
        <f t="shared" si="53"/>
        <v>Win</v>
      </c>
      <c r="H700">
        <v>1</v>
      </c>
      <c r="K700" t="str">
        <f t="shared" si="51"/>
        <v>59_B</v>
      </c>
    </row>
    <row r="701" spans="1:11" x14ac:dyDescent="0.35">
      <c r="A701">
        <v>59</v>
      </c>
      <c r="B701" s="6">
        <v>46303</v>
      </c>
      <c r="C701" t="s">
        <v>75</v>
      </c>
      <c r="D701" t="s">
        <v>23</v>
      </c>
      <c r="E701">
        <f>IF(D701="A", INDEX(Matches!$E:$E, MATCH(A701, Matches!$A:$A, 0)), INDEX(Matches!$F:$F, MATCH(A701, Matches!$A:$A, 0)))</f>
        <v>7</v>
      </c>
      <c r="F701">
        <f>IF(D701="A", INDEX(Matches!$F:$F, MATCH(A701, Matches!$A:$A, 0)), INDEX(Matches!$E:$E, MATCH(A701, Matches!$A:$A, 0)))</f>
        <v>4</v>
      </c>
      <c r="G701" t="str">
        <f t="shared" si="53"/>
        <v>Win</v>
      </c>
      <c r="H701">
        <v>2</v>
      </c>
      <c r="I701">
        <v>1</v>
      </c>
      <c r="K701" t="str">
        <f t="shared" si="51"/>
        <v>59_B</v>
      </c>
    </row>
    <row r="702" spans="1:11" x14ac:dyDescent="0.35">
      <c r="A702">
        <v>59</v>
      </c>
      <c r="B702" s="6">
        <v>46303</v>
      </c>
      <c r="C702" t="s">
        <v>66</v>
      </c>
      <c r="D702" t="s">
        <v>23</v>
      </c>
      <c r="E702">
        <f>IF(D702="A", INDEX(Matches!$E:$E, MATCH(A702, Matches!$A:$A, 0)), INDEX(Matches!$F:$F, MATCH(A702, Matches!$A:$A, 0)))</f>
        <v>7</v>
      </c>
      <c r="F702">
        <f>IF(D702="A", INDEX(Matches!$F:$F, MATCH(A702, Matches!$A:$A, 0)), INDEX(Matches!$E:$E, MATCH(A702, Matches!$A:$A, 0)))</f>
        <v>4</v>
      </c>
      <c r="G702" t="str">
        <f t="shared" si="53"/>
        <v>Win</v>
      </c>
      <c r="H702">
        <v>3</v>
      </c>
      <c r="K702" t="str">
        <f t="shared" si="51"/>
        <v>59_B</v>
      </c>
    </row>
    <row r="703" spans="1:11" x14ac:dyDescent="0.35">
      <c r="A703">
        <v>60</v>
      </c>
      <c r="B703" s="6">
        <v>46310</v>
      </c>
      <c r="C703" t="s">
        <v>24</v>
      </c>
      <c r="D703" t="s">
        <v>17</v>
      </c>
      <c r="E703">
        <f>IF(D703="A", INDEX(Matches!$E:$E, MATCH(A703, Matches!$A:$A, 0)), INDEX(Matches!$F:$F, MATCH(A703, Matches!$A:$A, 0)))</f>
        <v>1</v>
      </c>
      <c r="F703">
        <f>IF(D703="A", INDEX(Matches!$F:$F, MATCH(A703, Matches!$A:$A, 0)), INDEX(Matches!$E:$E, MATCH(A703, Matches!$A:$A, 0)))</f>
        <v>7</v>
      </c>
      <c r="G703" t="str">
        <f t="shared" ref="G703:G716" si="54">IF(E703&gt;F703,"Win",IF(E703&lt;F703,"Loss","Draw"))</f>
        <v>Loss</v>
      </c>
      <c r="K703" t="str">
        <f t="shared" si="51"/>
        <v>60_A</v>
      </c>
    </row>
    <row r="704" spans="1:11" x14ac:dyDescent="0.35">
      <c r="A704">
        <v>60</v>
      </c>
      <c r="B704" s="6">
        <v>46310</v>
      </c>
      <c r="C704" t="s">
        <v>75</v>
      </c>
      <c r="D704" t="s">
        <v>17</v>
      </c>
      <c r="E704">
        <f>IF(D704="A", INDEX(Matches!$E:$E, MATCH(A704, Matches!$A:$A, 0)), INDEX(Matches!$F:$F, MATCH(A704, Matches!$A:$A, 0)))</f>
        <v>1</v>
      </c>
      <c r="F704">
        <f>IF(D704="A", INDEX(Matches!$F:$F, MATCH(A704, Matches!$A:$A, 0)), INDEX(Matches!$E:$E, MATCH(A704, Matches!$A:$A, 0)))</f>
        <v>7</v>
      </c>
      <c r="G704" t="str">
        <f t="shared" si="54"/>
        <v>Loss</v>
      </c>
      <c r="H704">
        <v>1</v>
      </c>
      <c r="K704" t="str">
        <f t="shared" si="51"/>
        <v>60_A</v>
      </c>
    </row>
    <row r="705" spans="1:11" x14ac:dyDescent="0.35">
      <c r="A705">
        <v>60</v>
      </c>
      <c r="B705" s="6">
        <v>46310</v>
      </c>
      <c r="C705" t="s">
        <v>99</v>
      </c>
      <c r="D705" t="s">
        <v>17</v>
      </c>
      <c r="E705">
        <f>IF(D705="A", INDEX(Matches!$E:$E, MATCH(A705, Matches!$A:$A, 0)), INDEX(Matches!$F:$F, MATCH(A705, Matches!$A:$A, 0)))</f>
        <v>1</v>
      </c>
      <c r="F705">
        <f>IF(D705="A", INDEX(Matches!$F:$F, MATCH(A705, Matches!$A:$A, 0)), INDEX(Matches!$E:$E, MATCH(A705, Matches!$A:$A, 0)))</f>
        <v>7</v>
      </c>
      <c r="G705" t="str">
        <f t="shared" si="54"/>
        <v>Loss</v>
      </c>
      <c r="K705" t="str">
        <f t="shared" si="51"/>
        <v>60_A</v>
      </c>
    </row>
    <row r="706" spans="1:11" x14ac:dyDescent="0.35">
      <c r="A706">
        <v>60</v>
      </c>
      <c r="B706" s="6">
        <v>46310</v>
      </c>
      <c r="C706" t="s">
        <v>51</v>
      </c>
      <c r="D706" t="s">
        <v>17</v>
      </c>
      <c r="E706">
        <f>IF(D706="A", INDEX(Matches!$E:$E, MATCH(A706, Matches!$A:$A, 0)), INDEX(Matches!$F:$F, MATCH(A706, Matches!$A:$A, 0)))</f>
        <v>1</v>
      </c>
      <c r="F706">
        <f>IF(D706="A", INDEX(Matches!$F:$F, MATCH(A706, Matches!$A:$A, 0)), INDEX(Matches!$E:$E, MATCH(A706, Matches!$A:$A, 0)))</f>
        <v>7</v>
      </c>
      <c r="G706" t="str">
        <f t="shared" si="54"/>
        <v>Loss</v>
      </c>
      <c r="K706" t="str">
        <f t="shared" si="51"/>
        <v>60_A</v>
      </c>
    </row>
    <row r="707" spans="1:11" x14ac:dyDescent="0.35">
      <c r="A707">
        <v>60</v>
      </c>
      <c r="B707" s="6">
        <v>46310</v>
      </c>
      <c r="C707" t="s">
        <v>46</v>
      </c>
      <c r="D707" t="s">
        <v>17</v>
      </c>
      <c r="E707">
        <f>IF(D707="A", INDEX(Matches!$E:$E, MATCH(A707, Matches!$A:$A, 0)), INDEX(Matches!$F:$F, MATCH(A707, Matches!$A:$A, 0)))</f>
        <v>1</v>
      </c>
      <c r="F707">
        <f>IF(D707="A", INDEX(Matches!$F:$F, MATCH(A707, Matches!$A:$A, 0)), INDEX(Matches!$E:$E, MATCH(A707, Matches!$A:$A, 0)))</f>
        <v>7</v>
      </c>
      <c r="G707" t="str">
        <f t="shared" si="54"/>
        <v>Loss</v>
      </c>
      <c r="K707" t="str">
        <f t="shared" si="51"/>
        <v>60_A</v>
      </c>
    </row>
    <row r="708" spans="1:11" x14ac:dyDescent="0.35">
      <c r="A708">
        <v>60</v>
      </c>
      <c r="B708" s="6">
        <v>46310</v>
      </c>
      <c r="C708" t="s">
        <v>22</v>
      </c>
      <c r="D708" t="s">
        <v>17</v>
      </c>
      <c r="E708">
        <f>IF(D708="A", INDEX(Matches!$E:$E, MATCH(A708, Matches!$A:$A, 0)), INDEX(Matches!$F:$F, MATCH(A708, Matches!$A:$A, 0)))</f>
        <v>1</v>
      </c>
      <c r="F708">
        <f>IF(D708="A", INDEX(Matches!$F:$F, MATCH(A708, Matches!$A:$A, 0)), INDEX(Matches!$E:$E, MATCH(A708, Matches!$A:$A, 0)))</f>
        <v>7</v>
      </c>
      <c r="G708" t="str">
        <f t="shared" si="54"/>
        <v>Loss</v>
      </c>
      <c r="K708" t="str">
        <f t="shared" si="51"/>
        <v>60_A</v>
      </c>
    </row>
    <row r="709" spans="1:11" x14ac:dyDescent="0.35">
      <c r="A709">
        <v>60</v>
      </c>
      <c r="B709" s="6">
        <v>46310</v>
      </c>
      <c r="C709" t="s">
        <v>43</v>
      </c>
      <c r="D709" t="s">
        <v>17</v>
      </c>
      <c r="E709">
        <f>IF(D709="A", INDEX(Matches!$E:$E, MATCH(A709, Matches!$A:$A, 0)), INDEX(Matches!$F:$F, MATCH(A709, Matches!$A:$A, 0)))</f>
        <v>1</v>
      </c>
      <c r="F709">
        <f>IF(D709="A", INDEX(Matches!$F:$F, MATCH(A709, Matches!$A:$A, 0)), INDEX(Matches!$E:$E, MATCH(A709, Matches!$A:$A, 0)))</f>
        <v>7</v>
      </c>
      <c r="G709" t="str">
        <f t="shared" si="54"/>
        <v>Loss</v>
      </c>
      <c r="K709" t="str">
        <f t="shared" si="51"/>
        <v>60_A</v>
      </c>
    </row>
    <row r="710" spans="1:11" x14ac:dyDescent="0.35">
      <c r="A710">
        <v>60</v>
      </c>
      <c r="B710" s="6">
        <v>46310</v>
      </c>
      <c r="C710" t="s">
        <v>20</v>
      </c>
      <c r="D710" t="s">
        <v>23</v>
      </c>
      <c r="E710">
        <f>IF(D710="A", INDEX(Matches!$E:$E, MATCH(A710, Matches!$A:$A, 0)), INDEX(Matches!$F:$F, MATCH(A710, Matches!$A:$A, 0)))</f>
        <v>7</v>
      </c>
      <c r="F710">
        <f>IF(D710="A", INDEX(Matches!$F:$F, MATCH(A710, Matches!$A:$A, 0)), INDEX(Matches!$E:$E, MATCH(A710, Matches!$A:$A, 0)))</f>
        <v>1</v>
      </c>
      <c r="G710" t="str">
        <f t="shared" si="54"/>
        <v>Win</v>
      </c>
      <c r="H710">
        <v>1</v>
      </c>
      <c r="K710" t="str">
        <f t="shared" si="51"/>
        <v>60_B</v>
      </c>
    </row>
    <row r="711" spans="1:11" x14ac:dyDescent="0.35">
      <c r="A711">
        <v>60</v>
      </c>
      <c r="B711" s="6">
        <v>46310</v>
      </c>
      <c r="C711" t="s">
        <v>89</v>
      </c>
      <c r="D711" t="s">
        <v>23</v>
      </c>
      <c r="E711">
        <f>IF(D711="A", INDEX(Matches!$E:$E, MATCH(A711, Matches!$A:$A, 0)), INDEX(Matches!$F:$F, MATCH(A711, Matches!$A:$A, 0)))</f>
        <v>7</v>
      </c>
      <c r="F711">
        <f>IF(D711="A", INDEX(Matches!$F:$F, MATCH(A711, Matches!$A:$A, 0)), INDEX(Matches!$E:$E, MATCH(A711, Matches!$A:$A, 0)))</f>
        <v>1</v>
      </c>
      <c r="G711" t="str">
        <f t="shared" si="54"/>
        <v>Win</v>
      </c>
      <c r="H711">
        <v>3</v>
      </c>
      <c r="I711">
        <v>1</v>
      </c>
      <c r="K711" t="str">
        <f t="shared" si="51"/>
        <v>60_B</v>
      </c>
    </row>
    <row r="712" spans="1:11" x14ac:dyDescent="0.35">
      <c r="A712">
        <v>60</v>
      </c>
      <c r="B712" s="6">
        <v>46310</v>
      </c>
      <c r="C712" t="s">
        <v>16</v>
      </c>
      <c r="D712" t="s">
        <v>23</v>
      </c>
      <c r="E712">
        <f>IF(D712="A", INDEX(Matches!$E:$E, MATCH(A712, Matches!$A:$A, 0)), INDEX(Matches!$F:$F, MATCH(A712, Matches!$A:$A, 0)))</f>
        <v>7</v>
      </c>
      <c r="F712">
        <f>IF(D712="A", INDEX(Matches!$F:$F, MATCH(A712, Matches!$A:$A, 0)), INDEX(Matches!$E:$E, MATCH(A712, Matches!$A:$A, 0)))</f>
        <v>1</v>
      </c>
      <c r="G712" t="str">
        <f t="shared" si="54"/>
        <v>Win</v>
      </c>
      <c r="I712">
        <v>1</v>
      </c>
      <c r="K712" t="str">
        <f t="shared" si="51"/>
        <v>60_B</v>
      </c>
    </row>
    <row r="713" spans="1:11" x14ac:dyDescent="0.35">
      <c r="A713">
        <v>60</v>
      </c>
      <c r="B713" s="6">
        <v>46310</v>
      </c>
      <c r="C713" t="s">
        <v>25</v>
      </c>
      <c r="D713" t="s">
        <v>23</v>
      </c>
      <c r="E713">
        <f>IF(D713="A", INDEX(Matches!$E:$E, MATCH(A713, Matches!$A:$A, 0)), INDEX(Matches!$F:$F, MATCH(A713, Matches!$A:$A, 0)))</f>
        <v>7</v>
      </c>
      <c r="F713">
        <f>IF(D713="A", INDEX(Matches!$F:$F, MATCH(A713, Matches!$A:$A, 0)), INDEX(Matches!$E:$E, MATCH(A713, Matches!$A:$A, 0)))</f>
        <v>1</v>
      </c>
      <c r="G713" t="str">
        <f t="shared" si="54"/>
        <v>Win</v>
      </c>
      <c r="K713" t="str">
        <f t="shared" si="51"/>
        <v>60_B</v>
      </c>
    </row>
    <row r="714" spans="1:11" x14ac:dyDescent="0.35">
      <c r="A714">
        <v>60</v>
      </c>
      <c r="B714" s="6">
        <v>46310</v>
      </c>
      <c r="C714" t="s">
        <v>53</v>
      </c>
      <c r="D714" t="s">
        <v>23</v>
      </c>
      <c r="E714">
        <f>IF(D714="A", INDEX(Matches!$E:$E, MATCH(A714, Matches!$A:$A, 0)), INDEX(Matches!$F:$F, MATCH(A714, Matches!$A:$A, 0)))</f>
        <v>7</v>
      </c>
      <c r="F714">
        <f>IF(D714="A", INDEX(Matches!$F:$F, MATCH(A714, Matches!$A:$A, 0)), INDEX(Matches!$E:$E, MATCH(A714, Matches!$A:$A, 0)))</f>
        <v>1</v>
      </c>
      <c r="G714" t="str">
        <f t="shared" si="54"/>
        <v>Win</v>
      </c>
      <c r="H714">
        <v>1</v>
      </c>
      <c r="K714" t="str">
        <f t="shared" ref="K714:K730" si="55">A714&amp;"_"&amp;D714</f>
        <v>60_B</v>
      </c>
    </row>
    <row r="715" spans="1:11" x14ac:dyDescent="0.35">
      <c r="A715">
        <v>60</v>
      </c>
      <c r="B715" s="6">
        <v>46310</v>
      </c>
      <c r="C715" t="s">
        <v>19</v>
      </c>
      <c r="D715" t="s">
        <v>23</v>
      </c>
      <c r="E715">
        <f>IF(D715="A", INDEX(Matches!$E:$E, MATCH(A715, Matches!$A:$A, 0)), INDEX(Matches!$F:$F, MATCH(A715, Matches!$A:$A, 0)))</f>
        <v>7</v>
      </c>
      <c r="F715">
        <f>IF(D715="A", INDEX(Matches!$F:$F, MATCH(A715, Matches!$A:$A, 0)), INDEX(Matches!$E:$E, MATCH(A715, Matches!$A:$A, 0)))</f>
        <v>1</v>
      </c>
      <c r="G715" t="str">
        <f t="shared" si="54"/>
        <v>Win</v>
      </c>
      <c r="H715">
        <v>1</v>
      </c>
      <c r="K715" t="str">
        <f t="shared" si="55"/>
        <v>60_B</v>
      </c>
    </row>
    <row r="716" spans="1:11" x14ac:dyDescent="0.35">
      <c r="A716">
        <v>60</v>
      </c>
      <c r="B716" s="6">
        <v>46310</v>
      </c>
      <c r="C716" t="s">
        <v>21</v>
      </c>
      <c r="D716" t="s">
        <v>23</v>
      </c>
      <c r="E716">
        <f>IF(D716="A", INDEX(Matches!$E:$E, MATCH(A716, Matches!$A:$A, 0)), INDEX(Matches!$F:$F, MATCH(A716, Matches!$A:$A, 0)))</f>
        <v>7</v>
      </c>
      <c r="F716">
        <f>IF(D716="A", INDEX(Matches!$F:$F, MATCH(A716, Matches!$A:$A, 0)), INDEX(Matches!$E:$E, MATCH(A716, Matches!$A:$A, 0)))</f>
        <v>1</v>
      </c>
      <c r="G716" t="str">
        <f t="shared" si="54"/>
        <v>Win</v>
      </c>
      <c r="H716">
        <v>1</v>
      </c>
      <c r="I716">
        <v>1</v>
      </c>
      <c r="K716" t="str">
        <f t="shared" si="55"/>
        <v>60_B</v>
      </c>
    </row>
    <row r="717" spans="1:11" x14ac:dyDescent="0.35">
      <c r="A717">
        <v>61</v>
      </c>
      <c r="B717" s="6">
        <v>46317</v>
      </c>
      <c r="C717" t="s">
        <v>41</v>
      </c>
      <c r="D717" t="s">
        <v>17</v>
      </c>
      <c r="E717">
        <f>IF(D717="A", INDEX(Matches!$E:$E, MATCH(A717, Matches!$A:$A, 0)), INDEX(Matches!$F:$F, MATCH(A717, Matches!$A:$A, 0)))</f>
        <v>3</v>
      </c>
      <c r="F717">
        <f>IF(D717="A", INDEX(Matches!$F:$F, MATCH(A717, Matches!$A:$A, 0)), INDEX(Matches!$E:$E, MATCH(A717, Matches!$A:$A, 0)))</f>
        <v>5</v>
      </c>
      <c r="G717" t="str">
        <f t="shared" ref="G717:G730" si="56">IF(E717&gt;F717,"Win",IF(E717&lt;F717,"Loss","Draw"))</f>
        <v>Loss</v>
      </c>
      <c r="K717" t="str">
        <f t="shared" si="55"/>
        <v>61_A</v>
      </c>
    </row>
    <row r="718" spans="1:11" x14ac:dyDescent="0.35">
      <c r="A718">
        <v>61</v>
      </c>
      <c r="B718" s="6">
        <v>46317</v>
      </c>
      <c r="C718" t="s">
        <v>75</v>
      </c>
      <c r="D718" t="s">
        <v>17</v>
      </c>
      <c r="E718">
        <f>IF(D718="A", INDEX(Matches!$E:$E, MATCH(A718, Matches!$A:$A, 0)), INDEX(Matches!$F:$F, MATCH(A718, Matches!$A:$A, 0)))</f>
        <v>3</v>
      </c>
      <c r="F718">
        <f>IF(D718="A", INDEX(Matches!$F:$F, MATCH(A718, Matches!$A:$A, 0)), INDEX(Matches!$E:$E, MATCH(A718, Matches!$A:$A, 0)))</f>
        <v>5</v>
      </c>
      <c r="G718" t="str">
        <f t="shared" si="56"/>
        <v>Loss</v>
      </c>
      <c r="H718">
        <v>1</v>
      </c>
      <c r="I718">
        <v>1</v>
      </c>
      <c r="K718" t="str">
        <f t="shared" si="55"/>
        <v>61_A</v>
      </c>
    </row>
    <row r="719" spans="1:11" x14ac:dyDescent="0.35">
      <c r="A719">
        <v>61</v>
      </c>
      <c r="B719" s="6">
        <v>46317</v>
      </c>
      <c r="C719" t="s">
        <v>21</v>
      </c>
      <c r="D719" t="s">
        <v>17</v>
      </c>
      <c r="E719">
        <f>IF(D719="A", INDEX(Matches!$E:$E, MATCH(A719, Matches!$A:$A, 0)), INDEX(Matches!$F:$F, MATCH(A719, Matches!$A:$A, 0)))</f>
        <v>3</v>
      </c>
      <c r="F719">
        <f>IF(D719="A", INDEX(Matches!$F:$F, MATCH(A719, Matches!$A:$A, 0)), INDEX(Matches!$E:$E, MATCH(A719, Matches!$A:$A, 0)))</f>
        <v>5</v>
      </c>
      <c r="G719" t="str">
        <f t="shared" si="56"/>
        <v>Loss</v>
      </c>
      <c r="K719" t="str">
        <f t="shared" si="55"/>
        <v>61_A</v>
      </c>
    </row>
    <row r="720" spans="1:11" x14ac:dyDescent="0.35">
      <c r="A720">
        <v>61</v>
      </c>
      <c r="B720" s="6">
        <v>46317</v>
      </c>
      <c r="C720" t="s">
        <v>53</v>
      </c>
      <c r="D720" t="s">
        <v>17</v>
      </c>
      <c r="E720">
        <f>IF(D720="A", INDEX(Matches!$E:$E, MATCH(A720, Matches!$A:$A, 0)), INDEX(Matches!$F:$F, MATCH(A720, Matches!$A:$A, 0)))</f>
        <v>3</v>
      </c>
      <c r="F720">
        <f>IF(D720="A", INDEX(Matches!$F:$F, MATCH(A720, Matches!$A:$A, 0)), INDEX(Matches!$E:$E, MATCH(A720, Matches!$A:$A, 0)))</f>
        <v>5</v>
      </c>
      <c r="G720" t="str">
        <f t="shared" si="56"/>
        <v>Loss</v>
      </c>
      <c r="K720" t="str">
        <f t="shared" si="55"/>
        <v>61_A</v>
      </c>
    </row>
    <row r="721" spans="1:11" x14ac:dyDescent="0.35">
      <c r="A721">
        <v>61</v>
      </c>
      <c r="B721" s="6">
        <v>46317</v>
      </c>
      <c r="C721" t="s">
        <v>49</v>
      </c>
      <c r="D721" t="s">
        <v>17</v>
      </c>
      <c r="E721">
        <f>IF(D721="A", INDEX(Matches!$E:$E, MATCH(A721, Matches!$A:$A, 0)), INDEX(Matches!$F:$F, MATCH(A721, Matches!$A:$A, 0)))</f>
        <v>3</v>
      </c>
      <c r="F721">
        <f>IF(D721="A", INDEX(Matches!$F:$F, MATCH(A721, Matches!$A:$A, 0)), INDEX(Matches!$E:$E, MATCH(A721, Matches!$A:$A, 0)))</f>
        <v>5</v>
      </c>
      <c r="G721" t="str">
        <f t="shared" si="56"/>
        <v>Loss</v>
      </c>
      <c r="I721">
        <v>1</v>
      </c>
      <c r="K721" t="str">
        <f t="shared" si="55"/>
        <v>61_A</v>
      </c>
    </row>
    <row r="722" spans="1:11" x14ac:dyDescent="0.35">
      <c r="A722">
        <v>61</v>
      </c>
      <c r="B722" s="6">
        <v>46317</v>
      </c>
      <c r="C722" t="s">
        <v>66</v>
      </c>
      <c r="D722" t="s">
        <v>17</v>
      </c>
      <c r="E722">
        <f>IF(D722="A", INDEX(Matches!$E:$E, MATCH(A722, Matches!$A:$A, 0)), INDEX(Matches!$F:$F, MATCH(A722, Matches!$A:$A, 0)))</f>
        <v>3</v>
      </c>
      <c r="F722">
        <f>IF(D722="A", INDEX(Matches!$F:$F, MATCH(A722, Matches!$A:$A, 0)), INDEX(Matches!$E:$E, MATCH(A722, Matches!$A:$A, 0)))</f>
        <v>5</v>
      </c>
      <c r="G722" t="str">
        <f t="shared" si="56"/>
        <v>Loss</v>
      </c>
      <c r="H722">
        <v>2</v>
      </c>
      <c r="K722" t="str">
        <f t="shared" si="55"/>
        <v>61_A</v>
      </c>
    </row>
    <row r="723" spans="1:11" x14ac:dyDescent="0.35">
      <c r="A723">
        <v>61</v>
      </c>
      <c r="B723" s="6">
        <v>46317</v>
      </c>
      <c r="C723" t="s">
        <v>46</v>
      </c>
      <c r="D723" t="s">
        <v>17</v>
      </c>
      <c r="E723">
        <f>IF(D723="A", INDEX(Matches!$E:$E, MATCH(A723, Matches!$A:$A, 0)), INDEX(Matches!$F:$F, MATCH(A723, Matches!$A:$A, 0)))</f>
        <v>3</v>
      </c>
      <c r="F723">
        <f>IF(D723="A", INDEX(Matches!$F:$F, MATCH(A723, Matches!$A:$A, 0)), INDEX(Matches!$E:$E, MATCH(A723, Matches!$A:$A, 0)))</f>
        <v>5</v>
      </c>
      <c r="G723" t="str">
        <f t="shared" si="56"/>
        <v>Loss</v>
      </c>
      <c r="K723" t="str">
        <f t="shared" si="55"/>
        <v>61_A</v>
      </c>
    </row>
    <row r="724" spans="1:11" x14ac:dyDescent="0.35">
      <c r="A724">
        <v>61</v>
      </c>
      <c r="B724" s="6">
        <v>46317</v>
      </c>
      <c r="C724" t="s">
        <v>22</v>
      </c>
      <c r="D724" t="s">
        <v>23</v>
      </c>
      <c r="E724">
        <f>IF(D724="A", INDEX(Matches!$E:$E, MATCH(A724, Matches!$A:$A, 0)), INDEX(Matches!$F:$F, MATCH(A724, Matches!$A:$A, 0)))</f>
        <v>5</v>
      </c>
      <c r="F724">
        <f>IF(D724="A", INDEX(Matches!$F:$F, MATCH(A724, Matches!$A:$A, 0)), INDEX(Matches!$E:$E, MATCH(A724, Matches!$A:$A, 0)))</f>
        <v>3</v>
      </c>
      <c r="G724" t="str">
        <f t="shared" si="56"/>
        <v>Win</v>
      </c>
      <c r="H724">
        <v>1</v>
      </c>
      <c r="I724">
        <v>1</v>
      </c>
      <c r="K724" t="str">
        <f t="shared" si="55"/>
        <v>61_B</v>
      </c>
    </row>
    <row r="725" spans="1:11" x14ac:dyDescent="0.35">
      <c r="A725">
        <v>61</v>
      </c>
      <c r="B725" s="6">
        <v>46317</v>
      </c>
      <c r="C725" t="s">
        <v>20</v>
      </c>
      <c r="D725" t="s">
        <v>23</v>
      </c>
      <c r="E725">
        <f>IF(D725="A", INDEX(Matches!$E:$E, MATCH(A725, Matches!$A:$A, 0)), INDEX(Matches!$F:$F, MATCH(A725, Matches!$A:$A, 0)))</f>
        <v>5</v>
      </c>
      <c r="F725">
        <f>IF(D725="A", INDEX(Matches!$F:$F, MATCH(A725, Matches!$A:$A, 0)), INDEX(Matches!$E:$E, MATCH(A725, Matches!$A:$A, 0)))</f>
        <v>3</v>
      </c>
      <c r="G725" t="str">
        <f t="shared" si="56"/>
        <v>Win</v>
      </c>
      <c r="K725" t="str">
        <f t="shared" si="55"/>
        <v>61_B</v>
      </c>
    </row>
    <row r="726" spans="1:11" x14ac:dyDescent="0.35">
      <c r="A726">
        <v>61</v>
      </c>
      <c r="B726" s="6">
        <v>46317</v>
      </c>
      <c r="C726" t="s">
        <v>16</v>
      </c>
      <c r="D726" t="s">
        <v>23</v>
      </c>
      <c r="E726">
        <f>IF(D726="A", INDEX(Matches!$E:$E, MATCH(A726, Matches!$A:$A, 0)), INDEX(Matches!$F:$F, MATCH(A726, Matches!$A:$A, 0)))</f>
        <v>5</v>
      </c>
      <c r="F726">
        <f>IF(D726="A", INDEX(Matches!$F:$F, MATCH(A726, Matches!$A:$A, 0)), INDEX(Matches!$E:$E, MATCH(A726, Matches!$A:$A, 0)))</f>
        <v>3</v>
      </c>
      <c r="G726" t="str">
        <f t="shared" si="56"/>
        <v>Win</v>
      </c>
      <c r="H726">
        <v>1</v>
      </c>
      <c r="I726">
        <v>1</v>
      </c>
      <c r="K726" t="str">
        <f t="shared" si="55"/>
        <v>61_B</v>
      </c>
    </row>
    <row r="727" spans="1:11" x14ac:dyDescent="0.35">
      <c r="A727">
        <v>61</v>
      </c>
      <c r="B727" s="6">
        <v>46317</v>
      </c>
      <c r="C727" t="s">
        <v>89</v>
      </c>
      <c r="D727" t="s">
        <v>23</v>
      </c>
      <c r="E727">
        <f>IF(D727="A", INDEX(Matches!$E:$E, MATCH(A727, Matches!$A:$A, 0)), INDEX(Matches!$F:$F, MATCH(A727, Matches!$A:$A, 0)))</f>
        <v>5</v>
      </c>
      <c r="F727">
        <f>IF(D727="A", INDEX(Matches!$F:$F, MATCH(A727, Matches!$A:$A, 0)), INDEX(Matches!$E:$E, MATCH(A727, Matches!$A:$A, 0)))</f>
        <v>3</v>
      </c>
      <c r="G727" t="str">
        <f t="shared" si="56"/>
        <v>Win</v>
      </c>
      <c r="H727">
        <v>3</v>
      </c>
      <c r="K727" t="str">
        <f t="shared" si="55"/>
        <v>61_B</v>
      </c>
    </row>
    <row r="728" spans="1:11" x14ac:dyDescent="0.35">
      <c r="A728">
        <v>61</v>
      </c>
      <c r="B728" s="6">
        <v>46317</v>
      </c>
      <c r="C728" t="s">
        <v>40</v>
      </c>
      <c r="D728" t="s">
        <v>23</v>
      </c>
      <c r="E728">
        <f>IF(D728="A", INDEX(Matches!$E:$E, MATCH(A728, Matches!$A:$A, 0)), INDEX(Matches!$F:$F, MATCH(A728, Matches!$A:$A, 0)))</f>
        <v>5</v>
      </c>
      <c r="F728">
        <f>IF(D728="A", INDEX(Matches!$F:$F, MATCH(A728, Matches!$A:$A, 0)), INDEX(Matches!$E:$E, MATCH(A728, Matches!$A:$A, 0)))</f>
        <v>3</v>
      </c>
      <c r="G728" t="str">
        <f t="shared" si="56"/>
        <v>Win</v>
      </c>
      <c r="I728">
        <v>2</v>
      </c>
      <c r="K728" t="str">
        <f t="shared" si="55"/>
        <v>61_B</v>
      </c>
    </row>
    <row r="729" spans="1:11" x14ac:dyDescent="0.35">
      <c r="A729">
        <v>61</v>
      </c>
      <c r="B729" s="6">
        <v>46317</v>
      </c>
      <c r="C729" t="s">
        <v>54</v>
      </c>
      <c r="D729" t="s">
        <v>23</v>
      </c>
      <c r="E729">
        <f>IF(D729="A", INDEX(Matches!$E:$E, MATCH(A729, Matches!$A:$A, 0)), INDEX(Matches!$F:$F, MATCH(A729, Matches!$A:$A, 0)))</f>
        <v>5</v>
      </c>
      <c r="F729">
        <f>IF(D729="A", INDEX(Matches!$F:$F, MATCH(A729, Matches!$A:$A, 0)), INDEX(Matches!$E:$E, MATCH(A729, Matches!$A:$A, 0)))</f>
        <v>3</v>
      </c>
      <c r="G729" t="str">
        <f t="shared" si="56"/>
        <v>Win</v>
      </c>
      <c r="K729" t="str">
        <f t="shared" si="55"/>
        <v>61_B</v>
      </c>
    </row>
    <row r="730" spans="1:11" x14ac:dyDescent="0.35">
      <c r="A730">
        <v>61</v>
      </c>
      <c r="B730" s="6">
        <v>46317</v>
      </c>
      <c r="C730" t="s">
        <v>25</v>
      </c>
      <c r="D730" t="s">
        <v>23</v>
      </c>
      <c r="E730">
        <f>IF(D730="A", INDEX(Matches!$E:$E, MATCH(A730, Matches!$A:$A, 0)), INDEX(Matches!$F:$F, MATCH(A730, Matches!$A:$A, 0)))</f>
        <v>5</v>
      </c>
      <c r="F730">
        <f>IF(D730="A", INDEX(Matches!$F:$F, MATCH(A730, Matches!$A:$A, 0)), INDEX(Matches!$E:$E, MATCH(A730, Matches!$A:$A, 0)))</f>
        <v>3</v>
      </c>
      <c r="G730" t="str">
        <f t="shared" si="56"/>
        <v>Win</v>
      </c>
      <c r="K730" t="str">
        <f t="shared" si="55"/>
        <v>61_B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1E1A0C4-701E-4259-996D-298E05111AF5}">
          <x14:formula1>
            <xm:f>Players!$A:$A</xm:f>
          </x14:formula1>
          <xm:sqref>C1:C632 C634:C1048576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52"/>
  <sheetViews>
    <sheetView tabSelected="1" workbookViewId="0">
      <selection activeCell="AU57" sqref="AU57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 t="str">
        <v>Martyson</v>
      </c>
      <c r="AR1" t="str">
        <v>David</v>
      </c>
      <c r="AS1" t="str">
        <v>Turi</v>
      </c>
      <c r="AT1" t="str">
        <v>Nadim</v>
      </c>
      <c r="AU1" t="str">
        <v>Edison</v>
      </c>
      <c r="AV1" t="str">
        <v>Pedro (Not Barroso)</v>
      </c>
      <c r="AW1" t="str">
        <v>Renan</v>
      </c>
      <c r="AX1" t="str">
        <v>Felipe</v>
      </c>
      <c r="AY1" t="str">
        <v>Georgian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52">_xlfn.UNIQUE('Team Lineups'!C2:C1000)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29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11</v>
      </c>
      <c r="E2" cm="1">
        <f t="array" ref="E2">SUMPRODUCT(('Team Lineups'!$K$2:$K$2000&lt;&gt;"")*('Team Lineups'!$C$2:$C$2000=$A2)*COUNTIFS('Team Lineups'!$K$2:$K$2000,'Team Lineups'!$K$2:$K$2000,'Team Lineups'!$C$2:$C$2000,E$1))</f>
        <v>9</v>
      </c>
      <c r="F2" cm="1">
        <f t="array" ref="F2">SUMPRODUCT(('Team Lineups'!$K$2:$K$2000&lt;&gt;"")*('Team Lineups'!$C$2:$C$2000=$A2)*COUNTIFS('Team Lineups'!$K$2:$K$2000,'Team Lineups'!$K$2:$K$2000,'Team Lineups'!$C$2:$C$2000,F$1))</f>
        <v>6</v>
      </c>
      <c r="G2" cm="1">
        <f t="array" ref="G2">SUMPRODUCT(('Team Lineups'!$K$2:$K$2000&lt;&gt;"")*('Team Lineups'!$C$2:$C$2000=$A2)*COUNTIFS('Team Lineups'!$K$2:$K$2000,'Team Lineups'!$K$2:$K$2000,'Team Lineups'!$C$2:$C$2000,G$1))</f>
        <v>9</v>
      </c>
      <c r="H2" cm="1">
        <f t="array" ref="H2">SUMPRODUCT(('Team Lineups'!$K$2:$K$2000&lt;&gt;"")*('Team Lineups'!$C$2:$C$2000=$A2)*COUNTIFS('Team Lineups'!$K$2:$K$2000,'Team Lineups'!$K$2:$K$2000,'Team Lineups'!$C$2:$C$2000,H$1))</f>
        <v>5</v>
      </c>
      <c r="I2" cm="1">
        <f t="array" ref="I2">SUMPRODUCT(('Team Lineups'!$K$2:$K$2000&lt;&gt;"")*('Team Lineups'!$C$2:$C$2000=$A2)*COUNTIFS('Team Lineups'!$K$2:$K$2000,'Team Lineups'!$K$2:$K$2000,'Team Lineups'!$C$2:$C$2000,I$1))</f>
        <v>14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6</v>
      </c>
      <c r="M2" cm="1">
        <f t="array" ref="M2">SUMPRODUCT(('Team Lineups'!$K$2:$K$2000&lt;&gt;"")*('Team Lineups'!$C$2:$C$2000=$A2)*COUNTIFS('Team Lineups'!$K$2:$K$2000,'Team Lineups'!$K$2:$K$2000,'Team Lineups'!$C$2:$C$2000,M$1))</f>
        <v>8</v>
      </c>
      <c r="N2" cm="1">
        <f t="array" ref="N2">SUMPRODUCT(('Team Lineups'!$K$2:$K$2000&lt;&gt;"")*('Team Lineups'!$C$2:$C$2000=$A2)*COUNTIFS('Team Lineups'!$K$2:$K$2000,'Team Lineups'!$K$2:$K$2000,'Team Lineups'!$C$2:$C$2000,N$1))</f>
        <v>9</v>
      </c>
      <c r="O2" cm="1">
        <f t="array" ref="O2">SUMPRODUCT(('Team Lineups'!$K$2:$K$2000&lt;&gt;"")*('Team Lineups'!$C$2:$C$2000=$A2)*COUNTIFS('Team Lineups'!$K$2:$K$2000,'Team Lineups'!$K$2:$K$2000,'Team Lineups'!$C$2:$C$2000,O$1))</f>
        <v>3</v>
      </c>
      <c r="P2" cm="1">
        <f t="array" ref="P2">SUMPRODUCT(('Team Lineups'!$K$2:$K$2000&lt;&gt;"")*('Team Lineups'!$C$2:$C$2000=$A2)*COUNTIFS('Team Lineups'!$K$2:$K$2000,'Team Lineups'!$K$2:$K$2000,'Team Lineups'!$C$2:$C$2000,P$1))</f>
        <v>1</v>
      </c>
      <c r="Q2" cm="1">
        <f t="array" ref="Q2">SUMPRODUCT(('Team Lineups'!$K$2:$K$2000&lt;&gt;"")*('Team Lineups'!$C$2:$C$2000=$A2)*COUNTIFS('Team Lineups'!$K$2:$K$2000,'Team Lineups'!$K$2:$K$2000,'Team Lineups'!$C$2:$C$2000,Q$1))</f>
        <v>6</v>
      </c>
      <c r="R2" cm="1">
        <f t="array" ref="R2">SUMPRODUCT(('Team Lineups'!$K$2:$K$2000&lt;&gt;"")*('Team Lineups'!$C$2:$C$2000=$A2)*COUNTIFS('Team Lineups'!$K$2:$K$2000,'Team Lineups'!$K$2:$K$2000,'Team Lineups'!$C$2:$C$2000,R$1))</f>
        <v>7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3</v>
      </c>
      <c r="AA2" cm="1">
        <f t="array" ref="AA2">SUMPRODUCT(('Team Lineups'!$K$2:$K$2000&lt;&gt;"")*('Team Lineups'!$C$2:$C$2000=$A2)*COUNTIFS('Team Lineups'!$K$2:$K$2000,'Team Lineups'!$K$2:$K$2000,'Team Lineups'!$C$2:$C$2000,AA$1))</f>
        <v>9</v>
      </c>
      <c r="AB2" cm="1">
        <f t="array" ref="AB2">SUMPRODUCT(('Team Lineups'!$K$2:$K$2000&lt;&gt;"")*('Team Lineups'!$C$2:$C$2000=$A2)*COUNTIFS('Team Lineups'!$K$2:$K$2000,'Team Lineups'!$K$2:$K$2000,'Team Lineups'!$C$2:$C$2000,AB$1))</f>
        <v>3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3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8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6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3</v>
      </c>
      <c r="AQ2" cm="1">
        <f t="array" ref="AQ2">SUMPRODUCT(('Team Lineups'!$K$2:$K$2000&lt;&gt;"")*('Team Lineups'!$C$2:$C$2000=$A2)*COUNTIFS('Team Lineups'!$K$2:$K$2000,'Team Lineups'!$K$2:$K$2000,'Team Lineups'!$C$2:$C$2000,AQ$1))</f>
        <v>0</v>
      </c>
      <c r="AR2" cm="1">
        <f t="array" ref="AR2">SUMPRODUCT(('Team Lineups'!$K$2:$K$2000&lt;&gt;"")*('Team Lineups'!$C$2:$C$2000=$A2)*COUNTIFS('Team Lineups'!$K$2:$K$2000,'Team Lineups'!$K$2:$K$2000,'Team Lineups'!$C$2:$C$2000,AR$1))</f>
        <v>0</v>
      </c>
      <c r="AS2" cm="1">
        <f t="array" ref="AS2">SUMPRODUCT(('Team Lineups'!$K$2:$K$2000&lt;&gt;"")*('Team Lineups'!$C$2:$C$2000=$A2)*COUNTIFS('Team Lineups'!$K$2:$K$2000,'Team Lineups'!$K$2:$K$2000,'Team Lineups'!$C$2:$C$2000,AS$1))</f>
        <v>1</v>
      </c>
      <c r="AT2" cm="1">
        <f t="array" ref="AT2">SUMPRODUCT(('Team Lineups'!$K$2:$K$2000&lt;&gt;"")*('Team Lineups'!$C$2:$C$2000=$A2)*COUNTIFS('Team Lineups'!$K$2:$K$2000,'Team Lineups'!$K$2:$K$2000,'Team Lineups'!$C$2:$C$2000,AT$1))</f>
        <v>0</v>
      </c>
      <c r="AU2" cm="1">
        <f t="array" ref="AU2">SUMPRODUCT(('Team Lineups'!$K$2:$K$2000&lt;&gt;"")*('Team Lineups'!$C$2:$C$2000=$A2)*COUNTIFS('Team Lineups'!$K$2:$K$2000,'Team Lineups'!$K$2:$K$2000,'Team Lineups'!$C$2:$C$2000,AU$1))</f>
        <v>2</v>
      </c>
      <c r="AV2" cm="1">
        <f t="array" ref="AV2">SUMPRODUCT(('Team Lineups'!$K$2:$K$2000&lt;&gt;"")*('Team Lineups'!$C$2:$C$2000=$A2)*COUNTIFS('Team Lineups'!$K$2:$K$2000,'Team Lineups'!$K$2:$K$2000,'Team Lineups'!$C$2:$C$2000,AV$1))</f>
        <v>1</v>
      </c>
      <c r="AW2" cm="1">
        <f t="array" ref="AW2">SUMPRODUCT(('Team Lineups'!$K$2:$K$2000&lt;&gt;"")*('Team Lineups'!$C$2:$C$2000=$A2)*COUNTIFS('Team Lineups'!$K$2:$K$2000,'Team Lineups'!$K$2:$K$2000,'Team Lineups'!$C$2:$C$2000,AW$1))</f>
        <v>1</v>
      </c>
      <c r="AX2" cm="1">
        <f t="array" ref="AX2">SUMPRODUCT(('Team Lineups'!$K$2:$K$2000&lt;&gt;"")*('Team Lineups'!$C$2:$C$2000=$A2)*COUNTIFS('Team Lineups'!$K$2:$K$2000,'Team Lineups'!$K$2:$K$2000,'Team Lineups'!$C$2:$C$2000,AX$1))</f>
        <v>0</v>
      </c>
      <c r="AY2" cm="1">
        <f t="array" ref="AY2">SUMPRODUCT(('Team Lineups'!$K$2:$K$2000&lt;&gt;"")*('Team Lineups'!$C$2:$C$2000=$A2)*COUNTIFS('Team Lineups'!$K$2:$K$2000,'Team Lineups'!$K$2:$K$2000,'Team Lineups'!$C$2:$C$2000,AY$1))</f>
        <v>0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  <c r="AQ3" cm="1">
        <f t="array" ref="AQ3">SUMPRODUCT(('Team Lineups'!$K$2:$K$2000&lt;&gt;"")*('Team Lineups'!$C$2:$C$2000=$A3)*COUNTIFS('Team Lineups'!$K$2:$K$2000,'Team Lineups'!$K$2:$K$2000,'Team Lineups'!$C$2:$C$2000,AQ$1))</f>
        <v>0</v>
      </c>
      <c r="AR3" cm="1">
        <f t="array" ref="AR3">SUMPRODUCT(('Team Lineups'!$K$2:$K$2000&lt;&gt;"")*('Team Lineups'!$C$2:$C$2000=$A3)*COUNTIFS('Team Lineups'!$K$2:$K$2000,'Team Lineups'!$K$2:$K$2000,'Team Lineups'!$C$2:$C$2000,AR$1))</f>
        <v>0</v>
      </c>
      <c r="AS3" cm="1">
        <f t="array" ref="AS3">SUMPRODUCT(('Team Lineups'!$K$2:$K$2000&lt;&gt;"")*('Team Lineups'!$C$2:$C$2000=$A3)*COUNTIFS('Team Lineups'!$K$2:$K$2000,'Team Lineups'!$K$2:$K$2000,'Team Lineups'!$C$2:$C$2000,AS$1))</f>
        <v>0</v>
      </c>
      <c r="AT3" cm="1">
        <f t="array" ref="AT3">SUMPRODUCT(('Team Lineups'!$K$2:$K$2000&lt;&gt;"")*('Team Lineups'!$C$2:$C$2000=$A3)*COUNTIFS('Team Lineups'!$K$2:$K$2000,'Team Lineups'!$K$2:$K$2000,'Team Lineups'!$C$2:$C$2000,AT$1))</f>
        <v>0</v>
      </c>
      <c r="AU3" cm="1">
        <f t="array" ref="AU3">SUMPRODUCT(('Team Lineups'!$K$2:$K$2000&lt;&gt;"")*('Team Lineups'!$C$2:$C$2000=$A3)*COUNTIFS('Team Lineups'!$K$2:$K$2000,'Team Lineups'!$K$2:$K$2000,'Team Lineups'!$C$2:$C$2000,AU$1))</f>
        <v>0</v>
      </c>
      <c r="AV3" cm="1">
        <f t="array" ref="AV3">SUMPRODUCT(('Team Lineups'!$K$2:$K$2000&lt;&gt;"")*('Team Lineups'!$C$2:$C$2000=$A3)*COUNTIFS('Team Lineups'!$K$2:$K$2000,'Team Lineups'!$K$2:$K$2000,'Team Lineups'!$C$2:$C$2000,AV$1))</f>
        <v>0</v>
      </c>
      <c r="AW3" cm="1">
        <f t="array" ref="AW3">SUMPRODUCT(('Team Lineups'!$K$2:$K$2000&lt;&gt;"")*('Team Lineups'!$C$2:$C$2000=$A3)*COUNTIFS('Team Lineups'!$K$2:$K$2000,'Team Lineups'!$K$2:$K$2000,'Team Lineups'!$C$2:$C$2000,AW$1))</f>
        <v>0</v>
      </c>
      <c r="AX3" cm="1">
        <f t="array" ref="AX3">SUMPRODUCT(('Team Lineups'!$K$2:$K$2000&lt;&gt;"")*('Team Lineups'!$C$2:$C$2000=$A3)*COUNTIFS('Team Lineups'!$K$2:$K$2000,'Team Lineups'!$K$2:$K$2000,'Team Lineups'!$C$2:$C$2000,AX$1))</f>
        <v>0</v>
      </c>
      <c r="AY3" cm="1">
        <f t="array" ref="AY3">SUMPRODUCT(('Team Lineups'!$K$2:$K$2000&lt;&gt;"")*('Team Lineups'!$C$2:$C$2000=$A3)*COUNTIFS('Team Lineups'!$K$2:$K$2000,'Team Lineups'!$K$2:$K$2000,'Team Lineups'!$C$2:$C$2000,AY$1))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11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32</v>
      </c>
      <c r="E4" cm="1">
        <f t="array" ref="E4">SUMPRODUCT(('Team Lineups'!$K$2:$K$2000&lt;&gt;"")*('Team Lineups'!$C$2:$C$2000=$A4)*COUNTIFS('Team Lineups'!$K$2:$K$2000,'Team Lineups'!$K$2:$K$2000,'Team Lineups'!$C$2:$C$2000,E$1))</f>
        <v>9</v>
      </c>
      <c r="F4" cm="1">
        <f t="array" ref="F4">SUMPRODUCT(('Team Lineups'!$K$2:$K$2000&lt;&gt;"")*('Team Lineups'!$C$2:$C$2000=$A4)*COUNTIFS('Team Lineups'!$K$2:$K$2000,'Team Lineups'!$K$2:$K$2000,'Team Lineups'!$C$2:$C$2000,F$1))</f>
        <v>12</v>
      </c>
      <c r="G4" cm="1">
        <f t="array" ref="G4">SUMPRODUCT(('Team Lineups'!$K$2:$K$2000&lt;&gt;"")*('Team Lineups'!$C$2:$C$2000=$A4)*COUNTIFS('Team Lineups'!$K$2:$K$2000,'Team Lineups'!$K$2:$K$2000,'Team Lineups'!$C$2:$C$2000,G$1))</f>
        <v>5</v>
      </c>
      <c r="H4" cm="1">
        <f t="array" ref="H4">SUMPRODUCT(('Team Lineups'!$K$2:$K$2000&lt;&gt;"")*('Team Lineups'!$C$2:$C$2000=$A4)*COUNTIFS('Team Lineups'!$K$2:$K$2000,'Team Lineups'!$K$2:$K$2000,'Team Lineups'!$C$2:$C$2000,H$1))</f>
        <v>6</v>
      </c>
      <c r="I4" cm="1">
        <f t="array" ref="I4">SUMPRODUCT(('Team Lineups'!$K$2:$K$2000&lt;&gt;"")*('Team Lineups'!$C$2:$C$2000=$A4)*COUNTIFS('Team Lineups'!$K$2:$K$2000,'Team Lineups'!$K$2:$K$2000,'Team Lineups'!$C$2:$C$2000,I$1))</f>
        <v>9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10</v>
      </c>
      <c r="M4" cm="1">
        <f t="array" ref="M4">SUMPRODUCT(('Team Lineups'!$K$2:$K$2000&lt;&gt;"")*('Team Lineups'!$C$2:$C$2000=$A4)*COUNTIFS('Team Lineups'!$K$2:$K$2000,'Team Lineups'!$K$2:$K$2000,'Team Lineups'!$C$2:$C$2000,M$1))</f>
        <v>6</v>
      </c>
      <c r="N4" cm="1">
        <f t="array" ref="N4">SUMPRODUCT(('Team Lineups'!$K$2:$K$2000&lt;&gt;"")*('Team Lineups'!$C$2:$C$2000=$A4)*COUNTIFS('Team Lineups'!$K$2:$K$2000,'Team Lineups'!$K$2:$K$2000,'Team Lineups'!$C$2:$C$2000,N$1))</f>
        <v>9</v>
      </c>
      <c r="O4" cm="1">
        <f t="array" ref="O4">SUMPRODUCT(('Team Lineups'!$K$2:$K$2000&lt;&gt;"")*('Team Lineups'!$C$2:$C$2000=$A4)*COUNTIFS('Team Lineups'!$K$2:$K$2000,'Team Lineups'!$K$2:$K$2000,'Team Lineups'!$C$2:$C$2000,O$1))</f>
        <v>6</v>
      </c>
      <c r="P4" cm="1">
        <f t="array" ref="P4">SUMPRODUCT(('Team Lineups'!$K$2:$K$2000&lt;&gt;"")*('Team Lineups'!$C$2:$C$2000=$A4)*COUNTIFS('Team Lineups'!$K$2:$K$2000,'Team Lineups'!$K$2:$K$2000,'Team Lineups'!$C$2:$C$2000,P$1))</f>
        <v>3</v>
      </c>
      <c r="Q4" cm="1">
        <f t="array" ref="Q4">SUMPRODUCT(('Team Lineups'!$K$2:$K$2000&lt;&gt;"")*('Team Lineups'!$C$2:$C$2000=$A4)*COUNTIFS('Team Lineups'!$K$2:$K$2000,'Team Lineups'!$K$2:$K$2000,'Team Lineups'!$C$2:$C$2000,Q$1))</f>
        <v>9</v>
      </c>
      <c r="R4" cm="1">
        <f t="array" ref="R4">SUMPRODUCT(('Team Lineups'!$K$2:$K$2000&lt;&gt;"")*('Team Lineups'!$C$2:$C$2000=$A4)*COUNTIFS('Team Lineups'!$K$2:$K$2000,'Team Lineups'!$K$2:$K$2000,'Team Lineups'!$C$2:$C$2000,R$1))</f>
        <v>10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4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3</v>
      </c>
      <c r="AA4" cm="1">
        <f t="array" ref="AA4">SUMPRODUCT(('Team Lineups'!$K$2:$K$2000&lt;&gt;"")*('Team Lineups'!$C$2:$C$2000=$A4)*COUNTIFS('Team Lineups'!$K$2:$K$2000,'Team Lineups'!$K$2:$K$2000,'Team Lineups'!$C$2:$C$2000,AA$1))</f>
        <v>5</v>
      </c>
      <c r="AB4" cm="1">
        <f t="array" ref="AB4">SUMPRODUCT(('Team Lineups'!$K$2:$K$2000&lt;&gt;"")*('Team Lineups'!$C$2:$C$2000=$A4)*COUNTIFS('Team Lineups'!$K$2:$K$2000,'Team Lineups'!$K$2:$K$2000,'Team Lineups'!$C$2:$C$2000,AB$1))</f>
        <v>3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2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7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8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2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4</v>
      </c>
      <c r="AQ4" cm="1">
        <f t="array" ref="AQ4">SUMPRODUCT(('Team Lineups'!$K$2:$K$2000&lt;&gt;"")*('Team Lineups'!$C$2:$C$2000=$A4)*COUNTIFS('Team Lineups'!$K$2:$K$2000,'Team Lineups'!$K$2:$K$2000,'Team Lineups'!$C$2:$C$2000,AQ$1))</f>
        <v>3</v>
      </c>
      <c r="AR4" cm="1">
        <f t="array" ref="AR4">SUMPRODUCT(('Team Lineups'!$K$2:$K$2000&lt;&gt;"")*('Team Lineups'!$C$2:$C$2000=$A4)*COUNTIFS('Team Lineups'!$K$2:$K$2000,'Team Lineups'!$K$2:$K$2000,'Team Lineups'!$C$2:$C$2000,AR$1))</f>
        <v>0</v>
      </c>
      <c r="AS4" cm="1">
        <f t="array" ref="AS4">SUMPRODUCT(('Team Lineups'!$K$2:$K$2000&lt;&gt;"")*('Team Lineups'!$C$2:$C$2000=$A4)*COUNTIFS('Team Lineups'!$K$2:$K$2000,'Team Lineups'!$K$2:$K$2000,'Team Lineups'!$C$2:$C$2000,AS$1))</f>
        <v>0</v>
      </c>
      <c r="AT4" cm="1">
        <f t="array" ref="AT4">SUMPRODUCT(('Team Lineups'!$K$2:$K$2000&lt;&gt;"")*('Team Lineups'!$C$2:$C$2000=$A4)*COUNTIFS('Team Lineups'!$K$2:$K$2000,'Team Lineups'!$K$2:$K$2000,'Team Lineups'!$C$2:$C$2000,AT$1))</f>
        <v>0</v>
      </c>
      <c r="AU4" cm="1">
        <f t="array" ref="AU4">SUMPRODUCT(('Team Lineups'!$K$2:$K$2000&lt;&gt;"")*('Team Lineups'!$C$2:$C$2000=$A4)*COUNTIFS('Team Lineups'!$K$2:$K$2000,'Team Lineups'!$K$2:$K$2000,'Team Lineups'!$C$2:$C$2000,AU$1))</f>
        <v>3</v>
      </c>
      <c r="AV4" cm="1">
        <f t="array" ref="AV4">SUMPRODUCT(('Team Lineups'!$K$2:$K$2000&lt;&gt;"")*('Team Lineups'!$C$2:$C$2000=$A4)*COUNTIFS('Team Lineups'!$K$2:$K$2000,'Team Lineups'!$K$2:$K$2000,'Team Lineups'!$C$2:$C$2000,AV$1))</f>
        <v>3</v>
      </c>
      <c r="AW4" cm="1">
        <f t="array" ref="AW4">SUMPRODUCT(('Team Lineups'!$K$2:$K$2000&lt;&gt;"")*('Team Lineups'!$C$2:$C$2000=$A4)*COUNTIFS('Team Lineups'!$K$2:$K$2000,'Team Lineups'!$K$2:$K$2000,'Team Lineups'!$C$2:$C$2000,AW$1))</f>
        <v>0</v>
      </c>
      <c r="AX4" cm="1">
        <f t="array" ref="AX4">SUMPRODUCT(('Team Lineups'!$K$2:$K$2000&lt;&gt;"")*('Team Lineups'!$C$2:$C$2000=$A4)*COUNTIFS('Team Lineups'!$K$2:$K$2000,'Team Lineups'!$K$2:$K$2000,'Team Lineups'!$C$2:$C$2000,AX$1))</f>
        <v>0</v>
      </c>
      <c r="AY4" cm="1">
        <f t="array" ref="AY4">SUMPRODUCT(('Team Lineups'!$K$2:$K$2000&lt;&gt;"")*('Team Lineups'!$C$2:$C$2000=$A4)*COUNTIFS('Team Lineups'!$K$2:$K$2000,'Team Lineups'!$K$2:$K$2000,'Team Lineups'!$C$2:$C$2000,AY$1))</f>
        <v>0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9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9</v>
      </c>
      <c r="E5" cm="1">
        <f t="array" ref="E5">SUMPRODUCT(('Team Lineups'!$K$2:$K$2000&lt;&gt;"")*('Team Lineups'!$C$2:$C$2000=$A5)*COUNTIFS('Team Lineups'!$K$2:$K$2000,'Team Lineups'!$K$2:$K$2000,'Team Lineups'!$C$2:$C$2000,E$1))</f>
        <v>32</v>
      </c>
      <c r="F5" cm="1">
        <f t="array" ref="F5">SUMPRODUCT(('Team Lineups'!$K$2:$K$2000&lt;&gt;"")*('Team Lineups'!$C$2:$C$2000=$A5)*COUNTIFS('Team Lineups'!$K$2:$K$2000,'Team Lineups'!$K$2:$K$2000,'Team Lineups'!$C$2:$C$2000,F$1))</f>
        <v>12</v>
      </c>
      <c r="G5" cm="1">
        <f t="array" ref="G5">SUMPRODUCT(('Team Lineups'!$K$2:$K$2000&lt;&gt;"")*('Team Lineups'!$C$2:$C$2000=$A5)*COUNTIFS('Team Lineups'!$K$2:$K$2000,'Team Lineups'!$K$2:$K$2000,'Team Lineups'!$C$2:$C$2000,G$1))</f>
        <v>11</v>
      </c>
      <c r="H5" cm="1">
        <f t="array" ref="H5">SUMPRODUCT(('Team Lineups'!$K$2:$K$2000&lt;&gt;"")*('Team Lineups'!$C$2:$C$2000=$A5)*COUNTIFS('Team Lineups'!$K$2:$K$2000,'Team Lineups'!$K$2:$K$2000,'Team Lineups'!$C$2:$C$2000,H$1))</f>
        <v>1</v>
      </c>
      <c r="I5" cm="1">
        <f t="array" ref="I5">SUMPRODUCT(('Team Lineups'!$K$2:$K$2000&lt;&gt;"")*('Team Lineups'!$C$2:$C$2000=$A5)*COUNTIFS('Team Lineups'!$K$2:$K$2000,'Team Lineups'!$K$2:$K$2000,'Team Lineups'!$C$2:$C$2000,I$1))</f>
        <v>7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7</v>
      </c>
      <c r="M5" cm="1">
        <f t="array" ref="M5">SUMPRODUCT(('Team Lineups'!$K$2:$K$2000&lt;&gt;"")*('Team Lineups'!$C$2:$C$2000=$A5)*COUNTIFS('Team Lineups'!$K$2:$K$2000,'Team Lineups'!$K$2:$K$2000,'Team Lineups'!$C$2:$C$2000,M$1))</f>
        <v>5</v>
      </c>
      <c r="N5" cm="1">
        <f t="array" ref="N5">SUMPRODUCT(('Team Lineups'!$K$2:$K$2000&lt;&gt;"")*('Team Lineups'!$C$2:$C$2000=$A5)*COUNTIFS('Team Lineups'!$K$2:$K$2000,'Team Lineups'!$K$2:$K$2000,'Team Lineups'!$C$2:$C$2000,N$1))</f>
        <v>6</v>
      </c>
      <c r="O5" cm="1">
        <f t="array" ref="O5">SUMPRODUCT(('Team Lineups'!$K$2:$K$2000&lt;&gt;"")*('Team Lineups'!$C$2:$C$2000=$A5)*COUNTIFS('Team Lineups'!$K$2:$K$2000,'Team Lineups'!$K$2:$K$2000,'Team Lineups'!$C$2:$C$2000,O$1))</f>
        <v>6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9</v>
      </c>
      <c r="R5" cm="1">
        <f t="array" ref="R5">SUMPRODUCT(('Team Lineups'!$K$2:$K$2000&lt;&gt;"")*('Team Lineups'!$C$2:$C$2000=$A5)*COUNTIFS('Team Lineups'!$K$2:$K$2000,'Team Lineups'!$K$2:$K$2000,'Team Lineups'!$C$2:$C$2000,R$1))</f>
        <v>6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1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4</v>
      </c>
      <c r="AA5" cm="1">
        <f t="array" ref="AA5">SUMPRODUCT(('Team Lineups'!$K$2:$K$2000&lt;&gt;"")*('Team Lineups'!$C$2:$C$2000=$A5)*COUNTIFS('Team Lineups'!$K$2:$K$2000,'Team Lineups'!$K$2:$K$2000,'Team Lineups'!$C$2:$C$2000,AA$1))</f>
        <v>8</v>
      </c>
      <c r="AB5" cm="1">
        <f t="array" ref="AB5">SUMPRODUCT(('Team Lineups'!$K$2:$K$2000&lt;&gt;"")*('Team Lineups'!$C$2:$C$2000=$A5)*COUNTIFS('Team Lineups'!$K$2:$K$2000,'Team Lineups'!$K$2:$K$2000,'Team Lineups'!$C$2:$C$2000,AB$1))</f>
        <v>4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3</v>
      </c>
      <c r="AE5" cm="1">
        <f t="array" ref="AE5">SUMPRODUCT(('Team Lineups'!$K$2:$K$2000&lt;&gt;"")*('Team Lineups'!$C$2:$C$2000=$A5)*COUNTIFS('Team Lineups'!$K$2:$K$2000,'Team Lineups'!$K$2:$K$2000,'Team Lineups'!$C$2:$C$2000,AE$1))</f>
        <v>2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5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2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13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2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7</v>
      </c>
      <c r="AQ5" cm="1">
        <f t="array" ref="AQ5">SUMPRODUCT(('Team Lineups'!$K$2:$K$2000&lt;&gt;"")*('Team Lineups'!$C$2:$C$2000=$A5)*COUNTIFS('Team Lineups'!$K$2:$K$2000,'Team Lineups'!$K$2:$K$2000,'Team Lineups'!$C$2:$C$2000,AQ$1))</f>
        <v>3</v>
      </c>
      <c r="AR5" cm="1">
        <f t="array" ref="AR5">SUMPRODUCT(('Team Lineups'!$K$2:$K$2000&lt;&gt;"")*('Team Lineups'!$C$2:$C$2000=$A5)*COUNTIFS('Team Lineups'!$K$2:$K$2000,'Team Lineups'!$K$2:$K$2000,'Team Lineups'!$C$2:$C$2000,AR$1))</f>
        <v>0</v>
      </c>
      <c r="AS5" cm="1">
        <f t="array" ref="AS5">SUMPRODUCT(('Team Lineups'!$K$2:$K$2000&lt;&gt;"")*('Team Lineups'!$C$2:$C$2000=$A5)*COUNTIFS('Team Lineups'!$K$2:$K$2000,'Team Lineups'!$K$2:$K$2000,'Team Lineups'!$C$2:$C$2000,AS$1))</f>
        <v>0</v>
      </c>
      <c r="AT5" cm="1">
        <f t="array" ref="AT5">SUMPRODUCT(('Team Lineups'!$K$2:$K$2000&lt;&gt;"")*('Team Lineups'!$C$2:$C$2000=$A5)*COUNTIFS('Team Lineups'!$K$2:$K$2000,'Team Lineups'!$K$2:$K$2000,'Team Lineups'!$C$2:$C$2000,AT$1))</f>
        <v>0</v>
      </c>
      <c r="AU5" cm="1">
        <f t="array" ref="AU5">SUMPRODUCT(('Team Lineups'!$K$2:$K$2000&lt;&gt;"")*('Team Lineups'!$C$2:$C$2000=$A5)*COUNTIFS('Team Lineups'!$K$2:$K$2000,'Team Lineups'!$K$2:$K$2000,'Team Lineups'!$C$2:$C$2000,AU$1))</f>
        <v>1</v>
      </c>
      <c r="AV5" cm="1">
        <f t="array" ref="AV5">SUMPRODUCT(('Team Lineups'!$K$2:$K$2000&lt;&gt;"")*('Team Lineups'!$C$2:$C$2000=$A5)*COUNTIFS('Team Lineups'!$K$2:$K$2000,'Team Lineups'!$K$2:$K$2000,'Team Lineups'!$C$2:$C$2000,AV$1))</f>
        <v>2</v>
      </c>
      <c r="AW5" cm="1">
        <f t="array" ref="AW5">SUMPRODUCT(('Team Lineups'!$K$2:$K$2000&lt;&gt;"")*('Team Lineups'!$C$2:$C$2000=$A5)*COUNTIFS('Team Lineups'!$K$2:$K$2000,'Team Lineups'!$K$2:$K$2000,'Team Lineups'!$C$2:$C$2000,AW$1))</f>
        <v>0</v>
      </c>
      <c r="AX5" cm="1">
        <f t="array" ref="AX5">SUMPRODUCT(('Team Lineups'!$K$2:$K$2000&lt;&gt;"")*('Team Lineups'!$C$2:$C$2000=$A5)*COUNTIFS('Team Lineups'!$K$2:$K$2000,'Team Lineups'!$K$2:$K$2000,'Team Lineups'!$C$2:$C$2000,AX$1))</f>
        <v>0</v>
      </c>
      <c r="AY5" cm="1">
        <f t="array" ref="AY5">SUMPRODUCT(('Team Lineups'!$K$2:$K$2000&lt;&gt;"")*('Team Lineups'!$C$2:$C$2000=$A5)*COUNTIFS('Team Lineups'!$K$2:$K$2000,'Team Lineups'!$K$2:$K$2000,'Team Lineups'!$C$2:$C$2000,AY$1))</f>
        <v>0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6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12</v>
      </c>
      <c r="E6" cm="1">
        <f t="array" ref="E6">SUMPRODUCT(('Team Lineups'!$K$2:$K$2000&lt;&gt;"")*('Team Lineups'!$C$2:$C$2000=$A6)*COUNTIFS('Team Lineups'!$K$2:$K$2000,'Team Lineups'!$K$2:$K$2000,'Team Lineups'!$C$2:$C$2000,E$1))</f>
        <v>12</v>
      </c>
      <c r="F6" cm="1">
        <f t="array" ref="F6">SUMPRODUCT(('Team Lineups'!$K$2:$K$2000&lt;&gt;"")*('Team Lineups'!$C$2:$C$2000=$A6)*COUNTIFS('Team Lineups'!$K$2:$K$2000,'Team Lineups'!$K$2:$K$2000,'Team Lineups'!$C$2:$C$2000,F$1))</f>
        <v>32</v>
      </c>
      <c r="G6" cm="1">
        <f t="array" ref="G6">SUMPRODUCT(('Team Lineups'!$K$2:$K$2000&lt;&gt;"")*('Team Lineups'!$C$2:$C$2000=$A6)*COUNTIFS('Team Lineups'!$K$2:$K$2000,'Team Lineups'!$K$2:$K$2000,'Team Lineups'!$C$2:$C$2000,G$1))</f>
        <v>7</v>
      </c>
      <c r="H6" cm="1">
        <f t="array" ref="H6">SUMPRODUCT(('Team Lineups'!$K$2:$K$2000&lt;&gt;"")*('Team Lineups'!$C$2:$C$2000=$A6)*COUNTIFS('Team Lineups'!$K$2:$K$2000,'Team Lineups'!$K$2:$K$2000,'Team Lineups'!$C$2:$C$2000,H$1))</f>
        <v>7</v>
      </c>
      <c r="I6" cm="1">
        <f t="array" ref="I6">SUMPRODUCT(('Team Lineups'!$K$2:$K$2000&lt;&gt;"")*('Team Lineups'!$C$2:$C$2000=$A6)*COUNTIFS('Team Lineups'!$K$2:$K$2000,'Team Lineups'!$K$2:$K$2000,'Team Lineups'!$C$2:$C$2000,I$1))</f>
        <v>8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12</v>
      </c>
      <c r="M6" cm="1">
        <f t="array" ref="M6">SUMPRODUCT(('Team Lineups'!$K$2:$K$2000&lt;&gt;"")*('Team Lineups'!$C$2:$C$2000=$A6)*COUNTIFS('Team Lineups'!$K$2:$K$2000,'Team Lineups'!$K$2:$K$2000,'Team Lineups'!$C$2:$C$2000,M$1))</f>
        <v>10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5</v>
      </c>
      <c r="P6" cm="1">
        <f t="array" ref="P6">SUMPRODUCT(('Team Lineups'!$K$2:$K$2000&lt;&gt;"")*('Team Lineups'!$C$2:$C$2000=$A6)*COUNTIFS('Team Lineups'!$K$2:$K$2000,'Team Lineups'!$K$2:$K$2000,'Team Lineups'!$C$2:$C$2000,P$1))</f>
        <v>3</v>
      </c>
      <c r="Q6" cm="1">
        <f t="array" ref="Q6">SUMPRODUCT(('Team Lineups'!$K$2:$K$2000&lt;&gt;"")*('Team Lineups'!$C$2:$C$2000=$A6)*COUNTIFS('Team Lineups'!$K$2:$K$2000,'Team Lineups'!$K$2:$K$2000,'Team Lineups'!$C$2:$C$2000,Q$1))</f>
        <v>8</v>
      </c>
      <c r="R6" cm="1">
        <f t="array" ref="R6">SUMPRODUCT(('Team Lineups'!$K$2:$K$2000&lt;&gt;"")*('Team Lineups'!$C$2:$C$2000=$A6)*COUNTIFS('Team Lineups'!$K$2:$K$2000,'Team Lineups'!$K$2:$K$2000,'Team Lineups'!$C$2:$C$2000,R$1))</f>
        <v>10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2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3</v>
      </c>
      <c r="AA6" cm="1">
        <f t="array" ref="AA6">SUMPRODUCT(('Team Lineups'!$K$2:$K$2000&lt;&gt;"")*('Team Lineups'!$C$2:$C$2000=$A6)*COUNTIFS('Team Lineups'!$K$2:$K$2000,'Team Lineups'!$K$2:$K$2000,'Team Lineups'!$C$2:$C$2000,AA$1))</f>
        <v>10</v>
      </c>
      <c r="AB6" cm="1">
        <f t="array" ref="AB6">SUMPRODUCT(('Team Lineups'!$K$2:$K$2000&lt;&gt;"")*('Team Lineups'!$C$2:$C$2000=$A6)*COUNTIFS('Team Lineups'!$K$2:$K$2000,'Team Lineups'!$K$2:$K$2000,'Team Lineups'!$C$2:$C$2000,AB$1))</f>
        <v>6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3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5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8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4</v>
      </c>
      <c r="AO6" cm="1">
        <f t="array" ref="AO6">SUMPRODUCT(('Team Lineups'!$K$2:$K$2000&lt;&gt;"")*('Team Lineups'!$C$2:$C$2000=$A6)*COUNTIFS('Team Lineups'!$K$2:$K$2000,'Team Lineups'!$K$2:$K$2000,'Team Lineups'!$C$2:$C$2000,AO$1))</f>
        <v>1</v>
      </c>
      <c r="AP6" cm="1">
        <f t="array" ref="AP6">SUMPRODUCT(('Team Lineups'!$K$2:$K$2000&lt;&gt;"")*('Team Lineups'!$C$2:$C$2000=$A6)*COUNTIFS('Team Lineups'!$K$2:$K$2000,'Team Lineups'!$K$2:$K$2000,'Team Lineups'!$C$2:$C$2000,AP$1))</f>
        <v>6</v>
      </c>
      <c r="AQ6" cm="1">
        <f t="array" ref="AQ6">SUMPRODUCT(('Team Lineups'!$K$2:$K$2000&lt;&gt;"")*('Team Lineups'!$C$2:$C$2000=$A6)*COUNTIFS('Team Lineups'!$K$2:$K$2000,'Team Lineups'!$K$2:$K$2000,'Team Lineups'!$C$2:$C$2000,AQ$1))</f>
        <v>3</v>
      </c>
      <c r="AR6" cm="1">
        <f t="array" ref="AR6">SUMPRODUCT(('Team Lineups'!$K$2:$K$2000&lt;&gt;"")*('Team Lineups'!$C$2:$C$2000=$A6)*COUNTIFS('Team Lineups'!$K$2:$K$2000,'Team Lineups'!$K$2:$K$2000,'Team Lineups'!$C$2:$C$2000,AR$1))</f>
        <v>0</v>
      </c>
      <c r="AS6" cm="1">
        <f t="array" ref="AS6">SUMPRODUCT(('Team Lineups'!$K$2:$K$2000&lt;&gt;"")*('Team Lineups'!$C$2:$C$2000=$A6)*COUNTIFS('Team Lineups'!$K$2:$K$2000,'Team Lineups'!$K$2:$K$2000,'Team Lineups'!$C$2:$C$2000,AS$1))</f>
        <v>0</v>
      </c>
      <c r="AT6" cm="1">
        <f t="array" ref="AT6">SUMPRODUCT(('Team Lineups'!$K$2:$K$2000&lt;&gt;"")*('Team Lineups'!$C$2:$C$2000=$A6)*COUNTIFS('Team Lineups'!$K$2:$K$2000,'Team Lineups'!$K$2:$K$2000,'Team Lineups'!$C$2:$C$2000,AT$1))</f>
        <v>0</v>
      </c>
      <c r="AU6" cm="1">
        <f t="array" ref="AU6">SUMPRODUCT(('Team Lineups'!$K$2:$K$2000&lt;&gt;"")*('Team Lineups'!$C$2:$C$2000=$A6)*COUNTIFS('Team Lineups'!$K$2:$K$2000,'Team Lineups'!$K$2:$K$2000,'Team Lineups'!$C$2:$C$2000,AU$1))</f>
        <v>0</v>
      </c>
      <c r="AV6" cm="1">
        <f t="array" ref="AV6">SUMPRODUCT(('Team Lineups'!$K$2:$K$2000&lt;&gt;"")*('Team Lineups'!$C$2:$C$2000=$A6)*COUNTIFS('Team Lineups'!$K$2:$K$2000,'Team Lineups'!$K$2:$K$2000,'Team Lineups'!$C$2:$C$2000,AV$1))</f>
        <v>2</v>
      </c>
      <c r="AW6" cm="1">
        <f t="array" ref="AW6">SUMPRODUCT(('Team Lineups'!$K$2:$K$2000&lt;&gt;"")*('Team Lineups'!$C$2:$C$2000=$A6)*COUNTIFS('Team Lineups'!$K$2:$K$2000,'Team Lineups'!$K$2:$K$2000,'Team Lineups'!$C$2:$C$2000,AW$1))</f>
        <v>0</v>
      </c>
      <c r="AX6" cm="1">
        <f t="array" ref="AX6">SUMPRODUCT(('Team Lineups'!$K$2:$K$2000&lt;&gt;"")*('Team Lineups'!$C$2:$C$2000=$A6)*COUNTIFS('Team Lineups'!$K$2:$K$2000,'Team Lineups'!$K$2:$K$2000,'Team Lineups'!$C$2:$C$2000,AX$1))</f>
        <v>0</v>
      </c>
      <c r="AY6" cm="1">
        <f t="array" ref="AY6">SUMPRODUCT(('Team Lineups'!$K$2:$K$2000&lt;&gt;"")*('Team Lineups'!$C$2:$C$2000=$A6)*COUNTIFS('Team Lineups'!$K$2:$K$2000,'Team Lineups'!$K$2:$K$2000,'Team Lineups'!$C$2:$C$2000,AY$1))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9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5</v>
      </c>
      <c r="E7" cm="1">
        <f t="array" ref="E7">SUMPRODUCT(('Team Lineups'!$K$2:$K$2000&lt;&gt;"")*('Team Lineups'!$C$2:$C$2000=$A7)*COUNTIFS('Team Lineups'!$K$2:$K$2000,'Team Lineups'!$K$2:$K$2000,'Team Lineups'!$C$2:$C$2000,E$1))</f>
        <v>11</v>
      </c>
      <c r="F7" cm="1">
        <f t="array" ref="F7">SUMPRODUCT(('Team Lineups'!$K$2:$K$2000&lt;&gt;"")*('Team Lineups'!$C$2:$C$2000=$A7)*COUNTIFS('Team Lineups'!$K$2:$K$2000,'Team Lineups'!$K$2:$K$2000,'Team Lineups'!$C$2:$C$2000,F$1))</f>
        <v>7</v>
      </c>
      <c r="G7" cm="1">
        <f t="array" ref="G7">SUMPRODUCT(('Team Lineups'!$K$2:$K$2000&lt;&gt;"")*('Team Lineups'!$C$2:$C$2000=$A7)*COUNTIFS('Team Lineups'!$K$2:$K$2000,'Team Lineups'!$K$2:$K$2000,'Team Lineups'!$C$2:$C$2000,G$1))</f>
        <v>41</v>
      </c>
      <c r="H7" cm="1">
        <f t="array" ref="H7">SUMPRODUCT(('Team Lineups'!$K$2:$K$2000&lt;&gt;"")*('Team Lineups'!$C$2:$C$2000=$A7)*COUNTIFS('Team Lineups'!$K$2:$K$2000,'Team Lineups'!$K$2:$K$2000,'Team Lineups'!$C$2:$C$2000,H$1))</f>
        <v>8</v>
      </c>
      <c r="I7" cm="1">
        <f t="array" ref="I7">SUMPRODUCT(('Team Lineups'!$K$2:$K$2000&lt;&gt;"")*('Team Lineups'!$C$2:$C$2000=$A7)*COUNTIFS('Team Lineups'!$K$2:$K$2000,'Team Lineups'!$K$2:$K$2000,'Team Lineups'!$C$2:$C$2000,I$1))</f>
        <v>12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10</v>
      </c>
      <c r="M7" cm="1">
        <f t="array" ref="M7">SUMPRODUCT(('Team Lineups'!$K$2:$K$2000&lt;&gt;"")*('Team Lineups'!$C$2:$C$2000=$A7)*COUNTIFS('Team Lineups'!$K$2:$K$2000,'Team Lineups'!$K$2:$K$2000,'Team Lineups'!$C$2:$C$2000,M$1))</f>
        <v>15</v>
      </c>
      <c r="N7" cm="1">
        <f t="array" ref="N7">SUMPRODUCT(('Team Lineups'!$K$2:$K$2000&lt;&gt;"")*('Team Lineups'!$C$2:$C$2000=$A7)*COUNTIFS('Team Lineups'!$K$2:$K$2000,'Team Lineups'!$K$2:$K$2000,'Team Lineups'!$C$2:$C$2000,N$1))</f>
        <v>8</v>
      </c>
      <c r="O7" cm="1">
        <f t="array" ref="O7">SUMPRODUCT(('Team Lineups'!$K$2:$K$2000&lt;&gt;"")*('Team Lineups'!$C$2:$C$2000=$A7)*COUNTIFS('Team Lineups'!$K$2:$K$2000,'Team Lineups'!$K$2:$K$2000,'Team Lineups'!$C$2:$C$2000,O$1))</f>
        <v>5</v>
      </c>
      <c r="P7" cm="1">
        <f t="array" ref="P7">SUMPRODUCT(('Team Lineups'!$K$2:$K$2000&lt;&gt;"")*('Team Lineups'!$C$2:$C$2000=$A7)*COUNTIFS('Team Lineups'!$K$2:$K$2000,'Team Lineups'!$K$2:$K$2000,'Team Lineups'!$C$2:$C$2000,P$1))</f>
        <v>3</v>
      </c>
      <c r="Q7" cm="1">
        <f t="array" ref="Q7">SUMPRODUCT(('Team Lineups'!$K$2:$K$2000&lt;&gt;"")*('Team Lineups'!$C$2:$C$2000=$A7)*COUNTIFS('Team Lineups'!$K$2:$K$2000,'Team Lineups'!$K$2:$K$2000,'Team Lineups'!$C$2:$C$2000,Q$1))</f>
        <v>11</v>
      </c>
      <c r="R7" cm="1">
        <f t="array" ref="R7">SUMPRODUCT(('Team Lineups'!$K$2:$K$2000&lt;&gt;"")*('Team Lineups'!$C$2:$C$2000=$A7)*COUNTIFS('Team Lineups'!$K$2:$K$2000,'Team Lineups'!$K$2:$K$2000,'Team Lineups'!$C$2:$C$2000,R$1))</f>
        <v>11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2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5</v>
      </c>
      <c r="AA7" cm="1">
        <f t="array" ref="AA7">SUMPRODUCT(('Team Lineups'!$K$2:$K$2000&lt;&gt;"")*('Team Lineups'!$C$2:$C$2000=$A7)*COUNTIFS('Team Lineups'!$K$2:$K$2000,'Team Lineups'!$K$2:$K$2000,'Team Lineups'!$C$2:$C$2000,AA$1))</f>
        <v>12</v>
      </c>
      <c r="AB7" cm="1">
        <f t="array" ref="AB7">SUMPRODUCT(('Team Lineups'!$K$2:$K$2000&lt;&gt;"")*('Team Lineups'!$C$2:$C$2000=$A7)*COUNTIFS('Team Lineups'!$K$2:$K$2000,'Team Lineups'!$K$2:$K$2000,'Team Lineups'!$C$2:$C$2000,AB$1))</f>
        <v>4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9</v>
      </c>
      <c r="AE7" cm="1">
        <f t="array" ref="AE7">SUMPRODUCT(('Team Lineups'!$K$2:$K$2000&lt;&gt;"")*('Team Lineups'!$C$2:$C$2000=$A7)*COUNTIFS('Team Lineups'!$K$2:$K$2000,'Team Lineups'!$K$2:$K$2000,'Team Lineups'!$C$2:$C$2000,AE$1))</f>
        <v>2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4</v>
      </c>
      <c r="AH7" cm="1">
        <f t="array" ref="AH7">SUMPRODUCT(('Team Lineups'!$K$2:$K$2000&lt;&gt;"")*('Team Lineups'!$C$2:$C$2000=$A7)*COUNTIFS('Team Lineups'!$K$2:$K$2000,'Team Lineups'!$K$2:$K$2000,'Team Lineups'!$C$2:$C$2000,AH$1))</f>
        <v>1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6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11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2</v>
      </c>
      <c r="AO7" cm="1">
        <f t="array" ref="AO7">SUMPRODUCT(('Team Lineups'!$K$2:$K$2000&lt;&gt;"")*('Team Lineups'!$C$2:$C$2000=$A7)*COUNTIFS('Team Lineups'!$K$2:$K$2000,'Team Lineups'!$K$2:$K$2000,'Team Lineups'!$C$2:$C$2000,AO$1))</f>
        <v>4</v>
      </c>
      <c r="AP7" cm="1">
        <f t="array" ref="AP7">SUMPRODUCT(('Team Lineups'!$K$2:$K$2000&lt;&gt;"")*('Team Lineups'!$C$2:$C$2000=$A7)*COUNTIFS('Team Lineups'!$K$2:$K$2000,'Team Lineups'!$K$2:$K$2000,'Team Lineups'!$C$2:$C$2000,AP$1))</f>
        <v>5</v>
      </c>
      <c r="AQ7" cm="1">
        <f t="array" ref="AQ7">SUMPRODUCT(('Team Lineups'!$K$2:$K$2000&lt;&gt;"")*('Team Lineups'!$C$2:$C$2000=$A7)*COUNTIFS('Team Lineups'!$K$2:$K$2000,'Team Lineups'!$K$2:$K$2000,'Team Lineups'!$C$2:$C$2000,AQ$1))</f>
        <v>2</v>
      </c>
      <c r="AR7" cm="1">
        <f t="array" ref="AR7">SUMPRODUCT(('Team Lineups'!$K$2:$K$2000&lt;&gt;"")*('Team Lineups'!$C$2:$C$2000=$A7)*COUNTIFS('Team Lineups'!$K$2:$K$2000,'Team Lineups'!$K$2:$K$2000,'Team Lineups'!$C$2:$C$2000,AR$1))</f>
        <v>1</v>
      </c>
      <c r="AS7" cm="1">
        <f t="array" ref="AS7">SUMPRODUCT(('Team Lineups'!$K$2:$K$2000&lt;&gt;"")*('Team Lineups'!$C$2:$C$2000=$A7)*COUNTIFS('Team Lineups'!$K$2:$K$2000,'Team Lineups'!$K$2:$K$2000,'Team Lineups'!$C$2:$C$2000,AS$1))</f>
        <v>0</v>
      </c>
      <c r="AT7" cm="1">
        <f t="array" ref="AT7">SUMPRODUCT(('Team Lineups'!$K$2:$K$2000&lt;&gt;"")*('Team Lineups'!$C$2:$C$2000=$A7)*COUNTIFS('Team Lineups'!$K$2:$K$2000,'Team Lineups'!$K$2:$K$2000,'Team Lineups'!$C$2:$C$2000,AT$1))</f>
        <v>0</v>
      </c>
      <c r="AU7" cm="1">
        <f t="array" ref="AU7">SUMPRODUCT(('Team Lineups'!$K$2:$K$2000&lt;&gt;"")*('Team Lineups'!$C$2:$C$2000=$A7)*COUNTIFS('Team Lineups'!$K$2:$K$2000,'Team Lineups'!$K$2:$K$2000,'Team Lineups'!$C$2:$C$2000,AU$1))</f>
        <v>3</v>
      </c>
      <c r="AV7" cm="1">
        <f t="array" ref="AV7">SUMPRODUCT(('Team Lineups'!$K$2:$K$2000&lt;&gt;"")*('Team Lineups'!$C$2:$C$2000=$A7)*COUNTIFS('Team Lineups'!$K$2:$K$2000,'Team Lineups'!$K$2:$K$2000,'Team Lineups'!$C$2:$C$2000,AV$1))</f>
        <v>5</v>
      </c>
      <c r="AW7" cm="1">
        <f t="array" ref="AW7">SUMPRODUCT(('Team Lineups'!$K$2:$K$2000&lt;&gt;"")*('Team Lineups'!$C$2:$C$2000=$A7)*COUNTIFS('Team Lineups'!$K$2:$K$2000,'Team Lineups'!$K$2:$K$2000,'Team Lineups'!$C$2:$C$2000,AW$1))</f>
        <v>1</v>
      </c>
      <c r="AX7" cm="1">
        <f t="array" ref="AX7">SUMPRODUCT(('Team Lineups'!$K$2:$K$2000&lt;&gt;"")*('Team Lineups'!$C$2:$C$2000=$A7)*COUNTIFS('Team Lineups'!$K$2:$K$2000,'Team Lineups'!$K$2:$K$2000,'Team Lineups'!$C$2:$C$2000,AX$1))</f>
        <v>1</v>
      </c>
      <c r="AY7" cm="1">
        <f t="array" ref="AY7">SUMPRODUCT(('Team Lineups'!$K$2:$K$2000&lt;&gt;"")*('Team Lineups'!$C$2:$C$2000=$A7)*COUNTIFS('Team Lineups'!$K$2:$K$2000,'Team Lineups'!$K$2:$K$2000,'Team Lineups'!$C$2:$C$2000,AY$1))</f>
        <v>0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5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6</v>
      </c>
      <c r="E8" cm="1">
        <f t="array" ref="E8">SUMPRODUCT(('Team Lineups'!$K$2:$K$2000&lt;&gt;"")*('Team Lineups'!$C$2:$C$2000=$A8)*COUNTIFS('Team Lineups'!$K$2:$K$2000,'Team Lineups'!$K$2:$K$2000,'Team Lineups'!$C$2:$C$2000,E$1))</f>
        <v>1</v>
      </c>
      <c r="F8" cm="1">
        <f t="array" ref="F8">SUMPRODUCT(('Team Lineups'!$K$2:$K$2000&lt;&gt;"")*('Team Lineups'!$C$2:$C$2000=$A8)*COUNTIFS('Team Lineups'!$K$2:$K$2000,'Team Lineups'!$K$2:$K$2000,'Team Lineups'!$C$2:$C$2000,F$1))</f>
        <v>7</v>
      </c>
      <c r="G8" cm="1">
        <f t="array" ref="G8">SUMPRODUCT(('Team Lineups'!$K$2:$K$2000&lt;&gt;"")*('Team Lineups'!$C$2:$C$2000=$A8)*COUNTIFS('Team Lineups'!$K$2:$K$2000,'Team Lineups'!$K$2:$K$2000,'Team Lineups'!$C$2:$C$2000,G$1))</f>
        <v>8</v>
      </c>
      <c r="H8" cm="1">
        <f t="array" ref="H8">SUMPRODUCT(('Team Lineups'!$K$2:$K$2000&lt;&gt;"")*('Team Lineups'!$C$2:$C$2000=$A8)*COUNTIFS('Team Lineups'!$K$2:$K$2000,'Team Lineups'!$K$2:$K$2000,'Team Lineups'!$C$2:$C$2000,H$1))</f>
        <v>29</v>
      </c>
      <c r="I8" cm="1">
        <f t="array" ref="I8">SUMPRODUCT(('Team Lineups'!$K$2:$K$2000&lt;&gt;"")*('Team Lineups'!$C$2:$C$2000=$A8)*COUNTIFS('Team Lineups'!$K$2:$K$2000,'Team Lineups'!$K$2:$K$2000,'Team Lineups'!$C$2:$C$2000,I$1))</f>
        <v>9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5</v>
      </c>
      <c r="M8" cm="1">
        <f t="array" ref="M8">SUMPRODUCT(('Team Lineups'!$K$2:$K$2000&lt;&gt;"")*('Team Lineups'!$C$2:$C$2000=$A8)*COUNTIFS('Team Lineups'!$K$2:$K$2000,'Team Lineups'!$K$2:$K$2000,'Team Lineups'!$C$2:$C$2000,M$1))</f>
        <v>10</v>
      </c>
      <c r="N8" cm="1">
        <f t="array" ref="N8">SUMPRODUCT(('Team Lineups'!$K$2:$K$2000&lt;&gt;"")*('Team Lineups'!$C$2:$C$2000=$A8)*COUNTIFS('Team Lineups'!$K$2:$K$2000,'Team Lineups'!$K$2:$K$2000,'Team Lineups'!$C$2:$C$2000,N$1))</f>
        <v>7</v>
      </c>
      <c r="O8" cm="1">
        <f t="array" ref="O8">SUMPRODUCT(('Team Lineups'!$K$2:$K$2000&lt;&gt;"")*('Team Lineups'!$C$2:$C$2000=$A8)*COUNTIFS('Team Lineups'!$K$2:$K$2000,'Team Lineups'!$K$2:$K$2000,'Team Lineups'!$C$2:$C$2000,O$1))</f>
        <v>6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13</v>
      </c>
      <c r="R8" cm="1">
        <f t="array" ref="R8">SUMPRODUCT(('Team Lineups'!$K$2:$K$2000&lt;&gt;"")*('Team Lineups'!$C$2:$C$2000=$A8)*COUNTIFS('Team Lineups'!$K$2:$K$2000,'Team Lineups'!$K$2:$K$2000,'Team Lineups'!$C$2:$C$2000,R$1))</f>
        <v>8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6</v>
      </c>
      <c r="AA8" cm="1">
        <f t="array" ref="AA8">SUMPRODUCT(('Team Lineups'!$K$2:$K$2000&lt;&gt;"")*('Team Lineups'!$C$2:$C$2000=$A8)*COUNTIFS('Team Lineups'!$K$2:$K$2000,'Team Lineups'!$K$2:$K$2000,'Team Lineups'!$C$2:$C$2000,AA$1))</f>
        <v>6</v>
      </c>
      <c r="AB8" cm="1">
        <f t="array" ref="AB8">SUMPRODUCT(('Team Lineups'!$K$2:$K$2000&lt;&gt;"")*('Team Lineups'!$C$2:$C$2000=$A8)*COUNTIFS('Team Lineups'!$K$2:$K$2000,'Team Lineups'!$K$2:$K$2000,'Team Lineups'!$C$2:$C$2000,AB$1))</f>
        <v>9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7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2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3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4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1</v>
      </c>
      <c r="AP8" cm="1">
        <f t="array" ref="AP8">SUMPRODUCT(('Team Lineups'!$K$2:$K$2000&lt;&gt;"")*('Team Lineups'!$C$2:$C$2000=$A8)*COUNTIFS('Team Lineups'!$K$2:$K$2000,'Team Lineups'!$K$2:$K$2000,'Team Lineups'!$C$2:$C$2000,AP$1))</f>
        <v>4</v>
      </c>
      <c r="AQ8" cm="1">
        <f t="array" ref="AQ8">SUMPRODUCT(('Team Lineups'!$K$2:$K$2000&lt;&gt;"")*('Team Lineups'!$C$2:$C$2000=$A8)*COUNTIFS('Team Lineups'!$K$2:$K$2000,'Team Lineups'!$K$2:$K$2000,'Team Lineups'!$C$2:$C$2000,AQ$1))</f>
        <v>2</v>
      </c>
      <c r="AR8" cm="1">
        <f t="array" ref="AR8">SUMPRODUCT(('Team Lineups'!$K$2:$K$2000&lt;&gt;"")*('Team Lineups'!$C$2:$C$2000=$A8)*COUNTIFS('Team Lineups'!$K$2:$K$2000,'Team Lineups'!$K$2:$K$2000,'Team Lineups'!$C$2:$C$2000,AR$1))</f>
        <v>0</v>
      </c>
      <c r="AS8" cm="1">
        <f t="array" ref="AS8">SUMPRODUCT(('Team Lineups'!$K$2:$K$2000&lt;&gt;"")*('Team Lineups'!$C$2:$C$2000=$A8)*COUNTIFS('Team Lineups'!$K$2:$K$2000,'Team Lineups'!$K$2:$K$2000,'Team Lineups'!$C$2:$C$2000,AS$1))</f>
        <v>0</v>
      </c>
      <c r="AT8" cm="1">
        <f t="array" ref="AT8">SUMPRODUCT(('Team Lineups'!$K$2:$K$2000&lt;&gt;"")*('Team Lineups'!$C$2:$C$2000=$A8)*COUNTIFS('Team Lineups'!$K$2:$K$2000,'Team Lineups'!$K$2:$K$2000,'Team Lineups'!$C$2:$C$2000,AT$1))</f>
        <v>1</v>
      </c>
      <c r="AU8" cm="1">
        <f t="array" ref="AU8">SUMPRODUCT(('Team Lineups'!$K$2:$K$2000&lt;&gt;"")*('Team Lineups'!$C$2:$C$2000=$A8)*COUNTIFS('Team Lineups'!$K$2:$K$2000,'Team Lineups'!$K$2:$K$2000,'Team Lineups'!$C$2:$C$2000,AU$1))</f>
        <v>1</v>
      </c>
      <c r="AV8" cm="1">
        <f t="array" ref="AV8">SUMPRODUCT(('Team Lineups'!$K$2:$K$2000&lt;&gt;"")*('Team Lineups'!$C$2:$C$2000=$A8)*COUNTIFS('Team Lineups'!$K$2:$K$2000,'Team Lineups'!$K$2:$K$2000,'Team Lineups'!$C$2:$C$2000,AV$1))</f>
        <v>2</v>
      </c>
      <c r="AW8" cm="1">
        <f t="array" ref="AW8">SUMPRODUCT(('Team Lineups'!$K$2:$K$2000&lt;&gt;"")*('Team Lineups'!$C$2:$C$2000=$A8)*COUNTIFS('Team Lineups'!$K$2:$K$2000,'Team Lineups'!$K$2:$K$2000,'Team Lineups'!$C$2:$C$2000,AW$1))</f>
        <v>0</v>
      </c>
      <c r="AX8" cm="1">
        <f t="array" ref="AX8">SUMPRODUCT(('Team Lineups'!$K$2:$K$2000&lt;&gt;"")*('Team Lineups'!$C$2:$C$2000=$A8)*COUNTIFS('Team Lineups'!$K$2:$K$2000,'Team Lineups'!$K$2:$K$2000,'Team Lineups'!$C$2:$C$2000,AX$1))</f>
        <v>0</v>
      </c>
      <c r="AY8" cm="1">
        <f t="array" ref="AY8">SUMPRODUCT(('Team Lineups'!$K$2:$K$2000&lt;&gt;"")*('Team Lineups'!$C$2:$C$2000=$A8)*COUNTIFS('Team Lineups'!$K$2:$K$2000,'Team Lineups'!$K$2:$K$2000,'Team Lineups'!$C$2:$C$2000,AY$1))</f>
        <v>1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14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9</v>
      </c>
      <c r="E9" cm="1">
        <f t="array" ref="E9">SUMPRODUCT(('Team Lineups'!$K$2:$K$2000&lt;&gt;"")*('Team Lineups'!$C$2:$C$2000=$A9)*COUNTIFS('Team Lineups'!$K$2:$K$2000,'Team Lineups'!$K$2:$K$2000,'Team Lineups'!$C$2:$C$2000,E$1))</f>
        <v>7</v>
      </c>
      <c r="F9" cm="1">
        <f t="array" ref="F9">SUMPRODUCT(('Team Lineups'!$K$2:$K$2000&lt;&gt;"")*('Team Lineups'!$C$2:$C$2000=$A9)*COUNTIFS('Team Lineups'!$K$2:$K$2000,'Team Lineups'!$K$2:$K$2000,'Team Lineups'!$C$2:$C$2000,F$1))</f>
        <v>8</v>
      </c>
      <c r="G9" cm="1">
        <f t="array" ref="G9">SUMPRODUCT(('Team Lineups'!$K$2:$K$2000&lt;&gt;"")*('Team Lineups'!$C$2:$C$2000=$A9)*COUNTIFS('Team Lineups'!$K$2:$K$2000,'Team Lineups'!$K$2:$K$2000,'Team Lineups'!$C$2:$C$2000,G$1))</f>
        <v>12</v>
      </c>
      <c r="H9" cm="1">
        <f t="array" ref="H9">SUMPRODUCT(('Team Lineups'!$K$2:$K$2000&lt;&gt;"")*('Team Lineups'!$C$2:$C$2000=$A9)*COUNTIFS('Team Lineups'!$K$2:$K$2000,'Team Lineups'!$K$2:$K$2000,'Team Lineups'!$C$2:$C$2000,H$1))</f>
        <v>9</v>
      </c>
      <c r="I9" cm="1">
        <f t="array" ref="I9">SUMPRODUCT(('Team Lineups'!$K$2:$K$2000&lt;&gt;"")*('Team Lineups'!$C$2:$C$2000=$A9)*COUNTIFS('Team Lineups'!$K$2:$K$2000,'Team Lineups'!$K$2:$K$2000,'Team Lineups'!$C$2:$C$2000,I$1))</f>
        <v>37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13</v>
      </c>
      <c r="M9" cm="1">
        <f t="array" ref="M9">SUMPRODUCT(('Team Lineups'!$K$2:$K$2000&lt;&gt;"")*('Team Lineups'!$C$2:$C$2000=$A9)*COUNTIFS('Team Lineups'!$K$2:$K$2000,'Team Lineups'!$K$2:$K$2000,'Team Lineups'!$C$2:$C$2000,M$1))</f>
        <v>12</v>
      </c>
      <c r="N9" cm="1">
        <f t="array" ref="N9">SUMPRODUCT(('Team Lineups'!$K$2:$K$2000&lt;&gt;"")*('Team Lineups'!$C$2:$C$2000=$A9)*COUNTIFS('Team Lineups'!$K$2:$K$2000,'Team Lineups'!$K$2:$K$2000,'Team Lineups'!$C$2:$C$2000,N$1))</f>
        <v>8</v>
      </c>
      <c r="O9" cm="1">
        <f t="array" ref="O9">SUMPRODUCT(('Team Lineups'!$K$2:$K$2000&lt;&gt;"")*('Team Lineups'!$C$2:$C$2000=$A9)*COUNTIFS('Team Lineups'!$K$2:$K$2000,'Team Lineups'!$K$2:$K$2000,'Team Lineups'!$C$2:$C$2000,O$1))</f>
        <v>5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8</v>
      </c>
      <c r="R9" cm="1">
        <f t="array" ref="R9">SUMPRODUCT(('Team Lineups'!$K$2:$K$2000&lt;&gt;"")*('Team Lineups'!$C$2:$C$2000=$A9)*COUNTIFS('Team Lineups'!$K$2:$K$2000,'Team Lineups'!$K$2:$K$2000,'Team Lineups'!$C$2:$C$2000,R$1))</f>
        <v>7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4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5</v>
      </c>
      <c r="AA9" cm="1">
        <f t="array" ref="AA9">SUMPRODUCT(('Team Lineups'!$K$2:$K$2000&lt;&gt;"")*('Team Lineups'!$C$2:$C$2000=$A9)*COUNTIFS('Team Lineups'!$K$2:$K$2000,'Team Lineups'!$K$2:$K$2000,'Team Lineups'!$C$2:$C$2000,AA$1))</f>
        <v>13</v>
      </c>
      <c r="AB9" cm="1">
        <f t="array" ref="AB9">SUMPRODUCT(('Team Lineups'!$K$2:$K$2000&lt;&gt;"")*('Team Lineups'!$C$2:$C$2000=$A9)*COUNTIFS('Team Lineups'!$K$2:$K$2000,'Team Lineups'!$K$2:$K$2000,'Team Lineups'!$C$2:$C$2000,AB$1))</f>
        <v>5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8</v>
      </c>
      <c r="AE9" cm="1">
        <f t="array" ref="AE9">SUMPRODUCT(('Team Lineups'!$K$2:$K$2000&lt;&gt;"")*('Team Lineups'!$C$2:$C$2000=$A9)*COUNTIFS('Team Lineups'!$K$2:$K$2000,'Team Lineups'!$K$2:$K$2000,'Team Lineups'!$C$2:$C$2000,AE$1))</f>
        <v>2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2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7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7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3</v>
      </c>
      <c r="AO9" cm="1">
        <f t="array" ref="AO9">SUMPRODUCT(('Team Lineups'!$K$2:$K$2000&lt;&gt;"")*('Team Lineups'!$C$2:$C$2000=$A9)*COUNTIFS('Team Lineups'!$K$2:$K$2000,'Team Lineups'!$K$2:$K$2000,'Team Lineups'!$C$2:$C$2000,AO$1))</f>
        <v>2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  <c r="AQ9" cm="1">
        <f t="array" ref="AQ9">SUMPRODUCT(('Team Lineups'!$K$2:$K$2000&lt;&gt;"")*('Team Lineups'!$C$2:$C$2000=$A9)*COUNTIFS('Team Lineups'!$K$2:$K$2000,'Team Lineups'!$K$2:$K$2000,'Team Lineups'!$C$2:$C$2000,AQ$1))</f>
        <v>4</v>
      </c>
      <c r="AR9" cm="1">
        <f t="array" ref="AR9">SUMPRODUCT(('Team Lineups'!$K$2:$K$2000&lt;&gt;"")*('Team Lineups'!$C$2:$C$2000=$A9)*COUNTIFS('Team Lineups'!$K$2:$K$2000,'Team Lineups'!$K$2:$K$2000,'Team Lineups'!$C$2:$C$2000,AR$1))</f>
        <v>0</v>
      </c>
      <c r="AS9" cm="1">
        <f t="array" ref="AS9">SUMPRODUCT(('Team Lineups'!$K$2:$K$2000&lt;&gt;"")*('Team Lineups'!$C$2:$C$2000=$A9)*COUNTIFS('Team Lineups'!$K$2:$K$2000,'Team Lineups'!$K$2:$K$2000,'Team Lineups'!$C$2:$C$2000,AS$1))</f>
        <v>0</v>
      </c>
      <c r="AT9" cm="1">
        <f t="array" ref="AT9">SUMPRODUCT(('Team Lineups'!$K$2:$K$2000&lt;&gt;"")*('Team Lineups'!$C$2:$C$2000=$A9)*COUNTIFS('Team Lineups'!$K$2:$K$2000,'Team Lineups'!$K$2:$K$2000,'Team Lineups'!$C$2:$C$2000,AT$1))</f>
        <v>0</v>
      </c>
      <c r="AU9" cm="1">
        <f t="array" ref="AU9">SUMPRODUCT(('Team Lineups'!$K$2:$K$2000&lt;&gt;"")*('Team Lineups'!$C$2:$C$2000=$A9)*COUNTIFS('Team Lineups'!$K$2:$K$2000,'Team Lineups'!$K$2:$K$2000,'Team Lineups'!$C$2:$C$2000,AU$1))</f>
        <v>3</v>
      </c>
      <c r="AV9" cm="1">
        <f t="array" ref="AV9">SUMPRODUCT(('Team Lineups'!$K$2:$K$2000&lt;&gt;"")*('Team Lineups'!$C$2:$C$2000=$A9)*COUNTIFS('Team Lineups'!$K$2:$K$2000,'Team Lineups'!$K$2:$K$2000,'Team Lineups'!$C$2:$C$2000,AV$1))</f>
        <v>2</v>
      </c>
      <c r="AW9" cm="1">
        <f t="array" ref="AW9">SUMPRODUCT(('Team Lineups'!$K$2:$K$2000&lt;&gt;"")*('Team Lineups'!$C$2:$C$2000=$A9)*COUNTIFS('Team Lineups'!$K$2:$K$2000,'Team Lineups'!$K$2:$K$2000,'Team Lineups'!$C$2:$C$2000,AW$1))</f>
        <v>1</v>
      </c>
      <c r="AX9" cm="1">
        <f t="array" ref="AX9">SUMPRODUCT(('Team Lineups'!$K$2:$K$2000&lt;&gt;"")*('Team Lineups'!$C$2:$C$2000=$A9)*COUNTIFS('Team Lineups'!$K$2:$K$2000,'Team Lineups'!$K$2:$K$2000,'Team Lineups'!$C$2:$C$2000,AX$1))</f>
        <v>0</v>
      </c>
      <c r="AY9" cm="1">
        <f t="array" ref="AY9">SUMPRODUCT(('Team Lineups'!$K$2:$K$2000&lt;&gt;"")*('Team Lineups'!$C$2:$C$2000=$A9)*COUNTIFS('Team Lineups'!$K$2:$K$2000,'Team Lineups'!$K$2:$K$2000,'Team Lineups'!$C$2:$C$2000,AY$1))</f>
        <v>1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  <c r="AQ10" cm="1">
        <f t="array" ref="AQ10">SUMPRODUCT(('Team Lineups'!$K$2:$K$2000&lt;&gt;"")*('Team Lineups'!$C$2:$C$2000=$A10)*COUNTIFS('Team Lineups'!$K$2:$K$2000,'Team Lineups'!$K$2:$K$2000,'Team Lineups'!$C$2:$C$2000,AQ$1))</f>
        <v>0</v>
      </c>
      <c r="AR10" cm="1">
        <f t="array" ref="AR10">SUMPRODUCT(('Team Lineups'!$K$2:$K$2000&lt;&gt;"")*('Team Lineups'!$C$2:$C$2000=$A10)*COUNTIFS('Team Lineups'!$K$2:$K$2000,'Team Lineups'!$K$2:$K$2000,'Team Lineups'!$C$2:$C$2000,AR$1))</f>
        <v>0</v>
      </c>
      <c r="AS10" cm="1">
        <f t="array" ref="AS10">SUMPRODUCT(('Team Lineups'!$K$2:$K$2000&lt;&gt;"")*('Team Lineups'!$C$2:$C$2000=$A10)*COUNTIFS('Team Lineups'!$K$2:$K$2000,'Team Lineups'!$K$2:$K$2000,'Team Lineups'!$C$2:$C$2000,AS$1))</f>
        <v>0</v>
      </c>
      <c r="AT10" cm="1">
        <f t="array" ref="AT10">SUMPRODUCT(('Team Lineups'!$K$2:$K$2000&lt;&gt;"")*('Team Lineups'!$C$2:$C$2000=$A10)*COUNTIFS('Team Lineups'!$K$2:$K$2000,'Team Lineups'!$K$2:$K$2000,'Team Lineups'!$C$2:$C$2000,AT$1))</f>
        <v>0</v>
      </c>
      <c r="AU10" cm="1">
        <f t="array" ref="AU10">SUMPRODUCT(('Team Lineups'!$K$2:$K$2000&lt;&gt;"")*('Team Lineups'!$C$2:$C$2000=$A10)*COUNTIFS('Team Lineups'!$K$2:$K$2000,'Team Lineups'!$K$2:$K$2000,'Team Lineups'!$C$2:$C$2000,AU$1))</f>
        <v>0</v>
      </c>
      <c r="AV10" cm="1">
        <f t="array" ref="AV10">SUMPRODUCT(('Team Lineups'!$K$2:$K$2000&lt;&gt;"")*('Team Lineups'!$C$2:$C$2000=$A10)*COUNTIFS('Team Lineups'!$K$2:$K$2000,'Team Lineups'!$K$2:$K$2000,'Team Lineups'!$C$2:$C$2000,AV$1))</f>
        <v>0</v>
      </c>
      <c r="AW10" cm="1">
        <f t="array" ref="AW10">SUMPRODUCT(('Team Lineups'!$K$2:$K$2000&lt;&gt;"")*('Team Lineups'!$C$2:$C$2000=$A10)*COUNTIFS('Team Lineups'!$K$2:$K$2000,'Team Lineups'!$K$2:$K$2000,'Team Lineups'!$C$2:$C$2000,AW$1))</f>
        <v>0</v>
      </c>
      <c r="AX10" cm="1">
        <f t="array" ref="AX10">SUMPRODUCT(('Team Lineups'!$K$2:$K$2000&lt;&gt;"")*('Team Lineups'!$C$2:$C$2000=$A10)*COUNTIFS('Team Lineups'!$K$2:$K$2000,'Team Lineups'!$K$2:$K$2000,'Team Lineups'!$C$2:$C$2000,AX$1))</f>
        <v>0</v>
      </c>
      <c r="AY10" cm="1">
        <f t="array" ref="AY10">SUMPRODUCT(('Team Lineups'!$K$2:$K$2000&lt;&gt;"")*('Team Lineups'!$C$2:$C$2000=$A10)*COUNTIFS('Team Lineups'!$K$2:$K$2000,'Team Lineups'!$K$2:$K$2000,'Team Lineups'!$C$2:$C$2000,AY$1))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  <c r="AQ11" cm="1">
        <f t="array" ref="AQ11">SUMPRODUCT(('Team Lineups'!$K$2:$K$2000&lt;&gt;"")*('Team Lineups'!$C$2:$C$2000=$A11)*COUNTIFS('Team Lineups'!$K$2:$K$2000,'Team Lineups'!$K$2:$K$2000,'Team Lineups'!$C$2:$C$2000,AQ$1))</f>
        <v>0</v>
      </c>
      <c r="AR11" cm="1">
        <f t="array" ref="AR11">SUMPRODUCT(('Team Lineups'!$K$2:$K$2000&lt;&gt;"")*('Team Lineups'!$C$2:$C$2000=$A11)*COUNTIFS('Team Lineups'!$K$2:$K$2000,'Team Lineups'!$K$2:$K$2000,'Team Lineups'!$C$2:$C$2000,AR$1))</f>
        <v>0</v>
      </c>
      <c r="AS11" cm="1">
        <f t="array" ref="AS11">SUMPRODUCT(('Team Lineups'!$K$2:$K$2000&lt;&gt;"")*('Team Lineups'!$C$2:$C$2000=$A11)*COUNTIFS('Team Lineups'!$K$2:$K$2000,'Team Lineups'!$K$2:$K$2000,'Team Lineups'!$C$2:$C$2000,AS$1))</f>
        <v>0</v>
      </c>
      <c r="AT11" cm="1">
        <f t="array" ref="AT11">SUMPRODUCT(('Team Lineups'!$K$2:$K$2000&lt;&gt;"")*('Team Lineups'!$C$2:$C$2000=$A11)*COUNTIFS('Team Lineups'!$K$2:$K$2000,'Team Lineups'!$K$2:$K$2000,'Team Lineups'!$C$2:$C$2000,AT$1))</f>
        <v>0</v>
      </c>
      <c r="AU11" cm="1">
        <f t="array" ref="AU11">SUMPRODUCT(('Team Lineups'!$K$2:$K$2000&lt;&gt;"")*('Team Lineups'!$C$2:$C$2000=$A11)*COUNTIFS('Team Lineups'!$K$2:$K$2000,'Team Lineups'!$K$2:$K$2000,'Team Lineups'!$C$2:$C$2000,AU$1))</f>
        <v>0</v>
      </c>
      <c r="AV11" cm="1">
        <f t="array" ref="AV11">SUMPRODUCT(('Team Lineups'!$K$2:$K$2000&lt;&gt;"")*('Team Lineups'!$C$2:$C$2000=$A11)*COUNTIFS('Team Lineups'!$K$2:$K$2000,'Team Lineups'!$K$2:$K$2000,'Team Lineups'!$C$2:$C$2000,AV$1))</f>
        <v>0</v>
      </c>
      <c r="AW11" cm="1">
        <f t="array" ref="AW11">SUMPRODUCT(('Team Lineups'!$K$2:$K$2000&lt;&gt;"")*('Team Lineups'!$C$2:$C$2000=$A11)*COUNTIFS('Team Lineups'!$K$2:$K$2000,'Team Lineups'!$K$2:$K$2000,'Team Lineups'!$C$2:$C$2000,AW$1))</f>
        <v>0</v>
      </c>
      <c r="AX11" cm="1">
        <f t="array" ref="AX11">SUMPRODUCT(('Team Lineups'!$K$2:$K$2000&lt;&gt;"")*('Team Lineups'!$C$2:$C$2000=$A11)*COUNTIFS('Team Lineups'!$K$2:$K$2000,'Team Lineups'!$K$2:$K$2000,'Team Lineups'!$C$2:$C$2000,AX$1))</f>
        <v>0</v>
      </c>
      <c r="AY11" cm="1">
        <f t="array" ref="AY11">SUMPRODUCT(('Team Lineups'!$K$2:$K$2000&lt;&gt;"")*('Team Lineups'!$C$2:$C$2000=$A11)*COUNTIFS('Team Lineups'!$K$2:$K$2000,'Team Lineups'!$K$2:$K$2000,'Team Lineups'!$C$2:$C$2000,AY$1))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6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10</v>
      </c>
      <c r="E12" cm="1">
        <f t="array" ref="E12">SUMPRODUCT(('Team Lineups'!$K$2:$K$2000&lt;&gt;"")*('Team Lineups'!$C$2:$C$2000=$A12)*COUNTIFS('Team Lineups'!$K$2:$K$2000,'Team Lineups'!$K$2:$K$2000,'Team Lineups'!$C$2:$C$2000,E$1))</f>
        <v>7</v>
      </c>
      <c r="F12" cm="1">
        <f t="array" ref="F12">SUMPRODUCT(('Team Lineups'!$K$2:$K$2000&lt;&gt;"")*('Team Lineups'!$C$2:$C$2000=$A12)*COUNTIFS('Team Lineups'!$K$2:$K$2000,'Team Lineups'!$K$2:$K$2000,'Team Lineups'!$C$2:$C$2000,F$1))</f>
        <v>12</v>
      </c>
      <c r="G12" cm="1">
        <f t="array" ref="G12">SUMPRODUCT(('Team Lineups'!$K$2:$K$2000&lt;&gt;"")*('Team Lineups'!$C$2:$C$2000=$A12)*COUNTIFS('Team Lineups'!$K$2:$K$2000,'Team Lineups'!$K$2:$K$2000,'Team Lineups'!$C$2:$C$2000,G$1))</f>
        <v>10</v>
      </c>
      <c r="H12" cm="1">
        <f t="array" ref="H12">SUMPRODUCT(('Team Lineups'!$K$2:$K$2000&lt;&gt;"")*('Team Lineups'!$C$2:$C$2000=$A12)*COUNTIFS('Team Lineups'!$K$2:$K$2000,'Team Lineups'!$K$2:$K$2000,'Team Lineups'!$C$2:$C$2000,H$1))</f>
        <v>5</v>
      </c>
      <c r="I12" cm="1">
        <f t="array" ref="I12">SUMPRODUCT(('Team Lineups'!$K$2:$K$2000&lt;&gt;"")*('Team Lineups'!$C$2:$C$2000=$A12)*COUNTIFS('Team Lineups'!$K$2:$K$2000,'Team Lineups'!$K$2:$K$2000,'Team Lineups'!$C$2:$C$2000,I$1))</f>
        <v>13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38</v>
      </c>
      <c r="M12" cm="1">
        <f t="array" ref="M12">SUMPRODUCT(('Team Lineups'!$K$2:$K$2000&lt;&gt;"")*('Team Lineups'!$C$2:$C$2000=$A12)*COUNTIFS('Team Lineups'!$K$2:$K$2000,'Team Lineups'!$K$2:$K$2000,'Team Lineups'!$C$2:$C$2000,M$1))</f>
        <v>14</v>
      </c>
      <c r="N12" cm="1">
        <f t="array" ref="N12">SUMPRODUCT(('Team Lineups'!$K$2:$K$2000&lt;&gt;"")*('Team Lineups'!$C$2:$C$2000=$A12)*COUNTIFS('Team Lineups'!$K$2:$K$2000,'Team Lineups'!$K$2:$K$2000,'Team Lineups'!$C$2:$C$2000,N$1))</f>
        <v>11</v>
      </c>
      <c r="O12" cm="1">
        <f t="array" ref="O12">SUMPRODUCT(('Team Lineups'!$K$2:$K$2000&lt;&gt;"")*('Team Lineups'!$C$2:$C$2000=$A12)*COUNTIFS('Team Lineups'!$K$2:$K$2000,'Team Lineups'!$K$2:$K$2000,'Team Lineups'!$C$2:$C$2000,O$1))</f>
        <v>5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14</v>
      </c>
      <c r="R12" cm="1">
        <f t="array" ref="R12">SUMPRODUCT(('Team Lineups'!$K$2:$K$2000&lt;&gt;"")*('Team Lineups'!$C$2:$C$2000=$A12)*COUNTIFS('Team Lineups'!$K$2:$K$2000,'Team Lineups'!$K$2:$K$2000,'Team Lineups'!$C$2:$C$2000,R$1))</f>
        <v>6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6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2</v>
      </c>
      <c r="AA12" cm="1">
        <f t="array" ref="AA12">SUMPRODUCT(('Team Lineups'!$K$2:$K$2000&lt;&gt;"")*('Team Lineups'!$C$2:$C$2000=$A12)*COUNTIFS('Team Lineups'!$K$2:$K$2000,'Team Lineups'!$K$2:$K$2000,'Team Lineups'!$C$2:$C$2000,AA$1))</f>
        <v>13</v>
      </c>
      <c r="AB12" cm="1">
        <f t="array" ref="AB12">SUMPRODUCT(('Team Lineups'!$K$2:$K$2000&lt;&gt;"")*('Team Lineups'!$C$2:$C$2000=$A12)*COUNTIFS('Team Lineups'!$K$2:$K$2000,'Team Lineups'!$K$2:$K$2000,'Team Lineups'!$C$2:$C$2000,AB$1))</f>
        <v>8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9</v>
      </c>
      <c r="AE12" cm="1">
        <f t="array" ref="AE12">SUMPRODUCT(('Team Lineups'!$K$2:$K$2000&lt;&gt;"")*('Team Lineups'!$C$2:$C$2000=$A12)*COUNTIFS('Team Lineups'!$K$2:$K$2000,'Team Lineups'!$K$2:$K$2000,'Team Lineups'!$C$2:$C$2000,AE$1))</f>
        <v>1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3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7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2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2</v>
      </c>
      <c r="AO12" cm="1">
        <f t="array" ref="AO12">SUMPRODUCT(('Team Lineups'!$K$2:$K$2000&lt;&gt;"")*('Team Lineups'!$C$2:$C$2000=$A12)*COUNTIFS('Team Lineups'!$K$2:$K$2000,'Team Lineups'!$K$2:$K$2000,'Team Lineups'!$C$2:$C$2000,AO$1))</f>
        <v>3</v>
      </c>
      <c r="AP12" cm="1">
        <f t="array" ref="AP12">SUMPRODUCT(('Team Lineups'!$K$2:$K$2000&lt;&gt;"")*('Team Lineups'!$C$2:$C$2000=$A12)*COUNTIFS('Team Lineups'!$K$2:$K$2000,'Team Lineups'!$K$2:$K$2000,'Team Lineups'!$C$2:$C$2000,AP$1))</f>
        <v>2</v>
      </c>
      <c r="AQ12" cm="1">
        <f t="array" ref="AQ12">SUMPRODUCT(('Team Lineups'!$K$2:$K$2000&lt;&gt;"")*('Team Lineups'!$C$2:$C$2000=$A12)*COUNTIFS('Team Lineups'!$K$2:$K$2000,'Team Lineups'!$K$2:$K$2000,'Team Lineups'!$C$2:$C$2000,AQ$1))</f>
        <v>5</v>
      </c>
      <c r="AR12" cm="1">
        <f t="array" ref="AR12">SUMPRODUCT(('Team Lineups'!$K$2:$K$2000&lt;&gt;"")*('Team Lineups'!$C$2:$C$2000=$A12)*COUNTIFS('Team Lineups'!$K$2:$K$2000,'Team Lineups'!$K$2:$K$2000,'Team Lineups'!$C$2:$C$2000,AR$1))</f>
        <v>0</v>
      </c>
      <c r="AS12" cm="1">
        <f t="array" ref="AS12">SUMPRODUCT(('Team Lineups'!$K$2:$K$2000&lt;&gt;"")*('Team Lineups'!$C$2:$C$2000=$A12)*COUNTIFS('Team Lineups'!$K$2:$K$2000,'Team Lineups'!$K$2:$K$2000,'Team Lineups'!$C$2:$C$2000,AS$1))</f>
        <v>1</v>
      </c>
      <c r="AT12" cm="1">
        <f t="array" ref="AT12">SUMPRODUCT(('Team Lineups'!$K$2:$K$2000&lt;&gt;"")*('Team Lineups'!$C$2:$C$2000=$A12)*COUNTIFS('Team Lineups'!$K$2:$K$2000,'Team Lineups'!$K$2:$K$2000,'Team Lineups'!$C$2:$C$2000,AT$1))</f>
        <v>0</v>
      </c>
      <c r="AU12" cm="1">
        <f t="array" ref="AU12">SUMPRODUCT(('Team Lineups'!$K$2:$K$2000&lt;&gt;"")*('Team Lineups'!$C$2:$C$2000=$A12)*COUNTIFS('Team Lineups'!$K$2:$K$2000,'Team Lineups'!$K$2:$K$2000,'Team Lineups'!$C$2:$C$2000,AU$1))</f>
        <v>1</v>
      </c>
      <c r="AV12" cm="1">
        <f t="array" ref="AV12">SUMPRODUCT(('Team Lineups'!$K$2:$K$2000&lt;&gt;"")*('Team Lineups'!$C$2:$C$2000=$A12)*COUNTIFS('Team Lineups'!$K$2:$K$2000,'Team Lineups'!$K$2:$K$2000,'Team Lineups'!$C$2:$C$2000,AV$1))</f>
        <v>0</v>
      </c>
      <c r="AW12" cm="1">
        <f t="array" ref="AW12">SUMPRODUCT(('Team Lineups'!$K$2:$K$2000&lt;&gt;"")*('Team Lineups'!$C$2:$C$2000=$A12)*COUNTIFS('Team Lineups'!$K$2:$K$2000,'Team Lineups'!$K$2:$K$2000,'Team Lineups'!$C$2:$C$2000,AW$1))</f>
        <v>1</v>
      </c>
      <c r="AX12" cm="1">
        <f t="array" ref="AX12">SUMPRODUCT(('Team Lineups'!$K$2:$K$2000&lt;&gt;"")*('Team Lineups'!$C$2:$C$2000=$A12)*COUNTIFS('Team Lineups'!$K$2:$K$2000,'Team Lineups'!$K$2:$K$2000,'Team Lineups'!$C$2:$C$2000,AX$1))</f>
        <v>0</v>
      </c>
      <c r="AY12" cm="1">
        <f t="array" ref="AY12">SUMPRODUCT(('Team Lineups'!$K$2:$K$2000&lt;&gt;"")*('Team Lineups'!$C$2:$C$2000=$A12)*COUNTIFS('Team Lineups'!$K$2:$K$2000,'Team Lineups'!$K$2:$K$2000,'Team Lineups'!$C$2:$C$2000,AY$1))</f>
        <v>1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8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6</v>
      </c>
      <c r="E13" cm="1">
        <f t="array" ref="E13">SUMPRODUCT(('Team Lineups'!$K$2:$K$2000&lt;&gt;"")*('Team Lineups'!$C$2:$C$2000=$A13)*COUNTIFS('Team Lineups'!$K$2:$K$2000,'Team Lineups'!$K$2:$K$2000,'Team Lineups'!$C$2:$C$2000,E$1))</f>
        <v>5</v>
      </c>
      <c r="F13" cm="1">
        <f t="array" ref="F13">SUMPRODUCT(('Team Lineups'!$K$2:$K$2000&lt;&gt;"")*('Team Lineups'!$C$2:$C$2000=$A13)*COUNTIFS('Team Lineups'!$K$2:$K$2000,'Team Lineups'!$K$2:$K$2000,'Team Lineups'!$C$2:$C$2000,F$1))</f>
        <v>10</v>
      </c>
      <c r="G13" cm="1">
        <f t="array" ref="G13">SUMPRODUCT(('Team Lineups'!$K$2:$K$2000&lt;&gt;"")*('Team Lineups'!$C$2:$C$2000=$A13)*COUNTIFS('Team Lineups'!$K$2:$K$2000,'Team Lineups'!$K$2:$K$2000,'Team Lineups'!$C$2:$C$2000,G$1))</f>
        <v>15</v>
      </c>
      <c r="H13" cm="1">
        <f t="array" ref="H13">SUMPRODUCT(('Team Lineups'!$K$2:$K$2000&lt;&gt;"")*('Team Lineups'!$C$2:$C$2000=$A13)*COUNTIFS('Team Lineups'!$K$2:$K$2000,'Team Lineups'!$K$2:$K$2000,'Team Lineups'!$C$2:$C$2000,H$1))</f>
        <v>10</v>
      </c>
      <c r="I13" cm="1">
        <f t="array" ref="I13">SUMPRODUCT(('Team Lineups'!$K$2:$K$2000&lt;&gt;"")*('Team Lineups'!$C$2:$C$2000=$A13)*COUNTIFS('Team Lineups'!$K$2:$K$2000,'Team Lineups'!$K$2:$K$2000,'Team Lineups'!$C$2:$C$2000,I$1))</f>
        <v>12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14</v>
      </c>
      <c r="M13" cm="1">
        <f t="array" ref="M13">SUMPRODUCT(('Team Lineups'!$K$2:$K$2000&lt;&gt;"")*('Team Lineups'!$C$2:$C$2000=$A13)*COUNTIFS('Team Lineups'!$K$2:$K$2000,'Team Lineups'!$K$2:$K$2000,'Team Lineups'!$C$2:$C$2000,M$1))</f>
        <v>37</v>
      </c>
      <c r="N13" cm="1">
        <f t="array" ref="N13">SUMPRODUCT(('Team Lineups'!$K$2:$K$2000&lt;&gt;"")*('Team Lineups'!$C$2:$C$2000=$A13)*COUNTIFS('Team Lineups'!$K$2:$K$2000,'Team Lineups'!$K$2:$K$2000,'Team Lineups'!$C$2:$C$2000,N$1))</f>
        <v>7</v>
      </c>
      <c r="O13" cm="1">
        <f t="array" ref="O13">SUMPRODUCT(('Team Lineups'!$K$2:$K$2000&lt;&gt;"")*('Team Lineups'!$C$2:$C$2000=$A13)*COUNTIFS('Team Lineups'!$K$2:$K$2000,'Team Lineups'!$K$2:$K$2000,'Team Lineups'!$C$2:$C$2000,O$1))</f>
        <v>5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14</v>
      </c>
      <c r="R13" cm="1">
        <f t="array" ref="R13">SUMPRODUCT(('Team Lineups'!$K$2:$K$2000&lt;&gt;"")*('Team Lineups'!$C$2:$C$2000=$A13)*COUNTIFS('Team Lineups'!$K$2:$K$2000,'Team Lineups'!$K$2:$K$2000,'Team Lineups'!$C$2:$C$2000,R$1))</f>
        <v>11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3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7</v>
      </c>
      <c r="AA13" cm="1">
        <f t="array" ref="AA13">SUMPRODUCT(('Team Lineups'!$K$2:$K$2000&lt;&gt;"")*('Team Lineups'!$C$2:$C$2000=$A13)*COUNTIFS('Team Lineups'!$K$2:$K$2000,'Team Lineups'!$K$2:$K$2000,'Team Lineups'!$C$2:$C$2000,AA$1))</f>
        <v>11</v>
      </c>
      <c r="AB13" cm="1">
        <f t="array" ref="AB13">SUMPRODUCT(('Team Lineups'!$K$2:$K$2000&lt;&gt;"")*('Team Lineups'!$C$2:$C$2000=$A13)*COUNTIFS('Team Lineups'!$K$2:$K$2000,'Team Lineups'!$K$2:$K$2000,'Team Lineups'!$C$2:$C$2000,AB$1))</f>
        <v>3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7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3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3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8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2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4</v>
      </c>
      <c r="AQ13" cm="1">
        <f t="array" ref="AQ13">SUMPRODUCT(('Team Lineups'!$K$2:$K$2000&lt;&gt;"")*('Team Lineups'!$C$2:$C$2000=$A13)*COUNTIFS('Team Lineups'!$K$2:$K$2000,'Team Lineups'!$K$2:$K$2000,'Team Lineups'!$C$2:$C$2000,AQ$1))</f>
        <v>3</v>
      </c>
      <c r="AR13" cm="1">
        <f t="array" ref="AR13">SUMPRODUCT(('Team Lineups'!$K$2:$K$2000&lt;&gt;"")*('Team Lineups'!$C$2:$C$2000=$A13)*COUNTIFS('Team Lineups'!$K$2:$K$2000,'Team Lineups'!$K$2:$K$2000,'Team Lineups'!$C$2:$C$2000,AR$1))</f>
        <v>0</v>
      </c>
      <c r="AS13" cm="1">
        <f t="array" ref="AS13">SUMPRODUCT(('Team Lineups'!$K$2:$K$2000&lt;&gt;"")*('Team Lineups'!$C$2:$C$2000=$A13)*COUNTIFS('Team Lineups'!$K$2:$K$2000,'Team Lineups'!$K$2:$K$2000,'Team Lineups'!$C$2:$C$2000,AS$1))</f>
        <v>0</v>
      </c>
      <c r="AT13" cm="1">
        <f t="array" ref="AT13">SUMPRODUCT(('Team Lineups'!$K$2:$K$2000&lt;&gt;"")*('Team Lineups'!$C$2:$C$2000=$A13)*COUNTIFS('Team Lineups'!$K$2:$K$2000,'Team Lineups'!$K$2:$K$2000,'Team Lineups'!$C$2:$C$2000,AT$1))</f>
        <v>0</v>
      </c>
      <c r="AU13" cm="1">
        <f t="array" ref="AU13">SUMPRODUCT(('Team Lineups'!$K$2:$K$2000&lt;&gt;"")*('Team Lineups'!$C$2:$C$2000=$A13)*COUNTIFS('Team Lineups'!$K$2:$K$2000,'Team Lineups'!$K$2:$K$2000,'Team Lineups'!$C$2:$C$2000,AU$1))</f>
        <v>2</v>
      </c>
      <c r="AV13" cm="1">
        <f t="array" ref="AV13">SUMPRODUCT(('Team Lineups'!$K$2:$K$2000&lt;&gt;"")*('Team Lineups'!$C$2:$C$2000=$A13)*COUNTIFS('Team Lineups'!$K$2:$K$2000,'Team Lineups'!$K$2:$K$2000,'Team Lineups'!$C$2:$C$2000,AV$1))</f>
        <v>1</v>
      </c>
      <c r="AW13" cm="1">
        <f t="array" ref="AW13">SUMPRODUCT(('Team Lineups'!$K$2:$K$2000&lt;&gt;"")*('Team Lineups'!$C$2:$C$2000=$A13)*COUNTIFS('Team Lineups'!$K$2:$K$2000,'Team Lineups'!$K$2:$K$2000,'Team Lineups'!$C$2:$C$2000,AW$1))</f>
        <v>1</v>
      </c>
      <c r="AX13" cm="1">
        <f t="array" ref="AX13">SUMPRODUCT(('Team Lineups'!$K$2:$K$2000&lt;&gt;"")*('Team Lineups'!$C$2:$C$2000=$A13)*COUNTIFS('Team Lineups'!$K$2:$K$2000,'Team Lineups'!$K$2:$K$2000,'Team Lineups'!$C$2:$C$2000,AX$1))</f>
        <v>1</v>
      </c>
      <c r="AY13" cm="1">
        <f t="array" ref="AY13">SUMPRODUCT(('Team Lineups'!$K$2:$K$2000&lt;&gt;"")*('Team Lineups'!$C$2:$C$2000=$A13)*COUNTIFS('Team Lineups'!$K$2:$K$2000,'Team Lineups'!$K$2:$K$2000,'Team Lineups'!$C$2:$C$2000,AY$1))</f>
        <v>0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9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9</v>
      </c>
      <c r="E14" cm="1">
        <f t="array" ref="E14">SUMPRODUCT(('Team Lineups'!$K$2:$K$2000&lt;&gt;"")*('Team Lineups'!$C$2:$C$2000=$A14)*COUNTIFS('Team Lineups'!$K$2:$K$2000,'Team Lineups'!$K$2:$K$2000,'Team Lineups'!$C$2:$C$2000,E$1))</f>
        <v>6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8</v>
      </c>
      <c r="H14" cm="1">
        <f t="array" ref="H14">SUMPRODUCT(('Team Lineups'!$K$2:$K$2000&lt;&gt;"")*('Team Lineups'!$C$2:$C$2000=$A14)*COUNTIFS('Team Lineups'!$K$2:$K$2000,'Team Lineups'!$K$2:$K$2000,'Team Lineups'!$C$2:$C$2000,H$1))</f>
        <v>7</v>
      </c>
      <c r="I14" cm="1">
        <f t="array" ref="I14">SUMPRODUCT(('Team Lineups'!$K$2:$K$2000&lt;&gt;"")*('Team Lineups'!$C$2:$C$2000=$A14)*COUNTIFS('Team Lineups'!$K$2:$K$2000,'Team Lineups'!$K$2:$K$2000,'Team Lineups'!$C$2:$C$2000,I$1))</f>
        <v>8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11</v>
      </c>
      <c r="M14" cm="1">
        <f t="array" ref="M14">SUMPRODUCT(('Team Lineups'!$K$2:$K$2000&lt;&gt;"")*('Team Lineups'!$C$2:$C$2000=$A14)*COUNTIFS('Team Lineups'!$K$2:$K$2000,'Team Lineups'!$K$2:$K$2000,'Team Lineups'!$C$2:$C$2000,M$1))</f>
        <v>7</v>
      </c>
      <c r="N14" cm="1">
        <f t="array" ref="N14">SUMPRODUCT(('Team Lineups'!$K$2:$K$2000&lt;&gt;"")*('Team Lineups'!$C$2:$C$2000=$A14)*COUNTIFS('Team Lineups'!$K$2:$K$2000,'Team Lineups'!$K$2:$K$2000,'Team Lineups'!$C$2:$C$2000,N$1))</f>
        <v>26</v>
      </c>
      <c r="O14" cm="1">
        <f t="array" ref="O14">SUMPRODUCT(('Team Lineups'!$K$2:$K$2000&lt;&gt;"")*('Team Lineups'!$C$2:$C$2000=$A14)*COUNTIFS('Team Lineups'!$K$2:$K$2000,'Team Lineups'!$K$2:$K$2000,'Team Lineups'!$C$2:$C$2000,O$1))</f>
        <v>3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9</v>
      </c>
      <c r="R14" cm="1">
        <f t="array" ref="R14">SUMPRODUCT(('Team Lineups'!$K$2:$K$2000&lt;&gt;"")*('Team Lineups'!$C$2:$C$2000=$A14)*COUNTIFS('Team Lineups'!$K$2:$K$2000,'Team Lineups'!$K$2:$K$2000,'Team Lineups'!$C$2:$C$2000,R$1))</f>
        <v>1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4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3</v>
      </c>
      <c r="AA14" cm="1">
        <f t="array" ref="AA14">SUMPRODUCT(('Team Lineups'!$K$2:$K$2000&lt;&gt;"")*('Team Lineups'!$C$2:$C$2000=$A14)*COUNTIFS('Team Lineups'!$K$2:$K$2000,'Team Lineups'!$K$2:$K$2000,'Team Lineups'!$C$2:$C$2000,AA$1))</f>
        <v>7</v>
      </c>
      <c r="AB14" cm="1">
        <f t="array" ref="AB14">SUMPRODUCT(('Team Lineups'!$K$2:$K$2000&lt;&gt;"")*('Team Lineups'!$C$2:$C$2000=$A14)*COUNTIFS('Team Lineups'!$K$2:$K$2000,'Team Lineups'!$K$2:$K$2000,'Team Lineups'!$C$2:$C$2000,AB$1))</f>
        <v>4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7</v>
      </c>
      <c r="AE14" cm="1">
        <f t="array" ref="AE14">SUMPRODUCT(('Team Lineups'!$K$2:$K$2000&lt;&gt;"")*('Team Lineups'!$C$2:$C$2000=$A14)*COUNTIFS('Team Lineups'!$K$2:$K$2000,'Team Lineups'!$K$2:$K$2000,'Team Lineups'!$C$2:$C$2000,AE$1))</f>
        <v>1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3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7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3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3</v>
      </c>
      <c r="AP14" cm="1">
        <f t="array" ref="AP14">SUMPRODUCT(('Team Lineups'!$K$2:$K$2000&lt;&gt;"")*('Team Lineups'!$C$2:$C$2000=$A14)*COUNTIFS('Team Lineups'!$K$2:$K$2000,'Team Lineups'!$K$2:$K$2000,'Team Lineups'!$C$2:$C$2000,AP$1))</f>
        <v>6</v>
      </c>
      <c r="AQ14" cm="1">
        <f t="array" ref="AQ14">SUMPRODUCT(('Team Lineups'!$K$2:$K$2000&lt;&gt;"")*('Team Lineups'!$C$2:$C$2000=$A14)*COUNTIFS('Team Lineups'!$K$2:$K$2000,'Team Lineups'!$K$2:$K$2000,'Team Lineups'!$C$2:$C$2000,AQ$1))</f>
        <v>3</v>
      </c>
      <c r="AR14" cm="1">
        <f t="array" ref="AR14">SUMPRODUCT(('Team Lineups'!$K$2:$K$2000&lt;&gt;"")*('Team Lineups'!$C$2:$C$2000=$A14)*COUNTIFS('Team Lineups'!$K$2:$K$2000,'Team Lineups'!$K$2:$K$2000,'Team Lineups'!$C$2:$C$2000,AR$1))</f>
        <v>0</v>
      </c>
      <c r="AS14" cm="1">
        <f t="array" ref="AS14">SUMPRODUCT(('Team Lineups'!$K$2:$K$2000&lt;&gt;"")*('Team Lineups'!$C$2:$C$2000=$A14)*COUNTIFS('Team Lineups'!$K$2:$K$2000,'Team Lineups'!$K$2:$K$2000,'Team Lineups'!$C$2:$C$2000,AS$1))</f>
        <v>0</v>
      </c>
      <c r="AT14" cm="1">
        <f t="array" ref="AT14">SUMPRODUCT(('Team Lineups'!$K$2:$K$2000&lt;&gt;"")*('Team Lineups'!$C$2:$C$2000=$A14)*COUNTIFS('Team Lineups'!$K$2:$K$2000,'Team Lineups'!$K$2:$K$2000,'Team Lineups'!$C$2:$C$2000,AT$1))</f>
        <v>0</v>
      </c>
      <c r="AU14" cm="1">
        <f t="array" ref="AU14">SUMPRODUCT(('Team Lineups'!$K$2:$K$2000&lt;&gt;"")*('Team Lineups'!$C$2:$C$2000=$A14)*COUNTIFS('Team Lineups'!$K$2:$K$2000,'Team Lineups'!$K$2:$K$2000,'Team Lineups'!$C$2:$C$2000,AU$1))</f>
        <v>1</v>
      </c>
      <c r="AV14" cm="1">
        <f t="array" ref="AV14">SUMPRODUCT(('Team Lineups'!$K$2:$K$2000&lt;&gt;"")*('Team Lineups'!$C$2:$C$2000=$A14)*COUNTIFS('Team Lineups'!$K$2:$K$2000,'Team Lineups'!$K$2:$K$2000,'Team Lineups'!$C$2:$C$2000,AV$1))</f>
        <v>0</v>
      </c>
      <c r="AW14" cm="1">
        <f t="array" ref="AW14">SUMPRODUCT(('Team Lineups'!$K$2:$K$2000&lt;&gt;"")*('Team Lineups'!$C$2:$C$2000=$A14)*COUNTIFS('Team Lineups'!$K$2:$K$2000,'Team Lineups'!$K$2:$K$2000,'Team Lineups'!$C$2:$C$2000,AW$1))</f>
        <v>0</v>
      </c>
      <c r="AX14" cm="1">
        <f t="array" ref="AX14">SUMPRODUCT(('Team Lineups'!$K$2:$K$2000&lt;&gt;"")*('Team Lineups'!$C$2:$C$2000=$A14)*COUNTIFS('Team Lineups'!$K$2:$K$2000,'Team Lineups'!$K$2:$K$2000,'Team Lineups'!$C$2:$C$2000,AX$1))</f>
        <v>0</v>
      </c>
      <c r="AY14" cm="1">
        <f t="array" ref="AY14">SUMPRODUCT(('Team Lineups'!$K$2:$K$2000&lt;&gt;"")*('Team Lineups'!$C$2:$C$2000=$A14)*COUNTIFS('Team Lineups'!$K$2:$K$2000,'Team Lineups'!$K$2:$K$2000,'Team Lineups'!$C$2:$C$2000,AY$1))</f>
        <v>1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3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6</v>
      </c>
      <c r="E15" cm="1">
        <f t="array" ref="E15">SUMPRODUCT(('Team Lineups'!$K$2:$K$2000&lt;&gt;"")*('Team Lineups'!$C$2:$C$2000=$A15)*COUNTIFS('Team Lineups'!$K$2:$K$2000,'Team Lineups'!$K$2:$K$2000,'Team Lineups'!$C$2:$C$2000,E$1))</f>
        <v>6</v>
      </c>
      <c r="F15" cm="1">
        <f t="array" ref="F15">SUMPRODUCT(('Team Lineups'!$K$2:$K$2000&lt;&gt;"")*('Team Lineups'!$C$2:$C$2000=$A15)*COUNTIFS('Team Lineups'!$K$2:$K$2000,'Team Lineups'!$K$2:$K$2000,'Team Lineups'!$C$2:$C$2000,F$1))</f>
        <v>5</v>
      </c>
      <c r="G15" cm="1">
        <f t="array" ref="G15">SUMPRODUCT(('Team Lineups'!$K$2:$K$2000&lt;&gt;"")*('Team Lineups'!$C$2:$C$2000=$A15)*COUNTIFS('Team Lineups'!$K$2:$K$2000,'Team Lineups'!$K$2:$K$2000,'Team Lineups'!$C$2:$C$2000,G$1))</f>
        <v>5</v>
      </c>
      <c r="H15" cm="1">
        <f t="array" ref="H15">SUMPRODUCT(('Team Lineups'!$K$2:$K$2000&lt;&gt;"")*('Team Lineups'!$C$2:$C$2000=$A15)*COUNTIFS('Team Lineups'!$K$2:$K$2000,'Team Lineups'!$K$2:$K$2000,'Team Lineups'!$C$2:$C$2000,H$1))</f>
        <v>6</v>
      </c>
      <c r="I15" cm="1">
        <f t="array" ref="I15">SUMPRODUCT(('Team Lineups'!$K$2:$K$2000&lt;&gt;"")*('Team Lineups'!$C$2:$C$2000=$A15)*COUNTIFS('Team Lineups'!$K$2:$K$2000,'Team Lineups'!$K$2:$K$2000,'Team Lineups'!$C$2:$C$2000,I$1))</f>
        <v>5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5</v>
      </c>
      <c r="M15" cm="1">
        <f t="array" ref="M15">SUMPRODUCT(('Team Lineups'!$K$2:$K$2000&lt;&gt;"")*('Team Lineups'!$C$2:$C$2000=$A15)*COUNTIFS('Team Lineups'!$K$2:$K$2000,'Team Lineups'!$K$2:$K$2000,'Team Lineups'!$C$2:$C$2000,M$1))</f>
        <v>5</v>
      </c>
      <c r="N15" cm="1">
        <f t="array" ref="N15">SUMPRODUCT(('Team Lineups'!$K$2:$K$2000&lt;&gt;"")*('Team Lineups'!$C$2:$C$2000=$A15)*COUNTIFS('Team Lineups'!$K$2:$K$2000,'Team Lineups'!$K$2:$K$2000,'Team Lineups'!$C$2:$C$2000,N$1))</f>
        <v>3</v>
      </c>
      <c r="O15" cm="1">
        <f t="array" ref="O15">SUMPRODUCT(('Team Lineups'!$K$2:$K$2000&lt;&gt;"")*('Team Lineups'!$C$2:$C$2000=$A15)*COUNTIFS('Team Lineups'!$K$2:$K$2000,'Team Lineups'!$K$2:$K$2000,'Team Lineups'!$C$2:$C$2000,O$1))</f>
        <v>19</v>
      </c>
      <c r="P15" cm="1">
        <f t="array" ref="P15">SUMPRODUCT(('Team Lineups'!$K$2:$K$2000&lt;&gt;"")*('Team Lineups'!$C$2:$C$2000=$A15)*COUNTIFS('Team Lineups'!$K$2:$K$2000,'Team Lineups'!$K$2:$K$2000,'Team Lineups'!$C$2:$C$2000,P$1))</f>
        <v>2</v>
      </c>
      <c r="Q15" cm="1">
        <f t="array" ref="Q15">SUMPRODUCT(('Team Lineups'!$K$2:$K$2000&lt;&gt;"")*('Team Lineups'!$C$2:$C$2000=$A15)*COUNTIFS('Team Lineups'!$K$2:$K$2000,'Team Lineups'!$K$2:$K$2000,'Team Lineups'!$C$2:$C$2000,Q$1))</f>
        <v>11</v>
      </c>
      <c r="R15" cm="1">
        <f t="array" ref="R15">SUMPRODUCT(('Team Lineups'!$K$2:$K$2000&lt;&gt;"")*('Team Lineups'!$C$2:$C$2000=$A15)*COUNTIFS('Team Lineups'!$K$2:$K$2000,'Team Lineups'!$K$2:$K$2000,'Team Lineups'!$C$2:$C$2000,R$1))</f>
        <v>3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3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3</v>
      </c>
      <c r="AA15" cm="1">
        <f t="array" ref="AA15">SUMPRODUCT(('Team Lineups'!$K$2:$K$2000&lt;&gt;"")*('Team Lineups'!$C$2:$C$2000=$A15)*COUNTIFS('Team Lineups'!$K$2:$K$2000,'Team Lineups'!$K$2:$K$2000,'Team Lineups'!$C$2:$C$2000,AA$1))</f>
        <v>5</v>
      </c>
      <c r="AB15" cm="1">
        <f t="array" ref="AB15">SUMPRODUCT(('Team Lineups'!$K$2:$K$2000&lt;&gt;"")*('Team Lineups'!$C$2:$C$2000=$A15)*COUNTIFS('Team Lineups'!$K$2:$K$2000,'Team Lineups'!$K$2:$K$2000,'Team Lineups'!$C$2:$C$2000,AB$1))</f>
        <v>4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4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2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4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3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1</v>
      </c>
      <c r="AP15" cm="1">
        <f t="array" ref="AP15">SUMPRODUCT(('Team Lineups'!$K$2:$K$2000&lt;&gt;"")*('Team Lineups'!$C$2:$C$2000=$A15)*COUNTIFS('Team Lineups'!$K$2:$K$2000,'Team Lineups'!$K$2:$K$2000,'Team Lineups'!$C$2:$C$2000,AP$1))</f>
        <v>2</v>
      </c>
      <c r="AQ15" cm="1">
        <f t="array" ref="AQ15">SUMPRODUCT(('Team Lineups'!$K$2:$K$2000&lt;&gt;"")*('Team Lineups'!$C$2:$C$2000=$A15)*COUNTIFS('Team Lineups'!$K$2:$K$2000,'Team Lineups'!$K$2:$K$2000,'Team Lineups'!$C$2:$C$2000,AQ$1))</f>
        <v>1</v>
      </c>
      <c r="AR15" cm="1">
        <f t="array" ref="AR15">SUMPRODUCT(('Team Lineups'!$K$2:$K$2000&lt;&gt;"")*('Team Lineups'!$C$2:$C$2000=$A15)*COUNTIFS('Team Lineups'!$K$2:$K$2000,'Team Lineups'!$K$2:$K$2000,'Team Lineups'!$C$2:$C$2000,AR$1))</f>
        <v>0</v>
      </c>
      <c r="AS15" cm="1">
        <f t="array" ref="AS15">SUMPRODUCT(('Team Lineups'!$K$2:$K$2000&lt;&gt;"")*('Team Lineups'!$C$2:$C$2000=$A15)*COUNTIFS('Team Lineups'!$K$2:$K$2000,'Team Lineups'!$K$2:$K$2000,'Team Lineups'!$C$2:$C$2000,AS$1))</f>
        <v>0</v>
      </c>
      <c r="AT15" cm="1">
        <f t="array" ref="AT15">SUMPRODUCT(('Team Lineups'!$K$2:$K$2000&lt;&gt;"")*('Team Lineups'!$C$2:$C$2000=$A15)*COUNTIFS('Team Lineups'!$K$2:$K$2000,'Team Lineups'!$K$2:$K$2000,'Team Lineups'!$C$2:$C$2000,AT$1))</f>
        <v>0</v>
      </c>
      <c r="AU15" cm="1">
        <f t="array" ref="AU15">SUMPRODUCT(('Team Lineups'!$K$2:$K$2000&lt;&gt;"")*('Team Lineups'!$C$2:$C$2000=$A15)*COUNTIFS('Team Lineups'!$K$2:$K$2000,'Team Lineups'!$K$2:$K$2000,'Team Lineups'!$C$2:$C$2000,AU$1))</f>
        <v>2</v>
      </c>
      <c r="AV15" cm="1">
        <f t="array" ref="AV15">SUMPRODUCT(('Team Lineups'!$K$2:$K$2000&lt;&gt;"")*('Team Lineups'!$C$2:$C$2000=$A15)*COUNTIFS('Team Lineups'!$K$2:$K$2000,'Team Lineups'!$K$2:$K$2000,'Team Lineups'!$C$2:$C$2000,AV$1))</f>
        <v>2</v>
      </c>
      <c r="AW15" cm="1">
        <f t="array" ref="AW15">SUMPRODUCT(('Team Lineups'!$K$2:$K$2000&lt;&gt;"")*('Team Lineups'!$C$2:$C$2000=$A15)*COUNTIFS('Team Lineups'!$K$2:$K$2000,'Team Lineups'!$K$2:$K$2000,'Team Lineups'!$C$2:$C$2000,AW$1))</f>
        <v>0</v>
      </c>
      <c r="AX15" cm="1">
        <f t="array" ref="AX15">SUMPRODUCT(('Team Lineups'!$K$2:$K$2000&lt;&gt;"")*('Team Lineups'!$C$2:$C$2000=$A15)*COUNTIFS('Team Lineups'!$K$2:$K$2000,'Team Lineups'!$K$2:$K$2000,'Team Lineups'!$C$2:$C$2000,AX$1))</f>
        <v>0</v>
      </c>
      <c r="AY15" cm="1">
        <f t="array" ref="AY15">SUMPRODUCT(('Team Lineups'!$K$2:$K$2000&lt;&gt;"")*('Team Lineups'!$C$2:$C$2000=$A15)*COUNTIFS('Team Lineups'!$K$2:$K$2000,'Team Lineups'!$K$2:$K$2000,'Team Lineups'!$C$2:$C$2000,AY$1))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1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3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3</v>
      </c>
      <c r="G16" cm="1">
        <f t="array" ref="G16">SUMPRODUCT(('Team Lineups'!$K$2:$K$2000&lt;&gt;"")*('Team Lineups'!$C$2:$C$2000=$A16)*COUNTIFS('Team Lineups'!$K$2:$K$2000,'Team Lineups'!$K$2:$K$2000,'Team Lineups'!$C$2:$C$2000,G$1))</f>
        <v>3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2</v>
      </c>
      <c r="P16" cm="1">
        <f t="array" ref="P16">SUMPRODUCT(('Team Lineups'!$K$2:$K$2000&lt;&gt;"")*('Team Lineups'!$C$2:$C$2000=$A16)*COUNTIFS('Team Lineups'!$K$2:$K$2000,'Team Lineups'!$K$2:$K$2000,'Team Lineups'!$C$2:$C$2000,P$1))</f>
        <v>6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4</v>
      </c>
      <c r="AB16" cm="1">
        <f t="array" ref="AB16">SUMPRODUCT(('Team Lineups'!$K$2:$K$2000&lt;&gt;"")*('Team Lineups'!$C$2:$C$2000=$A16)*COUNTIFS('Team Lineups'!$K$2:$K$2000,'Team Lineups'!$K$2:$K$2000,'Team Lineups'!$C$2:$C$2000,AB$1))</f>
        <v>1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1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  <c r="AQ16" cm="1">
        <f t="array" ref="AQ16">SUMPRODUCT(('Team Lineups'!$K$2:$K$2000&lt;&gt;"")*('Team Lineups'!$C$2:$C$2000=$A16)*COUNTIFS('Team Lineups'!$K$2:$K$2000,'Team Lineups'!$K$2:$K$2000,'Team Lineups'!$C$2:$C$2000,AQ$1))</f>
        <v>0</v>
      </c>
      <c r="AR16" cm="1">
        <f t="array" ref="AR16">SUMPRODUCT(('Team Lineups'!$K$2:$K$2000&lt;&gt;"")*('Team Lineups'!$C$2:$C$2000=$A16)*COUNTIFS('Team Lineups'!$K$2:$K$2000,'Team Lineups'!$K$2:$K$2000,'Team Lineups'!$C$2:$C$2000,AR$1))</f>
        <v>0</v>
      </c>
      <c r="AS16" cm="1">
        <f t="array" ref="AS16">SUMPRODUCT(('Team Lineups'!$K$2:$K$2000&lt;&gt;"")*('Team Lineups'!$C$2:$C$2000=$A16)*COUNTIFS('Team Lineups'!$K$2:$K$2000,'Team Lineups'!$K$2:$K$2000,'Team Lineups'!$C$2:$C$2000,AS$1))</f>
        <v>0</v>
      </c>
      <c r="AT16" cm="1">
        <f t="array" ref="AT16">SUMPRODUCT(('Team Lineups'!$K$2:$K$2000&lt;&gt;"")*('Team Lineups'!$C$2:$C$2000=$A16)*COUNTIFS('Team Lineups'!$K$2:$K$2000,'Team Lineups'!$K$2:$K$2000,'Team Lineups'!$C$2:$C$2000,AT$1))</f>
        <v>0</v>
      </c>
      <c r="AU16" cm="1">
        <f t="array" ref="AU16">SUMPRODUCT(('Team Lineups'!$K$2:$K$2000&lt;&gt;"")*('Team Lineups'!$C$2:$C$2000=$A16)*COUNTIFS('Team Lineups'!$K$2:$K$2000,'Team Lineups'!$K$2:$K$2000,'Team Lineups'!$C$2:$C$2000,AU$1))</f>
        <v>1</v>
      </c>
      <c r="AV16" cm="1">
        <f t="array" ref="AV16">SUMPRODUCT(('Team Lineups'!$K$2:$K$2000&lt;&gt;"")*('Team Lineups'!$C$2:$C$2000=$A16)*COUNTIFS('Team Lineups'!$K$2:$K$2000,'Team Lineups'!$K$2:$K$2000,'Team Lineups'!$C$2:$C$2000,AV$1))</f>
        <v>1</v>
      </c>
      <c r="AW16" cm="1">
        <f t="array" ref="AW16">SUMPRODUCT(('Team Lineups'!$K$2:$K$2000&lt;&gt;"")*('Team Lineups'!$C$2:$C$2000=$A16)*COUNTIFS('Team Lineups'!$K$2:$K$2000,'Team Lineups'!$K$2:$K$2000,'Team Lineups'!$C$2:$C$2000,AW$1))</f>
        <v>0</v>
      </c>
      <c r="AX16" cm="1">
        <f t="array" ref="AX16">SUMPRODUCT(('Team Lineups'!$K$2:$K$2000&lt;&gt;"")*('Team Lineups'!$C$2:$C$2000=$A16)*COUNTIFS('Team Lineups'!$K$2:$K$2000,'Team Lineups'!$K$2:$K$2000,'Team Lineups'!$C$2:$C$2000,AX$1))</f>
        <v>0</v>
      </c>
      <c r="AY16" cm="1">
        <f t="array" ref="AY16">SUMPRODUCT(('Team Lineups'!$K$2:$K$2000&lt;&gt;"")*('Team Lineups'!$C$2:$C$2000=$A16)*COUNTIFS('Team Lineups'!$K$2:$K$2000,'Team Lineups'!$K$2:$K$2000,'Team Lineups'!$C$2:$C$2000,AY$1))</f>
        <v>0</v>
      </c>
    </row>
    <row r="17" spans="1:51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6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9</v>
      </c>
      <c r="E17" cm="1">
        <f t="array" ref="E17">SUMPRODUCT(('Team Lineups'!$K$2:$K$2000&lt;&gt;"")*('Team Lineups'!$C$2:$C$2000=$A17)*COUNTIFS('Team Lineups'!$K$2:$K$2000,'Team Lineups'!$K$2:$K$2000,'Team Lineups'!$C$2:$C$2000,E$1))</f>
        <v>9</v>
      </c>
      <c r="F17" cm="1">
        <f t="array" ref="F17">SUMPRODUCT(('Team Lineups'!$K$2:$K$2000&lt;&gt;"")*('Team Lineups'!$C$2:$C$2000=$A17)*COUNTIFS('Team Lineups'!$K$2:$K$2000,'Team Lineups'!$K$2:$K$2000,'Team Lineups'!$C$2:$C$2000,F$1))</f>
        <v>8</v>
      </c>
      <c r="G17" cm="1">
        <f t="array" ref="G17">SUMPRODUCT(('Team Lineups'!$K$2:$K$2000&lt;&gt;"")*('Team Lineups'!$C$2:$C$2000=$A17)*COUNTIFS('Team Lineups'!$K$2:$K$2000,'Team Lineups'!$K$2:$K$2000,'Team Lineups'!$C$2:$C$2000,G$1))</f>
        <v>11</v>
      </c>
      <c r="H17" cm="1">
        <f t="array" ref="H17">SUMPRODUCT(('Team Lineups'!$K$2:$K$2000&lt;&gt;"")*('Team Lineups'!$C$2:$C$2000=$A17)*COUNTIFS('Team Lineups'!$K$2:$K$2000,'Team Lineups'!$K$2:$K$2000,'Team Lineups'!$C$2:$C$2000,H$1))</f>
        <v>13</v>
      </c>
      <c r="I17" cm="1">
        <f t="array" ref="I17">SUMPRODUCT(('Team Lineups'!$K$2:$K$2000&lt;&gt;"")*('Team Lineups'!$C$2:$C$2000=$A17)*COUNTIFS('Team Lineups'!$K$2:$K$2000,'Team Lineups'!$K$2:$K$2000,'Team Lineups'!$C$2:$C$2000,I$1))</f>
        <v>8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14</v>
      </c>
      <c r="M17" cm="1">
        <f t="array" ref="M17">SUMPRODUCT(('Team Lineups'!$K$2:$K$2000&lt;&gt;"")*('Team Lineups'!$C$2:$C$2000=$A17)*COUNTIFS('Team Lineups'!$K$2:$K$2000,'Team Lineups'!$K$2:$K$2000,'Team Lineups'!$C$2:$C$2000,M$1))</f>
        <v>14</v>
      </c>
      <c r="N17" cm="1">
        <f t="array" ref="N17">SUMPRODUCT(('Team Lineups'!$K$2:$K$2000&lt;&gt;"")*('Team Lineups'!$C$2:$C$2000=$A17)*COUNTIFS('Team Lineups'!$K$2:$K$2000,'Team Lineups'!$K$2:$K$2000,'Team Lineups'!$C$2:$C$2000,N$1))</f>
        <v>9</v>
      </c>
      <c r="O17" cm="1">
        <f t="array" ref="O17">SUMPRODUCT(('Team Lineups'!$K$2:$K$2000&lt;&gt;"")*('Team Lineups'!$C$2:$C$2000=$A17)*COUNTIFS('Team Lineups'!$K$2:$K$2000,'Team Lineups'!$K$2:$K$2000,'Team Lineups'!$C$2:$C$2000,O$1))</f>
        <v>11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40</v>
      </c>
      <c r="R17" cm="1">
        <f t="array" ref="R17">SUMPRODUCT(('Team Lineups'!$K$2:$K$2000&lt;&gt;"")*('Team Lineups'!$C$2:$C$2000=$A17)*COUNTIFS('Team Lineups'!$K$2:$K$2000,'Team Lineups'!$K$2:$K$2000,'Team Lineups'!$C$2:$C$2000,R$1))</f>
        <v>5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4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7</v>
      </c>
      <c r="AA17" cm="1">
        <f t="array" ref="AA17">SUMPRODUCT(('Team Lineups'!$K$2:$K$2000&lt;&gt;"")*('Team Lineups'!$C$2:$C$2000=$A17)*COUNTIFS('Team Lineups'!$K$2:$K$2000,'Team Lineups'!$K$2:$K$2000,'Team Lineups'!$C$2:$C$2000,AA$1))</f>
        <v>6</v>
      </c>
      <c r="AB17" cm="1">
        <f t="array" ref="AB17">SUMPRODUCT(('Team Lineups'!$K$2:$K$2000&lt;&gt;"")*('Team Lineups'!$C$2:$C$2000=$A17)*COUNTIFS('Team Lineups'!$K$2:$K$2000,'Team Lineups'!$K$2:$K$2000,'Team Lineups'!$C$2:$C$2000,AB$1))</f>
        <v>5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6</v>
      </c>
      <c r="AE17" cm="1">
        <f t="array" ref="AE17">SUMPRODUCT(('Team Lineups'!$K$2:$K$2000&lt;&gt;"")*('Team Lineups'!$C$2:$C$2000=$A17)*COUNTIFS('Team Lineups'!$K$2:$K$2000,'Team Lineups'!$K$2:$K$2000,'Team Lineups'!$C$2:$C$2000,AE$1))</f>
        <v>5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4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7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7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2</v>
      </c>
      <c r="AO17" cm="1">
        <f t="array" ref="AO17">SUMPRODUCT(('Team Lineups'!$K$2:$K$2000&lt;&gt;"")*('Team Lineups'!$C$2:$C$2000=$A17)*COUNTIFS('Team Lineups'!$K$2:$K$2000,'Team Lineups'!$K$2:$K$2000,'Team Lineups'!$C$2:$C$2000,AO$1))</f>
        <v>4</v>
      </c>
      <c r="AP17" cm="1">
        <f t="array" ref="AP17">SUMPRODUCT(('Team Lineups'!$K$2:$K$2000&lt;&gt;"")*('Team Lineups'!$C$2:$C$2000=$A17)*COUNTIFS('Team Lineups'!$K$2:$K$2000,'Team Lineups'!$K$2:$K$2000,'Team Lineups'!$C$2:$C$2000,AP$1))</f>
        <v>5</v>
      </c>
      <c r="AQ17" cm="1">
        <f t="array" ref="AQ17">SUMPRODUCT(('Team Lineups'!$K$2:$K$2000&lt;&gt;"")*('Team Lineups'!$C$2:$C$2000=$A17)*COUNTIFS('Team Lineups'!$K$2:$K$2000,'Team Lineups'!$K$2:$K$2000,'Team Lineups'!$C$2:$C$2000,AQ$1))</f>
        <v>5</v>
      </c>
      <c r="AR17" cm="1">
        <f t="array" ref="AR17">SUMPRODUCT(('Team Lineups'!$K$2:$K$2000&lt;&gt;"")*('Team Lineups'!$C$2:$C$2000=$A17)*COUNTIFS('Team Lineups'!$K$2:$K$2000,'Team Lineups'!$K$2:$K$2000,'Team Lineups'!$C$2:$C$2000,AR$1))</f>
        <v>0</v>
      </c>
      <c r="AS17" cm="1">
        <f t="array" ref="AS17">SUMPRODUCT(('Team Lineups'!$K$2:$K$2000&lt;&gt;"")*('Team Lineups'!$C$2:$C$2000=$A17)*COUNTIFS('Team Lineups'!$K$2:$K$2000,'Team Lineups'!$K$2:$K$2000,'Team Lineups'!$C$2:$C$2000,AS$1))</f>
        <v>1</v>
      </c>
      <c r="AT17" cm="1">
        <f t="array" ref="AT17">SUMPRODUCT(('Team Lineups'!$K$2:$K$2000&lt;&gt;"")*('Team Lineups'!$C$2:$C$2000=$A17)*COUNTIFS('Team Lineups'!$K$2:$K$2000,'Team Lineups'!$K$2:$K$2000,'Team Lineups'!$C$2:$C$2000,AT$1))</f>
        <v>0</v>
      </c>
      <c r="AU17" cm="1">
        <f t="array" ref="AU17">SUMPRODUCT(('Team Lineups'!$K$2:$K$2000&lt;&gt;"")*('Team Lineups'!$C$2:$C$2000=$A17)*COUNTIFS('Team Lineups'!$K$2:$K$2000,'Team Lineups'!$K$2:$K$2000,'Team Lineups'!$C$2:$C$2000,AU$1))</f>
        <v>1</v>
      </c>
      <c r="AV17" cm="1">
        <f t="array" ref="AV17">SUMPRODUCT(('Team Lineups'!$K$2:$K$2000&lt;&gt;"")*('Team Lineups'!$C$2:$C$2000=$A17)*COUNTIFS('Team Lineups'!$K$2:$K$2000,'Team Lineups'!$K$2:$K$2000,'Team Lineups'!$C$2:$C$2000,AV$1))</f>
        <v>1</v>
      </c>
      <c r="AW17" cm="1">
        <f t="array" ref="AW17">SUMPRODUCT(('Team Lineups'!$K$2:$K$2000&lt;&gt;"")*('Team Lineups'!$C$2:$C$2000=$A17)*COUNTIFS('Team Lineups'!$K$2:$K$2000,'Team Lineups'!$K$2:$K$2000,'Team Lineups'!$C$2:$C$2000,AW$1))</f>
        <v>0</v>
      </c>
      <c r="AX17" cm="1">
        <f t="array" ref="AX17">SUMPRODUCT(('Team Lineups'!$K$2:$K$2000&lt;&gt;"")*('Team Lineups'!$C$2:$C$2000=$A17)*COUNTIFS('Team Lineups'!$K$2:$K$2000,'Team Lineups'!$K$2:$K$2000,'Team Lineups'!$C$2:$C$2000,AX$1))</f>
        <v>0</v>
      </c>
      <c r="AY17" cm="1">
        <f t="array" ref="AY17">SUMPRODUCT(('Team Lineups'!$K$2:$K$2000&lt;&gt;"")*('Team Lineups'!$C$2:$C$2000=$A17)*COUNTIFS('Team Lineups'!$K$2:$K$2000,'Team Lineups'!$K$2:$K$2000,'Team Lineups'!$C$2:$C$2000,AY$1))</f>
        <v>0</v>
      </c>
    </row>
    <row r="18" spans="1:51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7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10</v>
      </c>
      <c r="E18" cm="1">
        <f t="array" ref="E18">SUMPRODUCT(('Team Lineups'!$K$2:$K$2000&lt;&gt;"")*('Team Lineups'!$C$2:$C$2000=$A18)*COUNTIFS('Team Lineups'!$K$2:$K$2000,'Team Lineups'!$K$2:$K$2000,'Team Lineups'!$C$2:$C$2000,E$1))</f>
        <v>6</v>
      </c>
      <c r="F18" cm="1">
        <f t="array" ref="F18">SUMPRODUCT(('Team Lineups'!$K$2:$K$2000&lt;&gt;"")*('Team Lineups'!$C$2:$C$2000=$A18)*COUNTIFS('Team Lineups'!$K$2:$K$2000,'Team Lineups'!$K$2:$K$2000,'Team Lineups'!$C$2:$C$2000,F$1))</f>
        <v>10</v>
      </c>
      <c r="G18" cm="1">
        <f t="array" ref="G18">SUMPRODUCT(('Team Lineups'!$K$2:$K$2000&lt;&gt;"")*('Team Lineups'!$C$2:$C$2000=$A18)*COUNTIFS('Team Lineups'!$K$2:$K$2000,'Team Lineups'!$K$2:$K$2000,'Team Lineups'!$C$2:$C$2000,G$1))</f>
        <v>11</v>
      </c>
      <c r="H18" cm="1">
        <f t="array" ref="H18">SUMPRODUCT(('Team Lineups'!$K$2:$K$2000&lt;&gt;"")*('Team Lineups'!$C$2:$C$2000=$A18)*COUNTIFS('Team Lineups'!$K$2:$K$2000,'Team Lineups'!$K$2:$K$2000,'Team Lineups'!$C$2:$C$2000,H$1))</f>
        <v>8</v>
      </c>
      <c r="I18" cm="1">
        <f t="array" ref="I18">SUMPRODUCT(('Team Lineups'!$K$2:$K$2000&lt;&gt;"")*('Team Lineups'!$C$2:$C$2000=$A18)*COUNTIFS('Team Lineups'!$K$2:$K$2000,'Team Lineups'!$K$2:$K$2000,'Team Lineups'!$C$2:$C$2000,I$1))</f>
        <v>7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6</v>
      </c>
      <c r="M18" cm="1">
        <f t="array" ref="M18">SUMPRODUCT(('Team Lineups'!$K$2:$K$2000&lt;&gt;"")*('Team Lineups'!$C$2:$C$2000=$A18)*COUNTIFS('Team Lineups'!$K$2:$K$2000,'Team Lineups'!$K$2:$K$2000,'Team Lineups'!$C$2:$C$2000,M$1))</f>
        <v>11</v>
      </c>
      <c r="N18" cm="1">
        <f t="array" ref="N18">SUMPRODUCT(('Team Lineups'!$K$2:$K$2000&lt;&gt;"")*('Team Lineups'!$C$2:$C$2000=$A18)*COUNTIFS('Team Lineups'!$K$2:$K$2000,'Team Lineups'!$K$2:$K$2000,'Team Lineups'!$C$2:$C$2000,N$1))</f>
        <v>1</v>
      </c>
      <c r="O18" cm="1">
        <f t="array" ref="O18">SUMPRODUCT(('Team Lineups'!$K$2:$K$2000&lt;&gt;"")*('Team Lineups'!$C$2:$C$2000=$A18)*COUNTIFS('Team Lineups'!$K$2:$K$2000,'Team Lineups'!$K$2:$K$2000,'Team Lineups'!$C$2:$C$2000,O$1))</f>
        <v>3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5</v>
      </c>
      <c r="R18" cm="1">
        <f t="array" ref="R18">SUMPRODUCT(('Team Lineups'!$K$2:$K$2000&lt;&gt;"")*('Team Lineups'!$C$2:$C$2000=$A18)*COUNTIFS('Team Lineups'!$K$2:$K$2000,'Team Lineups'!$K$2:$K$2000,'Team Lineups'!$C$2:$C$2000,R$1))</f>
        <v>28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1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4</v>
      </c>
      <c r="AA18" cm="1">
        <f t="array" ref="AA18">SUMPRODUCT(('Team Lineups'!$K$2:$K$2000&lt;&gt;"")*('Team Lineups'!$C$2:$C$2000=$A18)*COUNTIFS('Team Lineups'!$K$2:$K$2000,'Team Lineups'!$K$2:$K$2000,'Team Lineups'!$C$2:$C$2000,AA$1))</f>
        <v>8</v>
      </c>
      <c r="AB18" cm="1">
        <f t="array" ref="AB18">SUMPRODUCT(('Team Lineups'!$K$2:$K$2000&lt;&gt;"")*('Team Lineups'!$C$2:$C$2000=$A18)*COUNTIFS('Team Lineups'!$K$2:$K$2000,'Team Lineups'!$K$2:$K$2000,'Team Lineups'!$C$2:$C$2000,AB$1))</f>
        <v>6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1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5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13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1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3</v>
      </c>
      <c r="AQ18" cm="1">
        <f t="array" ref="AQ18">SUMPRODUCT(('Team Lineups'!$K$2:$K$2000&lt;&gt;"")*('Team Lineups'!$C$2:$C$2000=$A18)*COUNTIFS('Team Lineups'!$K$2:$K$2000,'Team Lineups'!$K$2:$K$2000,'Team Lineups'!$C$2:$C$2000,AQ$1))</f>
        <v>2</v>
      </c>
      <c r="AR18" cm="1">
        <f t="array" ref="AR18">SUMPRODUCT(('Team Lineups'!$K$2:$K$2000&lt;&gt;"")*('Team Lineups'!$C$2:$C$2000=$A18)*COUNTIFS('Team Lineups'!$K$2:$K$2000,'Team Lineups'!$K$2:$K$2000,'Team Lineups'!$C$2:$C$2000,AR$1))</f>
        <v>0</v>
      </c>
      <c r="AS18" cm="1">
        <f t="array" ref="AS18">SUMPRODUCT(('Team Lineups'!$K$2:$K$2000&lt;&gt;"")*('Team Lineups'!$C$2:$C$2000=$A18)*COUNTIFS('Team Lineups'!$K$2:$K$2000,'Team Lineups'!$K$2:$K$2000,'Team Lineups'!$C$2:$C$2000,AS$1))</f>
        <v>1</v>
      </c>
      <c r="AT18" cm="1">
        <f t="array" ref="AT18">SUMPRODUCT(('Team Lineups'!$K$2:$K$2000&lt;&gt;"")*('Team Lineups'!$C$2:$C$2000=$A18)*COUNTIFS('Team Lineups'!$K$2:$K$2000,'Team Lineups'!$K$2:$K$2000,'Team Lineups'!$C$2:$C$2000,AT$1))</f>
        <v>0</v>
      </c>
      <c r="AU18" cm="1">
        <f t="array" ref="AU18">SUMPRODUCT(('Team Lineups'!$K$2:$K$2000&lt;&gt;"")*('Team Lineups'!$C$2:$C$2000=$A18)*COUNTIFS('Team Lineups'!$K$2:$K$2000,'Team Lineups'!$K$2:$K$2000,'Team Lineups'!$C$2:$C$2000,AU$1))</f>
        <v>0</v>
      </c>
      <c r="AV18" cm="1">
        <f t="array" ref="AV18">SUMPRODUCT(('Team Lineups'!$K$2:$K$2000&lt;&gt;"")*('Team Lineups'!$C$2:$C$2000=$A18)*COUNTIFS('Team Lineups'!$K$2:$K$2000,'Team Lineups'!$K$2:$K$2000,'Team Lineups'!$C$2:$C$2000,AV$1))</f>
        <v>2</v>
      </c>
      <c r="AW18" cm="1">
        <f t="array" ref="AW18">SUMPRODUCT(('Team Lineups'!$K$2:$K$2000&lt;&gt;"")*('Team Lineups'!$C$2:$C$2000=$A18)*COUNTIFS('Team Lineups'!$K$2:$K$2000,'Team Lineups'!$K$2:$K$2000,'Team Lineups'!$C$2:$C$2000,AW$1))</f>
        <v>0</v>
      </c>
      <c r="AX18" cm="1">
        <f t="array" ref="AX18">SUMPRODUCT(('Team Lineups'!$K$2:$K$2000&lt;&gt;"")*('Team Lineups'!$C$2:$C$2000=$A18)*COUNTIFS('Team Lineups'!$K$2:$K$2000,'Team Lineups'!$K$2:$K$2000,'Team Lineups'!$C$2:$C$2000,AX$1))</f>
        <v>1</v>
      </c>
      <c r="AY18" cm="1">
        <f t="array" ref="AY18">SUMPRODUCT(('Team Lineups'!$K$2:$K$2000&lt;&gt;"")*('Team Lineups'!$C$2:$C$2000=$A18)*COUNTIFS('Team Lineups'!$K$2:$K$2000,'Team Lineups'!$K$2:$K$2000,'Team Lineups'!$C$2:$C$2000,AY$1))</f>
        <v>0</v>
      </c>
    </row>
    <row r="19" spans="1:51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  <c r="AQ19" cm="1">
        <f t="array" ref="AQ19">SUMPRODUCT(('Team Lineups'!$K$2:$K$2000&lt;&gt;"")*('Team Lineups'!$C$2:$C$2000=$A19)*COUNTIFS('Team Lineups'!$K$2:$K$2000,'Team Lineups'!$K$2:$K$2000,'Team Lineups'!$C$2:$C$2000,AQ$1))</f>
        <v>0</v>
      </c>
      <c r="AR19" cm="1">
        <f t="array" ref="AR19">SUMPRODUCT(('Team Lineups'!$K$2:$K$2000&lt;&gt;"")*('Team Lineups'!$C$2:$C$2000=$A19)*COUNTIFS('Team Lineups'!$K$2:$K$2000,'Team Lineups'!$K$2:$K$2000,'Team Lineups'!$C$2:$C$2000,AR$1))</f>
        <v>0</v>
      </c>
      <c r="AS19" cm="1">
        <f t="array" ref="AS19">SUMPRODUCT(('Team Lineups'!$K$2:$K$2000&lt;&gt;"")*('Team Lineups'!$C$2:$C$2000=$A19)*COUNTIFS('Team Lineups'!$K$2:$K$2000,'Team Lineups'!$K$2:$K$2000,'Team Lineups'!$C$2:$C$2000,AS$1))</f>
        <v>0</v>
      </c>
      <c r="AT19" cm="1">
        <f t="array" ref="AT19">SUMPRODUCT(('Team Lineups'!$K$2:$K$2000&lt;&gt;"")*('Team Lineups'!$C$2:$C$2000=$A19)*COUNTIFS('Team Lineups'!$K$2:$K$2000,'Team Lineups'!$K$2:$K$2000,'Team Lineups'!$C$2:$C$2000,AT$1))</f>
        <v>0</v>
      </c>
      <c r="AU19" cm="1">
        <f t="array" ref="AU19">SUMPRODUCT(('Team Lineups'!$K$2:$K$2000&lt;&gt;"")*('Team Lineups'!$C$2:$C$2000=$A19)*COUNTIFS('Team Lineups'!$K$2:$K$2000,'Team Lineups'!$K$2:$K$2000,'Team Lineups'!$C$2:$C$2000,AU$1))</f>
        <v>0</v>
      </c>
      <c r="AV19" cm="1">
        <f t="array" ref="AV19">SUMPRODUCT(('Team Lineups'!$K$2:$K$2000&lt;&gt;"")*('Team Lineups'!$C$2:$C$2000=$A19)*COUNTIFS('Team Lineups'!$K$2:$K$2000,'Team Lineups'!$K$2:$K$2000,'Team Lineups'!$C$2:$C$2000,AV$1))</f>
        <v>0</v>
      </c>
      <c r="AW19" cm="1">
        <f t="array" ref="AW19">SUMPRODUCT(('Team Lineups'!$K$2:$K$2000&lt;&gt;"")*('Team Lineups'!$C$2:$C$2000=$A19)*COUNTIFS('Team Lineups'!$K$2:$K$2000,'Team Lineups'!$K$2:$K$2000,'Team Lineups'!$C$2:$C$2000,AW$1))</f>
        <v>0</v>
      </c>
      <c r="AX19" cm="1">
        <f t="array" ref="AX19">SUMPRODUCT(('Team Lineups'!$K$2:$K$2000&lt;&gt;"")*('Team Lineups'!$C$2:$C$2000=$A19)*COUNTIFS('Team Lineups'!$K$2:$K$2000,'Team Lineups'!$K$2:$K$2000,'Team Lineups'!$C$2:$C$2000,AX$1))</f>
        <v>0</v>
      </c>
      <c r="AY19" cm="1">
        <f t="array" ref="AY19">SUMPRODUCT(('Team Lineups'!$K$2:$K$2000&lt;&gt;"")*('Team Lineups'!$C$2:$C$2000=$A19)*COUNTIFS('Team Lineups'!$K$2:$K$2000,'Team Lineups'!$K$2:$K$2000,'Team Lineups'!$C$2:$C$2000,AY$1))</f>
        <v>0</v>
      </c>
    </row>
    <row r="20" spans="1:51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4</v>
      </c>
      <c r="E20" cm="1">
        <f t="array" ref="E20">SUMPRODUCT(('Team Lineups'!$K$2:$K$2000&lt;&gt;"")*('Team Lineups'!$C$2:$C$2000=$A20)*COUNTIFS('Team Lineups'!$K$2:$K$2000,'Team Lineups'!$K$2:$K$2000,'Team Lineups'!$C$2:$C$2000,E$1))</f>
        <v>1</v>
      </c>
      <c r="F20" cm="1">
        <f t="array" ref="F20">SUMPRODUCT(('Team Lineups'!$K$2:$K$2000&lt;&gt;"")*('Team Lineups'!$C$2:$C$2000=$A20)*COUNTIFS('Team Lineups'!$K$2:$K$2000,'Team Lineups'!$K$2:$K$2000,'Team Lineups'!$C$2:$C$2000,F$1))</f>
        <v>2</v>
      </c>
      <c r="G20" cm="1">
        <f t="array" ref="G20">SUMPRODUCT(('Team Lineups'!$K$2:$K$2000&lt;&gt;"")*('Team Lineups'!$C$2:$C$2000=$A20)*COUNTIFS('Team Lineups'!$K$2:$K$2000,'Team Lineups'!$K$2:$K$2000,'Team Lineups'!$C$2:$C$2000,G$1))</f>
        <v>2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4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6</v>
      </c>
      <c r="M20" cm="1">
        <f t="array" ref="M20">SUMPRODUCT(('Team Lineups'!$K$2:$K$2000&lt;&gt;"")*('Team Lineups'!$C$2:$C$2000=$A20)*COUNTIFS('Team Lineups'!$K$2:$K$2000,'Team Lineups'!$K$2:$K$2000,'Team Lineups'!$C$2:$C$2000,M$1))</f>
        <v>3</v>
      </c>
      <c r="N20" cm="1">
        <f t="array" ref="N20">SUMPRODUCT(('Team Lineups'!$K$2:$K$2000&lt;&gt;"")*('Team Lineups'!$C$2:$C$2000=$A20)*COUNTIFS('Team Lineups'!$K$2:$K$2000,'Team Lineups'!$K$2:$K$2000,'Team Lineups'!$C$2:$C$2000,N$1))</f>
        <v>4</v>
      </c>
      <c r="O20" cm="1">
        <f t="array" ref="O20">SUMPRODUCT(('Team Lineups'!$K$2:$K$2000&lt;&gt;"")*('Team Lineups'!$C$2:$C$2000=$A20)*COUNTIFS('Team Lineups'!$K$2:$K$2000,'Team Lineups'!$K$2:$K$2000,'Team Lineups'!$C$2:$C$2000,O$1))</f>
        <v>3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4</v>
      </c>
      <c r="R20" cm="1">
        <f t="array" ref="R20">SUMPRODUCT(('Team Lineups'!$K$2:$K$2000&lt;&gt;"")*('Team Lineups'!$C$2:$C$2000=$A20)*COUNTIFS('Team Lineups'!$K$2:$K$2000,'Team Lineups'!$K$2:$K$2000,'Team Lineups'!$C$2:$C$2000,R$1))</f>
        <v>1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11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4</v>
      </c>
      <c r="AB20" cm="1">
        <f t="array" ref="AB20">SUMPRODUCT(('Team Lineups'!$K$2:$K$2000&lt;&gt;"")*('Team Lineups'!$C$2:$C$2000=$A20)*COUNTIFS('Team Lineups'!$K$2:$K$2000,'Team Lineups'!$K$2:$K$2000,'Team Lineups'!$C$2:$C$2000,AB$1))</f>
        <v>3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5</v>
      </c>
      <c r="AE20" cm="1">
        <f t="array" ref="AE20">SUMPRODUCT(('Team Lineups'!$K$2:$K$2000&lt;&gt;"")*('Team Lineups'!$C$2:$C$2000=$A20)*COUNTIFS('Team Lineups'!$K$2:$K$2000,'Team Lineups'!$K$2:$K$2000,'Team Lineups'!$C$2:$C$2000,AE$1))</f>
        <v>2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2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2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1</v>
      </c>
      <c r="AP20" cm="1">
        <f t="array" ref="AP20">SUMPRODUCT(('Team Lineups'!$K$2:$K$2000&lt;&gt;"")*('Team Lineups'!$C$2:$C$2000=$A20)*COUNTIFS('Team Lineups'!$K$2:$K$2000,'Team Lineups'!$K$2:$K$2000,'Team Lineups'!$C$2:$C$2000,AP$1))</f>
        <v>1</v>
      </c>
      <c r="AQ20" cm="1">
        <f t="array" ref="AQ20">SUMPRODUCT(('Team Lineups'!$K$2:$K$2000&lt;&gt;"")*('Team Lineups'!$C$2:$C$2000=$A20)*COUNTIFS('Team Lineups'!$K$2:$K$2000,'Team Lineups'!$K$2:$K$2000,'Team Lineups'!$C$2:$C$2000,AQ$1))</f>
        <v>0</v>
      </c>
      <c r="AR20" cm="1">
        <f t="array" ref="AR20">SUMPRODUCT(('Team Lineups'!$K$2:$K$2000&lt;&gt;"")*('Team Lineups'!$C$2:$C$2000=$A20)*COUNTIFS('Team Lineups'!$K$2:$K$2000,'Team Lineups'!$K$2:$K$2000,'Team Lineups'!$C$2:$C$2000,AR$1))</f>
        <v>0</v>
      </c>
      <c r="AS20" cm="1">
        <f t="array" ref="AS20">SUMPRODUCT(('Team Lineups'!$K$2:$K$2000&lt;&gt;"")*('Team Lineups'!$C$2:$C$2000=$A20)*COUNTIFS('Team Lineups'!$K$2:$K$2000,'Team Lineups'!$K$2:$K$2000,'Team Lineups'!$C$2:$C$2000,AS$1))</f>
        <v>0</v>
      </c>
      <c r="AT20" cm="1">
        <f t="array" ref="AT20">SUMPRODUCT(('Team Lineups'!$K$2:$K$2000&lt;&gt;"")*('Team Lineups'!$C$2:$C$2000=$A20)*COUNTIFS('Team Lineups'!$K$2:$K$2000,'Team Lineups'!$K$2:$K$2000,'Team Lineups'!$C$2:$C$2000,AT$1))</f>
        <v>0</v>
      </c>
      <c r="AU20" cm="1">
        <f t="array" ref="AU20">SUMPRODUCT(('Team Lineups'!$K$2:$K$2000&lt;&gt;"")*('Team Lineups'!$C$2:$C$2000=$A20)*COUNTIFS('Team Lineups'!$K$2:$K$2000,'Team Lineups'!$K$2:$K$2000,'Team Lineups'!$C$2:$C$2000,AU$1))</f>
        <v>0</v>
      </c>
      <c r="AV20" cm="1">
        <f t="array" ref="AV20">SUMPRODUCT(('Team Lineups'!$K$2:$K$2000&lt;&gt;"")*('Team Lineups'!$C$2:$C$2000=$A20)*COUNTIFS('Team Lineups'!$K$2:$K$2000,'Team Lineups'!$K$2:$K$2000,'Team Lineups'!$C$2:$C$2000,AV$1))</f>
        <v>0</v>
      </c>
      <c r="AW20" cm="1">
        <f t="array" ref="AW20">SUMPRODUCT(('Team Lineups'!$K$2:$K$2000&lt;&gt;"")*('Team Lineups'!$C$2:$C$2000=$A20)*COUNTIFS('Team Lineups'!$K$2:$K$2000,'Team Lineups'!$K$2:$K$2000,'Team Lineups'!$C$2:$C$2000,AW$1))</f>
        <v>0</v>
      </c>
      <c r="AX20" cm="1">
        <f t="array" ref="AX20">SUMPRODUCT(('Team Lineups'!$K$2:$K$2000&lt;&gt;"")*('Team Lineups'!$C$2:$C$2000=$A20)*COUNTIFS('Team Lineups'!$K$2:$K$2000,'Team Lineups'!$K$2:$K$2000,'Team Lineups'!$C$2:$C$2000,AX$1))</f>
        <v>0</v>
      </c>
      <c r="AY20" cm="1">
        <f t="array" ref="AY20">SUMPRODUCT(('Team Lineups'!$K$2:$K$2000&lt;&gt;"")*('Team Lineups'!$C$2:$C$2000=$A20)*COUNTIFS('Team Lineups'!$K$2:$K$2000,'Team Lineups'!$K$2:$K$2000,'Team Lineups'!$C$2:$C$2000,AY$1))</f>
        <v>0</v>
      </c>
    </row>
    <row r="21" spans="1:51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  <c r="AQ21" cm="1">
        <f t="array" ref="AQ21">SUMPRODUCT(('Team Lineups'!$K$2:$K$2000&lt;&gt;"")*('Team Lineups'!$C$2:$C$2000=$A21)*COUNTIFS('Team Lineups'!$K$2:$K$2000,'Team Lineups'!$K$2:$K$2000,'Team Lineups'!$C$2:$C$2000,AQ$1))</f>
        <v>0</v>
      </c>
      <c r="AR21" cm="1">
        <f t="array" ref="AR21">SUMPRODUCT(('Team Lineups'!$K$2:$K$2000&lt;&gt;"")*('Team Lineups'!$C$2:$C$2000=$A21)*COUNTIFS('Team Lineups'!$K$2:$K$2000,'Team Lineups'!$K$2:$K$2000,'Team Lineups'!$C$2:$C$2000,AR$1))</f>
        <v>0</v>
      </c>
      <c r="AS21" cm="1">
        <f t="array" ref="AS21">SUMPRODUCT(('Team Lineups'!$K$2:$K$2000&lt;&gt;"")*('Team Lineups'!$C$2:$C$2000=$A21)*COUNTIFS('Team Lineups'!$K$2:$K$2000,'Team Lineups'!$K$2:$K$2000,'Team Lineups'!$C$2:$C$2000,AS$1))</f>
        <v>0</v>
      </c>
      <c r="AT21" cm="1">
        <f t="array" ref="AT21">SUMPRODUCT(('Team Lineups'!$K$2:$K$2000&lt;&gt;"")*('Team Lineups'!$C$2:$C$2000=$A21)*COUNTIFS('Team Lineups'!$K$2:$K$2000,'Team Lineups'!$K$2:$K$2000,'Team Lineups'!$C$2:$C$2000,AT$1))</f>
        <v>0</v>
      </c>
      <c r="AU21" cm="1">
        <f t="array" ref="AU21">SUMPRODUCT(('Team Lineups'!$K$2:$K$2000&lt;&gt;"")*('Team Lineups'!$C$2:$C$2000=$A21)*COUNTIFS('Team Lineups'!$K$2:$K$2000,'Team Lineups'!$K$2:$K$2000,'Team Lineups'!$C$2:$C$2000,AU$1))</f>
        <v>0</v>
      </c>
      <c r="AV21" cm="1">
        <f t="array" ref="AV21">SUMPRODUCT(('Team Lineups'!$K$2:$K$2000&lt;&gt;"")*('Team Lineups'!$C$2:$C$2000=$A21)*COUNTIFS('Team Lineups'!$K$2:$K$2000,'Team Lineups'!$K$2:$K$2000,'Team Lineups'!$C$2:$C$2000,AV$1))</f>
        <v>0</v>
      </c>
      <c r="AW21" cm="1">
        <f t="array" ref="AW21">SUMPRODUCT(('Team Lineups'!$K$2:$K$2000&lt;&gt;"")*('Team Lineups'!$C$2:$C$2000=$A21)*COUNTIFS('Team Lineups'!$K$2:$K$2000,'Team Lineups'!$K$2:$K$2000,'Team Lineups'!$C$2:$C$2000,AW$1))</f>
        <v>0</v>
      </c>
      <c r="AX21" cm="1">
        <f t="array" ref="AX21">SUMPRODUCT(('Team Lineups'!$K$2:$K$2000&lt;&gt;"")*('Team Lineups'!$C$2:$C$2000=$A21)*COUNTIFS('Team Lineups'!$K$2:$K$2000,'Team Lineups'!$K$2:$K$2000,'Team Lineups'!$C$2:$C$2000,AX$1))</f>
        <v>0</v>
      </c>
      <c r="AY21" cm="1">
        <f t="array" ref="AY21">SUMPRODUCT(('Team Lineups'!$K$2:$K$2000&lt;&gt;"")*('Team Lineups'!$C$2:$C$2000=$A21)*COUNTIFS('Team Lineups'!$K$2:$K$2000,'Team Lineups'!$K$2:$K$2000,'Team Lineups'!$C$2:$C$2000,AY$1))</f>
        <v>0</v>
      </c>
    </row>
    <row r="22" spans="1:51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  <c r="AQ22" cm="1">
        <f t="array" ref="AQ22">SUMPRODUCT(('Team Lineups'!$K$2:$K$2000&lt;&gt;"")*('Team Lineups'!$C$2:$C$2000=$A22)*COUNTIFS('Team Lineups'!$K$2:$K$2000,'Team Lineups'!$K$2:$K$2000,'Team Lineups'!$C$2:$C$2000,AQ$1))</f>
        <v>0</v>
      </c>
      <c r="AR22" cm="1">
        <f t="array" ref="AR22">SUMPRODUCT(('Team Lineups'!$K$2:$K$2000&lt;&gt;"")*('Team Lineups'!$C$2:$C$2000=$A22)*COUNTIFS('Team Lineups'!$K$2:$K$2000,'Team Lineups'!$K$2:$K$2000,'Team Lineups'!$C$2:$C$2000,AR$1))</f>
        <v>0</v>
      </c>
      <c r="AS22" cm="1">
        <f t="array" ref="AS22">SUMPRODUCT(('Team Lineups'!$K$2:$K$2000&lt;&gt;"")*('Team Lineups'!$C$2:$C$2000=$A22)*COUNTIFS('Team Lineups'!$K$2:$K$2000,'Team Lineups'!$K$2:$K$2000,'Team Lineups'!$C$2:$C$2000,AS$1))</f>
        <v>0</v>
      </c>
      <c r="AT22" cm="1">
        <f t="array" ref="AT22">SUMPRODUCT(('Team Lineups'!$K$2:$K$2000&lt;&gt;"")*('Team Lineups'!$C$2:$C$2000=$A22)*COUNTIFS('Team Lineups'!$K$2:$K$2000,'Team Lineups'!$K$2:$K$2000,'Team Lineups'!$C$2:$C$2000,AT$1))</f>
        <v>0</v>
      </c>
      <c r="AU22" cm="1">
        <f t="array" ref="AU22">SUMPRODUCT(('Team Lineups'!$K$2:$K$2000&lt;&gt;"")*('Team Lineups'!$C$2:$C$2000=$A22)*COUNTIFS('Team Lineups'!$K$2:$K$2000,'Team Lineups'!$K$2:$K$2000,'Team Lineups'!$C$2:$C$2000,AU$1))</f>
        <v>0</v>
      </c>
      <c r="AV22" cm="1">
        <f t="array" ref="AV22">SUMPRODUCT(('Team Lineups'!$K$2:$K$2000&lt;&gt;"")*('Team Lineups'!$C$2:$C$2000=$A22)*COUNTIFS('Team Lineups'!$K$2:$K$2000,'Team Lineups'!$K$2:$K$2000,'Team Lineups'!$C$2:$C$2000,AV$1))</f>
        <v>0</v>
      </c>
      <c r="AW22" cm="1">
        <f t="array" ref="AW22">SUMPRODUCT(('Team Lineups'!$K$2:$K$2000&lt;&gt;"")*('Team Lineups'!$C$2:$C$2000=$A22)*COUNTIFS('Team Lineups'!$K$2:$K$2000,'Team Lineups'!$K$2:$K$2000,'Team Lineups'!$C$2:$C$2000,AW$1))</f>
        <v>0</v>
      </c>
      <c r="AX22" cm="1">
        <f t="array" ref="AX22">SUMPRODUCT(('Team Lineups'!$K$2:$K$2000&lt;&gt;"")*('Team Lineups'!$C$2:$C$2000=$A22)*COUNTIFS('Team Lineups'!$K$2:$K$2000,'Team Lineups'!$K$2:$K$2000,'Team Lineups'!$C$2:$C$2000,AX$1))</f>
        <v>0</v>
      </c>
      <c r="AY22" cm="1">
        <f t="array" ref="AY22">SUMPRODUCT(('Team Lineups'!$K$2:$K$2000&lt;&gt;"")*('Team Lineups'!$C$2:$C$2000=$A22)*COUNTIFS('Team Lineups'!$K$2:$K$2000,'Team Lineups'!$K$2:$K$2000,'Team Lineups'!$C$2:$C$2000,AY$1))</f>
        <v>0</v>
      </c>
    </row>
    <row r="23" spans="1:51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2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1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1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1</v>
      </c>
      <c r="AP23" cm="1">
        <f t="array" ref="AP23">SUMPRODUCT(('Team Lineups'!$K$2:$K$2000&lt;&gt;"")*('Team Lineups'!$C$2:$C$2000=$A23)*COUNTIFS('Team Lineups'!$K$2:$K$2000,'Team Lineups'!$K$2:$K$2000,'Team Lineups'!$C$2:$C$2000,AP$1))</f>
        <v>1</v>
      </c>
      <c r="AQ23" cm="1">
        <f t="array" ref="AQ23">SUMPRODUCT(('Team Lineups'!$K$2:$K$2000&lt;&gt;"")*('Team Lineups'!$C$2:$C$2000=$A23)*COUNTIFS('Team Lineups'!$K$2:$K$2000,'Team Lineups'!$K$2:$K$2000,'Team Lineups'!$C$2:$C$2000,AQ$1))</f>
        <v>0</v>
      </c>
      <c r="AR23" cm="1">
        <f t="array" ref="AR23">SUMPRODUCT(('Team Lineups'!$K$2:$K$2000&lt;&gt;"")*('Team Lineups'!$C$2:$C$2000=$A23)*COUNTIFS('Team Lineups'!$K$2:$K$2000,'Team Lineups'!$K$2:$K$2000,'Team Lineups'!$C$2:$C$2000,AR$1))</f>
        <v>0</v>
      </c>
      <c r="AS23" cm="1">
        <f t="array" ref="AS23">SUMPRODUCT(('Team Lineups'!$K$2:$K$2000&lt;&gt;"")*('Team Lineups'!$C$2:$C$2000=$A23)*COUNTIFS('Team Lineups'!$K$2:$K$2000,'Team Lineups'!$K$2:$K$2000,'Team Lineups'!$C$2:$C$2000,AS$1))</f>
        <v>0</v>
      </c>
      <c r="AT23" cm="1">
        <f t="array" ref="AT23">SUMPRODUCT(('Team Lineups'!$K$2:$K$2000&lt;&gt;"")*('Team Lineups'!$C$2:$C$2000=$A23)*COUNTIFS('Team Lineups'!$K$2:$K$2000,'Team Lineups'!$K$2:$K$2000,'Team Lineups'!$C$2:$C$2000,AT$1))</f>
        <v>0</v>
      </c>
      <c r="AU23" cm="1">
        <f t="array" ref="AU23">SUMPRODUCT(('Team Lineups'!$K$2:$K$2000&lt;&gt;"")*('Team Lineups'!$C$2:$C$2000=$A23)*COUNTIFS('Team Lineups'!$K$2:$K$2000,'Team Lineups'!$K$2:$K$2000,'Team Lineups'!$C$2:$C$2000,AU$1))</f>
        <v>0</v>
      </c>
      <c r="AV23" cm="1">
        <f t="array" ref="AV23">SUMPRODUCT(('Team Lineups'!$K$2:$K$2000&lt;&gt;"")*('Team Lineups'!$C$2:$C$2000=$A23)*COUNTIFS('Team Lineups'!$K$2:$K$2000,'Team Lineups'!$K$2:$K$2000,'Team Lineups'!$C$2:$C$2000,AV$1))</f>
        <v>0</v>
      </c>
      <c r="AW23" cm="1">
        <f t="array" ref="AW23">SUMPRODUCT(('Team Lineups'!$K$2:$K$2000&lt;&gt;"")*('Team Lineups'!$C$2:$C$2000=$A23)*COUNTIFS('Team Lineups'!$K$2:$K$2000,'Team Lineups'!$K$2:$K$2000,'Team Lineups'!$C$2:$C$2000,AW$1))</f>
        <v>0</v>
      </c>
      <c r="AX23" cm="1">
        <f t="array" ref="AX23">SUMPRODUCT(('Team Lineups'!$K$2:$K$2000&lt;&gt;"")*('Team Lineups'!$C$2:$C$2000=$A23)*COUNTIFS('Team Lineups'!$K$2:$K$2000,'Team Lineups'!$K$2:$K$2000,'Team Lineups'!$C$2:$C$2000,AX$1))</f>
        <v>0</v>
      </c>
      <c r="AY23" cm="1">
        <f t="array" ref="AY23">SUMPRODUCT(('Team Lineups'!$K$2:$K$2000&lt;&gt;"")*('Team Lineups'!$C$2:$C$2000=$A23)*COUNTIFS('Team Lineups'!$K$2:$K$2000,'Team Lineups'!$K$2:$K$2000,'Team Lineups'!$C$2:$C$2000,AY$1))</f>
        <v>0</v>
      </c>
    </row>
    <row r="24" spans="1:51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  <c r="AQ24" cm="1">
        <f t="array" ref="AQ24">SUMPRODUCT(('Team Lineups'!$K$2:$K$2000&lt;&gt;"")*('Team Lineups'!$C$2:$C$2000=$A24)*COUNTIFS('Team Lineups'!$K$2:$K$2000,'Team Lineups'!$K$2:$K$2000,'Team Lineups'!$C$2:$C$2000,AQ$1))</f>
        <v>0</v>
      </c>
      <c r="AR24" cm="1">
        <f t="array" ref="AR24">SUMPRODUCT(('Team Lineups'!$K$2:$K$2000&lt;&gt;"")*('Team Lineups'!$C$2:$C$2000=$A24)*COUNTIFS('Team Lineups'!$K$2:$K$2000,'Team Lineups'!$K$2:$K$2000,'Team Lineups'!$C$2:$C$2000,AR$1))</f>
        <v>0</v>
      </c>
      <c r="AS24" cm="1">
        <f t="array" ref="AS24">SUMPRODUCT(('Team Lineups'!$K$2:$K$2000&lt;&gt;"")*('Team Lineups'!$C$2:$C$2000=$A24)*COUNTIFS('Team Lineups'!$K$2:$K$2000,'Team Lineups'!$K$2:$K$2000,'Team Lineups'!$C$2:$C$2000,AS$1))</f>
        <v>0</v>
      </c>
      <c r="AT24" cm="1">
        <f t="array" ref="AT24">SUMPRODUCT(('Team Lineups'!$K$2:$K$2000&lt;&gt;"")*('Team Lineups'!$C$2:$C$2000=$A24)*COUNTIFS('Team Lineups'!$K$2:$K$2000,'Team Lineups'!$K$2:$K$2000,'Team Lineups'!$C$2:$C$2000,AT$1))</f>
        <v>0</v>
      </c>
      <c r="AU24" cm="1">
        <f t="array" ref="AU24">SUMPRODUCT(('Team Lineups'!$K$2:$K$2000&lt;&gt;"")*('Team Lineups'!$C$2:$C$2000=$A24)*COUNTIFS('Team Lineups'!$K$2:$K$2000,'Team Lineups'!$K$2:$K$2000,'Team Lineups'!$C$2:$C$2000,AU$1))</f>
        <v>0</v>
      </c>
      <c r="AV24" cm="1">
        <f t="array" ref="AV24">SUMPRODUCT(('Team Lineups'!$K$2:$K$2000&lt;&gt;"")*('Team Lineups'!$C$2:$C$2000=$A24)*COUNTIFS('Team Lineups'!$K$2:$K$2000,'Team Lineups'!$K$2:$K$2000,'Team Lineups'!$C$2:$C$2000,AV$1))</f>
        <v>0</v>
      </c>
      <c r="AW24" cm="1">
        <f t="array" ref="AW24">SUMPRODUCT(('Team Lineups'!$K$2:$K$2000&lt;&gt;"")*('Team Lineups'!$C$2:$C$2000=$A24)*COUNTIFS('Team Lineups'!$K$2:$K$2000,'Team Lineups'!$K$2:$K$2000,'Team Lineups'!$C$2:$C$2000,AW$1))</f>
        <v>0</v>
      </c>
      <c r="AX24" cm="1">
        <f t="array" ref="AX24">SUMPRODUCT(('Team Lineups'!$K$2:$K$2000&lt;&gt;"")*('Team Lineups'!$C$2:$C$2000=$A24)*COUNTIFS('Team Lineups'!$K$2:$K$2000,'Team Lineups'!$K$2:$K$2000,'Team Lineups'!$C$2:$C$2000,AX$1))</f>
        <v>0</v>
      </c>
      <c r="AY24" cm="1">
        <f t="array" ref="AY24">SUMPRODUCT(('Team Lineups'!$K$2:$K$2000&lt;&gt;"")*('Team Lineups'!$C$2:$C$2000=$A24)*COUNTIFS('Team Lineups'!$K$2:$K$2000,'Team Lineups'!$K$2:$K$2000,'Team Lineups'!$C$2:$C$2000,AY$1))</f>
        <v>0</v>
      </c>
    </row>
    <row r="25" spans="1:51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  <c r="AQ25" cm="1">
        <f t="array" ref="AQ25">SUMPRODUCT(('Team Lineups'!$K$2:$K$2000&lt;&gt;"")*('Team Lineups'!$C$2:$C$2000=$A25)*COUNTIFS('Team Lineups'!$K$2:$K$2000,'Team Lineups'!$K$2:$K$2000,'Team Lineups'!$C$2:$C$2000,AQ$1))</f>
        <v>0</v>
      </c>
      <c r="AR25" cm="1">
        <f t="array" ref="AR25">SUMPRODUCT(('Team Lineups'!$K$2:$K$2000&lt;&gt;"")*('Team Lineups'!$C$2:$C$2000=$A25)*COUNTIFS('Team Lineups'!$K$2:$K$2000,'Team Lineups'!$K$2:$K$2000,'Team Lineups'!$C$2:$C$2000,AR$1))</f>
        <v>0</v>
      </c>
      <c r="AS25" cm="1">
        <f t="array" ref="AS25">SUMPRODUCT(('Team Lineups'!$K$2:$K$2000&lt;&gt;"")*('Team Lineups'!$C$2:$C$2000=$A25)*COUNTIFS('Team Lineups'!$K$2:$K$2000,'Team Lineups'!$K$2:$K$2000,'Team Lineups'!$C$2:$C$2000,AS$1))</f>
        <v>0</v>
      </c>
      <c r="AT25" cm="1">
        <f t="array" ref="AT25">SUMPRODUCT(('Team Lineups'!$K$2:$K$2000&lt;&gt;"")*('Team Lineups'!$C$2:$C$2000=$A25)*COUNTIFS('Team Lineups'!$K$2:$K$2000,'Team Lineups'!$K$2:$K$2000,'Team Lineups'!$C$2:$C$2000,AT$1))</f>
        <v>0</v>
      </c>
      <c r="AU25" cm="1">
        <f t="array" ref="AU25">SUMPRODUCT(('Team Lineups'!$K$2:$K$2000&lt;&gt;"")*('Team Lineups'!$C$2:$C$2000=$A25)*COUNTIFS('Team Lineups'!$K$2:$K$2000,'Team Lineups'!$K$2:$K$2000,'Team Lineups'!$C$2:$C$2000,AU$1))</f>
        <v>0</v>
      </c>
      <c r="AV25" cm="1">
        <f t="array" ref="AV25">SUMPRODUCT(('Team Lineups'!$K$2:$K$2000&lt;&gt;"")*('Team Lineups'!$C$2:$C$2000=$A25)*COUNTIFS('Team Lineups'!$K$2:$K$2000,'Team Lineups'!$K$2:$K$2000,'Team Lineups'!$C$2:$C$2000,AV$1))</f>
        <v>0</v>
      </c>
      <c r="AW25" cm="1">
        <f t="array" ref="AW25">SUMPRODUCT(('Team Lineups'!$K$2:$K$2000&lt;&gt;"")*('Team Lineups'!$C$2:$C$2000=$A25)*COUNTIFS('Team Lineups'!$K$2:$K$2000,'Team Lineups'!$K$2:$K$2000,'Team Lineups'!$C$2:$C$2000,AW$1))</f>
        <v>0</v>
      </c>
      <c r="AX25" cm="1">
        <f t="array" ref="AX25">SUMPRODUCT(('Team Lineups'!$K$2:$K$2000&lt;&gt;"")*('Team Lineups'!$C$2:$C$2000=$A25)*COUNTIFS('Team Lineups'!$K$2:$K$2000,'Team Lineups'!$K$2:$K$2000,'Team Lineups'!$C$2:$C$2000,AX$1))</f>
        <v>0</v>
      </c>
      <c r="AY25" cm="1">
        <f t="array" ref="AY25">SUMPRODUCT(('Team Lineups'!$K$2:$K$2000&lt;&gt;"")*('Team Lineups'!$C$2:$C$2000=$A25)*COUNTIFS('Team Lineups'!$K$2:$K$2000,'Team Lineups'!$K$2:$K$2000,'Team Lineups'!$C$2:$C$2000,AY$1))</f>
        <v>0</v>
      </c>
    </row>
    <row r="26" spans="1:51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3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3</v>
      </c>
      <c r="E26" cm="1">
        <f t="array" ref="E26">SUMPRODUCT(('Team Lineups'!$K$2:$K$2000&lt;&gt;"")*('Team Lineups'!$C$2:$C$2000=$A26)*COUNTIFS('Team Lineups'!$K$2:$K$2000,'Team Lineups'!$K$2:$K$2000,'Team Lineups'!$C$2:$C$2000,E$1))</f>
        <v>4</v>
      </c>
      <c r="F26" cm="1">
        <f t="array" ref="F26">SUMPRODUCT(('Team Lineups'!$K$2:$K$2000&lt;&gt;"")*('Team Lineups'!$C$2:$C$2000=$A26)*COUNTIFS('Team Lineups'!$K$2:$K$2000,'Team Lineups'!$K$2:$K$2000,'Team Lineups'!$C$2:$C$2000,F$1))</f>
        <v>3</v>
      </c>
      <c r="G26" cm="1">
        <f t="array" ref="G26">SUMPRODUCT(('Team Lineups'!$K$2:$K$2000&lt;&gt;"")*('Team Lineups'!$C$2:$C$2000=$A26)*COUNTIFS('Team Lineups'!$K$2:$K$2000,'Team Lineups'!$K$2:$K$2000,'Team Lineups'!$C$2:$C$2000,G$1))</f>
        <v>5</v>
      </c>
      <c r="H26" cm="1">
        <f t="array" ref="H26">SUMPRODUCT(('Team Lineups'!$K$2:$K$2000&lt;&gt;"")*('Team Lineups'!$C$2:$C$2000=$A26)*COUNTIFS('Team Lineups'!$K$2:$K$2000,'Team Lineups'!$K$2:$K$2000,'Team Lineups'!$C$2:$C$2000,H$1))</f>
        <v>6</v>
      </c>
      <c r="I26" cm="1">
        <f t="array" ref="I26">SUMPRODUCT(('Team Lineups'!$K$2:$K$2000&lt;&gt;"")*('Team Lineups'!$C$2:$C$2000=$A26)*COUNTIFS('Team Lineups'!$K$2:$K$2000,'Team Lineups'!$K$2:$K$2000,'Team Lineups'!$C$2:$C$2000,I$1))</f>
        <v>5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2</v>
      </c>
      <c r="M26" cm="1">
        <f t="array" ref="M26">SUMPRODUCT(('Team Lineups'!$K$2:$K$2000&lt;&gt;"")*('Team Lineups'!$C$2:$C$2000=$A26)*COUNTIFS('Team Lineups'!$K$2:$K$2000,'Team Lineups'!$K$2:$K$2000,'Team Lineups'!$C$2:$C$2000,M$1))</f>
        <v>7</v>
      </c>
      <c r="N26" cm="1">
        <f t="array" ref="N26">SUMPRODUCT(('Team Lineups'!$K$2:$K$2000&lt;&gt;"")*('Team Lineups'!$C$2:$C$2000=$A26)*COUNTIFS('Team Lineups'!$K$2:$K$2000,'Team Lineups'!$K$2:$K$2000,'Team Lineups'!$C$2:$C$2000,N$1))</f>
        <v>3</v>
      </c>
      <c r="O26" cm="1">
        <f t="array" ref="O26">SUMPRODUCT(('Team Lineups'!$K$2:$K$2000&lt;&gt;"")*('Team Lineups'!$C$2:$C$2000=$A26)*COUNTIFS('Team Lineups'!$K$2:$K$2000,'Team Lineups'!$K$2:$K$2000,'Team Lineups'!$C$2:$C$2000,O$1))</f>
        <v>3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7</v>
      </c>
      <c r="R26" cm="1">
        <f t="array" ref="R26">SUMPRODUCT(('Team Lineups'!$K$2:$K$2000&lt;&gt;"")*('Team Lineups'!$C$2:$C$2000=$A26)*COUNTIFS('Team Lineups'!$K$2:$K$2000,'Team Lineups'!$K$2:$K$2000,'Team Lineups'!$C$2:$C$2000,R$1))</f>
        <v>4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16</v>
      </c>
      <c r="AA26" cm="1">
        <f t="array" ref="AA26">SUMPRODUCT(('Team Lineups'!$K$2:$K$2000&lt;&gt;"")*('Team Lineups'!$C$2:$C$2000=$A26)*COUNTIFS('Team Lineups'!$K$2:$K$2000,'Team Lineups'!$K$2:$K$2000,'Team Lineups'!$C$2:$C$2000,AA$1))</f>
        <v>1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3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1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1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7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3</v>
      </c>
      <c r="AQ26" cm="1">
        <f t="array" ref="AQ26">SUMPRODUCT(('Team Lineups'!$K$2:$K$2000&lt;&gt;"")*('Team Lineups'!$C$2:$C$2000=$A26)*COUNTIFS('Team Lineups'!$K$2:$K$2000,'Team Lineups'!$K$2:$K$2000,'Team Lineups'!$C$2:$C$2000,AQ$1))</f>
        <v>2</v>
      </c>
      <c r="AR26" cm="1">
        <f t="array" ref="AR26">SUMPRODUCT(('Team Lineups'!$K$2:$K$2000&lt;&gt;"")*('Team Lineups'!$C$2:$C$2000=$A26)*COUNTIFS('Team Lineups'!$K$2:$K$2000,'Team Lineups'!$K$2:$K$2000,'Team Lineups'!$C$2:$C$2000,AR$1))</f>
        <v>0</v>
      </c>
      <c r="AS26" cm="1">
        <f t="array" ref="AS26">SUMPRODUCT(('Team Lineups'!$K$2:$K$2000&lt;&gt;"")*('Team Lineups'!$C$2:$C$2000=$A26)*COUNTIFS('Team Lineups'!$K$2:$K$2000,'Team Lineups'!$K$2:$K$2000,'Team Lineups'!$C$2:$C$2000,AS$1))</f>
        <v>0</v>
      </c>
      <c r="AT26" cm="1">
        <f t="array" ref="AT26">SUMPRODUCT(('Team Lineups'!$K$2:$K$2000&lt;&gt;"")*('Team Lineups'!$C$2:$C$2000=$A26)*COUNTIFS('Team Lineups'!$K$2:$K$2000,'Team Lineups'!$K$2:$K$2000,'Team Lineups'!$C$2:$C$2000,AT$1))</f>
        <v>0</v>
      </c>
      <c r="AU26" cm="1">
        <f t="array" ref="AU26">SUMPRODUCT(('Team Lineups'!$K$2:$K$2000&lt;&gt;"")*('Team Lineups'!$C$2:$C$2000=$A26)*COUNTIFS('Team Lineups'!$K$2:$K$2000,'Team Lineups'!$K$2:$K$2000,'Team Lineups'!$C$2:$C$2000,AU$1))</f>
        <v>0</v>
      </c>
      <c r="AV26" cm="1">
        <f t="array" ref="AV26">SUMPRODUCT(('Team Lineups'!$K$2:$K$2000&lt;&gt;"")*('Team Lineups'!$C$2:$C$2000=$A26)*COUNTIFS('Team Lineups'!$K$2:$K$2000,'Team Lineups'!$K$2:$K$2000,'Team Lineups'!$C$2:$C$2000,AV$1))</f>
        <v>1</v>
      </c>
      <c r="AW26" cm="1">
        <f t="array" ref="AW26">SUMPRODUCT(('Team Lineups'!$K$2:$K$2000&lt;&gt;"")*('Team Lineups'!$C$2:$C$2000=$A26)*COUNTIFS('Team Lineups'!$K$2:$K$2000,'Team Lineups'!$K$2:$K$2000,'Team Lineups'!$C$2:$C$2000,AW$1))</f>
        <v>0</v>
      </c>
      <c r="AX26" cm="1">
        <f t="array" ref="AX26">SUMPRODUCT(('Team Lineups'!$K$2:$K$2000&lt;&gt;"")*('Team Lineups'!$C$2:$C$2000=$A26)*COUNTIFS('Team Lineups'!$K$2:$K$2000,'Team Lineups'!$K$2:$K$2000,'Team Lineups'!$C$2:$C$2000,AX$1))</f>
        <v>0</v>
      </c>
      <c r="AY26" cm="1">
        <f t="array" ref="AY26">SUMPRODUCT(('Team Lineups'!$K$2:$K$2000&lt;&gt;"")*('Team Lineups'!$C$2:$C$2000=$A26)*COUNTIFS('Team Lineups'!$K$2:$K$2000,'Team Lineups'!$K$2:$K$2000,'Team Lineups'!$C$2:$C$2000,AY$1))</f>
        <v>0</v>
      </c>
    </row>
    <row r="27" spans="1:51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9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5</v>
      </c>
      <c r="E27" cm="1">
        <f t="array" ref="E27">SUMPRODUCT(('Team Lineups'!$K$2:$K$2000&lt;&gt;"")*('Team Lineups'!$C$2:$C$2000=$A27)*COUNTIFS('Team Lineups'!$K$2:$K$2000,'Team Lineups'!$K$2:$K$2000,'Team Lineups'!$C$2:$C$2000,E$1))</f>
        <v>8</v>
      </c>
      <c r="F27" cm="1">
        <f t="array" ref="F27">SUMPRODUCT(('Team Lineups'!$K$2:$K$2000&lt;&gt;"")*('Team Lineups'!$C$2:$C$2000=$A27)*COUNTIFS('Team Lineups'!$K$2:$K$2000,'Team Lineups'!$K$2:$K$2000,'Team Lineups'!$C$2:$C$2000,F$1))</f>
        <v>10</v>
      </c>
      <c r="G27" cm="1">
        <f t="array" ref="G27">SUMPRODUCT(('Team Lineups'!$K$2:$K$2000&lt;&gt;"")*('Team Lineups'!$C$2:$C$2000=$A27)*COUNTIFS('Team Lineups'!$K$2:$K$2000,'Team Lineups'!$K$2:$K$2000,'Team Lineups'!$C$2:$C$2000,G$1))</f>
        <v>12</v>
      </c>
      <c r="H27" cm="1">
        <f t="array" ref="H27">SUMPRODUCT(('Team Lineups'!$K$2:$K$2000&lt;&gt;"")*('Team Lineups'!$C$2:$C$2000=$A27)*COUNTIFS('Team Lineups'!$K$2:$K$2000,'Team Lineups'!$K$2:$K$2000,'Team Lineups'!$C$2:$C$2000,H$1))</f>
        <v>6</v>
      </c>
      <c r="I27" cm="1">
        <f t="array" ref="I27">SUMPRODUCT(('Team Lineups'!$K$2:$K$2000&lt;&gt;"")*('Team Lineups'!$C$2:$C$2000=$A27)*COUNTIFS('Team Lineups'!$K$2:$K$2000,'Team Lineups'!$K$2:$K$2000,'Team Lineups'!$C$2:$C$2000,I$1))</f>
        <v>13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13</v>
      </c>
      <c r="M27" cm="1">
        <f t="array" ref="M27">SUMPRODUCT(('Team Lineups'!$K$2:$K$2000&lt;&gt;"")*('Team Lineups'!$C$2:$C$2000=$A27)*COUNTIFS('Team Lineups'!$K$2:$K$2000,'Team Lineups'!$K$2:$K$2000,'Team Lineups'!$C$2:$C$2000,M$1))</f>
        <v>11</v>
      </c>
      <c r="N27" cm="1">
        <f t="array" ref="N27">SUMPRODUCT(('Team Lineups'!$K$2:$K$2000&lt;&gt;"")*('Team Lineups'!$C$2:$C$2000=$A27)*COUNTIFS('Team Lineups'!$K$2:$K$2000,'Team Lineups'!$K$2:$K$2000,'Team Lineups'!$C$2:$C$2000,N$1))</f>
        <v>7</v>
      </c>
      <c r="O27" cm="1">
        <f t="array" ref="O27">SUMPRODUCT(('Team Lineups'!$K$2:$K$2000&lt;&gt;"")*('Team Lineups'!$C$2:$C$2000=$A27)*COUNTIFS('Team Lineups'!$K$2:$K$2000,'Team Lineups'!$K$2:$K$2000,'Team Lineups'!$C$2:$C$2000,O$1))</f>
        <v>5</v>
      </c>
      <c r="P27" cm="1">
        <f t="array" ref="P27">SUMPRODUCT(('Team Lineups'!$K$2:$K$2000&lt;&gt;"")*('Team Lineups'!$C$2:$C$2000=$A27)*COUNTIFS('Team Lineups'!$K$2:$K$2000,'Team Lineups'!$K$2:$K$2000,'Team Lineups'!$C$2:$C$2000,P$1))</f>
        <v>4</v>
      </c>
      <c r="Q27" cm="1">
        <f t="array" ref="Q27">SUMPRODUCT(('Team Lineups'!$K$2:$K$2000&lt;&gt;"")*('Team Lineups'!$C$2:$C$2000=$A27)*COUNTIFS('Team Lineups'!$K$2:$K$2000,'Team Lineups'!$K$2:$K$2000,'Team Lineups'!$C$2:$C$2000,Q$1))</f>
        <v>6</v>
      </c>
      <c r="R27" cm="1">
        <f t="array" ref="R27">SUMPRODUCT(('Team Lineups'!$K$2:$K$2000&lt;&gt;"")*('Team Lineups'!$C$2:$C$2000=$A27)*COUNTIFS('Team Lineups'!$K$2:$K$2000,'Team Lineups'!$K$2:$K$2000,'Team Lineups'!$C$2:$C$2000,R$1))</f>
        <v>8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4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1</v>
      </c>
      <c r="AA27" cm="1">
        <f t="array" ref="AA27">SUMPRODUCT(('Team Lineups'!$K$2:$K$2000&lt;&gt;"")*('Team Lineups'!$C$2:$C$2000=$A27)*COUNTIFS('Team Lineups'!$K$2:$K$2000,'Team Lineups'!$K$2:$K$2000,'Team Lineups'!$C$2:$C$2000,AA$1))</f>
        <v>34</v>
      </c>
      <c r="AB27" cm="1">
        <f t="array" ref="AB27">SUMPRODUCT(('Team Lineups'!$K$2:$K$2000&lt;&gt;"")*('Team Lineups'!$C$2:$C$2000=$A27)*COUNTIFS('Team Lineups'!$K$2:$K$2000,'Team Lineups'!$K$2:$K$2000,'Team Lineups'!$C$2:$C$2000,AB$1))</f>
        <v>11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6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2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10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4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2</v>
      </c>
      <c r="AO27" cm="1">
        <f t="array" ref="AO27">SUMPRODUCT(('Team Lineups'!$K$2:$K$2000&lt;&gt;"")*('Team Lineups'!$C$2:$C$2000=$A27)*COUNTIFS('Team Lineups'!$K$2:$K$2000,'Team Lineups'!$K$2:$K$2000,'Team Lineups'!$C$2:$C$2000,AO$1))</f>
        <v>3</v>
      </c>
      <c r="AP27" cm="1">
        <f t="array" ref="AP27">SUMPRODUCT(('Team Lineups'!$K$2:$K$2000&lt;&gt;"")*('Team Lineups'!$C$2:$C$2000=$A27)*COUNTIFS('Team Lineups'!$K$2:$K$2000,'Team Lineups'!$K$2:$K$2000,'Team Lineups'!$C$2:$C$2000,AP$1))</f>
        <v>3</v>
      </c>
      <c r="AQ27" cm="1">
        <f t="array" ref="AQ27">SUMPRODUCT(('Team Lineups'!$K$2:$K$2000&lt;&gt;"")*('Team Lineups'!$C$2:$C$2000=$A27)*COUNTIFS('Team Lineups'!$K$2:$K$2000,'Team Lineups'!$K$2:$K$2000,'Team Lineups'!$C$2:$C$2000,AQ$1))</f>
        <v>2</v>
      </c>
      <c r="AR27" cm="1">
        <f t="array" ref="AR27">SUMPRODUCT(('Team Lineups'!$K$2:$K$2000&lt;&gt;"")*('Team Lineups'!$C$2:$C$2000=$A27)*COUNTIFS('Team Lineups'!$K$2:$K$2000,'Team Lineups'!$K$2:$K$2000,'Team Lineups'!$C$2:$C$2000,AR$1))</f>
        <v>0</v>
      </c>
      <c r="AS27" cm="1">
        <f t="array" ref="AS27">SUMPRODUCT(('Team Lineups'!$K$2:$K$2000&lt;&gt;"")*('Team Lineups'!$C$2:$C$2000=$A27)*COUNTIFS('Team Lineups'!$K$2:$K$2000,'Team Lineups'!$K$2:$K$2000,'Team Lineups'!$C$2:$C$2000,AS$1))</f>
        <v>0</v>
      </c>
      <c r="AT27" cm="1">
        <f t="array" ref="AT27">SUMPRODUCT(('Team Lineups'!$K$2:$K$2000&lt;&gt;"")*('Team Lineups'!$C$2:$C$2000=$A27)*COUNTIFS('Team Lineups'!$K$2:$K$2000,'Team Lineups'!$K$2:$K$2000,'Team Lineups'!$C$2:$C$2000,AT$1))</f>
        <v>0</v>
      </c>
      <c r="AU27" cm="1">
        <f t="array" ref="AU27">SUMPRODUCT(('Team Lineups'!$K$2:$K$2000&lt;&gt;"")*('Team Lineups'!$C$2:$C$2000=$A27)*COUNTIFS('Team Lineups'!$K$2:$K$2000,'Team Lineups'!$K$2:$K$2000,'Team Lineups'!$C$2:$C$2000,AU$1))</f>
        <v>4</v>
      </c>
      <c r="AV27" cm="1">
        <f t="array" ref="AV27">SUMPRODUCT(('Team Lineups'!$K$2:$K$2000&lt;&gt;"")*('Team Lineups'!$C$2:$C$2000=$A27)*COUNTIFS('Team Lineups'!$K$2:$K$2000,'Team Lineups'!$K$2:$K$2000,'Team Lineups'!$C$2:$C$2000,AV$1))</f>
        <v>1</v>
      </c>
      <c r="AW27" cm="1">
        <f t="array" ref="AW27">SUMPRODUCT(('Team Lineups'!$K$2:$K$2000&lt;&gt;"")*('Team Lineups'!$C$2:$C$2000=$A27)*COUNTIFS('Team Lineups'!$K$2:$K$2000,'Team Lineups'!$K$2:$K$2000,'Team Lineups'!$C$2:$C$2000,AW$1))</f>
        <v>1</v>
      </c>
      <c r="AX27" cm="1">
        <f t="array" ref="AX27">SUMPRODUCT(('Team Lineups'!$K$2:$K$2000&lt;&gt;"")*('Team Lineups'!$C$2:$C$2000=$A27)*COUNTIFS('Team Lineups'!$K$2:$K$2000,'Team Lineups'!$K$2:$K$2000,'Team Lineups'!$C$2:$C$2000,AX$1))</f>
        <v>0</v>
      </c>
      <c r="AY27" cm="1">
        <f t="array" ref="AY27">SUMPRODUCT(('Team Lineups'!$K$2:$K$2000&lt;&gt;"")*('Team Lineups'!$C$2:$C$2000=$A27)*COUNTIFS('Team Lineups'!$K$2:$K$2000,'Team Lineups'!$K$2:$K$2000,'Team Lineups'!$C$2:$C$2000,AY$1))</f>
        <v>1</v>
      </c>
    </row>
    <row r="28" spans="1:51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3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3</v>
      </c>
      <c r="E28" cm="1">
        <f t="array" ref="E28">SUMPRODUCT(('Team Lineups'!$K$2:$K$2000&lt;&gt;"")*('Team Lineups'!$C$2:$C$2000=$A28)*COUNTIFS('Team Lineups'!$K$2:$K$2000,'Team Lineups'!$K$2:$K$2000,'Team Lineups'!$C$2:$C$2000,E$1))</f>
        <v>4</v>
      </c>
      <c r="F28" cm="1">
        <f t="array" ref="F28">SUMPRODUCT(('Team Lineups'!$K$2:$K$2000&lt;&gt;"")*('Team Lineups'!$C$2:$C$2000=$A28)*COUNTIFS('Team Lineups'!$K$2:$K$2000,'Team Lineups'!$K$2:$K$2000,'Team Lineups'!$C$2:$C$2000,F$1))</f>
        <v>6</v>
      </c>
      <c r="G28" cm="1">
        <f t="array" ref="G28">SUMPRODUCT(('Team Lineups'!$K$2:$K$2000&lt;&gt;"")*('Team Lineups'!$C$2:$C$2000=$A28)*COUNTIFS('Team Lineups'!$K$2:$K$2000,'Team Lineups'!$K$2:$K$2000,'Team Lineups'!$C$2:$C$2000,G$1))</f>
        <v>4</v>
      </c>
      <c r="H28" cm="1">
        <f t="array" ref="H28">SUMPRODUCT(('Team Lineups'!$K$2:$K$2000&lt;&gt;"")*('Team Lineups'!$C$2:$C$2000=$A28)*COUNTIFS('Team Lineups'!$K$2:$K$2000,'Team Lineups'!$K$2:$K$2000,'Team Lineups'!$C$2:$C$2000,H$1))</f>
        <v>9</v>
      </c>
      <c r="I28" cm="1">
        <f t="array" ref="I28">SUMPRODUCT(('Team Lineups'!$K$2:$K$2000&lt;&gt;"")*('Team Lineups'!$C$2:$C$2000=$A28)*COUNTIFS('Team Lineups'!$K$2:$K$2000,'Team Lineups'!$K$2:$K$2000,'Team Lineups'!$C$2:$C$2000,I$1))</f>
        <v>5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8</v>
      </c>
      <c r="M28" cm="1">
        <f t="array" ref="M28">SUMPRODUCT(('Team Lineups'!$K$2:$K$2000&lt;&gt;"")*('Team Lineups'!$C$2:$C$2000=$A28)*COUNTIFS('Team Lineups'!$K$2:$K$2000,'Team Lineups'!$K$2:$K$2000,'Team Lineups'!$C$2:$C$2000,M$1))</f>
        <v>3</v>
      </c>
      <c r="N28" cm="1">
        <f t="array" ref="N28">SUMPRODUCT(('Team Lineups'!$K$2:$K$2000&lt;&gt;"")*('Team Lineups'!$C$2:$C$2000=$A28)*COUNTIFS('Team Lineups'!$K$2:$K$2000,'Team Lineups'!$K$2:$K$2000,'Team Lineups'!$C$2:$C$2000,N$1))</f>
        <v>4</v>
      </c>
      <c r="O28" cm="1">
        <f t="array" ref="O28">SUMPRODUCT(('Team Lineups'!$K$2:$K$2000&lt;&gt;"")*('Team Lineups'!$C$2:$C$2000=$A28)*COUNTIFS('Team Lineups'!$K$2:$K$2000,'Team Lineups'!$K$2:$K$2000,'Team Lineups'!$C$2:$C$2000,O$1))</f>
        <v>4</v>
      </c>
      <c r="P28" cm="1">
        <f t="array" ref="P28">SUMPRODUCT(('Team Lineups'!$K$2:$K$2000&lt;&gt;"")*('Team Lineups'!$C$2:$C$2000=$A28)*COUNTIFS('Team Lineups'!$K$2:$K$2000,'Team Lineups'!$K$2:$K$2000,'Team Lineups'!$C$2:$C$2000,P$1))</f>
        <v>1</v>
      </c>
      <c r="Q28" cm="1">
        <f t="array" ref="Q28">SUMPRODUCT(('Team Lineups'!$K$2:$K$2000&lt;&gt;"")*('Team Lineups'!$C$2:$C$2000=$A28)*COUNTIFS('Team Lineups'!$K$2:$K$2000,'Team Lineups'!$K$2:$K$2000,'Team Lineups'!$C$2:$C$2000,Q$1))</f>
        <v>5</v>
      </c>
      <c r="R28" cm="1">
        <f t="array" ref="R28">SUMPRODUCT(('Team Lineups'!$K$2:$K$2000&lt;&gt;"")*('Team Lineups'!$C$2:$C$2000=$A28)*COUNTIFS('Team Lineups'!$K$2:$K$2000,'Team Lineups'!$K$2:$K$2000,'Team Lineups'!$C$2:$C$2000,R$1))</f>
        <v>6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3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11</v>
      </c>
      <c r="AB28" cm="1">
        <f t="array" ref="AB28">SUMPRODUCT(('Team Lineups'!$K$2:$K$2000&lt;&gt;"")*('Team Lineups'!$C$2:$C$2000=$A28)*COUNTIFS('Team Lineups'!$K$2:$K$2000,'Team Lineups'!$K$2:$K$2000,'Team Lineups'!$C$2:$C$2000,AB$1))</f>
        <v>23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7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3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6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2</v>
      </c>
      <c r="AO28" cm="1">
        <f t="array" ref="AO28">SUMPRODUCT(('Team Lineups'!$K$2:$K$2000&lt;&gt;"")*('Team Lineups'!$C$2:$C$2000=$A28)*COUNTIFS('Team Lineups'!$K$2:$K$2000,'Team Lineups'!$K$2:$K$2000,'Team Lineups'!$C$2:$C$2000,AO$1))</f>
        <v>1</v>
      </c>
      <c r="AP28" cm="1">
        <f t="array" ref="AP28">SUMPRODUCT(('Team Lineups'!$K$2:$K$2000&lt;&gt;"")*('Team Lineups'!$C$2:$C$2000=$A28)*COUNTIFS('Team Lineups'!$K$2:$K$2000,'Team Lineups'!$K$2:$K$2000,'Team Lineups'!$C$2:$C$2000,AP$1))</f>
        <v>1</v>
      </c>
      <c r="AQ28" cm="1">
        <f t="array" ref="AQ28">SUMPRODUCT(('Team Lineups'!$K$2:$K$2000&lt;&gt;"")*('Team Lineups'!$C$2:$C$2000=$A28)*COUNTIFS('Team Lineups'!$K$2:$K$2000,'Team Lineups'!$K$2:$K$2000,'Team Lineups'!$C$2:$C$2000,AQ$1))</f>
        <v>1</v>
      </c>
      <c r="AR28" cm="1">
        <f t="array" ref="AR28">SUMPRODUCT(('Team Lineups'!$K$2:$K$2000&lt;&gt;"")*('Team Lineups'!$C$2:$C$2000=$A28)*COUNTIFS('Team Lineups'!$K$2:$K$2000,'Team Lineups'!$K$2:$K$2000,'Team Lineups'!$C$2:$C$2000,AR$1))</f>
        <v>0</v>
      </c>
      <c r="AS28" cm="1">
        <f t="array" ref="AS28">SUMPRODUCT(('Team Lineups'!$K$2:$K$2000&lt;&gt;"")*('Team Lineups'!$C$2:$C$2000=$A28)*COUNTIFS('Team Lineups'!$K$2:$K$2000,'Team Lineups'!$K$2:$K$2000,'Team Lineups'!$C$2:$C$2000,AS$1))</f>
        <v>0</v>
      </c>
      <c r="AT28" cm="1">
        <f t="array" ref="AT28">SUMPRODUCT(('Team Lineups'!$K$2:$K$2000&lt;&gt;"")*('Team Lineups'!$C$2:$C$2000=$A28)*COUNTIFS('Team Lineups'!$K$2:$K$2000,'Team Lineups'!$K$2:$K$2000,'Team Lineups'!$C$2:$C$2000,AT$1))</f>
        <v>1</v>
      </c>
      <c r="AU28" cm="1">
        <f t="array" ref="AU28">SUMPRODUCT(('Team Lineups'!$K$2:$K$2000&lt;&gt;"")*('Team Lineups'!$C$2:$C$2000=$A28)*COUNTIFS('Team Lineups'!$K$2:$K$2000,'Team Lineups'!$K$2:$K$2000,'Team Lineups'!$C$2:$C$2000,AU$1))</f>
        <v>1</v>
      </c>
      <c r="AV28" cm="1">
        <f t="array" ref="AV28">SUMPRODUCT(('Team Lineups'!$K$2:$K$2000&lt;&gt;"")*('Team Lineups'!$C$2:$C$2000=$A28)*COUNTIFS('Team Lineups'!$K$2:$K$2000,'Team Lineups'!$K$2:$K$2000,'Team Lineups'!$C$2:$C$2000,AV$1))</f>
        <v>0</v>
      </c>
      <c r="AW28" cm="1">
        <f t="array" ref="AW28">SUMPRODUCT(('Team Lineups'!$K$2:$K$2000&lt;&gt;"")*('Team Lineups'!$C$2:$C$2000=$A28)*COUNTIFS('Team Lineups'!$K$2:$K$2000,'Team Lineups'!$K$2:$K$2000,'Team Lineups'!$C$2:$C$2000,AW$1))</f>
        <v>0</v>
      </c>
      <c r="AX28" cm="1">
        <f t="array" ref="AX28">SUMPRODUCT(('Team Lineups'!$K$2:$K$2000&lt;&gt;"")*('Team Lineups'!$C$2:$C$2000=$A28)*COUNTIFS('Team Lineups'!$K$2:$K$2000,'Team Lineups'!$K$2:$K$2000,'Team Lineups'!$C$2:$C$2000,AX$1))</f>
        <v>0</v>
      </c>
      <c r="AY28" cm="1">
        <f t="array" ref="AY28">SUMPRODUCT(('Team Lineups'!$K$2:$K$2000&lt;&gt;"")*('Team Lineups'!$C$2:$C$2000=$A28)*COUNTIFS('Team Lineups'!$K$2:$K$2000,'Team Lineups'!$K$2:$K$2000,'Team Lineups'!$C$2:$C$2000,AY$1))</f>
        <v>1</v>
      </c>
    </row>
    <row r="29" spans="1:51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  <c r="AQ29" cm="1">
        <f t="array" ref="AQ29">SUMPRODUCT(('Team Lineups'!$K$2:$K$2000&lt;&gt;"")*('Team Lineups'!$C$2:$C$2000=$A29)*COUNTIFS('Team Lineups'!$K$2:$K$2000,'Team Lineups'!$K$2:$K$2000,'Team Lineups'!$C$2:$C$2000,AQ$1))</f>
        <v>0</v>
      </c>
      <c r="AR29" cm="1">
        <f t="array" ref="AR29">SUMPRODUCT(('Team Lineups'!$K$2:$K$2000&lt;&gt;"")*('Team Lineups'!$C$2:$C$2000=$A29)*COUNTIFS('Team Lineups'!$K$2:$K$2000,'Team Lineups'!$K$2:$K$2000,'Team Lineups'!$C$2:$C$2000,AR$1))</f>
        <v>0</v>
      </c>
      <c r="AS29" cm="1">
        <f t="array" ref="AS29">SUMPRODUCT(('Team Lineups'!$K$2:$K$2000&lt;&gt;"")*('Team Lineups'!$C$2:$C$2000=$A29)*COUNTIFS('Team Lineups'!$K$2:$K$2000,'Team Lineups'!$K$2:$K$2000,'Team Lineups'!$C$2:$C$2000,AS$1))</f>
        <v>0</v>
      </c>
      <c r="AT29" cm="1">
        <f t="array" ref="AT29">SUMPRODUCT(('Team Lineups'!$K$2:$K$2000&lt;&gt;"")*('Team Lineups'!$C$2:$C$2000=$A29)*COUNTIFS('Team Lineups'!$K$2:$K$2000,'Team Lineups'!$K$2:$K$2000,'Team Lineups'!$C$2:$C$2000,AT$1))</f>
        <v>0</v>
      </c>
      <c r="AU29" cm="1">
        <f t="array" ref="AU29">SUMPRODUCT(('Team Lineups'!$K$2:$K$2000&lt;&gt;"")*('Team Lineups'!$C$2:$C$2000=$A29)*COUNTIFS('Team Lineups'!$K$2:$K$2000,'Team Lineups'!$K$2:$K$2000,'Team Lineups'!$C$2:$C$2000,AU$1))</f>
        <v>0</v>
      </c>
      <c r="AV29" cm="1">
        <f t="array" ref="AV29">SUMPRODUCT(('Team Lineups'!$K$2:$K$2000&lt;&gt;"")*('Team Lineups'!$C$2:$C$2000=$A29)*COUNTIFS('Team Lineups'!$K$2:$K$2000,'Team Lineups'!$K$2:$K$2000,'Team Lineups'!$C$2:$C$2000,AV$1))</f>
        <v>0</v>
      </c>
      <c r="AW29" cm="1">
        <f t="array" ref="AW29">SUMPRODUCT(('Team Lineups'!$K$2:$K$2000&lt;&gt;"")*('Team Lineups'!$C$2:$C$2000=$A29)*COUNTIFS('Team Lineups'!$K$2:$K$2000,'Team Lineups'!$K$2:$K$2000,'Team Lineups'!$C$2:$C$2000,AW$1))</f>
        <v>0</v>
      </c>
      <c r="AX29" cm="1">
        <f t="array" ref="AX29">SUMPRODUCT(('Team Lineups'!$K$2:$K$2000&lt;&gt;"")*('Team Lineups'!$C$2:$C$2000=$A29)*COUNTIFS('Team Lineups'!$K$2:$K$2000,'Team Lineups'!$K$2:$K$2000,'Team Lineups'!$C$2:$C$2000,AX$1))</f>
        <v>0</v>
      </c>
      <c r="AY29" cm="1">
        <f t="array" ref="AY29">SUMPRODUCT(('Team Lineups'!$K$2:$K$2000&lt;&gt;"")*('Team Lineups'!$C$2:$C$2000=$A29)*COUNTIFS('Team Lineups'!$K$2:$K$2000,'Team Lineups'!$K$2:$K$2000,'Team Lineups'!$C$2:$C$2000,AY$1))</f>
        <v>0</v>
      </c>
    </row>
    <row r="30" spans="1:51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3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3</v>
      </c>
      <c r="F30" cm="1">
        <f t="array" ref="F30">SUMPRODUCT(('Team Lineups'!$K$2:$K$2000&lt;&gt;"")*('Team Lineups'!$C$2:$C$2000=$A30)*COUNTIFS('Team Lineups'!$K$2:$K$2000,'Team Lineups'!$K$2:$K$2000,'Team Lineups'!$C$2:$C$2000,F$1))</f>
        <v>3</v>
      </c>
      <c r="G30" cm="1">
        <f t="array" ref="G30">SUMPRODUCT(('Team Lineups'!$K$2:$K$2000&lt;&gt;"")*('Team Lineups'!$C$2:$C$2000=$A30)*COUNTIFS('Team Lineups'!$K$2:$K$2000,'Team Lineups'!$K$2:$K$2000,'Team Lineups'!$C$2:$C$2000,G$1))</f>
        <v>9</v>
      </c>
      <c r="H30" cm="1">
        <f t="array" ref="H30">SUMPRODUCT(('Team Lineups'!$K$2:$K$2000&lt;&gt;"")*('Team Lineups'!$C$2:$C$2000=$A30)*COUNTIFS('Team Lineups'!$K$2:$K$2000,'Team Lineups'!$K$2:$K$2000,'Team Lineups'!$C$2:$C$2000,H$1))</f>
        <v>7</v>
      </c>
      <c r="I30" cm="1">
        <f t="array" ref="I30">SUMPRODUCT(('Team Lineups'!$K$2:$K$2000&lt;&gt;"")*('Team Lineups'!$C$2:$C$2000=$A30)*COUNTIFS('Team Lineups'!$K$2:$K$2000,'Team Lineups'!$K$2:$K$2000,'Team Lineups'!$C$2:$C$2000,I$1))</f>
        <v>8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9</v>
      </c>
      <c r="M30" cm="1">
        <f t="array" ref="M30">SUMPRODUCT(('Team Lineups'!$K$2:$K$2000&lt;&gt;"")*('Team Lineups'!$C$2:$C$2000=$A30)*COUNTIFS('Team Lineups'!$K$2:$K$2000,'Team Lineups'!$K$2:$K$2000,'Team Lineups'!$C$2:$C$2000,M$1))</f>
        <v>7</v>
      </c>
      <c r="N30" cm="1">
        <f t="array" ref="N30">SUMPRODUCT(('Team Lineups'!$K$2:$K$2000&lt;&gt;"")*('Team Lineups'!$C$2:$C$2000=$A30)*COUNTIFS('Team Lineups'!$K$2:$K$2000,'Team Lineups'!$K$2:$K$2000,'Team Lineups'!$C$2:$C$2000,N$1))</f>
        <v>7</v>
      </c>
      <c r="O30" cm="1">
        <f t="array" ref="O30">SUMPRODUCT(('Team Lineups'!$K$2:$K$2000&lt;&gt;"")*('Team Lineups'!$C$2:$C$2000=$A30)*COUNTIFS('Team Lineups'!$K$2:$K$2000,'Team Lineups'!$K$2:$K$2000,'Team Lineups'!$C$2:$C$2000,O$1))</f>
        <v>4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6</v>
      </c>
      <c r="R30" cm="1">
        <f t="array" ref="R30">SUMPRODUCT(('Team Lineups'!$K$2:$K$2000&lt;&gt;"")*('Team Lineups'!$C$2:$C$2000=$A30)*COUNTIFS('Team Lineups'!$K$2:$K$2000,'Team Lineups'!$K$2:$K$2000,'Team Lineups'!$C$2:$C$2000,R$1))</f>
        <v>1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5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1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3</v>
      </c>
      <c r="AA30" cm="1">
        <f t="array" ref="AA30">SUMPRODUCT(('Team Lineups'!$K$2:$K$2000&lt;&gt;"")*('Team Lineups'!$C$2:$C$2000=$A30)*COUNTIFS('Team Lineups'!$K$2:$K$2000,'Team Lineups'!$K$2:$K$2000,'Team Lineups'!$C$2:$C$2000,AA$1))</f>
        <v>6</v>
      </c>
      <c r="AB30" cm="1">
        <f t="array" ref="AB30">SUMPRODUCT(('Team Lineups'!$K$2:$K$2000&lt;&gt;"")*('Team Lineups'!$C$2:$C$2000=$A30)*COUNTIFS('Team Lineups'!$K$2:$K$2000,'Team Lineups'!$K$2:$K$2000,'Team Lineups'!$C$2:$C$2000,AB$1))</f>
        <v>7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23</v>
      </c>
      <c r="AE30" cm="1">
        <f t="array" ref="AE30">SUMPRODUCT(('Team Lineups'!$K$2:$K$2000&lt;&gt;"")*('Team Lineups'!$C$2:$C$2000=$A30)*COUNTIFS('Team Lineups'!$K$2:$K$2000,'Team Lineups'!$K$2:$K$2000,'Team Lineups'!$C$2:$C$2000,AE$1))</f>
        <v>1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2</v>
      </c>
      <c r="AH30" cm="1">
        <f t="array" ref="AH30">SUMPRODUCT(('Team Lineups'!$K$2:$K$2000&lt;&gt;"")*('Team Lineups'!$C$2:$C$2000=$A30)*COUNTIFS('Team Lineups'!$K$2:$K$2000,'Team Lineups'!$K$2:$K$2000,'Team Lineups'!$C$2:$C$2000,AH$1))</f>
        <v>1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4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5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1</v>
      </c>
      <c r="AO30" cm="1">
        <f t="array" ref="AO30">SUMPRODUCT(('Team Lineups'!$K$2:$K$2000&lt;&gt;"")*('Team Lineups'!$C$2:$C$2000=$A30)*COUNTIFS('Team Lineups'!$K$2:$K$2000,'Team Lineups'!$K$2:$K$2000,'Team Lineups'!$C$2:$C$2000,AO$1))</f>
        <v>2</v>
      </c>
      <c r="AP30" cm="1">
        <f t="array" ref="AP30">SUMPRODUCT(('Team Lineups'!$K$2:$K$2000&lt;&gt;"")*('Team Lineups'!$C$2:$C$2000=$A30)*COUNTIFS('Team Lineups'!$K$2:$K$2000,'Team Lineups'!$K$2:$K$2000,'Team Lineups'!$C$2:$C$2000,AP$1))</f>
        <v>7</v>
      </c>
      <c r="AQ30" cm="1">
        <f t="array" ref="AQ30">SUMPRODUCT(('Team Lineups'!$K$2:$K$2000&lt;&gt;"")*('Team Lineups'!$C$2:$C$2000=$A30)*COUNTIFS('Team Lineups'!$K$2:$K$2000,'Team Lineups'!$K$2:$K$2000,'Team Lineups'!$C$2:$C$2000,AQ$1))</f>
        <v>3</v>
      </c>
      <c r="AR30" cm="1">
        <f t="array" ref="AR30">SUMPRODUCT(('Team Lineups'!$K$2:$K$2000&lt;&gt;"")*('Team Lineups'!$C$2:$C$2000=$A30)*COUNTIFS('Team Lineups'!$K$2:$K$2000,'Team Lineups'!$K$2:$K$2000,'Team Lineups'!$C$2:$C$2000,AR$1))</f>
        <v>1</v>
      </c>
      <c r="AS30" cm="1">
        <f t="array" ref="AS30">SUMPRODUCT(('Team Lineups'!$K$2:$K$2000&lt;&gt;"")*('Team Lineups'!$C$2:$C$2000=$A30)*COUNTIFS('Team Lineups'!$K$2:$K$2000,'Team Lineups'!$K$2:$K$2000,'Team Lineups'!$C$2:$C$2000,AS$1))</f>
        <v>0</v>
      </c>
      <c r="AT30" cm="1">
        <f t="array" ref="AT30">SUMPRODUCT(('Team Lineups'!$K$2:$K$2000&lt;&gt;"")*('Team Lineups'!$C$2:$C$2000=$A30)*COUNTIFS('Team Lineups'!$K$2:$K$2000,'Team Lineups'!$K$2:$K$2000,'Team Lineups'!$C$2:$C$2000,AT$1))</f>
        <v>0</v>
      </c>
      <c r="AU30" cm="1">
        <f t="array" ref="AU30">SUMPRODUCT(('Team Lineups'!$K$2:$K$2000&lt;&gt;"")*('Team Lineups'!$C$2:$C$2000=$A30)*COUNTIFS('Team Lineups'!$K$2:$K$2000,'Team Lineups'!$K$2:$K$2000,'Team Lineups'!$C$2:$C$2000,AU$1))</f>
        <v>1</v>
      </c>
      <c r="AV30" cm="1">
        <f t="array" ref="AV30">SUMPRODUCT(('Team Lineups'!$K$2:$K$2000&lt;&gt;"")*('Team Lineups'!$C$2:$C$2000=$A30)*COUNTIFS('Team Lineups'!$K$2:$K$2000,'Team Lineups'!$K$2:$K$2000,'Team Lineups'!$C$2:$C$2000,AV$1))</f>
        <v>3</v>
      </c>
      <c r="AW30" cm="1">
        <f t="array" ref="AW30">SUMPRODUCT(('Team Lineups'!$K$2:$K$2000&lt;&gt;"")*('Team Lineups'!$C$2:$C$2000=$A30)*COUNTIFS('Team Lineups'!$K$2:$K$2000,'Team Lineups'!$K$2:$K$2000,'Team Lineups'!$C$2:$C$2000,AW$1))</f>
        <v>0</v>
      </c>
      <c r="AX30" cm="1">
        <f t="array" ref="AX30">SUMPRODUCT(('Team Lineups'!$K$2:$K$2000&lt;&gt;"")*('Team Lineups'!$C$2:$C$2000=$A30)*COUNTIFS('Team Lineups'!$K$2:$K$2000,'Team Lineups'!$K$2:$K$2000,'Team Lineups'!$C$2:$C$2000,AX$1))</f>
        <v>0</v>
      </c>
      <c r="AY30" cm="1">
        <f t="array" ref="AY30">SUMPRODUCT(('Team Lineups'!$K$2:$K$2000&lt;&gt;"")*('Team Lineups'!$C$2:$C$2000=$A30)*COUNTIFS('Team Lineups'!$K$2:$K$2000,'Team Lineups'!$K$2:$K$2000,'Team Lineups'!$C$2:$C$2000,AY$1))</f>
        <v>1</v>
      </c>
    </row>
    <row r="31" spans="1:51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2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2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2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1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1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5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2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1</v>
      </c>
      <c r="AE31" cm="1">
        <f t="array" ref="AE31">SUMPRODUCT(('Team Lineups'!$K$2:$K$2000&lt;&gt;"")*('Team Lineups'!$C$2:$C$2000=$A31)*COUNTIFS('Team Lineups'!$K$2:$K$2000,'Team Lineups'!$K$2:$K$2000,'Team Lineups'!$C$2:$C$2000,AE$1))</f>
        <v>7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1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  <c r="AQ31" cm="1">
        <f t="array" ref="AQ31">SUMPRODUCT(('Team Lineups'!$K$2:$K$2000&lt;&gt;"")*('Team Lineups'!$C$2:$C$2000=$A31)*COUNTIFS('Team Lineups'!$K$2:$K$2000,'Team Lineups'!$K$2:$K$2000,'Team Lineups'!$C$2:$C$2000,AQ$1))</f>
        <v>1</v>
      </c>
      <c r="AR31" cm="1">
        <f t="array" ref="AR31">SUMPRODUCT(('Team Lineups'!$K$2:$K$2000&lt;&gt;"")*('Team Lineups'!$C$2:$C$2000=$A31)*COUNTIFS('Team Lineups'!$K$2:$K$2000,'Team Lineups'!$K$2:$K$2000,'Team Lineups'!$C$2:$C$2000,AR$1))</f>
        <v>0</v>
      </c>
      <c r="AS31" cm="1">
        <f t="array" ref="AS31">SUMPRODUCT(('Team Lineups'!$K$2:$K$2000&lt;&gt;"")*('Team Lineups'!$C$2:$C$2000=$A31)*COUNTIFS('Team Lineups'!$K$2:$K$2000,'Team Lineups'!$K$2:$K$2000,'Team Lineups'!$C$2:$C$2000,AS$1))</f>
        <v>0</v>
      </c>
      <c r="AT31" cm="1">
        <f t="array" ref="AT31">SUMPRODUCT(('Team Lineups'!$K$2:$K$2000&lt;&gt;"")*('Team Lineups'!$C$2:$C$2000=$A31)*COUNTIFS('Team Lineups'!$K$2:$K$2000,'Team Lineups'!$K$2:$K$2000,'Team Lineups'!$C$2:$C$2000,AT$1))</f>
        <v>0</v>
      </c>
      <c r="AU31" cm="1">
        <f t="array" ref="AU31">SUMPRODUCT(('Team Lineups'!$K$2:$K$2000&lt;&gt;"")*('Team Lineups'!$C$2:$C$2000=$A31)*COUNTIFS('Team Lineups'!$K$2:$K$2000,'Team Lineups'!$K$2:$K$2000,'Team Lineups'!$C$2:$C$2000,AU$1))</f>
        <v>0</v>
      </c>
      <c r="AV31" cm="1">
        <f t="array" ref="AV31">SUMPRODUCT(('Team Lineups'!$K$2:$K$2000&lt;&gt;"")*('Team Lineups'!$C$2:$C$2000=$A31)*COUNTIFS('Team Lineups'!$K$2:$K$2000,'Team Lineups'!$K$2:$K$2000,'Team Lineups'!$C$2:$C$2000,AV$1))</f>
        <v>0</v>
      </c>
      <c r="AW31" cm="1">
        <f t="array" ref="AW31">SUMPRODUCT(('Team Lineups'!$K$2:$K$2000&lt;&gt;"")*('Team Lineups'!$C$2:$C$2000=$A31)*COUNTIFS('Team Lineups'!$K$2:$K$2000,'Team Lineups'!$K$2:$K$2000,'Team Lineups'!$C$2:$C$2000,AW$1))</f>
        <v>0</v>
      </c>
      <c r="AX31" cm="1">
        <f t="array" ref="AX31">SUMPRODUCT(('Team Lineups'!$K$2:$K$2000&lt;&gt;"")*('Team Lineups'!$C$2:$C$2000=$A31)*COUNTIFS('Team Lineups'!$K$2:$K$2000,'Team Lineups'!$K$2:$K$2000,'Team Lineups'!$C$2:$C$2000,AX$1))</f>
        <v>0</v>
      </c>
      <c r="AY31" cm="1">
        <f t="array" ref="AY31">SUMPRODUCT(('Team Lineups'!$K$2:$K$2000&lt;&gt;"")*('Team Lineups'!$C$2:$C$2000=$A31)*COUNTIFS('Team Lineups'!$K$2:$K$2000,'Team Lineups'!$K$2:$K$2000,'Team Lineups'!$C$2:$C$2000,AY$1))</f>
        <v>0</v>
      </c>
    </row>
    <row r="32" spans="1:51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  <c r="AQ32" cm="1">
        <f t="array" ref="AQ32">SUMPRODUCT(('Team Lineups'!$K$2:$K$2000&lt;&gt;"")*('Team Lineups'!$C$2:$C$2000=$A32)*COUNTIFS('Team Lineups'!$K$2:$K$2000,'Team Lineups'!$K$2:$K$2000,'Team Lineups'!$C$2:$C$2000,AQ$1))</f>
        <v>0</v>
      </c>
      <c r="AR32" cm="1">
        <f t="array" ref="AR32">SUMPRODUCT(('Team Lineups'!$K$2:$K$2000&lt;&gt;"")*('Team Lineups'!$C$2:$C$2000=$A32)*COUNTIFS('Team Lineups'!$K$2:$K$2000,'Team Lineups'!$K$2:$K$2000,'Team Lineups'!$C$2:$C$2000,AR$1))</f>
        <v>0</v>
      </c>
      <c r="AS32" cm="1">
        <f t="array" ref="AS32">SUMPRODUCT(('Team Lineups'!$K$2:$K$2000&lt;&gt;"")*('Team Lineups'!$C$2:$C$2000=$A32)*COUNTIFS('Team Lineups'!$K$2:$K$2000,'Team Lineups'!$K$2:$K$2000,'Team Lineups'!$C$2:$C$2000,AS$1))</f>
        <v>0</v>
      </c>
      <c r="AT32" cm="1">
        <f t="array" ref="AT32">SUMPRODUCT(('Team Lineups'!$K$2:$K$2000&lt;&gt;"")*('Team Lineups'!$C$2:$C$2000=$A32)*COUNTIFS('Team Lineups'!$K$2:$K$2000,'Team Lineups'!$K$2:$K$2000,'Team Lineups'!$C$2:$C$2000,AT$1))</f>
        <v>0</v>
      </c>
      <c r="AU32" cm="1">
        <f t="array" ref="AU32">SUMPRODUCT(('Team Lineups'!$K$2:$K$2000&lt;&gt;"")*('Team Lineups'!$C$2:$C$2000=$A32)*COUNTIFS('Team Lineups'!$K$2:$K$2000,'Team Lineups'!$K$2:$K$2000,'Team Lineups'!$C$2:$C$2000,AU$1))</f>
        <v>0</v>
      </c>
      <c r="AV32" cm="1">
        <f t="array" ref="AV32">SUMPRODUCT(('Team Lineups'!$K$2:$K$2000&lt;&gt;"")*('Team Lineups'!$C$2:$C$2000=$A32)*COUNTIFS('Team Lineups'!$K$2:$K$2000,'Team Lineups'!$K$2:$K$2000,'Team Lineups'!$C$2:$C$2000,AV$1))</f>
        <v>0</v>
      </c>
      <c r="AW32" cm="1">
        <f t="array" ref="AW32">SUMPRODUCT(('Team Lineups'!$K$2:$K$2000&lt;&gt;"")*('Team Lineups'!$C$2:$C$2000=$A32)*COUNTIFS('Team Lineups'!$K$2:$K$2000,'Team Lineups'!$K$2:$K$2000,'Team Lineups'!$C$2:$C$2000,AW$1))</f>
        <v>0</v>
      </c>
      <c r="AX32" cm="1">
        <f t="array" ref="AX32">SUMPRODUCT(('Team Lineups'!$K$2:$K$2000&lt;&gt;"")*('Team Lineups'!$C$2:$C$2000=$A32)*COUNTIFS('Team Lineups'!$K$2:$K$2000,'Team Lineups'!$K$2:$K$2000,'Team Lineups'!$C$2:$C$2000,AX$1))</f>
        <v>0</v>
      </c>
      <c r="AY32" cm="1">
        <f t="array" ref="AY32">SUMPRODUCT(('Team Lineups'!$K$2:$K$2000&lt;&gt;"")*('Team Lineups'!$C$2:$C$2000=$A32)*COUNTIFS('Team Lineups'!$K$2:$K$2000,'Team Lineups'!$K$2:$K$2000,'Team Lineups'!$C$2:$C$2000,AY$1))</f>
        <v>0</v>
      </c>
    </row>
    <row r="33" spans="1:51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2</v>
      </c>
      <c r="E33" cm="1">
        <f t="array" ref="E33">SUMPRODUCT(('Team Lineups'!$K$2:$K$2000&lt;&gt;"")*('Team Lineups'!$C$2:$C$2000=$A33)*COUNTIFS('Team Lineups'!$K$2:$K$2000,'Team Lineups'!$K$2:$K$2000,'Team Lineups'!$C$2:$C$2000,E$1))</f>
        <v>5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4</v>
      </c>
      <c r="H33" cm="1">
        <f t="array" ref="H33">SUMPRODUCT(('Team Lineups'!$K$2:$K$2000&lt;&gt;"")*('Team Lineups'!$C$2:$C$2000=$A33)*COUNTIFS('Team Lineups'!$K$2:$K$2000,'Team Lineups'!$K$2:$K$2000,'Team Lineups'!$C$2:$C$2000,H$1))</f>
        <v>2</v>
      </c>
      <c r="I33" cm="1">
        <f t="array" ref="I33">SUMPRODUCT(('Team Lineups'!$K$2:$K$2000&lt;&gt;"")*('Team Lineups'!$C$2:$C$2000=$A33)*COUNTIFS('Team Lineups'!$K$2:$K$2000,'Team Lineups'!$K$2:$K$2000,'Team Lineups'!$C$2:$C$2000,I$1))</f>
        <v>2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3</v>
      </c>
      <c r="M33" cm="1">
        <f t="array" ref="M33">SUMPRODUCT(('Team Lineups'!$K$2:$K$2000&lt;&gt;"")*('Team Lineups'!$C$2:$C$2000=$A33)*COUNTIFS('Team Lineups'!$K$2:$K$2000,'Team Lineups'!$K$2:$K$2000,'Team Lineups'!$C$2:$C$2000,M$1))</f>
        <v>3</v>
      </c>
      <c r="N33" cm="1">
        <f t="array" ref="N33">SUMPRODUCT(('Team Lineups'!$K$2:$K$2000&lt;&gt;"")*('Team Lineups'!$C$2:$C$2000=$A33)*COUNTIFS('Team Lineups'!$K$2:$K$2000,'Team Lineups'!$K$2:$K$2000,'Team Lineups'!$C$2:$C$2000,N$1))</f>
        <v>3</v>
      </c>
      <c r="O33" cm="1">
        <f t="array" ref="O33">SUMPRODUCT(('Team Lineups'!$K$2:$K$2000&lt;&gt;"")*('Team Lineups'!$C$2:$C$2000=$A33)*COUNTIFS('Team Lineups'!$K$2:$K$2000,'Team Lineups'!$K$2:$K$2000,'Team Lineups'!$C$2:$C$2000,O$1))</f>
        <v>2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4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1</v>
      </c>
      <c r="AA33" cm="1">
        <f t="array" ref="AA33">SUMPRODUCT(('Team Lineups'!$K$2:$K$2000&lt;&gt;"")*('Team Lineups'!$C$2:$C$2000=$A33)*COUNTIFS('Team Lineups'!$K$2:$K$2000,'Team Lineups'!$K$2:$K$2000,'Team Lineups'!$C$2:$C$2000,AA$1))</f>
        <v>2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2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13</v>
      </c>
      <c r="AH33" cm="1">
        <f t="array" ref="AH33">SUMPRODUCT(('Team Lineups'!$K$2:$K$2000&lt;&gt;"")*('Team Lineups'!$C$2:$C$2000=$A33)*COUNTIFS('Team Lineups'!$K$2:$K$2000,'Team Lineups'!$K$2:$K$2000,'Team Lineups'!$C$2:$C$2000,AH$1))</f>
        <v>3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2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2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1</v>
      </c>
      <c r="AP33" cm="1">
        <f t="array" ref="AP33">SUMPRODUCT(('Team Lineups'!$K$2:$K$2000&lt;&gt;"")*('Team Lineups'!$C$2:$C$2000=$A33)*COUNTIFS('Team Lineups'!$K$2:$K$2000,'Team Lineups'!$K$2:$K$2000,'Team Lineups'!$C$2:$C$2000,AP$1))</f>
        <v>5</v>
      </c>
      <c r="AQ33" cm="1">
        <f t="array" ref="AQ33">SUMPRODUCT(('Team Lineups'!$K$2:$K$2000&lt;&gt;"")*('Team Lineups'!$C$2:$C$2000=$A33)*COUNTIFS('Team Lineups'!$K$2:$K$2000,'Team Lineups'!$K$2:$K$2000,'Team Lineups'!$C$2:$C$2000,AQ$1))</f>
        <v>0</v>
      </c>
      <c r="AR33" cm="1">
        <f t="array" ref="AR33">SUMPRODUCT(('Team Lineups'!$K$2:$K$2000&lt;&gt;"")*('Team Lineups'!$C$2:$C$2000=$A33)*COUNTIFS('Team Lineups'!$K$2:$K$2000,'Team Lineups'!$K$2:$K$2000,'Team Lineups'!$C$2:$C$2000,AR$1))</f>
        <v>1</v>
      </c>
      <c r="AS33" cm="1">
        <f t="array" ref="AS33">SUMPRODUCT(('Team Lineups'!$K$2:$K$2000&lt;&gt;"")*('Team Lineups'!$C$2:$C$2000=$A33)*COUNTIFS('Team Lineups'!$K$2:$K$2000,'Team Lineups'!$K$2:$K$2000,'Team Lineups'!$C$2:$C$2000,AS$1))</f>
        <v>0</v>
      </c>
      <c r="AT33" cm="1">
        <f t="array" ref="AT33">SUMPRODUCT(('Team Lineups'!$K$2:$K$2000&lt;&gt;"")*('Team Lineups'!$C$2:$C$2000=$A33)*COUNTIFS('Team Lineups'!$K$2:$K$2000,'Team Lineups'!$K$2:$K$2000,'Team Lineups'!$C$2:$C$2000,AT$1))</f>
        <v>0</v>
      </c>
      <c r="AU33" cm="1">
        <f t="array" ref="AU33">SUMPRODUCT(('Team Lineups'!$K$2:$K$2000&lt;&gt;"")*('Team Lineups'!$C$2:$C$2000=$A33)*COUNTIFS('Team Lineups'!$K$2:$K$2000,'Team Lineups'!$K$2:$K$2000,'Team Lineups'!$C$2:$C$2000,AU$1))</f>
        <v>1</v>
      </c>
      <c r="AV33" cm="1">
        <f t="array" ref="AV33">SUMPRODUCT(('Team Lineups'!$K$2:$K$2000&lt;&gt;"")*('Team Lineups'!$C$2:$C$2000=$A33)*COUNTIFS('Team Lineups'!$K$2:$K$2000,'Team Lineups'!$K$2:$K$2000,'Team Lineups'!$C$2:$C$2000,AV$1))</f>
        <v>1</v>
      </c>
      <c r="AW33" cm="1">
        <f t="array" ref="AW33">SUMPRODUCT(('Team Lineups'!$K$2:$K$2000&lt;&gt;"")*('Team Lineups'!$C$2:$C$2000=$A33)*COUNTIFS('Team Lineups'!$K$2:$K$2000,'Team Lineups'!$K$2:$K$2000,'Team Lineups'!$C$2:$C$2000,AW$1))</f>
        <v>0</v>
      </c>
      <c r="AX33" cm="1">
        <f t="array" ref="AX33">SUMPRODUCT(('Team Lineups'!$K$2:$K$2000&lt;&gt;"")*('Team Lineups'!$C$2:$C$2000=$A33)*COUNTIFS('Team Lineups'!$K$2:$K$2000,'Team Lineups'!$K$2:$K$2000,'Team Lineups'!$C$2:$C$2000,AX$1))</f>
        <v>0</v>
      </c>
      <c r="AY33" cm="1">
        <f t="array" ref="AY33">SUMPRODUCT(('Team Lineups'!$K$2:$K$2000&lt;&gt;"")*('Team Lineups'!$C$2:$C$2000=$A33)*COUNTIFS('Team Lineups'!$K$2:$K$2000,'Team Lineups'!$K$2:$K$2000,'Team Lineups'!$C$2:$C$2000,AY$1))</f>
        <v>0</v>
      </c>
    </row>
    <row r="34" spans="1:51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1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1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3</v>
      </c>
      <c r="AH34" cm="1">
        <f t="array" ref="AH34">SUMPRODUCT(('Team Lineups'!$K$2:$K$2000&lt;&gt;"")*('Team Lineups'!$C$2:$C$2000=$A34)*COUNTIFS('Team Lineups'!$K$2:$K$2000,'Team Lineups'!$K$2:$K$2000,'Team Lineups'!$C$2:$C$2000,AH$1))</f>
        <v>3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  <c r="AQ34" cm="1">
        <f t="array" ref="AQ34">SUMPRODUCT(('Team Lineups'!$K$2:$K$2000&lt;&gt;"")*('Team Lineups'!$C$2:$C$2000=$A34)*COUNTIFS('Team Lineups'!$K$2:$K$2000,'Team Lineups'!$K$2:$K$2000,'Team Lineups'!$C$2:$C$2000,AQ$1))</f>
        <v>0</v>
      </c>
      <c r="AR34" cm="1">
        <f t="array" ref="AR34">SUMPRODUCT(('Team Lineups'!$K$2:$K$2000&lt;&gt;"")*('Team Lineups'!$C$2:$C$2000=$A34)*COUNTIFS('Team Lineups'!$K$2:$K$2000,'Team Lineups'!$K$2:$K$2000,'Team Lineups'!$C$2:$C$2000,AR$1))</f>
        <v>1</v>
      </c>
      <c r="AS34" cm="1">
        <f t="array" ref="AS34">SUMPRODUCT(('Team Lineups'!$K$2:$K$2000&lt;&gt;"")*('Team Lineups'!$C$2:$C$2000=$A34)*COUNTIFS('Team Lineups'!$K$2:$K$2000,'Team Lineups'!$K$2:$K$2000,'Team Lineups'!$C$2:$C$2000,AS$1))</f>
        <v>0</v>
      </c>
      <c r="AT34" cm="1">
        <f t="array" ref="AT34">SUMPRODUCT(('Team Lineups'!$K$2:$K$2000&lt;&gt;"")*('Team Lineups'!$C$2:$C$2000=$A34)*COUNTIFS('Team Lineups'!$K$2:$K$2000,'Team Lineups'!$K$2:$K$2000,'Team Lineups'!$C$2:$C$2000,AT$1))</f>
        <v>0</v>
      </c>
      <c r="AU34" cm="1">
        <f t="array" ref="AU34">SUMPRODUCT(('Team Lineups'!$K$2:$K$2000&lt;&gt;"")*('Team Lineups'!$C$2:$C$2000=$A34)*COUNTIFS('Team Lineups'!$K$2:$K$2000,'Team Lineups'!$K$2:$K$2000,'Team Lineups'!$C$2:$C$2000,AU$1))</f>
        <v>0</v>
      </c>
      <c r="AV34" cm="1">
        <f t="array" ref="AV34">SUMPRODUCT(('Team Lineups'!$K$2:$K$2000&lt;&gt;"")*('Team Lineups'!$C$2:$C$2000=$A34)*COUNTIFS('Team Lineups'!$K$2:$K$2000,'Team Lineups'!$K$2:$K$2000,'Team Lineups'!$C$2:$C$2000,AV$1))</f>
        <v>0</v>
      </c>
      <c r="AW34" cm="1">
        <f t="array" ref="AW34">SUMPRODUCT(('Team Lineups'!$K$2:$K$2000&lt;&gt;"")*('Team Lineups'!$C$2:$C$2000=$A34)*COUNTIFS('Team Lineups'!$K$2:$K$2000,'Team Lineups'!$K$2:$K$2000,'Team Lineups'!$C$2:$C$2000,AW$1))</f>
        <v>0</v>
      </c>
      <c r="AX34" cm="1">
        <f t="array" ref="AX34">SUMPRODUCT(('Team Lineups'!$K$2:$K$2000&lt;&gt;"")*('Team Lineups'!$C$2:$C$2000=$A34)*COUNTIFS('Team Lineups'!$K$2:$K$2000,'Team Lineups'!$K$2:$K$2000,'Team Lineups'!$C$2:$C$2000,AX$1))</f>
        <v>0</v>
      </c>
      <c r="AY34" cm="1">
        <f t="array" ref="AY34">SUMPRODUCT(('Team Lineups'!$K$2:$K$2000&lt;&gt;"")*('Team Lineups'!$C$2:$C$2000=$A34)*COUNTIFS('Team Lineups'!$K$2:$K$2000,'Team Lineups'!$K$2:$K$2000,'Team Lineups'!$C$2:$C$2000,AY$1))</f>
        <v>0</v>
      </c>
    </row>
    <row r="35" spans="1:51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  <c r="AQ35" cm="1">
        <f t="array" ref="AQ35">SUMPRODUCT(('Team Lineups'!$K$2:$K$2000&lt;&gt;"")*('Team Lineups'!$C$2:$C$2000=$A35)*COUNTIFS('Team Lineups'!$K$2:$K$2000,'Team Lineups'!$K$2:$K$2000,'Team Lineups'!$C$2:$C$2000,AQ$1))</f>
        <v>0</v>
      </c>
      <c r="AR35" cm="1">
        <f t="array" ref="AR35">SUMPRODUCT(('Team Lineups'!$K$2:$K$2000&lt;&gt;"")*('Team Lineups'!$C$2:$C$2000=$A35)*COUNTIFS('Team Lineups'!$K$2:$K$2000,'Team Lineups'!$K$2:$K$2000,'Team Lineups'!$C$2:$C$2000,AR$1))</f>
        <v>0</v>
      </c>
      <c r="AS35" cm="1">
        <f t="array" ref="AS35">SUMPRODUCT(('Team Lineups'!$K$2:$K$2000&lt;&gt;"")*('Team Lineups'!$C$2:$C$2000=$A35)*COUNTIFS('Team Lineups'!$K$2:$K$2000,'Team Lineups'!$K$2:$K$2000,'Team Lineups'!$C$2:$C$2000,AS$1))</f>
        <v>0</v>
      </c>
      <c r="AT35" cm="1">
        <f t="array" ref="AT35">SUMPRODUCT(('Team Lineups'!$K$2:$K$2000&lt;&gt;"")*('Team Lineups'!$C$2:$C$2000=$A35)*COUNTIFS('Team Lineups'!$K$2:$K$2000,'Team Lineups'!$K$2:$K$2000,'Team Lineups'!$C$2:$C$2000,AT$1))</f>
        <v>0</v>
      </c>
      <c r="AU35" cm="1">
        <f t="array" ref="AU35">SUMPRODUCT(('Team Lineups'!$K$2:$K$2000&lt;&gt;"")*('Team Lineups'!$C$2:$C$2000=$A35)*COUNTIFS('Team Lineups'!$K$2:$K$2000,'Team Lineups'!$K$2:$K$2000,'Team Lineups'!$C$2:$C$2000,AU$1))</f>
        <v>0</v>
      </c>
      <c r="AV35" cm="1">
        <f t="array" ref="AV35">SUMPRODUCT(('Team Lineups'!$K$2:$K$2000&lt;&gt;"")*('Team Lineups'!$C$2:$C$2000=$A35)*COUNTIFS('Team Lineups'!$K$2:$K$2000,'Team Lineups'!$K$2:$K$2000,'Team Lineups'!$C$2:$C$2000,AV$1))</f>
        <v>0</v>
      </c>
      <c r="AW35" cm="1">
        <f t="array" ref="AW35">SUMPRODUCT(('Team Lineups'!$K$2:$K$2000&lt;&gt;"")*('Team Lineups'!$C$2:$C$2000=$A35)*COUNTIFS('Team Lineups'!$K$2:$K$2000,'Team Lineups'!$K$2:$K$2000,'Team Lineups'!$C$2:$C$2000,AW$1))</f>
        <v>0</v>
      </c>
      <c r="AX35" cm="1">
        <f t="array" ref="AX35">SUMPRODUCT(('Team Lineups'!$K$2:$K$2000&lt;&gt;"")*('Team Lineups'!$C$2:$C$2000=$A35)*COUNTIFS('Team Lineups'!$K$2:$K$2000,'Team Lineups'!$K$2:$K$2000,'Team Lineups'!$C$2:$C$2000,AX$1))</f>
        <v>0</v>
      </c>
      <c r="AY35" cm="1">
        <f t="array" ref="AY35">SUMPRODUCT(('Team Lineups'!$K$2:$K$2000&lt;&gt;"")*('Team Lineups'!$C$2:$C$2000=$A35)*COUNTIFS('Team Lineups'!$K$2:$K$2000,'Team Lineups'!$K$2:$K$2000,'Team Lineups'!$C$2:$C$2000,AY$1))</f>
        <v>0</v>
      </c>
    </row>
    <row r="36" spans="1:51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8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7</v>
      </c>
      <c r="E36" cm="1">
        <f t="array" ref="E36">SUMPRODUCT(('Team Lineups'!$K$2:$K$2000&lt;&gt;"")*('Team Lineups'!$C$2:$C$2000=$A36)*COUNTIFS('Team Lineups'!$K$2:$K$2000,'Team Lineups'!$K$2:$K$2000,'Team Lineups'!$C$2:$C$2000,E$1))</f>
        <v>2</v>
      </c>
      <c r="F36" cm="1">
        <f t="array" ref="F36">SUMPRODUCT(('Team Lineups'!$K$2:$K$2000&lt;&gt;"")*('Team Lineups'!$C$2:$C$2000=$A36)*COUNTIFS('Team Lineups'!$K$2:$K$2000,'Team Lineups'!$K$2:$K$2000,'Team Lineups'!$C$2:$C$2000,F$1))</f>
        <v>5</v>
      </c>
      <c r="G36" cm="1">
        <f t="array" ref="G36">SUMPRODUCT(('Team Lineups'!$K$2:$K$2000&lt;&gt;"")*('Team Lineups'!$C$2:$C$2000=$A36)*COUNTIFS('Team Lineups'!$K$2:$K$2000,'Team Lineups'!$K$2:$K$2000,'Team Lineups'!$C$2:$C$2000,G$1))</f>
        <v>6</v>
      </c>
      <c r="H36" cm="1">
        <f t="array" ref="H36">SUMPRODUCT(('Team Lineups'!$K$2:$K$2000&lt;&gt;"")*('Team Lineups'!$C$2:$C$2000=$A36)*COUNTIFS('Team Lineups'!$K$2:$K$2000,'Team Lineups'!$K$2:$K$2000,'Team Lineups'!$C$2:$C$2000,H$1))</f>
        <v>3</v>
      </c>
      <c r="I36" cm="1">
        <f t="array" ref="I36">SUMPRODUCT(('Team Lineups'!$K$2:$K$2000&lt;&gt;"")*('Team Lineups'!$C$2:$C$2000=$A36)*COUNTIFS('Team Lineups'!$K$2:$K$2000,'Team Lineups'!$K$2:$K$2000,'Team Lineups'!$C$2:$C$2000,I$1))</f>
        <v>7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7</v>
      </c>
      <c r="M36" cm="1">
        <f t="array" ref="M36">SUMPRODUCT(('Team Lineups'!$K$2:$K$2000&lt;&gt;"")*('Team Lineups'!$C$2:$C$2000=$A36)*COUNTIFS('Team Lineups'!$K$2:$K$2000,'Team Lineups'!$K$2:$K$2000,'Team Lineups'!$C$2:$C$2000,M$1))</f>
        <v>3</v>
      </c>
      <c r="N36" cm="1">
        <f t="array" ref="N36">SUMPRODUCT(('Team Lineups'!$K$2:$K$2000&lt;&gt;"")*('Team Lineups'!$C$2:$C$2000=$A36)*COUNTIFS('Team Lineups'!$K$2:$K$2000,'Team Lineups'!$K$2:$K$2000,'Team Lineups'!$C$2:$C$2000,N$1))</f>
        <v>7</v>
      </c>
      <c r="O36" cm="1">
        <f t="array" ref="O36">SUMPRODUCT(('Team Lineups'!$K$2:$K$2000&lt;&gt;"")*('Team Lineups'!$C$2:$C$2000=$A36)*COUNTIFS('Team Lineups'!$K$2:$K$2000,'Team Lineups'!$K$2:$K$2000,'Team Lineups'!$C$2:$C$2000,O$1))</f>
        <v>4</v>
      </c>
      <c r="P36" cm="1">
        <f t="array" ref="P36">SUMPRODUCT(('Team Lineups'!$K$2:$K$2000&lt;&gt;"")*('Team Lineups'!$C$2:$C$2000=$A36)*COUNTIFS('Team Lineups'!$K$2:$K$2000,'Team Lineups'!$K$2:$K$2000,'Team Lineups'!$C$2:$C$2000,P$1))</f>
        <v>1</v>
      </c>
      <c r="Q36" cm="1">
        <f t="array" ref="Q36">SUMPRODUCT(('Team Lineups'!$K$2:$K$2000&lt;&gt;"")*('Team Lineups'!$C$2:$C$2000=$A36)*COUNTIFS('Team Lineups'!$K$2:$K$2000,'Team Lineups'!$K$2:$K$2000,'Team Lineups'!$C$2:$C$2000,Q$1))</f>
        <v>7</v>
      </c>
      <c r="R36" cm="1">
        <f t="array" ref="R36">SUMPRODUCT(('Team Lineups'!$K$2:$K$2000&lt;&gt;"")*('Team Lineups'!$C$2:$C$2000=$A36)*COUNTIFS('Team Lineups'!$K$2:$K$2000,'Team Lineups'!$K$2:$K$2000,'Team Lineups'!$C$2:$C$2000,R$1))</f>
        <v>5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2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1</v>
      </c>
      <c r="AA36" cm="1">
        <f t="array" ref="AA36">SUMPRODUCT(('Team Lineups'!$K$2:$K$2000&lt;&gt;"")*('Team Lineups'!$C$2:$C$2000=$A36)*COUNTIFS('Team Lineups'!$K$2:$K$2000,'Team Lineups'!$K$2:$K$2000,'Team Lineups'!$C$2:$C$2000,AA$1))</f>
        <v>10</v>
      </c>
      <c r="AB36" cm="1">
        <f t="array" ref="AB36">SUMPRODUCT(('Team Lineups'!$K$2:$K$2000&lt;&gt;"")*('Team Lineups'!$C$2:$C$2000=$A36)*COUNTIFS('Team Lineups'!$K$2:$K$2000,'Team Lineups'!$K$2:$K$2000,'Team Lineups'!$C$2:$C$2000,AB$1))</f>
        <v>3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4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2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23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2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3</v>
      </c>
      <c r="AO36" cm="1">
        <f t="array" ref="AO36">SUMPRODUCT(('Team Lineups'!$K$2:$K$2000&lt;&gt;"")*('Team Lineups'!$C$2:$C$2000=$A36)*COUNTIFS('Team Lineups'!$K$2:$K$2000,'Team Lineups'!$K$2:$K$2000,'Team Lineups'!$C$2:$C$2000,AO$1))</f>
        <v>3</v>
      </c>
      <c r="AP36" cm="1">
        <f t="array" ref="AP36">SUMPRODUCT(('Team Lineups'!$K$2:$K$2000&lt;&gt;"")*('Team Lineups'!$C$2:$C$2000=$A36)*COUNTIFS('Team Lineups'!$K$2:$K$2000,'Team Lineups'!$K$2:$K$2000,'Team Lineups'!$C$2:$C$2000,AP$1))</f>
        <v>6</v>
      </c>
      <c r="AQ36" cm="1">
        <f t="array" ref="AQ36">SUMPRODUCT(('Team Lineups'!$K$2:$K$2000&lt;&gt;"")*('Team Lineups'!$C$2:$C$2000=$A36)*COUNTIFS('Team Lineups'!$K$2:$K$2000,'Team Lineups'!$K$2:$K$2000,'Team Lineups'!$C$2:$C$2000,AQ$1))</f>
        <v>3</v>
      </c>
      <c r="AR36" cm="1">
        <f t="array" ref="AR36">SUMPRODUCT(('Team Lineups'!$K$2:$K$2000&lt;&gt;"")*('Team Lineups'!$C$2:$C$2000=$A36)*COUNTIFS('Team Lineups'!$K$2:$K$2000,'Team Lineups'!$K$2:$K$2000,'Team Lineups'!$C$2:$C$2000,AR$1))</f>
        <v>0</v>
      </c>
      <c r="AS36" cm="1">
        <f t="array" ref="AS36">SUMPRODUCT(('Team Lineups'!$K$2:$K$2000&lt;&gt;"")*('Team Lineups'!$C$2:$C$2000=$A36)*COUNTIFS('Team Lineups'!$K$2:$K$2000,'Team Lineups'!$K$2:$K$2000,'Team Lineups'!$C$2:$C$2000,AS$1))</f>
        <v>1</v>
      </c>
      <c r="AT36" cm="1">
        <f t="array" ref="AT36">SUMPRODUCT(('Team Lineups'!$K$2:$K$2000&lt;&gt;"")*('Team Lineups'!$C$2:$C$2000=$A36)*COUNTIFS('Team Lineups'!$K$2:$K$2000,'Team Lineups'!$K$2:$K$2000,'Team Lineups'!$C$2:$C$2000,AT$1))</f>
        <v>0</v>
      </c>
      <c r="AU36" cm="1">
        <f t="array" ref="AU36">SUMPRODUCT(('Team Lineups'!$K$2:$K$2000&lt;&gt;"")*('Team Lineups'!$C$2:$C$2000=$A36)*COUNTIFS('Team Lineups'!$K$2:$K$2000,'Team Lineups'!$K$2:$K$2000,'Team Lineups'!$C$2:$C$2000,AU$1))</f>
        <v>2</v>
      </c>
      <c r="AV36" cm="1">
        <f t="array" ref="AV36">SUMPRODUCT(('Team Lineups'!$K$2:$K$2000&lt;&gt;"")*('Team Lineups'!$C$2:$C$2000=$A36)*COUNTIFS('Team Lineups'!$K$2:$K$2000,'Team Lineups'!$K$2:$K$2000,'Team Lineups'!$C$2:$C$2000,AV$1))</f>
        <v>4</v>
      </c>
      <c r="AW36" cm="1">
        <f t="array" ref="AW36">SUMPRODUCT(('Team Lineups'!$K$2:$K$2000&lt;&gt;"")*('Team Lineups'!$C$2:$C$2000=$A36)*COUNTIFS('Team Lineups'!$K$2:$K$2000,'Team Lineups'!$K$2:$K$2000,'Team Lineups'!$C$2:$C$2000,AW$1))</f>
        <v>0</v>
      </c>
      <c r="AX36" cm="1">
        <f t="array" ref="AX36">SUMPRODUCT(('Team Lineups'!$K$2:$K$2000&lt;&gt;"")*('Team Lineups'!$C$2:$C$2000=$A36)*COUNTIFS('Team Lineups'!$K$2:$K$2000,'Team Lineups'!$K$2:$K$2000,'Team Lineups'!$C$2:$C$2000,AX$1))</f>
        <v>0</v>
      </c>
      <c r="AY36" cm="1">
        <f t="array" ref="AY36">SUMPRODUCT(('Team Lineups'!$K$2:$K$2000&lt;&gt;"")*('Team Lineups'!$C$2:$C$2000=$A36)*COUNTIFS('Team Lineups'!$K$2:$K$2000,'Team Lineups'!$K$2:$K$2000,'Team Lineups'!$C$2:$C$2000,AY$1))</f>
        <v>0</v>
      </c>
    </row>
    <row r="37" spans="1:51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  <c r="AQ37" cm="1">
        <f t="array" ref="AQ37">SUMPRODUCT(('Team Lineups'!$K$2:$K$2000&lt;&gt;"")*('Team Lineups'!$C$2:$C$2000=$A37)*COUNTIFS('Team Lineups'!$K$2:$K$2000,'Team Lineups'!$K$2:$K$2000,'Team Lineups'!$C$2:$C$2000,AQ$1))</f>
        <v>0</v>
      </c>
      <c r="AR37" cm="1">
        <f t="array" ref="AR37">SUMPRODUCT(('Team Lineups'!$K$2:$K$2000&lt;&gt;"")*('Team Lineups'!$C$2:$C$2000=$A37)*COUNTIFS('Team Lineups'!$K$2:$K$2000,'Team Lineups'!$K$2:$K$2000,'Team Lineups'!$C$2:$C$2000,AR$1))</f>
        <v>0</v>
      </c>
      <c r="AS37" cm="1">
        <f t="array" ref="AS37">SUMPRODUCT(('Team Lineups'!$K$2:$K$2000&lt;&gt;"")*('Team Lineups'!$C$2:$C$2000=$A37)*COUNTIFS('Team Lineups'!$K$2:$K$2000,'Team Lineups'!$K$2:$K$2000,'Team Lineups'!$C$2:$C$2000,AS$1))</f>
        <v>0</v>
      </c>
      <c r="AT37" cm="1">
        <f t="array" ref="AT37">SUMPRODUCT(('Team Lineups'!$K$2:$K$2000&lt;&gt;"")*('Team Lineups'!$C$2:$C$2000=$A37)*COUNTIFS('Team Lineups'!$K$2:$K$2000,'Team Lineups'!$K$2:$K$2000,'Team Lineups'!$C$2:$C$2000,AT$1))</f>
        <v>0</v>
      </c>
      <c r="AU37" cm="1">
        <f t="array" ref="AU37">SUMPRODUCT(('Team Lineups'!$K$2:$K$2000&lt;&gt;"")*('Team Lineups'!$C$2:$C$2000=$A37)*COUNTIFS('Team Lineups'!$K$2:$K$2000,'Team Lineups'!$K$2:$K$2000,'Team Lineups'!$C$2:$C$2000,AU$1))</f>
        <v>0</v>
      </c>
      <c r="AV37" cm="1">
        <f t="array" ref="AV37">SUMPRODUCT(('Team Lineups'!$K$2:$K$2000&lt;&gt;"")*('Team Lineups'!$C$2:$C$2000=$A37)*COUNTIFS('Team Lineups'!$K$2:$K$2000,'Team Lineups'!$K$2:$K$2000,'Team Lineups'!$C$2:$C$2000,AV$1))</f>
        <v>0</v>
      </c>
      <c r="AW37" cm="1">
        <f t="array" ref="AW37">SUMPRODUCT(('Team Lineups'!$K$2:$K$2000&lt;&gt;"")*('Team Lineups'!$C$2:$C$2000=$A37)*COUNTIFS('Team Lineups'!$K$2:$K$2000,'Team Lineups'!$K$2:$K$2000,'Team Lineups'!$C$2:$C$2000,AW$1))</f>
        <v>0</v>
      </c>
      <c r="AX37" cm="1">
        <f t="array" ref="AX37">SUMPRODUCT(('Team Lineups'!$K$2:$K$2000&lt;&gt;"")*('Team Lineups'!$C$2:$C$2000=$A37)*COUNTIFS('Team Lineups'!$K$2:$K$2000,'Team Lineups'!$K$2:$K$2000,'Team Lineups'!$C$2:$C$2000,AX$1))</f>
        <v>0</v>
      </c>
      <c r="AY37" cm="1">
        <f t="array" ref="AY37">SUMPRODUCT(('Team Lineups'!$K$2:$K$2000&lt;&gt;"")*('Team Lineups'!$C$2:$C$2000=$A37)*COUNTIFS('Team Lineups'!$K$2:$K$2000,'Team Lineups'!$K$2:$K$2000,'Team Lineups'!$C$2:$C$2000,AY$1))</f>
        <v>0</v>
      </c>
    </row>
    <row r="38" spans="1:51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6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8</v>
      </c>
      <c r="E38" cm="1">
        <f t="array" ref="E38">SUMPRODUCT(('Team Lineups'!$K$2:$K$2000&lt;&gt;"")*('Team Lineups'!$C$2:$C$2000=$A38)*COUNTIFS('Team Lineups'!$K$2:$K$2000,'Team Lineups'!$K$2:$K$2000,'Team Lineups'!$C$2:$C$2000,E$1))</f>
        <v>13</v>
      </c>
      <c r="F38" cm="1">
        <f t="array" ref="F38">SUMPRODUCT(('Team Lineups'!$K$2:$K$2000&lt;&gt;"")*('Team Lineups'!$C$2:$C$2000=$A38)*COUNTIFS('Team Lineups'!$K$2:$K$2000,'Team Lineups'!$K$2:$K$2000,'Team Lineups'!$C$2:$C$2000,F$1))</f>
        <v>8</v>
      </c>
      <c r="G38" cm="1">
        <f t="array" ref="G38">SUMPRODUCT(('Team Lineups'!$K$2:$K$2000&lt;&gt;"")*('Team Lineups'!$C$2:$C$2000=$A38)*COUNTIFS('Team Lineups'!$K$2:$K$2000,'Team Lineups'!$K$2:$K$2000,'Team Lineups'!$C$2:$C$2000,G$1))</f>
        <v>11</v>
      </c>
      <c r="H38" cm="1">
        <f t="array" ref="H38">SUMPRODUCT(('Team Lineups'!$K$2:$K$2000&lt;&gt;"")*('Team Lineups'!$C$2:$C$2000=$A38)*COUNTIFS('Team Lineups'!$K$2:$K$2000,'Team Lineups'!$K$2:$K$2000,'Team Lineups'!$C$2:$C$2000,H$1))</f>
        <v>4</v>
      </c>
      <c r="I38" cm="1">
        <f t="array" ref="I38">SUMPRODUCT(('Team Lineups'!$K$2:$K$2000&lt;&gt;"")*('Team Lineups'!$C$2:$C$2000=$A38)*COUNTIFS('Team Lineups'!$K$2:$K$2000,'Team Lineups'!$K$2:$K$2000,'Team Lineups'!$C$2:$C$2000,I$1))</f>
        <v>7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2</v>
      </c>
      <c r="M38" cm="1">
        <f t="array" ref="M38">SUMPRODUCT(('Team Lineups'!$K$2:$K$2000&lt;&gt;"")*('Team Lineups'!$C$2:$C$2000=$A38)*COUNTIFS('Team Lineups'!$K$2:$K$2000,'Team Lineups'!$K$2:$K$2000,'Team Lineups'!$C$2:$C$2000,M$1))</f>
        <v>8</v>
      </c>
      <c r="N38" cm="1">
        <f t="array" ref="N38">SUMPRODUCT(('Team Lineups'!$K$2:$K$2000&lt;&gt;"")*('Team Lineups'!$C$2:$C$2000=$A38)*COUNTIFS('Team Lineups'!$K$2:$K$2000,'Team Lineups'!$K$2:$K$2000,'Team Lineups'!$C$2:$C$2000,N$1))</f>
        <v>3</v>
      </c>
      <c r="O38" cm="1">
        <f t="array" ref="O38">SUMPRODUCT(('Team Lineups'!$K$2:$K$2000&lt;&gt;"")*('Team Lineups'!$C$2:$C$2000=$A38)*COUNTIFS('Team Lineups'!$K$2:$K$2000,'Team Lineups'!$K$2:$K$2000,'Team Lineups'!$C$2:$C$2000,O$1))</f>
        <v>3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7</v>
      </c>
      <c r="R38" cm="1">
        <f t="array" ref="R38">SUMPRODUCT(('Team Lineups'!$K$2:$K$2000&lt;&gt;"")*('Team Lineups'!$C$2:$C$2000=$A38)*COUNTIFS('Team Lineups'!$K$2:$K$2000,'Team Lineups'!$K$2:$K$2000,'Team Lineups'!$C$2:$C$2000,R$1))</f>
        <v>13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2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1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7</v>
      </c>
      <c r="AA38" cm="1">
        <f t="array" ref="AA38">SUMPRODUCT(('Team Lineups'!$K$2:$K$2000&lt;&gt;"")*('Team Lineups'!$C$2:$C$2000=$A38)*COUNTIFS('Team Lineups'!$K$2:$K$2000,'Team Lineups'!$K$2:$K$2000,'Team Lineups'!$C$2:$C$2000,AA$1))</f>
        <v>4</v>
      </c>
      <c r="AB38" cm="1">
        <f t="array" ref="AB38">SUMPRODUCT(('Team Lineups'!$K$2:$K$2000&lt;&gt;"")*('Team Lineups'!$C$2:$C$2000=$A38)*COUNTIFS('Team Lineups'!$K$2:$K$2000,'Team Lineups'!$K$2:$K$2000,'Team Lineups'!$C$2:$C$2000,AB$1))</f>
        <v>6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5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2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2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30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4</v>
      </c>
      <c r="AO38" cm="1">
        <f t="array" ref="AO38">SUMPRODUCT(('Team Lineups'!$K$2:$K$2000&lt;&gt;"")*('Team Lineups'!$C$2:$C$2000=$A38)*COUNTIFS('Team Lineups'!$K$2:$K$2000,'Team Lineups'!$K$2:$K$2000,'Team Lineups'!$C$2:$C$2000,AO$1))</f>
        <v>1</v>
      </c>
      <c r="AP38" cm="1">
        <f t="array" ref="AP38">SUMPRODUCT(('Team Lineups'!$K$2:$K$2000&lt;&gt;"")*('Team Lineups'!$C$2:$C$2000=$A38)*COUNTIFS('Team Lineups'!$K$2:$K$2000,'Team Lineups'!$K$2:$K$2000,'Team Lineups'!$C$2:$C$2000,AP$1))</f>
        <v>10</v>
      </c>
      <c r="AQ38" cm="1">
        <f t="array" ref="AQ38">SUMPRODUCT(('Team Lineups'!$K$2:$K$2000&lt;&gt;"")*('Team Lineups'!$C$2:$C$2000=$A38)*COUNTIFS('Team Lineups'!$K$2:$K$2000,'Team Lineups'!$K$2:$K$2000,'Team Lineups'!$C$2:$C$2000,AQ$1))</f>
        <v>5</v>
      </c>
      <c r="AR38" cm="1">
        <f t="array" ref="AR38">SUMPRODUCT(('Team Lineups'!$K$2:$K$2000&lt;&gt;"")*('Team Lineups'!$C$2:$C$2000=$A38)*COUNTIFS('Team Lineups'!$K$2:$K$2000,'Team Lineups'!$K$2:$K$2000,'Team Lineups'!$C$2:$C$2000,AR$1))</f>
        <v>0</v>
      </c>
      <c r="AS38" cm="1">
        <f t="array" ref="AS38">SUMPRODUCT(('Team Lineups'!$K$2:$K$2000&lt;&gt;"")*('Team Lineups'!$C$2:$C$2000=$A38)*COUNTIFS('Team Lineups'!$K$2:$K$2000,'Team Lineups'!$K$2:$K$2000,'Team Lineups'!$C$2:$C$2000,AS$1))</f>
        <v>0</v>
      </c>
      <c r="AT38" cm="1">
        <f t="array" ref="AT38">SUMPRODUCT(('Team Lineups'!$K$2:$K$2000&lt;&gt;"")*('Team Lineups'!$C$2:$C$2000=$A38)*COUNTIFS('Team Lineups'!$K$2:$K$2000,'Team Lineups'!$K$2:$K$2000,'Team Lineups'!$C$2:$C$2000,AT$1))</f>
        <v>0</v>
      </c>
      <c r="AU38" cm="1">
        <f t="array" ref="AU38">SUMPRODUCT(('Team Lineups'!$K$2:$K$2000&lt;&gt;"")*('Team Lineups'!$C$2:$C$2000=$A38)*COUNTIFS('Team Lineups'!$K$2:$K$2000,'Team Lineups'!$K$2:$K$2000,'Team Lineups'!$C$2:$C$2000,AU$1))</f>
        <v>1</v>
      </c>
      <c r="AV38" cm="1">
        <f t="array" ref="AV38">SUMPRODUCT(('Team Lineups'!$K$2:$K$2000&lt;&gt;"")*('Team Lineups'!$C$2:$C$2000=$A38)*COUNTIFS('Team Lineups'!$K$2:$K$2000,'Team Lineups'!$K$2:$K$2000,'Team Lineups'!$C$2:$C$2000,AV$1))</f>
        <v>5</v>
      </c>
      <c r="AW38" cm="1">
        <f t="array" ref="AW38">SUMPRODUCT(('Team Lineups'!$K$2:$K$2000&lt;&gt;"")*('Team Lineups'!$C$2:$C$2000=$A38)*COUNTIFS('Team Lineups'!$K$2:$K$2000,'Team Lineups'!$K$2:$K$2000,'Team Lineups'!$C$2:$C$2000,AW$1))</f>
        <v>0</v>
      </c>
      <c r="AX38" cm="1">
        <f t="array" ref="AX38">SUMPRODUCT(('Team Lineups'!$K$2:$K$2000&lt;&gt;"")*('Team Lineups'!$C$2:$C$2000=$A38)*COUNTIFS('Team Lineups'!$K$2:$K$2000,'Team Lineups'!$K$2:$K$2000,'Team Lineups'!$C$2:$C$2000,AX$1))</f>
        <v>1</v>
      </c>
      <c r="AY38" cm="1">
        <f t="array" ref="AY38">SUMPRODUCT(('Team Lineups'!$K$2:$K$2000&lt;&gt;"")*('Team Lineups'!$C$2:$C$2000=$A38)*COUNTIFS('Team Lineups'!$K$2:$K$2000,'Team Lineups'!$K$2:$K$2000,'Team Lineups'!$C$2:$C$2000,AY$1))</f>
        <v>0</v>
      </c>
    </row>
    <row r="39" spans="1:51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  <c r="AQ39" cm="1">
        <f t="array" ref="AQ39">SUMPRODUCT(('Team Lineups'!$K$2:$K$2000&lt;&gt;"")*('Team Lineups'!$C$2:$C$2000=$A39)*COUNTIFS('Team Lineups'!$K$2:$K$2000,'Team Lineups'!$K$2:$K$2000,'Team Lineups'!$C$2:$C$2000,AQ$1))</f>
        <v>0</v>
      </c>
      <c r="AR39" cm="1">
        <f t="array" ref="AR39">SUMPRODUCT(('Team Lineups'!$K$2:$K$2000&lt;&gt;"")*('Team Lineups'!$C$2:$C$2000=$A39)*COUNTIFS('Team Lineups'!$K$2:$K$2000,'Team Lineups'!$K$2:$K$2000,'Team Lineups'!$C$2:$C$2000,AR$1))</f>
        <v>0</v>
      </c>
      <c r="AS39" cm="1">
        <f t="array" ref="AS39">SUMPRODUCT(('Team Lineups'!$K$2:$K$2000&lt;&gt;"")*('Team Lineups'!$C$2:$C$2000=$A39)*COUNTIFS('Team Lineups'!$K$2:$K$2000,'Team Lineups'!$K$2:$K$2000,'Team Lineups'!$C$2:$C$2000,AS$1))</f>
        <v>0</v>
      </c>
      <c r="AT39" cm="1">
        <f t="array" ref="AT39">SUMPRODUCT(('Team Lineups'!$K$2:$K$2000&lt;&gt;"")*('Team Lineups'!$C$2:$C$2000=$A39)*COUNTIFS('Team Lineups'!$K$2:$K$2000,'Team Lineups'!$K$2:$K$2000,'Team Lineups'!$C$2:$C$2000,AT$1))</f>
        <v>0</v>
      </c>
      <c r="AU39" cm="1">
        <f t="array" ref="AU39">SUMPRODUCT(('Team Lineups'!$K$2:$K$2000&lt;&gt;"")*('Team Lineups'!$C$2:$C$2000=$A39)*COUNTIFS('Team Lineups'!$K$2:$K$2000,'Team Lineups'!$K$2:$K$2000,'Team Lineups'!$C$2:$C$2000,AU$1))</f>
        <v>0</v>
      </c>
      <c r="AV39" cm="1">
        <f t="array" ref="AV39">SUMPRODUCT(('Team Lineups'!$K$2:$K$2000&lt;&gt;"")*('Team Lineups'!$C$2:$C$2000=$A39)*COUNTIFS('Team Lineups'!$K$2:$K$2000,'Team Lineups'!$K$2:$K$2000,'Team Lineups'!$C$2:$C$2000,AV$1))</f>
        <v>0</v>
      </c>
      <c r="AW39" cm="1">
        <f t="array" ref="AW39">SUMPRODUCT(('Team Lineups'!$K$2:$K$2000&lt;&gt;"")*('Team Lineups'!$C$2:$C$2000=$A39)*COUNTIFS('Team Lineups'!$K$2:$K$2000,'Team Lineups'!$K$2:$K$2000,'Team Lineups'!$C$2:$C$2000,AW$1))</f>
        <v>0</v>
      </c>
      <c r="AX39" cm="1">
        <f t="array" ref="AX39">SUMPRODUCT(('Team Lineups'!$K$2:$K$2000&lt;&gt;"")*('Team Lineups'!$C$2:$C$2000=$A39)*COUNTIFS('Team Lineups'!$K$2:$K$2000,'Team Lineups'!$K$2:$K$2000,'Team Lineups'!$C$2:$C$2000,AX$1))</f>
        <v>0</v>
      </c>
      <c r="AY39" cm="1">
        <f t="array" ref="AY39">SUMPRODUCT(('Team Lineups'!$K$2:$K$2000&lt;&gt;"")*('Team Lineups'!$C$2:$C$2000=$A39)*COUNTIFS('Team Lineups'!$K$2:$K$2000,'Team Lineups'!$K$2:$K$2000,'Team Lineups'!$C$2:$C$2000,AY$1))</f>
        <v>0</v>
      </c>
    </row>
    <row r="40" spans="1:51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2</v>
      </c>
      <c r="E40" cm="1">
        <f t="array" ref="E40">SUMPRODUCT(('Team Lineups'!$K$2:$K$2000&lt;&gt;"")*('Team Lineups'!$C$2:$C$2000=$A40)*COUNTIFS('Team Lineups'!$K$2:$K$2000,'Team Lineups'!$K$2:$K$2000,'Team Lineups'!$C$2:$C$2000,E$1))</f>
        <v>2</v>
      </c>
      <c r="F40" cm="1">
        <f t="array" ref="F40">SUMPRODUCT(('Team Lineups'!$K$2:$K$2000&lt;&gt;"")*('Team Lineups'!$C$2:$C$2000=$A40)*COUNTIFS('Team Lineups'!$K$2:$K$2000,'Team Lineups'!$K$2:$K$2000,'Team Lineups'!$C$2:$C$2000,F$1))</f>
        <v>4</v>
      </c>
      <c r="G40" cm="1">
        <f t="array" ref="G40">SUMPRODUCT(('Team Lineups'!$K$2:$K$2000&lt;&gt;"")*('Team Lineups'!$C$2:$C$2000=$A40)*COUNTIFS('Team Lineups'!$K$2:$K$2000,'Team Lineups'!$K$2:$K$2000,'Team Lineups'!$C$2:$C$2000,G$1))</f>
        <v>2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3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2</v>
      </c>
      <c r="M40" cm="1">
        <f t="array" ref="M40">SUMPRODUCT(('Team Lineups'!$K$2:$K$2000&lt;&gt;"")*('Team Lineups'!$C$2:$C$2000=$A40)*COUNTIFS('Team Lineups'!$K$2:$K$2000,'Team Lineups'!$K$2:$K$2000,'Team Lineups'!$C$2:$C$2000,M$1))</f>
        <v>2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2</v>
      </c>
      <c r="R40" cm="1">
        <f t="array" ref="R40">SUMPRODUCT(('Team Lineups'!$K$2:$K$2000&lt;&gt;"")*('Team Lineups'!$C$2:$C$2000=$A40)*COUNTIFS('Team Lineups'!$K$2:$K$2000,'Team Lineups'!$K$2:$K$2000,'Team Lineups'!$C$2:$C$2000,R$1))</f>
        <v>1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2</v>
      </c>
      <c r="AB40" cm="1">
        <f t="array" ref="AB40">SUMPRODUCT(('Team Lineups'!$K$2:$K$2000&lt;&gt;"")*('Team Lineups'!$C$2:$C$2000=$A40)*COUNTIFS('Team Lineups'!$K$2:$K$2000,'Team Lineups'!$K$2:$K$2000,'Team Lineups'!$C$2:$C$2000,AB$1))</f>
        <v>2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1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3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4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9</v>
      </c>
      <c r="AO40" cm="1">
        <f t="array" ref="AO40">SUMPRODUCT(('Team Lineups'!$K$2:$K$2000&lt;&gt;"")*('Team Lineups'!$C$2:$C$2000=$A40)*COUNTIFS('Team Lineups'!$K$2:$K$2000,'Team Lineups'!$K$2:$K$2000,'Team Lineups'!$C$2:$C$2000,AO$1))</f>
        <v>1</v>
      </c>
      <c r="AP40" cm="1">
        <f t="array" ref="AP40">SUMPRODUCT(('Team Lineups'!$K$2:$K$2000&lt;&gt;"")*('Team Lineups'!$C$2:$C$2000=$A40)*COUNTIFS('Team Lineups'!$K$2:$K$2000,'Team Lineups'!$K$2:$K$2000,'Team Lineups'!$C$2:$C$2000,AP$1))</f>
        <v>3</v>
      </c>
      <c r="AQ40" cm="1">
        <f t="array" ref="AQ40">SUMPRODUCT(('Team Lineups'!$K$2:$K$2000&lt;&gt;"")*('Team Lineups'!$C$2:$C$2000=$A40)*COUNTIFS('Team Lineups'!$K$2:$K$2000,'Team Lineups'!$K$2:$K$2000,'Team Lineups'!$C$2:$C$2000,AQ$1))</f>
        <v>0</v>
      </c>
      <c r="AR40" cm="1">
        <f t="array" ref="AR40">SUMPRODUCT(('Team Lineups'!$K$2:$K$2000&lt;&gt;"")*('Team Lineups'!$C$2:$C$2000=$A40)*COUNTIFS('Team Lineups'!$K$2:$K$2000,'Team Lineups'!$K$2:$K$2000,'Team Lineups'!$C$2:$C$2000,AR$1))</f>
        <v>0</v>
      </c>
      <c r="AS40" cm="1">
        <f t="array" ref="AS40">SUMPRODUCT(('Team Lineups'!$K$2:$K$2000&lt;&gt;"")*('Team Lineups'!$C$2:$C$2000=$A40)*COUNTIFS('Team Lineups'!$K$2:$K$2000,'Team Lineups'!$K$2:$K$2000,'Team Lineups'!$C$2:$C$2000,AS$1))</f>
        <v>0</v>
      </c>
      <c r="AT40" cm="1">
        <f t="array" ref="AT40">SUMPRODUCT(('Team Lineups'!$K$2:$K$2000&lt;&gt;"")*('Team Lineups'!$C$2:$C$2000=$A40)*COUNTIFS('Team Lineups'!$K$2:$K$2000,'Team Lineups'!$K$2:$K$2000,'Team Lineups'!$C$2:$C$2000,AT$1))</f>
        <v>0</v>
      </c>
      <c r="AU40" cm="1">
        <f t="array" ref="AU40">SUMPRODUCT(('Team Lineups'!$K$2:$K$2000&lt;&gt;"")*('Team Lineups'!$C$2:$C$2000=$A40)*COUNTIFS('Team Lineups'!$K$2:$K$2000,'Team Lineups'!$K$2:$K$2000,'Team Lineups'!$C$2:$C$2000,AU$1))</f>
        <v>0</v>
      </c>
      <c r="AV40" cm="1">
        <f t="array" ref="AV40">SUMPRODUCT(('Team Lineups'!$K$2:$K$2000&lt;&gt;"")*('Team Lineups'!$C$2:$C$2000=$A40)*COUNTIFS('Team Lineups'!$K$2:$K$2000,'Team Lineups'!$K$2:$K$2000,'Team Lineups'!$C$2:$C$2000,AV$1))</f>
        <v>0</v>
      </c>
      <c r="AW40" cm="1">
        <f t="array" ref="AW40">SUMPRODUCT(('Team Lineups'!$K$2:$K$2000&lt;&gt;"")*('Team Lineups'!$C$2:$C$2000=$A40)*COUNTIFS('Team Lineups'!$K$2:$K$2000,'Team Lineups'!$K$2:$K$2000,'Team Lineups'!$C$2:$C$2000,AW$1))</f>
        <v>0</v>
      </c>
      <c r="AX40" cm="1">
        <f t="array" ref="AX40">SUMPRODUCT(('Team Lineups'!$K$2:$K$2000&lt;&gt;"")*('Team Lineups'!$C$2:$C$2000=$A40)*COUNTIFS('Team Lineups'!$K$2:$K$2000,'Team Lineups'!$K$2:$K$2000,'Team Lineups'!$C$2:$C$2000,AX$1))</f>
        <v>0</v>
      </c>
      <c r="AY40" cm="1">
        <f t="array" ref="AY40">SUMPRODUCT(('Team Lineups'!$K$2:$K$2000&lt;&gt;"")*('Team Lineups'!$C$2:$C$2000=$A40)*COUNTIFS('Team Lineups'!$K$2:$K$2000,'Team Lineups'!$K$2:$K$2000,'Team Lineups'!$C$2:$C$2000,AY$1))</f>
        <v>0</v>
      </c>
    </row>
    <row r="41" spans="1:51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1</v>
      </c>
      <c r="G41" cm="1">
        <f t="array" ref="G41">SUMPRODUCT(('Team Lineups'!$K$2:$K$2000&lt;&gt;"")*('Team Lineups'!$C$2:$C$2000=$A41)*COUNTIFS('Team Lineups'!$K$2:$K$2000,'Team Lineups'!$K$2:$K$2000,'Team Lineups'!$C$2:$C$2000,G$1))</f>
        <v>4</v>
      </c>
      <c r="H41" cm="1">
        <f t="array" ref="H41">SUMPRODUCT(('Team Lineups'!$K$2:$K$2000&lt;&gt;"")*('Team Lineups'!$C$2:$C$2000=$A41)*COUNTIFS('Team Lineups'!$K$2:$K$2000,'Team Lineups'!$K$2:$K$2000,'Team Lineups'!$C$2:$C$2000,H$1))</f>
        <v>1</v>
      </c>
      <c r="I41" cm="1">
        <f t="array" ref="I41">SUMPRODUCT(('Team Lineups'!$K$2:$K$2000&lt;&gt;"")*('Team Lineups'!$C$2:$C$2000=$A41)*COUNTIFS('Team Lineups'!$K$2:$K$2000,'Team Lineups'!$K$2:$K$2000,'Team Lineups'!$C$2:$C$2000,I$1))</f>
        <v>2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3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3</v>
      </c>
      <c r="O41" cm="1">
        <f t="array" ref="O41">SUMPRODUCT(('Team Lineups'!$K$2:$K$2000&lt;&gt;"")*('Team Lineups'!$C$2:$C$2000=$A41)*COUNTIFS('Team Lineups'!$K$2:$K$2000,'Team Lineups'!$K$2:$K$2000,'Team Lineups'!$C$2:$C$2000,O$1))</f>
        <v>1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4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1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1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3</v>
      </c>
      <c r="AB41" cm="1">
        <f t="array" ref="AB41">SUMPRODUCT(('Team Lineups'!$K$2:$K$2000&lt;&gt;"")*('Team Lineups'!$C$2:$C$2000=$A41)*COUNTIFS('Team Lineups'!$K$2:$K$2000,'Team Lineups'!$K$2:$K$2000,'Team Lineups'!$C$2:$C$2000,AB$1))</f>
        <v>1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2</v>
      </c>
      <c r="AE41" cm="1">
        <f t="array" ref="AE41">SUMPRODUCT(('Team Lineups'!$K$2:$K$2000&lt;&gt;"")*('Team Lineups'!$C$2:$C$2000=$A41)*COUNTIFS('Team Lineups'!$K$2:$K$2000,'Team Lineups'!$K$2:$K$2000,'Team Lineups'!$C$2:$C$2000,AE$1))</f>
        <v>1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1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3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1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1</v>
      </c>
      <c r="AO41" cm="1">
        <f t="array" ref="AO41">SUMPRODUCT(('Team Lineups'!$K$2:$K$2000&lt;&gt;"")*('Team Lineups'!$C$2:$C$2000=$A41)*COUNTIFS('Team Lineups'!$K$2:$K$2000,'Team Lineups'!$K$2:$K$2000,'Team Lineups'!$C$2:$C$2000,AO$1))</f>
        <v>8</v>
      </c>
      <c r="AP41" cm="1">
        <f t="array" ref="AP41">SUMPRODUCT(('Team Lineups'!$K$2:$K$2000&lt;&gt;"")*('Team Lineups'!$C$2:$C$2000=$A41)*COUNTIFS('Team Lineups'!$K$2:$K$2000,'Team Lineups'!$K$2:$K$2000,'Team Lineups'!$C$2:$C$2000,AP$1))</f>
        <v>2</v>
      </c>
      <c r="AQ41" cm="1">
        <f t="array" ref="AQ41">SUMPRODUCT(('Team Lineups'!$K$2:$K$2000&lt;&gt;"")*('Team Lineups'!$C$2:$C$2000=$A41)*COUNTIFS('Team Lineups'!$K$2:$K$2000,'Team Lineups'!$K$2:$K$2000,'Team Lineups'!$C$2:$C$2000,AQ$1))</f>
        <v>1</v>
      </c>
      <c r="AR41" cm="1">
        <f t="array" ref="AR41">SUMPRODUCT(('Team Lineups'!$K$2:$K$2000&lt;&gt;"")*('Team Lineups'!$C$2:$C$2000=$A41)*COUNTIFS('Team Lineups'!$K$2:$K$2000,'Team Lineups'!$K$2:$K$2000,'Team Lineups'!$C$2:$C$2000,AR$1))</f>
        <v>0</v>
      </c>
      <c r="AS41" cm="1">
        <f t="array" ref="AS41">SUMPRODUCT(('Team Lineups'!$K$2:$K$2000&lt;&gt;"")*('Team Lineups'!$C$2:$C$2000=$A41)*COUNTIFS('Team Lineups'!$K$2:$K$2000,'Team Lineups'!$K$2:$K$2000,'Team Lineups'!$C$2:$C$2000,AS$1))</f>
        <v>0</v>
      </c>
      <c r="AT41" cm="1">
        <f t="array" ref="AT41">SUMPRODUCT(('Team Lineups'!$K$2:$K$2000&lt;&gt;"")*('Team Lineups'!$C$2:$C$2000=$A41)*COUNTIFS('Team Lineups'!$K$2:$K$2000,'Team Lineups'!$K$2:$K$2000,'Team Lineups'!$C$2:$C$2000,AT$1))</f>
        <v>1</v>
      </c>
      <c r="AU41" cm="1">
        <f t="array" ref="AU41">SUMPRODUCT(('Team Lineups'!$K$2:$K$2000&lt;&gt;"")*('Team Lineups'!$C$2:$C$2000=$A41)*COUNTIFS('Team Lineups'!$K$2:$K$2000,'Team Lineups'!$K$2:$K$2000,'Team Lineups'!$C$2:$C$2000,AU$1))</f>
        <v>1</v>
      </c>
      <c r="AV41" cm="1">
        <f t="array" ref="AV41">SUMPRODUCT(('Team Lineups'!$K$2:$K$2000&lt;&gt;"")*('Team Lineups'!$C$2:$C$2000=$A41)*COUNTIFS('Team Lineups'!$K$2:$K$2000,'Team Lineups'!$K$2:$K$2000,'Team Lineups'!$C$2:$C$2000,AV$1))</f>
        <v>0</v>
      </c>
      <c r="AW41" cm="1">
        <f t="array" ref="AW41">SUMPRODUCT(('Team Lineups'!$K$2:$K$2000&lt;&gt;"")*('Team Lineups'!$C$2:$C$2000=$A41)*COUNTIFS('Team Lineups'!$K$2:$K$2000,'Team Lineups'!$K$2:$K$2000,'Team Lineups'!$C$2:$C$2000,AW$1))</f>
        <v>0</v>
      </c>
      <c r="AX41" cm="1">
        <f t="array" ref="AX41">SUMPRODUCT(('Team Lineups'!$K$2:$K$2000&lt;&gt;"")*('Team Lineups'!$C$2:$C$2000=$A41)*COUNTIFS('Team Lineups'!$K$2:$K$2000,'Team Lineups'!$K$2:$K$2000,'Team Lineups'!$C$2:$C$2000,AX$1))</f>
        <v>0</v>
      </c>
      <c r="AY41" cm="1">
        <f t="array" ref="AY41">SUMPRODUCT(('Team Lineups'!$K$2:$K$2000&lt;&gt;"")*('Team Lineups'!$C$2:$C$2000=$A41)*COUNTIFS('Team Lineups'!$K$2:$K$2000,'Team Lineups'!$K$2:$K$2000,'Team Lineups'!$C$2:$C$2000,AY$1))</f>
        <v>0</v>
      </c>
    </row>
    <row r="42" spans="1:51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3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4</v>
      </c>
      <c r="E42" cm="1">
        <f t="array" ref="E42">SUMPRODUCT(('Team Lineups'!$K$2:$K$2000&lt;&gt;"")*('Team Lineups'!$C$2:$C$2000=$A42)*COUNTIFS('Team Lineups'!$K$2:$K$2000,'Team Lineups'!$K$2:$K$2000,'Team Lineups'!$C$2:$C$2000,E$1))</f>
        <v>7</v>
      </c>
      <c r="F42" cm="1">
        <f t="array" ref="F42">SUMPRODUCT(('Team Lineups'!$K$2:$K$2000&lt;&gt;"")*('Team Lineups'!$C$2:$C$2000=$A42)*COUNTIFS('Team Lineups'!$K$2:$K$2000,'Team Lineups'!$K$2:$K$2000,'Team Lineups'!$C$2:$C$2000,F$1))</f>
        <v>6</v>
      </c>
      <c r="G42" cm="1">
        <f t="array" ref="G42">SUMPRODUCT(('Team Lineups'!$K$2:$K$2000&lt;&gt;"")*('Team Lineups'!$C$2:$C$2000=$A42)*COUNTIFS('Team Lineups'!$K$2:$K$2000,'Team Lineups'!$K$2:$K$2000,'Team Lineups'!$C$2:$C$2000,G$1))</f>
        <v>5</v>
      </c>
      <c r="H42" cm="1">
        <f t="array" ref="H42">SUMPRODUCT(('Team Lineups'!$K$2:$K$2000&lt;&gt;"")*('Team Lineups'!$C$2:$C$2000=$A42)*COUNTIFS('Team Lineups'!$K$2:$K$2000,'Team Lineups'!$K$2:$K$2000,'Team Lineups'!$C$2:$C$2000,H$1))</f>
        <v>4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2</v>
      </c>
      <c r="M42" cm="1">
        <f t="array" ref="M42">SUMPRODUCT(('Team Lineups'!$K$2:$K$2000&lt;&gt;"")*('Team Lineups'!$C$2:$C$2000=$A42)*COUNTIFS('Team Lineups'!$K$2:$K$2000,'Team Lineups'!$K$2:$K$2000,'Team Lineups'!$C$2:$C$2000,M$1))</f>
        <v>4</v>
      </c>
      <c r="N42" cm="1">
        <f t="array" ref="N42">SUMPRODUCT(('Team Lineups'!$K$2:$K$2000&lt;&gt;"")*('Team Lineups'!$C$2:$C$2000=$A42)*COUNTIFS('Team Lineups'!$K$2:$K$2000,'Team Lineups'!$K$2:$K$2000,'Team Lineups'!$C$2:$C$2000,N$1))</f>
        <v>6</v>
      </c>
      <c r="O42" cm="1">
        <f t="array" ref="O42">SUMPRODUCT(('Team Lineups'!$K$2:$K$2000&lt;&gt;"")*('Team Lineups'!$C$2:$C$2000=$A42)*COUNTIFS('Team Lineups'!$K$2:$K$2000,'Team Lineups'!$K$2:$K$2000,'Team Lineups'!$C$2:$C$2000,O$1))</f>
        <v>2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5</v>
      </c>
      <c r="R42" cm="1">
        <f t="array" ref="R42">SUMPRODUCT(('Team Lineups'!$K$2:$K$2000&lt;&gt;"")*('Team Lineups'!$C$2:$C$2000=$A42)*COUNTIFS('Team Lineups'!$K$2:$K$2000,'Team Lineups'!$K$2:$K$2000,'Team Lineups'!$C$2:$C$2000,R$1))</f>
        <v>3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1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1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3</v>
      </c>
      <c r="AA42" cm="1">
        <f t="array" ref="AA42">SUMPRODUCT(('Team Lineups'!$K$2:$K$2000&lt;&gt;"")*('Team Lineups'!$C$2:$C$2000=$A42)*COUNTIFS('Team Lineups'!$K$2:$K$2000,'Team Lineups'!$K$2:$K$2000,'Team Lineups'!$C$2:$C$2000,AA$1))</f>
        <v>3</v>
      </c>
      <c r="AB42" cm="1">
        <f t="array" ref="AB42">SUMPRODUCT(('Team Lineups'!$K$2:$K$2000&lt;&gt;"")*('Team Lineups'!$C$2:$C$2000=$A42)*COUNTIFS('Team Lineups'!$K$2:$K$2000,'Team Lineups'!$K$2:$K$2000,'Team Lineups'!$C$2:$C$2000,AB$1))</f>
        <v>1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7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5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6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10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3</v>
      </c>
      <c r="AO42" cm="1">
        <f t="array" ref="AO42">SUMPRODUCT(('Team Lineups'!$K$2:$K$2000&lt;&gt;"")*('Team Lineups'!$C$2:$C$2000=$A42)*COUNTIFS('Team Lineups'!$K$2:$K$2000,'Team Lineups'!$K$2:$K$2000,'Team Lineups'!$C$2:$C$2000,AO$1))</f>
        <v>2</v>
      </c>
      <c r="AP42" cm="1">
        <f t="array" ref="AP42">SUMPRODUCT(('Team Lineups'!$K$2:$K$2000&lt;&gt;"")*('Team Lineups'!$C$2:$C$2000=$A42)*COUNTIFS('Team Lineups'!$K$2:$K$2000,'Team Lineups'!$K$2:$K$2000,'Team Lineups'!$C$2:$C$2000,AP$1))</f>
        <v>19</v>
      </c>
      <c r="AQ42" cm="1">
        <f t="array" ref="AQ42">SUMPRODUCT(('Team Lineups'!$K$2:$K$2000&lt;&gt;"")*('Team Lineups'!$C$2:$C$2000=$A42)*COUNTIFS('Team Lineups'!$K$2:$K$2000,'Team Lineups'!$K$2:$K$2000,'Team Lineups'!$C$2:$C$2000,AQ$1))</f>
        <v>4</v>
      </c>
      <c r="AR42" cm="1">
        <f t="array" ref="AR42">SUMPRODUCT(('Team Lineups'!$K$2:$K$2000&lt;&gt;"")*('Team Lineups'!$C$2:$C$2000=$A42)*COUNTIFS('Team Lineups'!$K$2:$K$2000,'Team Lineups'!$K$2:$K$2000,'Team Lineups'!$C$2:$C$2000,AR$1))</f>
        <v>0</v>
      </c>
      <c r="AS42" cm="1">
        <f t="array" ref="AS42">SUMPRODUCT(('Team Lineups'!$K$2:$K$2000&lt;&gt;"")*('Team Lineups'!$C$2:$C$2000=$A42)*COUNTIFS('Team Lineups'!$K$2:$K$2000,'Team Lineups'!$K$2:$K$2000,'Team Lineups'!$C$2:$C$2000,AS$1))</f>
        <v>0</v>
      </c>
      <c r="AT42" cm="1">
        <f t="array" ref="AT42">SUMPRODUCT(('Team Lineups'!$K$2:$K$2000&lt;&gt;"")*('Team Lineups'!$C$2:$C$2000=$A42)*COUNTIFS('Team Lineups'!$K$2:$K$2000,'Team Lineups'!$K$2:$K$2000,'Team Lineups'!$C$2:$C$2000,AT$1))</f>
        <v>0</v>
      </c>
      <c r="AU42" cm="1">
        <f t="array" ref="AU42">SUMPRODUCT(('Team Lineups'!$K$2:$K$2000&lt;&gt;"")*('Team Lineups'!$C$2:$C$2000=$A42)*COUNTIFS('Team Lineups'!$K$2:$K$2000,'Team Lineups'!$K$2:$K$2000,'Team Lineups'!$C$2:$C$2000,AU$1))</f>
        <v>0</v>
      </c>
      <c r="AV42" cm="1">
        <f t="array" ref="AV42">SUMPRODUCT(('Team Lineups'!$K$2:$K$2000&lt;&gt;"")*('Team Lineups'!$C$2:$C$2000=$A42)*COUNTIFS('Team Lineups'!$K$2:$K$2000,'Team Lineups'!$K$2:$K$2000,'Team Lineups'!$C$2:$C$2000,AV$1))</f>
        <v>4</v>
      </c>
      <c r="AW42" cm="1">
        <f t="array" ref="AW42">SUMPRODUCT(('Team Lineups'!$K$2:$K$2000&lt;&gt;"")*('Team Lineups'!$C$2:$C$2000=$A42)*COUNTIFS('Team Lineups'!$K$2:$K$2000,'Team Lineups'!$K$2:$K$2000,'Team Lineups'!$C$2:$C$2000,AW$1))</f>
        <v>0</v>
      </c>
      <c r="AX42" cm="1">
        <f t="array" ref="AX42">SUMPRODUCT(('Team Lineups'!$K$2:$K$2000&lt;&gt;"")*('Team Lineups'!$C$2:$C$2000=$A42)*COUNTIFS('Team Lineups'!$K$2:$K$2000,'Team Lineups'!$K$2:$K$2000,'Team Lineups'!$C$2:$C$2000,AX$1))</f>
        <v>0</v>
      </c>
      <c r="AY42" cm="1">
        <f t="array" ref="AY42">SUMPRODUCT(('Team Lineups'!$K$2:$K$2000&lt;&gt;"")*('Team Lineups'!$C$2:$C$2000=$A42)*COUNTIFS('Team Lineups'!$K$2:$K$2000,'Team Lineups'!$K$2:$K$2000,'Team Lineups'!$C$2:$C$2000,AY$1))</f>
        <v>0</v>
      </c>
    </row>
    <row r="43" spans="1:51" x14ac:dyDescent="0.35">
      <c r="A43" t="str">
        <v>Martyson</v>
      </c>
      <c r="B43" cm="1">
        <f t="array" ref="B43">SUMPRODUCT(('Team Lineups'!$K$2:$K$2000&lt;&gt;"")*('Team Lineups'!$C$2:$C$2000=$A43)*COUNTIFS('Team Lineups'!$K$2:$K$2000,'Team Lineups'!$K$2:$K$2000,'Team Lineups'!$C$2:$C$2000,B$1))</f>
        <v>0</v>
      </c>
      <c r="C43" cm="1">
        <f t="array" ref="C43">SUMPRODUCT(('Team Lineups'!$K$2:$K$2000&lt;&gt;"")*('Team Lineups'!$C$2:$C$2000=$A43)*COUNTIFS('Team Lineups'!$K$2:$K$2000,'Team Lineups'!$K$2:$K$2000,'Team Lineups'!$C$2:$C$2000,C$1))</f>
        <v>0</v>
      </c>
      <c r="D43" cm="1">
        <f t="array" ref="D43">SUMPRODUCT(('Team Lineups'!$K$2:$K$2000&lt;&gt;"")*('Team Lineups'!$C$2:$C$2000=$A43)*COUNTIFS('Team Lineups'!$K$2:$K$2000,'Team Lineups'!$K$2:$K$2000,'Team Lineups'!$C$2:$C$2000,D$1))</f>
        <v>3</v>
      </c>
      <c r="E43" cm="1">
        <f t="array" ref="E43">SUMPRODUCT(('Team Lineups'!$K$2:$K$2000&lt;&gt;"")*('Team Lineups'!$C$2:$C$2000=$A43)*COUNTIFS('Team Lineups'!$K$2:$K$2000,'Team Lineups'!$K$2:$K$2000,'Team Lineups'!$C$2:$C$2000,E$1))</f>
        <v>3</v>
      </c>
      <c r="F43" cm="1">
        <f t="array" ref="F43">SUMPRODUCT(('Team Lineups'!$K$2:$K$2000&lt;&gt;"")*('Team Lineups'!$C$2:$C$2000=$A43)*COUNTIFS('Team Lineups'!$K$2:$K$2000,'Team Lineups'!$K$2:$K$2000,'Team Lineups'!$C$2:$C$2000,F$1))</f>
        <v>3</v>
      </c>
      <c r="G43" cm="1">
        <f t="array" ref="G43">SUMPRODUCT(('Team Lineups'!$K$2:$K$2000&lt;&gt;"")*('Team Lineups'!$C$2:$C$2000=$A43)*COUNTIFS('Team Lineups'!$K$2:$K$2000,'Team Lineups'!$K$2:$K$2000,'Team Lineups'!$C$2:$C$2000,G$1))</f>
        <v>2</v>
      </c>
      <c r="H43" cm="1">
        <f t="array" ref="H43">SUMPRODUCT(('Team Lineups'!$K$2:$K$2000&lt;&gt;"")*('Team Lineups'!$C$2:$C$2000=$A43)*COUNTIFS('Team Lineups'!$K$2:$K$2000,'Team Lineups'!$K$2:$K$2000,'Team Lineups'!$C$2:$C$2000,H$1))</f>
        <v>2</v>
      </c>
      <c r="I43" cm="1">
        <f t="array" ref="I43">SUMPRODUCT(('Team Lineups'!$K$2:$K$2000&lt;&gt;"")*('Team Lineups'!$C$2:$C$2000=$A43)*COUNTIFS('Team Lineups'!$K$2:$K$2000,'Team Lineups'!$K$2:$K$2000,'Team Lineups'!$C$2:$C$2000,I$1))</f>
        <v>4</v>
      </c>
      <c r="J43" cm="1">
        <f t="array" ref="J43">SUMPRODUCT(('Team Lineups'!$K$2:$K$2000&lt;&gt;"")*('Team Lineups'!$C$2:$C$2000=$A43)*COUNTIFS('Team Lineups'!$K$2:$K$2000,'Team Lineups'!$K$2:$K$2000,'Team Lineups'!$C$2:$C$2000,J$1))</f>
        <v>0</v>
      </c>
      <c r="K43" cm="1">
        <f t="array" ref="K43">SUMPRODUCT(('Team Lineups'!$K$2:$K$2000&lt;&gt;"")*('Team Lineups'!$C$2:$C$2000=$A43)*COUNTIFS('Team Lineups'!$K$2:$K$2000,'Team Lineups'!$K$2:$K$2000,'Team Lineups'!$C$2:$C$2000,K$1))</f>
        <v>0</v>
      </c>
      <c r="L43" cm="1">
        <f t="array" ref="L43">SUMPRODUCT(('Team Lineups'!$K$2:$K$2000&lt;&gt;"")*('Team Lineups'!$C$2:$C$2000=$A43)*COUNTIFS('Team Lineups'!$K$2:$K$2000,'Team Lineups'!$K$2:$K$2000,'Team Lineups'!$C$2:$C$2000,L$1))</f>
        <v>5</v>
      </c>
      <c r="M43" cm="1">
        <f t="array" ref="M43">SUMPRODUCT(('Team Lineups'!$K$2:$K$2000&lt;&gt;"")*('Team Lineups'!$C$2:$C$2000=$A43)*COUNTIFS('Team Lineups'!$K$2:$K$2000,'Team Lineups'!$K$2:$K$2000,'Team Lineups'!$C$2:$C$2000,M$1))</f>
        <v>3</v>
      </c>
      <c r="N43" cm="1">
        <f t="array" ref="N43">SUMPRODUCT(('Team Lineups'!$K$2:$K$2000&lt;&gt;"")*('Team Lineups'!$C$2:$C$2000=$A43)*COUNTIFS('Team Lineups'!$K$2:$K$2000,'Team Lineups'!$K$2:$K$2000,'Team Lineups'!$C$2:$C$2000,N$1))</f>
        <v>3</v>
      </c>
      <c r="O43" cm="1">
        <f t="array" ref="O43">SUMPRODUCT(('Team Lineups'!$K$2:$K$2000&lt;&gt;"")*('Team Lineups'!$C$2:$C$2000=$A43)*COUNTIFS('Team Lineups'!$K$2:$K$2000,'Team Lineups'!$K$2:$K$2000,'Team Lineups'!$C$2:$C$2000,O$1))</f>
        <v>1</v>
      </c>
      <c r="P43" cm="1">
        <f t="array" ref="P43">SUMPRODUCT(('Team Lineups'!$K$2:$K$2000&lt;&gt;"")*('Team Lineups'!$C$2:$C$2000=$A43)*COUNTIFS('Team Lineups'!$K$2:$K$2000,'Team Lineups'!$K$2:$K$2000,'Team Lineups'!$C$2:$C$2000,P$1))</f>
        <v>0</v>
      </c>
      <c r="Q43" cm="1">
        <f t="array" ref="Q43">SUMPRODUCT(('Team Lineups'!$K$2:$K$2000&lt;&gt;"")*('Team Lineups'!$C$2:$C$2000=$A43)*COUNTIFS('Team Lineups'!$K$2:$K$2000,'Team Lineups'!$K$2:$K$2000,'Team Lineups'!$C$2:$C$2000,Q$1))</f>
        <v>5</v>
      </c>
      <c r="R43" cm="1">
        <f t="array" ref="R43">SUMPRODUCT(('Team Lineups'!$K$2:$K$2000&lt;&gt;"")*('Team Lineups'!$C$2:$C$2000=$A43)*COUNTIFS('Team Lineups'!$K$2:$K$2000,'Team Lineups'!$K$2:$K$2000,'Team Lineups'!$C$2:$C$2000,R$1))</f>
        <v>2</v>
      </c>
      <c r="S43" cm="1">
        <f t="array" ref="S43">SUMPRODUCT(('Team Lineups'!$K$2:$K$2000&lt;&gt;"")*('Team Lineups'!$C$2:$C$2000=$A43)*COUNTIFS('Team Lineups'!$K$2:$K$2000,'Team Lineups'!$K$2:$K$2000,'Team Lineups'!$C$2:$C$2000,S$1))</f>
        <v>0</v>
      </c>
      <c r="T43" cm="1">
        <f t="array" ref="T43">SUMPRODUCT(('Team Lineups'!$K$2:$K$2000&lt;&gt;"")*('Team Lineups'!$C$2:$C$2000=$A43)*COUNTIFS('Team Lineups'!$K$2:$K$2000,'Team Lineups'!$K$2:$K$2000,'Team Lineups'!$C$2:$C$2000,T$1))</f>
        <v>0</v>
      </c>
      <c r="U43" cm="1">
        <f t="array" ref="U43">SUMPRODUCT(('Team Lineups'!$K$2:$K$2000&lt;&gt;"")*('Team Lineups'!$C$2:$C$2000=$A43)*COUNTIFS('Team Lineups'!$K$2:$K$2000,'Team Lineups'!$K$2:$K$2000,'Team Lineups'!$C$2:$C$2000,U$1))</f>
        <v>0</v>
      </c>
      <c r="V43" cm="1">
        <f t="array" ref="V43">SUMPRODUCT(('Team Lineups'!$K$2:$K$2000&lt;&gt;"")*('Team Lineups'!$C$2:$C$2000=$A43)*COUNTIFS('Team Lineups'!$K$2:$K$2000,'Team Lineups'!$K$2:$K$2000,'Team Lineups'!$C$2:$C$2000,V$1))</f>
        <v>0</v>
      </c>
      <c r="W43" cm="1">
        <f t="array" ref="W43">SUMPRODUCT(('Team Lineups'!$K$2:$K$2000&lt;&gt;"")*('Team Lineups'!$C$2:$C$2000=$A43)*COUNTIFS('Team Lineups'!$K$2:$K$2000,'Team Lineups'!$K$2:$K$2000,'Team Lineups'!$C$2:$C$2000,W$1))</f>
        <v>0</v>
      </c>
      <c r="X43" cm="1">
        <f t="array" ref="X43">SUMPRODUCT(('Team Lineups'!$K$2:$K$2000&lt;&gt;"")*('Team Lineups'!$C$2:$C$2000=$A43)*COUNTIFS('Team Lineups'!$K$2:$K$2000,'Team Lineups'!$K$2:$K$2000,'Team Lineups'!$C$2:$C$2000,X$1))</f>
        <v>0</v>
      </c>
      <c r="Y43" cm="1">
        <f t="array" ref="Y43">SUMPRODUCT(('Team Lineups'!$K$2:$K$2000&lt;&gt;"")*('Team Lineups'!$C$2:$C$2000=$A43)*COUNTIFS('Team Lineups'!$K$2:$K$2000,'Team Lineups'!$K$2:$K$2000,'Team Lineups'!$C$2:$C$2000,Y$1))</f>
        <v>0</v>
      </c>
      <c r="Z43" cm="1">
        <f t="array" ref="Z43">SUMPRODUCT(('Team Lineups'!$K$2:$K$2000&lt;&gt;"")*('Team Lineups'!$C$2:$C$2000=$A43)*COUNTIFS('Team Lineups'!$K$2:$K$2000,'Team Lineups'!$K$2:$K$2000,'Team Lineups'!$C$2:$C$2000,Z$1))</f>
        <v>2</v>
      </c>
      <c r="AA43" cm="1">
        <f t="array" ref="AA43">SUMPRODUCT(('Team Lineups'!$K$2:$K$2000&lt;&gt;"")*('Team Lineups'!$C$2:$C$2000=$A43)*COUNTIFS('Team Lineups'!$K$2:$K$2000,'Team Lineups'!$K$2:$K$2000,'Team Lineups'!$C$2:$C$2000,AA$1))</f>
        <v>2</v>
      </c>
      <c r="AB43" cm="1">
        <f t="array" ref="AB43">SUMPRODUCT(('Team Lineups'!$K$2:$K$2000&lt;&gt;"")*('Team Lineups'!$C$2:$C$2000=$A43)*COUNTIFS('Team Lineups'!$K$2:$K$2000,'Team Lineups'!$K$2:$K$2000,'Team Lineups'!$C$2:$C$2000,AB$1))</f>
        <v>1</v>
      </c>
      <c r="AC43" cm="1">
        <f t="array" ref="AC43">SUMPRODUCT(('Team Lineups'!$K$2:$K$2000&lt;&gt;"")*('Team Lineups'!$C$2:$C$2000=$A43)*COUNTIFS('Team Lineups'!$K$2:$K$2000,'Team Lineups'!$K$2:$K$2000,'Team Lineups'!$C$2:$C$2000,AC$1))</f>
        <v>0</v>
      </c>
      <c r="AD43" cm="1">
        <f t="array" ref="AD43">SUMPRODUCT(('Team Lineups'!$K$2:$K$2000&lt;&gt;"")*('Team Lineups'!$C$2:$C$2000=$A43)*COUNTIFS('Team Lineups'!$K$2:$K$2000,'Team Lineups'!$K$2:$K$2000,'Team Lineups'!$C$2:$C$2000,AD$1))</f>
        <v>3</v>
      </c>
      <c r="AE43" cm="1">
        <f t="array" ref="AE43">SUMPRODUCT(('Team Lineups'!$K$2:$K$2000&lt;&gt;"")*('Team Lineups'!$C$2:$C$2000=$A43)*COUNTIFS('Team Lineups'!$K$2:$K$2000,'Team Lineups'!$K$2:$K$2000,'Team Lineups'!$C$2:$C$2000,AE$1))</f>
        <v>1</v>
      </c>
      <c r="AF43" cm="1">
        <f t="array" ref="AF43">SUMPRODUCT(('Team Lineups'!$K$2:$K$2000&lt;&gt;"")*('Team Lineups'!$C$2:$C$2000=$A43)*COUNTIFS('Team Lineups'!$K$2:$K$2000,'Team Lineups'!$K$2:$K$2000,'Team Lineups'!$C$2:$C$2000,AF$1))</f>
        <v>0</v>
      </c>
      <c r="AG43" cm="1">
        <f t="array" ref="AG43">SUMPRODUCT(('Team Lineups'!$K$2:$K$2000&lt;&gt;"")*('Team Lineups'!$C$2:$C$2000=$A43)*COUNTIFS('Team Lineups'!$K$2:$K$2000,'Team Lineups'!$K$2:$K$2000,'Team Lineups'!$C$2:$C$2000,AG$1))</f>
        <v>0</v>
      </c>
      <c r="AH43" cm="1">
        <f t="array" ref="AH43">SUMPRODUCT(('Team Lineups'!$K$2:$K$2000&lt;&gt;"")*('Team Lineups'!$C$2:$C$2000=$A43)*COUNTIFS('Team Lineups'!$K$2:$K$2000,'Team Lineups'!$K$2:$K$2000,'Team Lineups'!$C$2:$C$2000,AH$1))</f>
        <v>0</v>
      </c>
      <c r="AI43" cm="1">
        <f t="array" ref="AI43">SUMPRODUCT(('Team Lineups'!$K$2:$K$2000&lt;&gt;"")*('Team Lineups'!$C$2:$C$2000=$A43)*COUNTIFS('Team Lineups'!$K$2:$K$2000,'Team Lineups'!$K$2:$K$2000,'Team Lineups'!$C$2:$C$2000,AI$1))</f>
        <v>0</v>
      </c>
      <c r="AJ43" cm="1">
        <f t="array" ref="AJ43">SUMPRODUCT(('Team Lineups'!$K$2:$K$2000&lt;&gt;"")*('Team Lineups'!$C$2:$C$2000=$A43)*COUNTIFS('Team Lineups'!$K$2:$K$2000,'Team Lineups'!$K$2:$K$2000,'Team Lineups'!$C$2:$C$2000,AJ$1))</f>
        <v>3</v>
      </c>
      <c r="AK43" cm="1">
        <f t="array" ref="AK43">SUMPRODUCT(('Team Lineups'!$K$2:$K$2000&lt;&gt;"")*('Team Lineups'!$C$2:$C$2000=$A43)*COUNTIFS('Team Lineups'!$K$2:$K$2000,'Team Lineups'!$K$2:$K$2000,'Team Lineups'!$C$2:$C$2000,AK$1))</f>
        <v>0</v>
      </c>
      <c r="AL43" cm="1">
        <f t="array" ref="AL43">SUMPRODUCT(('Team Lineups'!$K$2:$K$2000&lt;&gt;"")*('Team Lineups'!$C$2:$C$2000=$A43)*COUNTIFS('Team Lineups'!$K$2:$K$2000,'Team Lineups'!$K$2:$K$2000,'Team Lineups'!$C$2:$C$2000,AL$1))</f>
        <v>5</v>
      </c>
      <c r="AM43" cm="1">
        <f t="array" ref="AM43">SUMPRODUCT(('Team Lineups'!$K$2:$K$2000&lt;&gt;"")*('Team Lineups'!$C$2:$C$2000=$A43)*COUNTIFS('Team Lineups'!$K$2:$K$2000,'Team Lineups'!$K$2:$K$2000,'Team Lineups'!$C$2:$C$2000,AM$1))</f>
        <v>0</v>
      </c>
      <c r="AN43" cm="1">
        <f t="array" ref="AN43">SUMPRODUCT(('Team Lineups'!$K$2:$K$2000&lt;&gt;"")*('Team Lineups'!$C$2:$C$2000=$A43)*COUNTIFS('Team Lineups'!$K$2:$K$2000,'Team Lineups'!$K$2:$K$2000,'Team Lineups'!$C$2:$C$2000,AN$1))</f>
        <v>0</v>
      </c>
      <c r="AO43" cm="1">
        <f t="array" ref="AO43">SUMPRODUCT(('Team Lineups'!$K$2:$K$2000&lt;&gt;"")*('Team Lineups'!$C$2:$C$2000=$A43)*COUNTIFS('Team Lineups'!$K$2:$K$2000,'Team Lineups'!$K$2:$K$2000,'Team Lineups'!$C$2:$C$2000,AO$1))</f>
        <v>1</v>
      </c>
      <c r="AP43" cm="1">
        <f t="array" ref="AP43">SUMPRODUCT(('Team Lineups'!$K$2:$K$2000&lt;&gt;"")*('Team Lineups'!$C$2:$C$2000=$A43)*COUNTIFS('Team Lineups'!$K$2:$K$2000,'Team Lineups'!$K$2:$K$2000,'Team Lineups'!$C$2:$C$2000,AP$1))</f>
        <v>4</v>
      </c>
      <c r="AQ43" cm="1">
        <f t="array" ref="AQ43">SUMPRODUCT(('Team Lineups'!$K$2:$K$2000&lt;&gt;"")*('Team Lineups'!$C$2:$C$2000=$A43)*COUNTIFS('Team Lineups'!$K$2:$K$2000,'Team Lineups'!$K$2:$K$2000,'Team Lineups'!$C$2:$C$2000,AQ$1))</f>
        <v>12</v>
      </c>
      <c r="AR43" cm="1">
        <f t="array" ref="AR43">SUMPRODUCT(('Team Lineups'!$K$2:$K$2000&lt;&gt;"")*('Team Lineups'!$C$2:$C$2000=$A43)*COUNTIFS('Team Lineups'!$K$2:$K$2000,'Team Lineups'!$K$2:$K$2000,'Team Lineups'!$C$2:$C$2000,AR$1))</f>
        <v>0</v>
      </c>
      <c r="AS43" cm="1">
        <f t="array" ref="AS43">SUMPRODUCT(('Team Lineups'!$K$2:$K$2000&lt;&gt;"")*('Team Lineups'!$C$2:$C$2000=$A43)*COUNTIFS('Team Lineups'!$K$2:$K$2000,'Team Lineups'!$K$2:$K$2000,'Team Lineups'!$C$2:$C$2000,AS$1))</f>
        <v>0</v>
      </c>
      <c r="AT43" cm="1">
        <f t="array" ref="AT43">SUMPRODUCT(('Team Lineups'!$K$2:$K$2000&lt;&gt;"")*('Team Lineups'!$C$2:$C$2000=$A43)*COUNTIFS('Team Lineups'!$K$2:$K$2000,'Team Lineups'!$K$2:$K$2000,'Team Lineups'!$C$2:$C$2000,AT$1))</f>
        <v>0</v>
      </c>
      <c r="AU43" cm="1">
        <f t="array" ref="AU43">SUMPRODUCT(('Team Lineups'!$K$2:$K$2000&lt;&gt;"")*('Team Lineups'!$C$2:$C$2000=$A43)*COUNTIFS('Team Lineups'!$K$2:$K$2000,'Team Lineups'!$K$2:$K$2000,'Team Lineups'!$C$2:$C$2000,AU$1))</f>
        <v>1</v>
      </c>
      <c r="AV43" cm="1">
        <f t="array" ref="AV43">SUMPRODUCT(('Team Lineups'!$K$2:$K$2000&lt;&gt;"")*('Team Lineups'!$C$2:$C$2000=$A43)*COUNTIFS('Team Lineups'!$K$2:$K$2000,'Team Lineups'!$K$2:$K$2000,'Team Lineups'!$C$2:$C$2000,AV$1))</f>
        <v>4</v>
      </c>
      <c r="AW43" cm="1">
        <f t="array" ref="AW43">SUMPRODUCT(('Team Lineups'!$K$2:$K$2000&lt;&gt;"")*('Team Lineups'!$C$2:$C$2000=$A43)*COUNTIFS('Team Lineups'!$K$2:$K$2000,'Team Lineups'!$K$2:$K$2000,'Team Lineups'!$C$2:$C$2000,AW$1))</f>
        <v>0</v>
      </c>
      <c r="AX43" cm="1">
        <f t="array" ref="AX43">SUMPRODUCT(('Team Lineups'!$K$2:$K$2000&lt;&gt;"")*('Team Lineups'!$C$2:$C$2000=$A43)*COUNTIFS('Team Lineups'!$K$2:$K$2000,'Team Lineups'!$K$2:$K$2000,'Team Lineups'!$C$2:$C$2000,AX$1))</f>
        <v>0</v>
      </c>
      <c r="AY43" cm="1">
        <f t="array" ref="AY43">SUMPRODUCT(('Team Lineups'!$K$2:$K$2000&lt;&gt;"")*('Team Lineups'!$C$2:$C$2000=$A43)*COUNTIFS('Team Lineups'!$K$2:$K$2000,'Team Lineups'!$K$2:$K$2000,'Team Lineups'!$C$2:$C$2000,AY$1))</f>
        <v>0</v>
      </c>
    </row>
    <row r="44" spans="1:51" x14ac:dyDescent="0.35">
      <c r="A44" t="str">
        <v>David</v>
      </c>
      <c r="B44" cm="1">
        <f t="array" ref="B44">SUMPRODUCT(('Team Lineups'!$K$2:$K$2000&lt;&gt;"")*('Team Lineups'!$C$2:$C$2000=$A44)*COUNTIFS('Team Lineups'!$K$2:$K$2000,'Team Lineups'!$K$2:$K$2000,'Team Lineups'!$C$2:$C$2000,B$1))</f>
        <v>0</v>
      </c>
      <c r="C44" cm="1">
        <f t="array" ref="C44">SUMPRODUCT(('Team Lineups'!$K$2:$K$2000&lt;&gt;"")*('Team Lineups'!$C$2:$C$2000=$A44)*COUNTIFS('Team Lineups'!$K$2:$K$2000,'Team Lineups'!$K$2:$K$2000,'Team Lineups'!$C$2:$C$2000,C$1))</f>
        <v>0</v>
      </c>
      <c r="D44" cm="1">
        <f t="array" ref="D44">SUMPRODUCT(('Team Lineups'!$K$2:$K$2000&lt;&gt;"")*('Team Lineups'!$C$2:$C$2000=$A44)*COUNTIFS('Team Lineups'!$K$2:$K$2000,'Team Lineups'!$K$2:$K$2000,'Team Lineups'!$C$2:$C$2000,D$1))</f>
        <v>0</v>
      </c>
      <c r="E44" cm="1">
        <f t="array" ref="E44">SUMPRODUCT(('Team Lineups'!$K$2:$K$2000&lt;&gt;"")*('Team Lineups'!$C$2:$C$2000=$A44)*COUNTIFS('Team Lineups'!$K$2:$K$2000,'Team Lineups'!$K$2:$K$2000,'Team Lineups'!$C$2:$C$2000,E$1))</f>
        <v>0</v>
      </c>
      <c r="F44" cm="1">
        <f t="array" ref="F44">SUMPRODUCT(('Team Lineups'!$K$2:$K$2000&lt;&gt;"")*('Team Lineups'!$C$2:$C$2000=$A44)*COUNTIFS('Team Lineups'!$K$2:$K$2000,'Team Lineups'!$K$2:$K$2000,'Team Lineups'!$C$2:$C$2000,F$1))</f>
        <v>0</v>
      </c>
      <c r="G44" cm="1">
        <f t="array" ref="G44">SUMPRODUCT(('Team Lineups'!$K$2:$K$2000&lt;&gt;"")*('Team Lineups'!$C$2:$C$2000=$A44)*COUNTIFS('Team Lineups'!$K$2:$K$2000,'Team Lineups'!$K$2:$K$2000,'Team Lineups'!$C$2:$C$2000,G$1))</f>
        <v>1</v>
      </c>
      <c r="H44" cm="1">
        <f t="array" ref="H44">SUMPRODUCT(('Team Lineups'!$K$2:$K$2000&lt;&gt;"")*('Team Lineups'!$C$2:$C$2000=$A44)*COUNTIFS('Team Lineups'!$K$2:$K$2000,'Team Lineups'!$K$2:$K$2000,'Team Lineups'!$C$2:$C$2000,H$1))</f>
        <v>0</v>
      </c>
      <c r="I44" cm="1">
        <f t="array" ref="I44">SUMPRODUCT(('Team Lineups'!$K$2:$K$2000&lt;&gt;"")*('Team Lineups'!$C$2:$C$2000=$A44)*COUNTIFS('Team Lineups'!$K$2:$K$2000,'Team Lineups'!$K$2:$K$2000,'Team Lineups'!$C$2:$C$2000,I$1))</f>
        <v>0</v>
      </c>
      <c r="J44" cm="1">
        <f t="array" ref="J44">SUMPRODUCT(('Team Lineups'!$K$2:$K$2000&lt;&gt;"")*('Team Lineups'!$C$2:$C$2000=$A44)*COUNTIFS('Team Lineups'!$K$2:$K$2000,'Team Lineups'!$K$2:$K$2000,'Team Lineups'!$C$2:$C$2000,J$1))</f>
        <v>0</v>
      </c>
      <c r="K44" cm="1">
        <f t="array" ref="K44">SUMPRODUCT(('Team Lineups'!$K$2:$K$2000&lt;&gt;"")*('Team Lineups'!$C$2:$C$2000=$A44)*COUNTIFS('Team Lineups'!$K$2:$K$2000,'Team Lineups'!$K$2:$K$2000,'Team Lineups'!$C$2:$C$2000,K$1))</f>
        <v>0</v>
      </c>
      <c r="L44" cm="1">
        <f t="array" ref="L44">SUMPRODUCT(('Team Lineups'!$K$2:$K$2000&lt;&gt;"")*('Team Lineups'!$C$2:$C$2000=$A44)*COUNTIFS('Team Lineups'!$K$2:$K$2000,'Team Lineups'!$K$2:$K$2000,'Team Lineups'!$C$2:$C$2000,L$1))</f>
        <v>0</v>
      </c>
      <c r="M44" cm="1">
        <f t="array" ref="M44">SUMPRODUCT(('Team Lineups'!$K$2:$K$2000&lt;&gt;"")*('Team Lineups'!$C$2:$C$2000=$A44)*COUNTIFS('Team Lineups'!$K$2:$K$2000,'Team Lineups'!$K$2:$K$2000,'Team Lineups'!$C$2:$C$2000,M$1))</f>
        <v>0</v>
      </c>
      <c r="N44" cm="1">
        <f t="array" ref="N44">SUMPRODUCT(('Team Lineups'!$K$2:$K$2000&lt;&gt;"")*('Team Lineups'!$C$2:$C$2000=$A44)*COUNTIFS('Team Lineups'!$K$2:$K$2000,'Team Lineups'!$K$2:$K$2000,'Team Lineups'!$C$2:$C$2000,N$1))</f>
        <v>0</v>
      </c>
      <c r="O44" cm="1">
        <f t="array" ref="O44">SUMPRODUCT(('Team Lineups'!$K$2:$K$2000&lt;&gt;"")*('Team Lineups'!$C$2:$C$2000=$A44)*COUNTIFS('Team Lineups'!$K$2:$K$2000,'Team Lineups'!$K$2:$K$2000,'Team Lineups'!$C$2:$C$2000,O$1))</f>
        <v>0</v>
      </c>
      <c r="P44" cm="1">
        <f t="array" ref="P44">SUMPRODUCT(('Team Lineups'!$K$2:$K$2000&lt;&gt;"")*('Team Lineups'!$C$2:$C$2000=$A44)*COUNTIFS('Team Lineups'!$K$2:$K$2000,'Team Lineups'!$K$2:$K$2000,'Team Lineups'!$C$2:$C$2000,P$1))</f>
        <v>0</v>
      </c>
      <c r="Q44" cm="1">
        <f t="array" ref="Q44">SUMPRODUCT(('Team Lineups'!$K$2:$K$2000&lt;&gt;"")*('Team Lineups'!$C$2:$C$2000=$A44)*COUNTIFS('Team Lineups'!$K$2:$K$2000,'Team Lineups'!$K$2:$K$2000,'Team Lineups'!$C$2:$C$2000,Q$1))</f>
        <v>0</v>
      </c>
      <c r="R44" cm="1">
        <f t="array" ref="R44">SUMPRODUCT(('Team Lineups'!$K$2:$K$2000&lt;&gt;"")*('Team Lineups'!$C$2:$C$2000=$A44)*COUNTIFS('Team Lineups'!$K$2:$K$2000,'Team Lineups'!$K$2:$K$2000,'Team Lineups'!$C$2:$C$2000,R$1))</f>
        <v>0</v>
      </c>
      <c r="S44" cm="1">
        <f t="array" ref="S44">SUMPRODUCT(('Team Lineups'!$K$2:$K$2000&lt;&gt;"")*('Team Lineups'!$C$2:$C$2000=$A44)*COUNTIFS('Team Lineups'!$K$2:$K$2000,'Team Lineups'!$K$2:$K$2000,'Team Lineups'!$C$2:$C$2000,S$1))</f>
        <v>0</v>
      </c>
      <c r="T44" cm="1">
        <f t="array" ref="T44">SUMPRODUCT(('Team Lineups'!$K$2:$K$2000&lt;&gt;"")*('Team Lineups'!$C$2:$C$2000=$A44)*COUNTIFS('Team Lineups'!$K$2:$K$2000,'Team Lineups'!$K$2:$K$2000,'Team Lineups'!$C$2:$C$2000,T$1))</f>
        <v>0</v>
      </c>
      <c r="U44" cm="1">
        <f t="array" ref="U44">SUMPRODUCT(('Team Lineups'!$K$2:$K$2000&lt;&gt;"")*('Team Lineups'!$C$2:$C$2000=$A44)*COUNTIFS('Team Lineups'!$K$2:$K$2000,'Team Lineups'!$K$2:$K$2000,'Team Lineups'!$C$2:$C$2000,U$1))</f>
        <v>0</v>
      </c>
      <c r="V44" cm="1">
        <f t="array" ref="V44">SUMPRODUCT(('Team Lineups'!$K$2:$K$2000&lt;&gt;"")*('Team Lineups'!$C$2:$C$2000=$A44)*COUNTIFS('Team Lineups'!$K$2:$K$2000,'Team Lineups'!$K$2:$K$2000,'Team Lineups'!$C$2:$C$2000,V$1))</f>
        <v>0</v>
      </c>
      <c r="W44" cm="1">
        <f t="array" ref="W44">SUMPRODUCT(('Team Lineups'!$K$2:$K$2000&lt;&gt;"")*('Team Lineups'!$C$2:$C$2000=$A44)*COUNTIFS('Team Lineups'!$K$2:$K$2000,'Team Lineups'!$K$2:$K$2000,'Team Lineups'!$C$2:$C$2000,W$1))</f>
        <v>0</v>
      </c>
      <c r="X44" cm="1">
        <f t="array" ref="X44">SUMPRODUCT(('Team Lineups'!$K$2:$K$2000&lt;&gt;"")*('Team Lineups'!$C$2:$C$2000=$A44)*COUNTIFS('Team Lineups'!$K$2:$K$2000,'Team Lineups'!$K$2:$K$2000,'Team Lineups'!$C$2:$C$2000,X$1))</f>
        <v>0</v>
      </c>
      <c r="Y44" cm="1">
        <f t="array" ref="Y44">SUMPRODUCT(('Team Lineups'!$K$2:$K$2000&lt;&gt;"")*('Team Lineups'!$C$2:$C$2000=$A44)*COUNTIFS('Team Lineups'!$K$2:$K$2000,'Team Lineups'!$K$2:$K$2000,'Team Lineups'!$C$2:$C$2000,Y$1))</f>
        <v>0</v>
      </c>
      <c r="Z44" cm="1">
        <f t="array" ref="Z44">SUMPRODUCT(('Team Lineups'!$K$2:$K$2000&lt;&gt;"")*('Team Lineups'!$C$2:$C$2000=$A44)*COUNTIFS('Team Lineups'!$K$2:$K$2000,'Team Lineups'!$K$2:$K$2000,'Team Lineups'!$C$2:$C$2000,Z$1))</f>
        <v>0</v>
      </c>
      <c r="AA44" cm="1">
        <f t="array" ref="AA44">SUMPRODUCT(('Team Lineups'!$K$2:$K$2000&lt;&gt;"")*('Team Lineups'!$C$2:$C$2000=$A44)*COUNTIFS('Team Lineups'!$K$2:$K$2000,'Team Lineups'!$K$2:$K$2000,'Team Lineups'!$C$2:$C$2000,AA$1))</f>
        <v>0</v>
      </c>
      <c r="AB44" cm="1">
        <f t="array" ref="AB44">SUMPRODUCT(('Team Lineups'!$K$2:$K$2000&lt;&gt;"")*('Team Lineups'!$C$2:$C$2000=$A44)*COUNTIFS('Team Lineups'!$K$2:$K$2000,'Team Lineups'!$K$2:$K$2000,'Team Lineups'!$C$2:$C$2000,AB$1))</f>
        <v>0</v>
      </c>
      <c r="AC44" cm="1">
        <f t="array" ref="AC44">SUMPRODUCT(('Team Lineups'!$K$2:$K$2000&lt;&gt;"")*('Team Lineups'!$C$2:$C$2000=$A44)*COUNTIFS('Team Lineups'!$K$2:$K$2000,'Team Lineups'!$K$2:$K$2000,'Team Lineups'!$C$2:$C$2000,AC$1))</f>
        <v>0</v>
      </c>
      <c r="AD44" cm="1">
        <f t="array" ref="AD44">SUMPRODUCT(('Team Lineups'!$K$2:$K$2000&lt;&gt;"")*('Team Lineups'!$C$2:$C$2000=$A44)*COUNTIFS('Team Lineups'!$K$2:$K$2000,'Team Lineups'!$K$2:$K$2000,'Team Lineups'!$C$2:$C$2000,AD$1))</f>
        <v>1</v>
      </c>
      <c r="AE44" cm="1">
        <f t="array" ref="AE44">SUMPRODUCT(('Team Lineups'!$K$2:$K$2000&lt;&gt;"")*('Team Lineups'!$C$2:$C$2000=$A44)*COUNTIFS('Team Lineups'!$K$2:$K$2000,'Team Lineups'!$K$2:$K$2000,'Team Lineups'!$C$2:$C$2000,AE$1))</f>
        <v>0</v>
      </c>
      <c r="AF44" cm="1">
        <f t="array" ref="AF44">SUMPRODUCT(('Team Lineups'!$K$2:$K$2000&lt;&gt;"")*('Team Lineups'!$C$2:$C$2000=$A44)*COUNTIFS('Team Lineups'!$K$2:$K$2000,'Team Lineups'!$K$2:$K$2000,'Team Lineups'!$C$2:$C$2000,AF$1))</f>
        <v>0</v>
      </c>
      <c r="AG44" cm="1">
        <f t="array" ref="AG44">SUMPRODUCT(('Team Lineups'!$K$2:$K$2000&lt;&gt;"")*('Team Lineups'!$C$2:$C$2000=$A44)*COUNTIFS('Team Lineups'!$K$2:$K$2000,'Team Lineups'!$K$2:$K$2000,'Team Lineups'!$C$2:$C$2000,AG$1))</f>
        <v>1</v>
      </c>
      <c r="AH44" cm="1">
        <f t="array" ref="AH44">SUMPRODUCT(('Team Lineups'!$K$2:$K$2000&lt;&gt;"")*('Team Lineups'!$C$2:$C$2000=$A44)*COUNTIFS('Team Lineups'!$K$2:$K$2000,'Team Lineups'!$K$2:$K$2000,'Team Lineups'!$C$2:$C$2000,AH$1))</f>
        <v>1</v>
      </c>
      <c r="AI44" cm="1">
        <f t="array" ref="AI44">SUMPRODUCT(('Team Lineups'!$K$2:$K$2000&lt;&gt;"")*('Team Lineups'!$C$2:$C$2000=$A44)*COUNTIFS('Team Lineups'!$K$2:$K$2000,'Team Lineups'!$K$2:$K$2000,'Team Lineups'!$C$2:$C$2000,AI$1))</f>
        <v>0</v>
      </c>
      <c r="AJ44" cm="1">
        <f t="array" ref="AJ44">SUMPRODUCT(('Team Lineups'!$K$2:$K$2000&lt;&gt;"")*('Team Lineups'!$C$2:$C$2000=$A44)*COUNTIFS('Team Lineups'!$K$2:$K$2000,'Team Lineups'!$K$2:$K$2000,'Team Lineups'!$C$2:$C$2000,AJ$1))</f>
        <v>0</v>
      </c>
      <c r="AK44" cm="1">
        <f t="array" ref="AK44">SUMPRODUCT(('Team Lineups'!$K$2:$K$2000&lt;&gt;"")*('Team Lineups'!$C$2:$C$2000=$A44)*COUNTIFS('Team Lineups'!$K$2:$K$2000,'Team Lineups'!$K$2:$K$2000,'Team Lineups'!$C$2:$C$2000,AK$1))</f>
        <v>0</v>
      </c>
      <c r="AL44" cm="1">
        <f t="array" ref="AL44">SUMPRODUCT(('Team Lineups'!$K$2:$K$2000&lt;&gt;"")*('Team Lineups'!$C$2:$C$2000=$A44)*COUNTIFS('Team Lineups'!$K$2:$K$2000,'Team Lineups'!$K$2:$K$2000,'Team Lineups'!$C$2:$C$2000,AL$1))</f>
        <v>0</v>
      </c>
      <c r="AM44" cm="1">
        <f t="array" ref="AM44">SUMPRODUCT(('Team Lineups'!$K$2:$K$2000&lt;&gt;"")*('Team Lineups'!$C$2:$C$2000=$A44)*COUNTIFS('Team Lineups'!$K$2:$K$2000,'Team Lineups'!$K$2:$K$2000,'Team Lineups'!$C$2:$C$2000,AM$1))</f>
        <v>0</v>
      </c>
      <c r="AN44" cm="1">
        <f t="array" ref="AN44">SUMPRODUCT(('Team Lineups'!$K$2:$K$2000&lt;&gt;"")*('Team Lineups'!$C$2:$C$2000=$A44)*COUNTIFS('Team Lineups'!$K$2:$K$2000,'Team Lineups'!$K$2:$K$2000,'Team Lineups'!$C$2:$C$2000,AN$1))</f>
        <v>0</v>
      </c>
      <c r="AO44" cm="1">
        <f t="array" ref="AO44">SUMPRODUCT(('Team Lineups'!$K$2:$K$2000&lt;&gt;"")*('Team Lineups'!$C$2:$C$2000=$A44)*COUNTIFS('Team Lineups'!$K$2:$K$2000,'Team Lineups'!$K$2:$K$2000,'Team Lineups'!$C$2:$C$2000,AO$1))</f>
        <v>0</v>
      </c>
      <c r="AP44" cm="1">
        <f t="array" ref="AP44">SUMPRODUCT(('Team Lineups'!$K$2:$K$2000&lt;&gt;"")*('Team Lineups'!$C$2:$C$2000=$A44)*COUNTIFS('Team Lineups'!$K$2:$K$2000,'Team Lineups'!$K$2:$K$2000,'Team Lineups'!$C$2:$C$2000,AP$1))</f>
        <v>0</v>
      </c>
      <c r="AQ44" cm="1">
        <f t="array" ref="AQ44">SUMPRODUCT(('Team Lineups'!$K$2:$K$2000&lt;&gt;"")*('Team Lineups'!$C$2:$C$2000=$A44)*COUNTIFS('Team Lineups'!$K$2:$K$2000,'Team Lineups'!$K$2:$K$2000,'Team Lineups'!$C$2:$C$2000,AQ$1))</f>
        <v>0</v>
      </c>
      <c r="AR44" cm="1">
        <f t="array" ref="AR44">SUMPRODUCT(('Team Lineups'!$K$2:$K$2000&lt;&gt;"")*('Team Lineups'!$C$2:$C$2000=$A44)*COUNTIFS('Team Lineups'!$K$2:$K$2000,'Team Lineups'!$K$2:$K$2000,'Team Lineups'!$C$2:$C$2000,AR$1))</f>
        <v>1</v>
      </c>
      <c r="AS44" cm="1">
        <f t="array" ref="AS44">SUMPRODUCT(('Team Lineups'!$K$2:$K$2000&lt;&gt;"")*('Team Lineups'!$C$2:$C$2000=$A44)*COUNTIFS('Team Lineups'!$K$2:$K$2000,'Team Lineups'!$K$2:$K$2000,'Team Lineups'!$C$2:$C$2000,AS$1))</f>
        <v>0</v>
      </c>
      <c r="AT44" cm="1">
        <f t="array" ref="AT44">SUMPRODUCT(('Team Lineups'!$K$2:$K$2000&lt;&gt;"")*('Team Lineups'!$C$2:$C$2000=$A44)*COUNTIFS('Team Lineups'!$K$2:$K$2000,'Team Lineups'!$K$2:$K$2000,'Team Lineups'!$C$2:$C$2000,AT$1))</f>
        <v>0</v>
      </c>
      <c r="AU44" cm="1">
        <f t="array" ref="AU44">SUMPRODUCT(('Team Lineups'!$K$2:$K$2000&lt;&gt;"")*('Team Lineups'!$C$2:$C$2000=$A44)*COUNTIFS('Team Lineups'!$K$2:$K$2000,'Team Lineups'!$K$2:$K$2000,'Team Lineups'!$C$2:$C$2000,AU$1))</f>
        <v>0</v>
      </c>
      <c r="AV44" cm="1">
        <f t="array" ref="AV44">SUMPRODUCT(('Team Lineups'!$K$2:$K$2000&lt;&gt;"")*('Team Lineups'!$C$2:$C$2000=$A44)*COUNTIFS('Team Lineups'!$K$2:$K$2000,'Team Lineups'!$K$2:$K$2000,'Team Lineups'!$C$2:$C$2000,AV$1))</f>
        <v>0</v>
      </c>
      <c r="AW44" cm="1">
        <f t="array" ref="AW44">SUMPRODUCT(('Team Lineups'!$K$2:$K$2000&lt;&gt;"")*('Team Lineups'!$C$2:$C$2000=$A44)*COUNTIFS('Team Lineups'!$K$2:$K$2000,'Team Lineups'!$K$2:$K$2000,'Team Lineups'!$C$2:$C$2000,AW$1))</f>
        <v>0</v>
      </c>
      <c r="AX44" cm="1">
        <f t="array" ref="AX44">SUMPRODUCT(('Team Lineups'!$K$2:$K$2000&lt;&gt;"")*('Team Lineups'!$C$2:$C$2000=$A44)*COUNTIFS('Team Lineups'!$K$2:$K$2000,'Team Lineups'!$K$2:$K$2000,'Team Lineups'!$C$2:$C$2000,AX$1))</f>
        <v>0</v>
      </c>
      <c r="AY44" cm="1">
        <f t="array" ref="AY44">SUMPRODUCT(('Team Lineups'!$K$2:$K$2000&lt;&gt;"")*('Team Lineups'!$C$2:$C$2000=$A44)*COUNTIFS('Team Lineups'!$K$2:$K$2000,'Team Lineups'!$K$2:$K$2000,'Team Lineups'!$C$2:$C$2000,AY$1))</f>
        <v>0</v>
      </c>
    </row>
    <row r="45" spans="1:51" x14ac:dyDescent="0.35">
      <c r="A45" t="str">
        <v>Turi</v>
      </c>
      <c r="B45" cm="1">
        <f t="array" ref="B45">SUMPRODUCT(('Team Lineups'!$K$2:$K$2000&lt;&gt;"")*('Team Lineups'!$C$2:$C$2000=$A45)*COUNTIFS('Team Lineups'!$K$2:$K$2000,'Team Lineups'!$K$2:$K$2000,'Team Lineups'!$C$2:$C$2000,B$1))</f>
        <v>1</v>
      </c>
      <c r="C45" cm="1">
        <f t="array" ref="C45">SUMPRODUCT(('Team Lineups'!$K$2:$K$2000&lt;&gt;"")*('Team Lineups'!$C$2:$C$2000=$A45)*COUNTIFS('Team Lineups'!$K$2:$K$2000,'Team Lineups'!$K$2:$K$2000,'Team Lineups'!$C$2:$C$2000,C$1))</f>
        <v>0</v>
      </c>
      <c r="D45" cm="1">
        <f t="array" ref="D45">SUMPRODUCT(('Team Lineups'!$K$2:$K$2000&lt;&gt;"")*('Team Lineups'!$C$2:$C$2000=$A45)*COUNTIFS('Team Lineups'!$K$2:$K$2000,'Team Lineups'!$K$2:$K$2000,'Team Lineups'!$C$2:$C$2000,D$1))</f>
        <v>0</v>
      </c>
      <c r="E45" cm="1">
        <f t="array" ref="E45">SUMPRODUCT(('Team Lineups'!$K$2:$K$2000&lt;&gt;"")*('Team Lineups'!$C$2:$C$2000=$A45)*COUNTIFS('Team Lineups'!$K$2:$K$2000,'Team Lineups'!$K$2:$K$2000,'Team Lineups'!$C$2:$C$2000,E$1))</f>
        <v>0</v>
      </c>
      <c r="F45" cm="1">
        <f t="array" ref="F45">SUMPRODUCT(('Team Lineups'!$K$2:$K$2000&lt;&gt;"")*('Team Lineups'!$C$2:$C$2000=$A45)*COUNTIFS('Team Lineups'!$K$2:$K$2000,'Team Lineups'!$K$2:$K$2000,'Team Lineups'!$C$2:$C$2000,F$1))</f>
        <v>0</v>
      </c>
      <c r="G45" cm="1">
        <f t="array" ref="G45">SUMPRODUCT(('Team Lineups'!$K$2:$K$2000&lt;&gt;"")*('Team Lineups'!$C$2:$C$2000=$A45)*COUNTIFS('Team Lineups'!$K$2:$K$2000,'Team Lineups'!$K$2:$K$2000,'Team Lineups'!$C$2:$C$2000,G$1))</f>
        <v>0</v>
      </c>
      <c r="H45" cm="1">
        <f t="array" ref="H45">SUMPRODUCT(('Team Lineups'!$K$2:$K$2000&lt;&gt;"")*('Team Lineups'!$C$2:$C$2000=$A45)*COUNTIFS('Team Lineups'!$K$2:$K$2000,'Team Lineups'!$K$2:$K$2000,'Team Lineups'!$C$2:$C$2000,H$1))</f>
        <v>0</v>
      </c>
      <c r="I45" cm="1">
        <f t="array" ref="I45">SUMPRODUCT(('Team Lineups'!$K$2:$K$2000&lt;&gt;"")*('Team Lineups'!$C$2:$C$2000=$A45)*COUNTIFS('Team Lineups'!$K$2:$K$2000,'Team Lineups'!$K$2:$K$2000,'Team Lineups'!$C$2:$C$2000,I$1))</f>
        <v>0</v>
      </c>
      <c r="J45" cm="1">
        <f t="array" ref="J45">SUMPRODUCT(('Team Lineups'!$K$2:$K$2000&lt;&gt;"")*('Team Lineups'!$C$2:$C$2000=$A45)*COUNTIFS('Team Lineups'!$K$2:$K$2000,'Team Lineups'!$K$2:$K$2000,'Team Lineups'!$C$2:$C$2000,J$1))</f>
        <v>0</v>
      </c>
      <c r="K45" cm="1">
        <f t="array" ref="K45">SUMPRODUCT(('Team Lineups'!$K$2:$K$2000&lt;&gt;"")*('Team Lineups'!$C$2:$C$2000=$A45)*COUNTIFS('Team Lineups'!$K$2:$K$2000,'Team Lineups'!$K$2:$K$2000,'Team Lineups'!$C$2:$C$2000,K$1))</f>
        <v>0</v>
      </c>
      <c r="L45" cm="1">
        <f t="array" ref="L45">SUMPRODUCT(('Team Lineups'!$K$2:$K$2000&lt;&gt;"")*('Team Lineups'!$C$2:$C$2000=$A45)*COUNTIFS('Team Lineups'!$K$2:$K$2000,'Team Lineups'!$K$2:$K$2000,'Team Lineups'!$C$2:$C$2000,L$1))</f>
        <v>1</v>
      </c>
      <c r="M45" cm="1">
        <f t="array" ref="M45">SUMPRODUCT(('Team Lineups'!$K$2:$K$2000&lt;&gt;"")*('Team Lineups'!$C$2:$C$2000=$A45)*COUNTIFS('Team Lineups'!$K$2:$K$2000,'Team Lineups'!$K$2:$K$2000,'Team Lineups'!$C$2:$C$2000,M$1))</f>
        <v>0</v>
      </c>
      <c r="N45" cm="1">
        <f t="array" ref="N45">SUMPRODUCT(('Team Lineups'!$K$2:$K$2000&lt;&gt;"")*('Team Lineups'!$C$2:$C$2000=$A45)*COUNTIFS('Team Lineups'!$K$2:$K$2000,'Team Lineups'!$K$2:$K$2000,'Team Lineups'!$C$2:$C$2000,N$1))</f>
        <v>0</v>
      </c>
      <c r="O45" cm="1">
        <f t="array" ref="O45">SUMPRODUCT(('Team Lineups'!$K$2:$K$2000&lt;&gt;"")*('Team Lineups'!$C$2:$C$2000=$A45)*COUNTIFS('Team Lineups'!$K$2:$K$2000,'Team Lineups'!$K$2:$K$2000,'Team Lineups'!$C$2:$C$2000,O$1))</f>
        <v>0</v>
      </c>
      <c r="P45" cm="1">
        <f t="array" ref="P45">SUMPRODUCT(('Team Lineups'!$K$2:$K$2000&lt;&gt;"")*('Team Lineups'!$C$2:$C$2000=$A45)*COUNTIFS('Team Lineups'!$K$2:$K$2000,'Team Lineups'!$K$2:$K$2000,'Team Lineups'!$C$2:$C$2000,P$1))</f>
        <v>0</v>
      </c>
      <c r="Q45" cm="1">
        <f t="array" ref="Q45">SUMPRODUCT(('Team Lineups'!$K$2:$K$2000&lt;&gt;"")*('Team Lineups'!$C$2:$C$2000=$A45)*COUNTIFS('Team Lineups'!$K$2:$K$2000,'Team Lineups'!$K$2:$K$2000,'Team Lineups'!$C$2:$C$2000,Q$1))</f>
        <v>1</v>
      </c>
      <c r="R45" cm="1">
        <f t="array" ref="R45">SUMPRODUCT(('Team Lineups'!$K$2:$K$2000&lt;&gt;"")*('Team Lineups'!$C$2:$C$2000=$A45)*COUNTIFS('Team Lineups'!$K$2:$K$2000,'Team Lineups'!$K$2:$K$2000,'Team Lineups'!$C$2:$C$2000,R$1))</f>
        <v>1</v>
      </c>
      <c r="S45" cm="1">
        <f t="array" ref="S45">SUMPRODUCT(('Team Lineups'!$K$2:$K$2000&lt;&gt;"")*('Team Lineups'!$C$2:$C$2000=$A45)*COUNTIFS('Team Lineups'!$K$2:$K$2000,'Team Lineups'!$K$2:$K$2000,'Team Lineups'!$C$2:$C$2000,S$1))</f>
        <v>0</v>
      </c>
      <c r="T45" cm="1">
        <f t="array" ref="T45">SUMPRODUCT(('Team Lineups'!$K$2:$K$2000&lt;&gt;"")*('Team Lineups'!$C$2:$C$2000=$A45)*COUNTIFS('Team Lineups'!$K$2:$K$2000,'Team Lineups'!$K$2:$K$2000,'Team Lineups'!$C$2:$C$2000,T$1))</f>
        <v>0</v>
      </c>
      <c r="U45" cm="1">
        <f t="array" ref="U45">SUMPRODUCT(('Team Lineups'!$K$2:$K$2000&lt;&gt;"")*('Team Lineups'!$C$2:$C$2000=$A45)*COUNTIFS('Team Lineups'!$K$2:$K$2000,'Team Lineups'!$K$2:$K$2000,'Team Lineups'!$C$2:$C$2000,U$1))</f>
        <v>0</v>
      </c>
      <c r="V45" cm="1">
        <f t="array" ref="V45">SUMPRODUCT(('Team Lineups'!$K$2:$K$2000&lt;&gt;"")*('Team Lineups'!$C$2:$C$2000=$A45)*COUNTIFS('Team Lineups'!$K$2:$K$2000,'Team Lineups'!$K$2:$K$2000,'Team Lineups'!$C$2:$C$2000,V$1))</f>
        <v>0</v>
      </c>
      <c r="W45" cm="1">
        <f t="array" ref="W45">SUMPRODUCT(('Team Lineups'!$K$2:$K$2000&lt;&gt;"")*('Team Lineups'!$C$2:$C$2000=$A45)*COUNTIFS('Team Lineups'!$K$2:$K$2000,'Team Lineups'!$K$2:$K$2000,'Team Lineups'!$C$2:$C$2000,W$1))</f>
        <v>0</v>
      </c>
      <c r="X45" cm="1">
        <f t="array" ref="X45">SUMPRODUCT(('Team Lineups'!$K$2:$K$2000&lt;&gt;"")*('Team Lineups'!$C$2:$C$2000=$A45)*COUNTIFS('Team Lineups'!$K$2:$K$2000,'Team Lineups'!$K$2:$K$2000,'Team Lineups'!$C$2:$C$2000,X$1))</f>
        <v>0</v>
      </c>
      <c r="Y45" cm="1">
        <f t="array" ref="Y45">SUMPRODUCT(('Team Lineups'!$K$2:$K$2000&lt;&gt;"")*('Team Lineups'!$C$2:$C$2000=$A45)*COUNTIFS('Team Lineups'!$K$2:$K$2000,'Team Lineups'!$K$2:$K$2000,'Team Lineups'!$C$2:$C$2000,Y$1))</f>
        <v>0</v>
      </c>
      <c r="Z45" cm="1">
        <f t="array" ref="Z45">SUMPRODUCT(('Team Lineups'!$K$2:$K$2000&lt;&gt;"")*('Team Lineups'!$C$2:$C$2000=$A45)*COUNTIFS('Team Lineups'!$K$2:$K$2000,'Team Lineups'!$K$2:$K$2000,'Team Lineups'!$C$2:$C$2000,Z$1))</f>
        <v>0</v>
      </c>
      <c r="AA45" cm="1">
        <f t="array" ref="AA45">SUMPRODUCT(('Team Lineups'!$K$2:$K$2000&lt;&gt;"")*('Team Lineups'!$C$2:$C$2000=$A45)*COUNTIFS('Team Lineups'!$K$2:$K$2000,'Team Lineups'!$K$2:$K$2000,'Team Lineups'!$C$2:$C$2000,AA$1))</f>
        <v>0</v>
      </c>
      <c r="AB45" cm="1">
        <f t="array" ref="AB45">SUMPRODUCT(('Team Lineups'!$K$2:$K$2000&lt;&gt;"")*('Team Lineups'!$C$2:$C$2000=$A45)*COUNTIFS('Team Lineups'!$K$2:$K$2000,'Team Lineups'!$K$2:$K$2000,'Team Lineups'!$C$2:$C$2000,AB$1))</f>
        <v>0</v>
      </c>
      <c r="AC45" cm="1">
        <f t="array" ref="AC45">SUMPRODUCT(('Team Lineups'!$K$2:$K$2000&lt;&gt;"")*('Team Lineups'!$C$2:$C$2000=$A45)*COUNTIFS('Team Lineups'!$K$2:$K$2000,'Team Lineups'!$K$2:$K$2000,'Team Lineups'!$C$2:$C$2000,AC$1))</f>
        <v>0</v>
      </c>
      <c r="AD45" cm="1">
        <f t="array" ref="AD45">SUMPRODUCT(('Team Lineups'!$K$2:$K$2000&lt;&gt;"")*('Team Lineups'!$C$2:$C$2000=$A45)*COUNTIFS('Team Lineups'!$K$2:$K$2000,'Team Lineups'!$K$2:$K$2000,'Team Lineups'!$C$2:$C$2000,AD$1))</f>
        <v>0</v>
      </c>
      <c r="AE45" cm="1">
        <f t="array" ref="AE45">SUMPRODUCT(('Team Lineups'!$K$2:$K$2000&lt;&gt;"")*('Team Lineups'!$C$2:$C$2000=$A45)*COUNTIFS('Team Lineups'!$K$2:$K$2000,'Team Lineups'!$K$2:$K$2000,'Team Lineups'!$C$2:$C$2000,AE$1))</f>
        <v>0</v>
      </c>
      <c r="AF45" cm="1">
        <f t="array" ref="AF45">SUMPRODUCT(('Team Lineups'!$K$2:$K$2000&lt;&gt;"")*('Team Lineups'!$C$2:$C$2000=$A45)*COUNTIFS('Team Lineups'!$K$2:$K$2000,'Team Lineups'!$K$2:$K$2000,'Team Lineups'!$C$2:$C$2000,AF$1))</f>
        <v>0</v>
      </c>
      <c r="AG45" cm="1">
        <f t="array" ref="AG45">SUMPRODUCT(('Team Lineups'!$K$2:$K$2000&lt;&gt;"")*('Team Lineups'!$C$2:$C$2000=$A45)*COUNTIFS('Team Lineups'!$K$2:$K$2000,'Team Lineups'!$K$2:$K$2000,'Team Lineups'!$C$2:$C$2000,AG$1))</f>
        <v>0</v>
      </c>
      <c r="AH45" cm="1">
        <f t="array" ref="AH45">SUMPRODUCT(('Team Lineups'!$K$2:$K$2000&lt;&gt;"")*('Team Lineups'!$C$2:$C$2000=$A45)*COUNTIFS('Team Lineups'!$K$2:$K$2000,'Team Lineups'!$K$2:$K$2000,'Team Lineups'!$C$2:$C$2000,AH$1))</f>
        <v>0</v>
      </c>
      <c r="AI45" cm="1">
        <f t="array" ref="AI45">SUMPRODUCT(('Team Lineups'!$K$2:$K$2000&lt;&gt;"")*('Team Lineups'!$C$2:$C$2000=$A45)*COUNTIFS('Team Lineups'!$K$2:$K$2000,'Team Lineups'!$K$2:$K$2000,'Team Lineups'!$C$2:$C$2000,AI$1))</f>
        <v>0</v>
      </c>
      <c r="AJ45" cm="1">
        <f t="array" ref="AJ45">SUMPRODUCT(('Team Lineups'!$K$2:$K$2000&lt;&gt;"")*('Team Lineups'!$C$2:$C$2000=$A45)*COUNTIFS('Team Lineups'!$K$2:$K$2000,'Team Lineups'!$K$2:$K$2000,'Team Lineups'!$C$2:$C$2000,AJ$1))</f>
        <v>1</v>
      </c>
      <c r="AK45" cm="1">
        <f t="array" ref="AK45">SUMPRODUCT(('Team Lineups'!$K$2:$K$2000&lt;&gt;"")*('Team Lineups'!$C$2:$C$2000=$A45)*COUNTIFS('Team Lineups'!$K$2:$K$2000,'Team Lineups'!$K$2:$K$2000,'Team Lineups'!$C$2:$C$2000,AK$1))</f>
        <v>0</v>
      </c>
      <c r="AL45" cm="1">
        <f t="array" ref="AL45">SUMPRODUCT(('Team Lineups'!$K$2:$K$2000&lt;&gt;"")*('Team Lineups'!$C$2:$C$2000=$A45)*COUNTIFS('Team Lineups'!$K$2:$K$2000,'Team Lineups'!$K$2:$K$2000,'Team Lineups'!$C$2:$C$2000,AL$1))</f>
        <v>0</v>
      </c>
      <c r="AM45" cm="1">
        <f t="array" ref="AM45">SUMPRODUCT(('Team Lineups'!$K$2:$K$2000&lt;&gt;"")*('Team Lineups'!$C$2:$C$2000=$A45)*COUNTIFS('Team Lineups'!$K$2:$K$2000,'Team Lineups'!$K$2:$K$2000,'Team Lineups'!$C$2:$C$2000,AM$1))</f>
        <v>0</v>
      </c>
      <c r="AN45" cm="1">
        <f t="array" ref="AN45">SUMPRODUCT(('Team Lineups'!$K$2:$K$2000&lt;&gt;"")*('Team Lineups'!$C$2:$C$2000=$A45)*COUNTIFS('Team Lineups'!$K$2:$K$2000,'Team Lineups'!$K$2:$K$2000,'Team Lineups'!$C$2:$C$2000,AN$1))</f>
        <v>0</v>
      </c>
      <c r="AO45" cm="1">
        <f t="array" ref="AO45">SUMPRODUCT(('Team Lineups'!$K$2:$K$2000&lt;&gt;"")*('Team Lineups'!$C$2:$C$2000=$A45)*COUNTIFS('Team Lineups'!$K$2:$K$2000,'Team Lineups'!$K$2:$K$2000,'Team Lineups'!$C$2:$C$2000,AO$1))</f>
        <v>0</v>
      </c>
      <c r="AP45" cm="1">
        <f t="array" ref="AP45">SUMPRODUCT(('Team Lineups'!$K$2:$K$2000&lt;&gt;"")*('Team Lineups'!$C$2:$C$2000=$A45)*COUNTIFS('Team Lineups'!$K$2:$K$2000,'Team Lineups'!$K$2:$K$2000,'Team Lineups'!$C$2:$C$2000,AP$1))</f>
        <v>0</v>
      </c>
      <c r="AQ45" cm="1">
        <f t="array" ref="AQ45">SUMPRODUCT(('Team Lineups'!$K$2:$K$2000&lt;&gt;"")*('Team Lineups'!$C$2:$C$2000=$A45)*COUNTIFS('Team Lineups'!$K$2:$K$2000,'Team Lineups'!$K$2:$K$2000,'Team Lineups'!$C$2:$C$2000,AQ$1))</f>
        <v>0</v>
      </c>
      <c r="AR45" cm="1">
        <f t="array" ref="AR45">SUMPRODUCT(('Team Lineups'!$K$2:$K$2000&lt;&gt;"")*('Team Lineups'!$C$2:$C$2000=$A45)*COUNTIFS('Team Lineups'!$K$2:$K$2000,'Team Lineups'!$K$2:$K$2000,'Team Lineups'!$C$2:$C$2000,AR$1))</f>
        <v>0</v>
      </c>
      <c r="AS45" cm="1">
        <f t="array" ref="AS45">SUMPRODUCT(('Team Lineups'!$K$2:$K$2000&lt;&gt;"")*('Team Lineups'!$C$2:$C$2000=$A45)*COUNTIFS('Team Lineups'!$K$2:$K$2000,'Team Lineups'!$K$2:$K$2000,'Team Lineups'!$C$2:$C$2000,AS$1))</f>
        <v>1</v>
      </c>
      <c r="AT45" cm="1">
        <f t="array" ref="AT45">SUMPRODUCT(('Team Lineups'!$K$2:$K$2000&lt;&gt;"")*('Team Lineups'!$C$2:$C$2000=$A45)*COUNTIFS('Team Lineups'!$K$2:$K$2000,'Team Lineups'!$K$2:$K$2000,'Team Lineups'!$C$2:$C$2000,AT$1))</f>
        <v>0</v>
      </c>
      <c r="AU45" cm="1">
        <f t="array" ref="AU45">SUMPRODUCT(('Team Lineups'!$K$2:$K$2000&lt;&gt;"")*('Team Lineups'!$C$2:$C$2000=$A45)*COUNTIFS('Team Lineups'!$K$2:$K$2000,'Team Lineups'!$K$2:$K$2000,'Team Lineups'!$C$2:$C$2000,AU$1))</f>
        <v>0</v>
      </c>
      <c r="AV45" cm="1">
        <f t="array" ref="AV45">SUMPRODUCT(('Team Lineups'!$K$2:$K$2000&lt;&gt;"")*('Team Lineups'!$C$2:$C$2000=$A45)*COUNTIFS('Team Lineups'!$K$2:$K$2000,'Team Lineups'!$K$2:$K$2000,'Team Lineups'!$C$2:$C$2000,AV$1))</f>
        <v>0</v>
      </c>
      <c r="AW45" cm="1">
        <f t="array" ref="AW45">SUMPRODUCT(('Team Lineups'!$K$2:$K$2000&lt;&gt;"")*('Team Lineups'!$C$2:$C$2000=$A45)*COUNTIFS('Team Lineups'!$K$2:$K$2000,'Team Lineups'!$K$2:$K$2000,'Team Lineups'!$C$2:$C$2000,AW$1))</f>
        <v>0</v>
      </c>
      <c r="AX45" cm="1">
        <f t="array" ref="AX45">SUMPRODUCT(('Team Lineups'!$K$2:$K$2000&lt;&gt;"")*('Team Lineups'!$C$2:$C$2000=$A45)*COUNTIFS('Team Lineups'!$K$2:$K$2000,'Team Lineups'!$K$2:$K$2000,'Team Lineups'!$C$2:$C$2000,AX$1))</f>
        <v>0</v>
      </c>
      <c r="AY45" cm="1">
        <f t="array" ref="AY45">SUMPRODUCT(('Team Lineups'!$K$2:$K$2000&lt;&gt;"")*('Team Lineups'!$C$2:$C$2000=$A45)*COUNTIFS('Team Lineups'!$K$2:$K$2000,'Team Lineups'!$K$2:$K$2000,'Team Lineups'!$C$2:$C$2000,AY$1))</f>
        <v>0</v>
      </c>
    </row>
    <row r="46" spans="1:51" x14ac:dyDescent="0.35">
      <c r="A46" t="str">
        <v>Nadim</v>
      </c>
      <c r="B46" cm="1">
        <f t="array" ref="B46">SUMPRODUCT(('Team Lineups'!$K$2:$K$2000&lt;&gt;"")*('Team Lineups'!$C$2:$C$2000=$A46)*COUNTIFS('Team Lineups'!$K$2:$K$2000,'Team Lineups'!$K$2:$K$2000,'Team Lineups'!$C$2:$C$2000,B$1))</f>
        <v>0</v>
      </c>
      <c r="C46" cm="1">
        <f t="array" ref="C46">SUMPRODUCT(('Team Lineups'!$K$2:$K$2000&lt;&gt;"")*('Team Lineups'!$C$2:$C$2000=$A46)*COUNTIFS('Team Lineups'!$K$2:$K$2000,'Team Lineups'!$K$2:$K$2000,'Team Lineups'!$C$2:$C$2000,C$1))</f>
        <v>0</v>
      </c>
      <c r="D46" cm="1">
        <f t="array" ref="D46">SUMPRODUCT(('Team Lineups'!$K$2:$K$2000&lt;&gt;"")*('Team Lineups'!$C$2:$C$2000=$A46)*COUNTIFS('Team Lineups'!$K$2:$K$2000,'Team Lineups'!$K$2:$K$2000,'Team Lineups'!$C$2:$C$2000,D$1))</f>
        <v>0</v>
      </c>
      <c r="E46" cm="1">
        <f t="array" ref="E46">SUMPRODUCT(('Team Lineups'!$K$2:$K$2000&lt;&gt;"")*('Team Lineups'!$C$2:$C$2000=$A46)*COUNTIFS('Team Lineups'!$K$2:$K$2000,'Team Lineups'!$K$2:$K$2000,'Team Lineups'!$C$2:$C$2000,E$1))</f>
        <v>0</v>
      </c>
      <c r="F46" cm="1">
        <f t="array" ref="F46">SUMPRODUCT(('Team Lineups'!$K$2:$K$2000&lt;&gt;"")*('Team Lineups'!$C$2:$C$2000=$A46)*COUNTIFS('Team Lineups'!$K$2:$K$2000,'Team Lineups'!$K$2:$K$2000,'Team Lineups'!$C$2:$C$2000,F$1))</f>
        <v>0</v>
      </c>
      <c r="G46" cm="1">
        <f t="array" ref="G46">SUMPRODUCT(('Team Lineups'!$K$2:$K$2000&lt;&gt;"")*('Team Lineups'!$C$2:$C$2000=$A46)*COUNTIFS('Team Lineups'!$K$2:$K$2000,'Team Lineups'!$K$2:$K$2000,'Team Lineups'!$C$2:$C$2000,G$1))</f>
        <v>0</v>
      </c>
      <c r="H46" cm="1">
        <f t="array" ref="H46">SUMPRODUCT(('Team Lineups'!$K$2:$K$2000&lt;&gt;"")*('Team Lineups'!$C$2:$C$2000=$A46)*COUNTIFS('Team Lineups'!$K$2:$K$2000,'Team Lineups'!$K$2:$K$2000,'Team Lineups'!$C$2:$C$2000,H$1))</f>
        <v>1</v>
      </c>
      <c r="I46" cm="1">
        <f t="array" ref="I46">SUMPRODUCT(('Team Lineups'!$K$2:$K$2000&lt;&gt;"")*('Team Lineups'!$C$2:$C$2000=$A46)*COUNTIFS('Team Lineups'!$K$2:$K$2000,'Team Lineups'!$K$2:$K$2000,'Team Lineups'!$C$2:$C$2000,I$1))</f>
        <v>0</v>
      </c>
      <c r="J46" cm="1">
        <f t="array" ref="J46">SUMPRODUCT(('Team Lineups'!$K$2:$K$2000&lt;&gt;"")*('Team Lineups'!$C$2:$C$2000=$A46)*COUNTIFS('Team Lineups'!$K$2:$K$2000,'Team Lineups'!$K$2:$K$2000,'Team Lineups'!$C$2:$C$2000,J$1))</f>
        <v>0</v>
      </c>
      <c r="K46" cm="1">
        <f t="array" ref="K46">SUMPRODUCT(('Team Lineups'!$K$2:$K$2000&lt;&gt;"")*('Team Lineups'!$C$2:$C$2000=$A46)*COUNTIFS('Team Lineups'!$K$2:$K$2000,'Team Lineups'!$K$2:$K$2000,'Team Lineups'!$C$2:$C$2000,K$1))</f>
        <v>0</v>
      </c>
      <c r="L46" cm="1">
        <f t="array" ref="L46">SUMPRODUCT(('Team Lineups'!$K$2:$K$2000&lt;&gt;"")*('Team Lineups'!$C$2:$C$2000=$A46)*COUNTIFS('Team Lineups'!$K$2:$K$2000,'Team Lineups'!$K$2:$K$2000,'Team Lineups'!$C$2:$C$2000,L$1))</f>
        <v>0</v>
      </c>
      <c r="M46" cm="1">
        <f t="array" ref="M46">SUMPRODUCT(('Team Lineups'!$K$2:$K$2000&lt;&gt;"")*('Team Lineups'!$C$2:$C$2000=$A46)*COUNTIFS('Team Lineups'!$K$2:$K$2000,'Team Lineups'!$K$2:$K$2000,'Team Lineups'!$C$2:$C$2000,M$1))</f>
        <v>0</v>
      </c>
      <c r="N46" cm="1">
        <f t="array" ref="N46">SUMPRODUCT(('Team Lineups'!$K$2:$K$2000&lt;&gt;"")*('Team Lineups'!$C$2:$C$2000=$A46)*COUNTIFS('Team Lineups'!$K$2:$K$2000,'Team Lineups'!$K$2:$K$2000,'Team Lineups'!$C$2:$C$2000,N$1))</f>
        <v>0</v>
      </c>
      <c r="O46" cm="1">
        <f t="array" ref="O46">SUMPRODUCT(('Team Lineups'!$K$2:$K$2000&lt;&gt;"")*('Team Lineups'!$C$2:$C$2000=$A46)*COUNTIFS('Team Lineups'!$K$2:$K$2000,'Team Lineups'!$K$2:$K$2000,'Team Lineups'!$C$2:$C$2000,O$1))</f>
        <v>0</v>
      </c>
      <c r="P46" cm="1">
        <f t="array" ref="P46">SUMPRODUCT(('Team Lineups'!$K$2:$K$2000&lt;&gt;"")*('Team Lineups'!$C$2:$C$2000=$A46)*COUNTIFS('Team Lineups'!$K$2:$K$2000,'Team Lineups'!$K$2:$K$2000,'Team Lineups'!$C$2:$C$2000,P$1))</f>
        <v>0</v>
      </c>
      <c r="Q46" cm="1">
        <f t="array" ref="Q46">SUMPRODUCT(('Team Lineups'!$K$2:$K$2000&lt;&gt;"")*('Team Lineups'!$C$2:$C$2000=$A46)*COUNTIFS('Team Lineups'!$K$2:$K$2000,'Team Lineups'!$K$2:$K$2000,'Team Lineups'!$C$2:$C$2000,Q$1))</f>
        <v>0</v>
      </c>
      <c r="R46" cm="1">
        <f t="array" ref="R46">SUMPRODUCT(('Team Lineups'!$K$2:$K$2000&lt;&gt;"")*('Team Lineups'!$C$2:$C$2000=$A46)*COUNTIFS('Team Lineups'!$K$2:$K$2000,'Team Lineups'!$K$2:$K$2000,'Team Lineups'!$C$2:$C$2000,R$1))</f>
        <v>0</v>
      </c>
      <c r="S46" cm="1">
        <f t="array" ref="S46">SUMPRODUCT(('Team Lineups'!$K$2:$K$2000&lt;&gt;"")*('Team Lineups'!$C$2:$C$2000=$A46)*COUNTIFS('Team Lineups'!$K$2:$K$2000,'Team Lineups'!$K$2:$K$2000,'Team Lineups'!$C$2:$C$2000,S$1))</f>
        <v>0</v>
      </c>
      <c r="T46" cm="1">
        <f t="array" ref="T46">SUMPRODUCT(('Team Lineups'!$K$2:$K$2000&lt;&gt;"")*('Team Lineups'!$C$2:$C$2000=$A46)*COUNTIFS('Team Lineups'!$K$2:$K$2000,'Team Lineups'!$K$2:$K$2000,'Team Lineups'!$C$2:$C$2000,T$1))</f>
        <v>0</v>
      </c>
      <c r="U46" cm="1">
        <f t="array" ref="U46">SUMPRODUCT(('Team Lineups'!$K$2:$K$2000&lt;&gt;"")*('Team Lineups'!$C$2:$C$2000=$A46)*COUNTIFS('Team Lineups'!$K$2:$K$2000,'Team Lineups'!$K$2:$K$2000,'Team Lineups'!$C$2:$C$2000,U$1))</f>
        <v>0</v>
      </c>
      <c r="V46" cm="1">
        <f t="array" ref="V46">SUMPRODUCT(('Team Lineups'!$K$2:$K$2000&lt;&gt;"")*('Team Lineups'!$C$2:$C$2000=$A46)*COUNTIFS('Team Lineups'!$K$2:$K$2000,'Team Lineups'!$K$2:$K$2000,'Team Lineups'!$C$2:$C$2000,V$1))</f>
        <v>0</v>
      </c>
      <c r="W46" cm="1">
        <f t="array" ref="W46">SUMPRODUCT(('Team Lineups'!$K$2:$K$2000&lt;&gt;"")*('Team Lineups'!$C$2:$C$2000=$A46)*COUNTIFS('Team Lineups'!$K$2:$K$2000,'Team Lineups'!$K$2:$K$2000,'Team Lineups'!$C$2:$C$2000,W$1))</f>
        <v>0</v>
      </c>
      <c r="X46" cm="1">
        <f t="array" ref="X46">SUMPRODUCT(('Team Lineups'!$K$2:$K$2000&lt;&gt;"")*('Team Lineups'!$C$2:$C$2000=$A46)*COUNTIFS('Team Lineups'!$K$2:$K$2000,'Team Lineups'!$K$2:$K$2000,'Team Lineups'!$C$2:$C$2000,X$1))</f>
        <v>0</v>
      </c>
      <c r="Y46" cm="1">
        <f t="array" ref="Y46">SUMPRODUCT(('Team Lineups'!$K$2:$K$2000&lt;&gt;"")*('Team Lineups'!$C$2:$C$2000=$A46)*COUNTIFS('Team Lineups'!$K$2:$K$2000,'Team Lineups'!$K$2:$K$2000,'Team Lineups'!$C$2:$C$2000,Y$1))</f>
        <v>0</v>
      </c>
      <c r="Z46" cm="1">
        <f t="array" ref="Z46">SUMPRODUCT(('Team Lineups'!$K$2:$K$2000&lt;&gt;"")*('Team Lineups'!$C$2:$C$2000=$A46)*COUNTIFS('Team Lineups'!$K$2:$K$2000,'Team Lineups'!$K$2:$K$2000,'Team Lineups'!$C$2:$C$2000,Z$1))</f>
        <v>0</v>
      </c>
      <c r="AA46" cm="1">
        <f t="array" ref="AA46">SUMPRODUCT(('Team Lineups'!$K$2:$K$2000&lt;&gt;"")*('Team Lineups'!$C$2:$C$2000=$A46)*COUNTIFS('Team Lineups'!$K$2:$K$2000,'Team Lineups'!$K$2:$K$2000,'Team Lineups'!$C$2:$C$2000,AA$1))</f>
        <v>0</v>
      </c>
      <c r="AB46" cm="1">
        <f t="array" ref="AB46">SUMPRODUCT(('Team Lineups'!$K$2:$K$2000&lt;&gt;"")*('Team Lineups'!$C$2:$C$2000=$A46)*COUNTIFS('Team Lineups'!$K$2:$K$2000,'Team Lineups'!$K$2:$K$2000,'Team Lineups'!$C$2:$C$2000,AB$1))</f>
        <v>1</v>
      </c>
      <c r="AC46" cm="1">
        <f t="array" ref="AC46">SUMPRODUCT(('Team Lineups'!$K$2:$K$2000&lt;&gt;"")*('Team Lineups'!$C$2:$C$2000=$A46)*COUNTIFS('Team Lineups'!$K$2:$K$2000,'Team Lineups'!$K$2:$K$2000,'Team Lineups'!$C$2:$C$2000,AC$1))</f>
        <v>0</v>
      </c>
      <c r="AD46" cm="1">
        <f t="array" ref="AD46">SUMPRODUCT(('Team Lineups'!$K$2:$K$2000&lt;&gt;"")*('Team Lineups'!$C$2:$C$2000=$A46)*COUNTIFS('Team Lineups'!$K$2:$K$2000,'Team Lineups'!$K$2:$K$2000,'Team Lineups'!$C$2:$C$2000,AD$1))</f>
        <v>0</v>
      </c>
      <c r="AE46" cm="1">
        <f t="array" ref="AE46">SUMPRODUCT(('Team Lineups'!$K$2:$K$2000&lt;&gt;"")*('Team Lineups'!$C$2:$C$2000=$A46)*COUNTIFS('Team Lineups'!$K$2:$K$2000,'Team Lineups'!$K$2:$K$2000,'Team Lineups'!$C$2:$C$2000,AE$1))</f>
        <v>0</v>
      </c>
      <c r="AF46" cm="1">
        <f t="array" ref="AF46">SUMPRODUCT(('Team Lineups'!$K$2:$K$2000&lt;&gt;"")*('Team Lineups'!$C$2:$C$2000=$A46)*COUNTIFS('Team Lineups'!$K$2:$K$2000,'Team Lineups'!$K$2:$K$2000,'Team Lineups'!$C$2:$C$2000,AF$1))</f>
        <v>0</v>
      </c>
      <c r="AG46" cm="1">
        <f t="array" ref="AG46">SUMPRODUCT(('Team Lineups'!$K$2:$K$2000&lt;&gt;"")*('Team Lineups'!$C$2:$C$2000=$A46)*COUNTIFS('Team Lineups'!$K$2:$K$2000,'Team Lineups'!$K$2:$K$2000,'Team Lineups'!$C$2:$C$2000,AG$1))</f>
        <v>0</v>
      </c>
      <c r="AH46" cm="1">
        <f t="array" ref="AH46">SUMPRODUCT(('Team Lineups'!$K$2:$K$2000&lt;&gt;"")*('Team Lineups'!$C$2:$C$2000=$A46)*COUNTIFS('Team Lineups'!$K$2:$K$2000,'Team Lineups'!$K$2:$K$2000,'Team Lineups'!$C$2:$C$2000,AH$1))</f>
        <v>0</v>
      </c>
      <c r="AI46" cm="1">
        <f t="array" ref="AI46">SUMPRODUCT(('Team Lineups'!$K$2:$K$2000&lt;&gt;"")*('Team Lineups'!$C$2:$C$2000=$A46)*COUNTIFS('Team Lineups'!$K$2:$K$2000,'Team Lineups'!$K$2:$K$2000,'Team Lineups'!$C$2:$C$2000,AI$1))</f>
        <v>0</v>
      </c>
      <c r="AJ46" cm="1">
        <f t="array" ref="AJ46">SUMPRODUCT(('Team Lineups'!$K$2:$K$2000&lt;&gt;"")*('Team Lineups'!$C$2:$C$2000=$A46)*COUNTIFS('Team Lineups'!$K$2:$K$2000,'Team Lineups'!$K$2:$K$2000,'Team Lineups'!$C$2:$C$2000,AJ$1))</f>
        <v>0</v>
      </c>
      <c r="AK46" cm="1">
        <f t="array" ref="AK46">SUMPRODUCT(('Team Lineups'!$K$2:$K$2000&lt;&gt;"")*('Team Lineups'!$C$2:$C$2000=$A46)*COUNTIFS('Team Lineups'!$K$2:$K$2000,'Team Lineups'!$K$2:$K$2000,'Team Lineups'!$C$2:$C$2000,AK$1))</f>
        <v>0</v>
      </c>
      <c r="AL46" cm="1">
        <f t="array" ref="AL46">SUMPRODUCT(('Team Lineups'!$K$2:$K$2000&lt;&gt;"")*('Team Lineups'!$C$2:$C$2000=$A46)*COUNTIFS('Team Lineups'!$K$2:$K$2000,'Team Lineups'!$K$2:$K$2000,'Team Lineups'!$C$2:$C$2000,AL$1))</f>
        <v>0</v>
      </c>
      <c r="AM46" cm="1">
        <f t="array" ref="AM46">SUMPRODUCT(('Team Lineups'!$K$2:$K$2000&lt;&gt;"")*('Team Lineups'!$C$2:$C$2000=$A46)*COUNTIFS('Team Lineups'!$K$2:$K$2000,'Team Lineups'!$K$2:$K$2000,'Team Lineups'!$C$2:$C$2000,AM$1))</f>
        <v>0</v>
      </c>
      <c r="AN46" cm="1">
        <f t="array" ref="AN46">SUMPRODUCT(('Team Lineups'!$K$2:$K$2000&lt;&gt;"")*('Team Lineups'!$C$2:$C$2000=$A46)*COUNTIFS('Team Lineups'!$K$2:$K$2000,'Team Lineups'!$K$2:$K$2000,'Team Lineups'!$C$2:$C$2000,AN$1))</f>
        <v>0</v>
      </c>
      <c r="AO46" cm="1">
        <f t="array" ref="AO46">SUMPRODUCT(('Team Lineups'!$K$2:$K$2000&lt;&gt;"")*('Team Lineups'!$C$2:$C$2000=$A46)*COUNTIFS('Team Lineups'!$K$2:$K$2000,'Team Lineups'!$K$2:$K$2000,'Team Lineups'!$C$2:$C$2000,AO$1))</f>
        <v>1</v>
      </c>
      <c r="AP46" cm="1">
        <f t="array" ref="AP46">SUMPRODUCT(('Team Lineups'!$K$2:$K$2000&lt;&gt;"")*('Team Lineups'!$C$2:$C$2000=$A46)*COUNTIFS('Team Lineups'!$K$2:$K$2000,'Team Lineups'!$K$2:$K$2000,'Team Lineups'!$C$2:$C$2000,AP$1))</f>
        <v>0</v>
      </c>
      <c r="AQ46" cm="1">
        <f t="array" ref="AQ46">SUMPRODUCT(('Team Lineups'!$K$2:$K$2000&lt;&gt;"")*('Team Lineups'!$C$2:$C$2000=$A46)*COUNTIFS('Team Lineups'!$K$2:$K$2000,'Team Lineups'!$K$2:$K$2000,'Team Lineups'!$C$2:$C$2000,AQ$1))</f>
        <v>0</v>
      </c>
      <c r="AR46" cm="1">
        <f t="array" ref="AR46">SUMPRODUCT(('Team Lineups'!$K$2:$K$2000&lt;&gt;"")*('Team Lineups'!$C$2:$C$2000=$A46)*COUNTIFS('Team Lineups'!$K$2:$K$2000,'Team Lineups'!$K$2:$K$2000,'Team Lineups'!$C$2:$C$2000,AR$1))</f>
        <v>0</v>
      </c>
      <c r="AS46" cm="1">
        <f t="array" ref="AS46">SUMPRODUCT(('Team Lineups'!$K$2:$K$2000&lt;&gt;"")*('Team Lineups'!$C$2:$C$2000=$A46)*COUNTIFS('Team Lineups'!$K$2:$K$2000,'Team Lineups'!$K$2:$K$2000,'Team Lineups'!$C$2:$C$2000,AS$1))</f>
        <v>0</v>
      </c>
      <c r="AT46" cm="1">
        <f t="array" ref="AT46">SUMPRODUCT(('Team Lineups'!$K$2:$K$2000&lt;&gt;"")*('Team Lineups'!$C$2:$C$2000=$A46)*COUNTIFS('Team Lineups'!$K$2:$K$2000,'Team Lineups'!$K$2:$K$2000,'Team Lineups'!$C$2:$C$2000,AT$1))</f>
        <v>1</v>
      </c>
      <c r="AU46" cm="1">
        <f t="array" ref="AU46">SUMPRODUCT(('Team Lineups'!$K$2:$K$2000&lt;&gt;"")*('Team Lineups'!$C$2:$C$2000=$A46)*COUNTIFS('Team Lineups'!$K$2:$K$2000,'Team Lineups'!$K$2:$K$2000,'Team Lineups'!$C$2:$C$2000,AU$1))</f>
        <v>1</v>
      </c>
      <c r="AV46" cm="1">
        <f t="array" ref="AV46">SUMPRODUCT(('Team Lineups'!$K$2:$K$2000&lt;&gt;"")*('Team Lineups'!$C$2:$C$2000=$A46)*COUNTIFS('Team Lineups'!$K$2:$K$2000,'Team Lineups'!$K$2:$K$2000,'Team Lineups'!$C$2:$C$2000,AV$1))</f>
        <v>0</v>
      </c>
      <c r="AW46" cm="1">
        <f t="array" ref="AW46">SUMPRODUCT(('Team Lineups'!$K$2:$K$2000&lt;&gt;"")*('Team Lineups'!$C$2:$C$2000=$A46)*COUNTIFS('Team Lineups'!$K$2:$K$2000,'Team Lineups'!$K$2:$K$2000,'Team Lineups'!$C$2:$C$2000,AW$1))</f>
        <v>0</v>
      </c>
      <c r="AX46" cm="1">
        <f t="array" ref="AX46">SUMPRODUCT(('Team Lineups'!$K$2:$K$2000&lt;&gt;"")*('Team Lineups'!$C$2:$C$2000=$A46)*COUNTIFS('Team Lineups'!$K$2:$K$2000,'Team Lineups'!$K$2:$K$2000,'Team Lineups'!$C$2:$C$2000,AX$1))</f>
        <v>0</v>
      </c>
      <c r="AY46" cm="1">
        <f t="array" ref="AY46">SUMPRODUCT(('Team Lineups'!$K$2:$K$2000&lt;&gt;"")*('Team Lineups'!$C$2:$C$2000=$A46)*COUNTIFS('Team Lineups'!$K$2:$K$2000,'Team Lineups'!$K$2:$K$2000,'Team Lineups'!$C$2:$C$2000,AY$1))</f>
        <v>0</v>
      </c>
    </row>
    <row r="47" spans="1:51" x14ac:dyDescent="0.35">
      <c r="A47" t="str">
        <v>Edison</v>
      </c>
      <c r="B47" cm="1">
        <f t="array" ref="B47">SUMPRODUCT(('Team Lineups'!$K$2:$K$2000&lt;&gt;"")*('Team Lineups'!$C$2:$C$2000=$A47)*COUNTIFS('Team Lineups'!$K$2:$K$2000,'Team Lineups'!$K$2:$K$2000,'Team Lineups'!$C$2:$C$2000,B$1))</f>
        <v>2</v>
      </c>
      <c r="C47" cm="1">
        <f t="array" ref="C47">SUMPRODUCT(('Team Lineups'!$K$2:$K$2000&lt;&gt;"")*('Team Lineups'!$C$2:$C$2000=$A47)*COUNTIFS('Team Lineups'!$K$2:$K$2000,'Team Lineups'!$K$2:$K$2000,'Team Lineups'!$C$2:$C$2000,C$1))</f>
        <v>0</v>
      </c>
      <c r="D47" cm="1">
        <f t="array" ref="D47">SUMPRODUCT(('Team Lineups'!$K$2:$K$2000&lt;&gt;"")*('Team Lineups'!$C$2:$C$2000=$A47)*COUNTIFS('Team Lineups'!$K$2:$K$2000,'Team Lineups'!$K$2:$K$2000,'Team Lineups'!$C$2:$C$2000,D$1))</f>
        <v>3</v>
      </c>
      <c r="E47" cm="1">
        <f t="array" ref="E47">SUMPRODUCT(('Team Lineups'!$K$2:$K$2000&lt;&gt;"")*('Team Lineups'!$C$2:$C$2000=$A47)*COUNTIFS('Team Lineups'!$K$2:$K$2000,'Team Lineups'!$K$2:$K$2000,'Team Lineups'!$C$2:$C$2000,E$1))</f>
        <v>1</v>
      </c>
      <c r="F47" cm="1">
        <f t="array" ref="F47">SUMPRODUCT(('Team Lineups'!$K$2:$K$2000&lt;&gt;"")*('Team Lineups'!$C$2:$C$2000=$A47)*COUNTIFS('Team Lineups'!$K$2:$K$2000,'Team Lineups'!$K$2:$K$2000,'Team Lineups'!$C$2:$C$2000,F$1))</f>
        <v>0</v>
      </c>
      <c r="G47" cm="1">
        <f t="array" ref="G47">SUMPRODUCT(('Team Lineups'!$K$2:$K$2000&lt;&gt;"")*('Team Lineups'!$C$2:$C$2000=$A47)*COUNTIFS('Team Lineups'!$K$2:$K$2000,'Team Lineups'!$K$2:$K$2000,'Team Lineups'!$C$2:$C$2000,G$1))</f>
        <v>3</v>
      </c>
      <c r="H47" cm="1">
        <f t="array" ref="H47">SUMPRODUCT(('Team Lineups'!$K$2:$K$2000&lt;&gt;"")*('Team Lineups'!$C$2:$C$2000=$A47)*COUNTIFS('Team Lineups'!$K$2:$K$2000,'Team Lineups'!$K$2:$K$2000,'Team Lineups'!$C$2:$C$2000,H$1))</f>
        <v>1</v>
      </c>
      <c r="I47" cm="1">
        <f t="array" ref="I47">SUMPRODUCT(('Team Lineups'!$K$2:$K$2000&lt;&gt;"")*('Team Lineups'!$C$2:$C$2000=$A47)*COUNTIFS('Team Lineups'!$K$2:$K$2000,'Team Lineups'!$K$2:$K$2000,'Team Lineups'!$C$2:$C$2000,I$1))</f>
        <v>3</v>
      </c>
      <c r="J47" cm="1">
        <f t="array" ref="J47">SUMPRODUCT(('Team Lineups'!$K$2:$K$2000&lt;&gt;"")*('Team Lineups'!$C$2:$C$2000=$A47)*COUNTIFS('Team Lineups'!$K$2:$K$2000,'Team Lineups'!$K$2:$K$2000,'Team Lineups'!$C$2:$C$2000,J$1))</f>
        <v>0</v>
      </c>
      <c r="K47" cm="1">
        <f t="array" ref="K47">SUMPRODUCT(('Team Lineups'!$K$2:$K$2000&lt;&gt;"")*('Team Lineups'!$C$2:$C$2000=$A47)*COUNTIFS('Team Lineups'!$K$2:$K$2000,'Team Lineups'!$K$2:$K$2000,'Team Lineups'!$C$2:$C$2000,K$1))</f>
        <v>0</v>
      </c>
      <c r="L47" cm="1">
        <f t="array" ref="L47">SUMPRODUCT(('Team Lineups'!$K$2:$K$2000&lt;&gt;"")*('Team Lineups'!$C$2:$C$2000=$A47)*COUNTIFS('Team Lineups'!$K$2:$K$2000,'Team Lineups'!$K$2:$K$2000,'Team Lineups'!$C$2:$C$2000,L$1))</f>
        <v>1</v>
      </c>
      <c r="M47" cm="1">
        <f t="array" ref="M47">SUMPRODUCT(('Team Lineups'!$K$2:$K$2000&lt;&gt;"")*('Team Lineups'!$C$2:$C$2000=$A47)*COUNTIFS('Team Lineups'!$K$2:$K$2000,'Team Lineups'!$K$2:$K$2000,'Team Lineups'!$C$2:$C$2000,M$1))</f>
        <v>2</v>
      </c>
      <c r="N47" cm="1">
        <f t="array" ref="N47">SUMPRODUCT(('Team Lineups'!$K$2:$K$2000&lt;&gt;"")*('Team Lineups'!$C$2:$C$2000=$A47)*COUNTIFS('Team Lineups'!$K$2:$K$2000,'Team Lineups'!$K$2:$K$2000,'Team Lineups'!$C$2:$C$2000,N$1))</f>
        <v>1</v>
      </c>
      <c r="O47" cm="1">
        <f t="array" ref="O47">SUMPRODUCT(('Team Lineups'!$K$2:$K$2000&lt;&gt;"")*('Team Lineups'!$C$2:$C$2000=$A47)*COUNTIFS('Team Lineups'!$K$2:$K$2000,'Team Lineups'!$K$2:$K$2000,'Team Lineups'!$C$2:$C$2000,O$1))</f>
        <v>2</v>
      </c>
      <c r="P47" cm="1">
        <f t="array" ref="P47">SUMPRODUCT(('Team Lineups'!$K$2:$K$2000&lt;&gt;"")*('Team Lineups'!$C$2:$C$2000=$A47)*COUNTIFS('Team Lineups'!$K$2:$K$2000,'Team Lineups'!$K$2:$K$2000,'Team Lineups'!$C$2:$C$2000,P$1))</f>
        <v>1</v>
      </c>
      <c r="Q47" cm="1">
        <f t="array" ref="Q47">SUMPRODUCT(('Team Lineups'!$K$2:$K$2000&lt;&gt;"")*('Team Lineups'!$C$2:$C$2000=$A47)*COUNTIFS('Team Lineups'!$K$2:$K$2000,'Team Lineups'!$K$2:$K$2000,'Team Lineups'!$C$2:$C$2000,Q$1))</f>
        <v>1</v>
      </c>
      <c r="R47" cm="1">
        <f t="array" ref="R47">SUMPRODUCT(('Team Lineups'!$K$2:$K$2000&lt;&gt;"")*('Team Lineups'!$C$2:$C$2000=$A47)*COUNTIFS('Team Lineups'!$K$2:$K$2000,'Team Lineups'!$K$2:$K$2000,'Team Lineups'!$C$2:$C$2000,R$1))</f>
        <v>0</v>
      </c>
      <c r="S47" cm="1">
        <f t="array" ref="S47">SUMPRODUCT(('Team Lineups'!$K$2:$K$2000&lt;&gt;"")*('Team Lineups'!$C$2:$C$2000=$A47)*COUNTIFS('Team Lineups'!$K$2:$K$2000,'Team Lineups'!$K$2:$K$2000,'Team Lineups'!$C$2:$C$2000,S$1))</f>
        <v>0</v>
      </c>
      <c r="T47" cm="1">
        <f t="array" ref="T47">SUMPRODUCT(('Team Lineups'!$K$2:$K$2000&lt;&gt;"")*('Team Lineups'!$C$2:$C$2000=$A47)*COUNTIFS('Team Lineups'!$K$2:$K$2000,'Team Lineups'!$K$2:$K$2000,'Team Lineups'!$C$2:$C$2000,T$1))</f>
        <v>0</v>
      </c>
      <c r="U47" cm="1">
        <f t="array" ref="U47">SUMPRODUCT(('Team Lineups'!$K$2:$K$2000&lt;&gt;"")*('Team Lineups'!$C$2:$C$2000=$A47)*COUNTIFS('Team Lineups'!$K$2:$K$2000,'Team Lineups'!$K$2:$K$2000,'Team Lineups'!$C$2:$C$2000,U$1))</f>
        <v>0</v>
      </c>
      <c r="V47" cm="1">
        <f t="array" ref="V47">SUMPRODUCT(('Team Lineups'!$K$2:$K$2000&lt;&gt;"")*('Team Lineups'!$C$2:$C$2000=$A47)*COUNTIFS('Team Lineups'!$K$2:$K$2000,'Team Lineups'!$K$2:$K$2000,'Team Lineups'!$C$2:$C$2000,V$1))</f>
        <v>0</v>
      </c>
      <c r="W47" cm="1">
        <f t="array" ref="W47">SUMPRODUCT(('Team Lineups'!$K$2:$K$2000&lt;&gt;"")*('Team Lineups'!$C$2:$C$2000=$A47)*COUNTIFS('Team Lineups'!$K$2:$K$2000,'Team Lineups'!$K$2:$K$2000,'Team Lineups'!$C$2:$C$2000,W$1))</f>
        <v>0</v>
      </c>
      <c r="X47" cm="1">
        <f t="array" ref="X47">SUMPRODUCT(('Team Lineups'!$K$2:$K$2000&lt;&gt;"")*('Team Lineups'!$C$2:$C$2000=$A47)*COUNTIFS('Team Lineups'!$K$2:$K$2000,'Team Lineups'!$K$2:$K$2000,'Team Lineups'!$C$2:$C$2000,X$1))</f>
        <v>0</v>
      </c>
      <c r="Y47" cm="1">
        <f t="array" ref="Y47">SUMPRODUCT(('Team Lineups'!$K$2:$K$2000&lt;&gt;"")*('Team Lineups'!$C$2:$C$2000=$A47)*COUNTIFS('Team Lineups'!$K$2:$K$2000,'Team Lineups'!$K$2:$K$2000,'Team Lineups'!$C$2:$C$2000,Y$1))</f>
        <v>0</v>
      </c>
      <c r="Z47" cm="1">
        <f t="array" ref="Z47">SUMPRODUCT(('Team Lineups'!$K$2:$K$2000&lt;&gt;"")*('Team Lineups'!$C$2:$C$2000=$A47)*COUNTIFS('Team Lineups'!$K$2:$K$2000,'Team Lineups'!$K$2:$K$2000,'Team Lineups'!$C$2:$C$2000,Z$1))</f>
        <v>0</v>
      </c>
      <c r="AA47" cm="1">
        <f t="array" ref="AA47">SUMPRODUCT(('Team Lineups'!$K$2:$K$2000&lt;&gt;"")*('Team Lineups'!$C$2:$C$2000=$A47)*COUNTIFS('Team Lineups'!$K$2:$K$2000,'Team Lineups'!$K$2:$K$2000,'Team Lineups'!$C$2:$C$2000,AA$1))</f>
        <v>4</v>
      </c>
      <c r="AB47" cm="1">
        <f t="array" ref="AB47">SUMPRODUCT(('Team Lineups'!$K$2:$K$2000&lt;&gt;"")*('Team Lineups'!$C$2:$C$2000=$A47)*COUNTIFS('Team Lineups'!$K$2:$K$2000,'Team Lineups'!$K$2:$K$2000,'Team Lineups'!$C$2:$C$2000,AB$1))</f>
        <v>1</v>
      </c>
      <c r="AC47" cm="1">
        <f t="array" ref="AC47">SUMPRODUCT(('Team Lineups'!$K$2:$K$2000&lt;&gt;"")*('Team Lineups'!$C$2:$C$2000=$A47)*COUNTIFS('Team Lineups'!$K$2:$K$2000,'Team Lineups'!$K$2:$K$2000,'Team Lineups'!$C$2:$C$2000,AC$1))</f>
        <v>0</v>
      </c>
      <c r="AD47" cm="1">
        <f t="array" ref="AD47">SUMPRODUCT(('Team Lineups'!$K$2:$K$2000&lt;&gt;"")*('Team Lineups'!$C$2:$C$2000=$A47)*COUNTIFS('Team Lineups'!$K$2:$K$2000,'Team Lineups'!$K$2:$K$2000,'Team Lineups'!$C$2:$C$2000,AD$1))</f>
        <v>1</v>
      </c>
      <c r="AE47" cm="1">
        <f t="array" ref="AE47">SUMPRODUCT(('Team Lineups'!$K$2:$K$2000&lt;&gt;"")*('Team Lineups'!$C$2:$C$2000=$A47)*COUNTIFS('Team Lineups'!$K$2:$K$2000,'Team Lineups'!$K$2:$K$2000,'Team Lineups'!$C$2:$C$2000,AE$1))</f>
        <v>0</v>
      </c>
      <c r="AF47" cm="1">
        <f t="array" ref="AF47">SUMPRODUCT(('Team Lineups'!$K$2:$K$2000&lt;&gt;"")*('Team Lineups'!$C$2:$C$2000=$A47)*COUNTIFS('Team Lineups'!$K$2:$K$2000,'Team Lineups'!$K$2:$K$2000,'Team Lineups'!$C$2:$C$2000,AF$1))</f>
        <v>0</v>
      </c>
      <c r="AG47" cm="1">
        <f t="array" ref="AG47">SUMPRODUCT(('Team Lineups'!$K$2:$K$2000&lt;&gt;"")*('Team Lineups'!$C$2:$C$2000=$A47)*COUNTIFS('Team Lineups'!$K$2:$K$2000,'Team Lineups'!$K$2:$K$2000,'Team Lineups'!$C$2:$C$2000,AG$1))</f>
        <v>1</v>
      </c>
      <c r="AH47" cm="1">
        <f t="array" ref="AH47">SUMPRODUCT(('Team Lineups'!$K$2:$K$2000&lt;&gt;"")*('Team Lineups'!$C$2:$C$2000=$A47)*COUNTIFS('Team Lineups'!$K$2:$K$2000,'Team Lineups'!$K$2:$K$2000,'Team Lineups'!$C$2:$C$2000,AH$1))</f>
        <v>0</v>
      </c>
      <c r="AI47" cm="1">
        <f t="array" ref="AI47">SUMPRODUCT(('Team Lineups'!$K$2:$K$2000&lt;&gt;"")*('Team Lineups'!$C$2:$C$2000=$A47)*COUNTIFS('Team Lineups'!$K$2:$K$2000,'Team Lineups'!$K$2:$K$2000,'Team Lineups'!$C$2:$C$2000,AI$1))</f>
        <v>0</v>
      </c>
      <c r="AJ47" cm="1">
        <f t="array" ref="AJ47">SUMPRODUCT(('Team Lineups'!$K$2:$K$2000&lt;&gt;"")*('Team Lineups'!$C$2:$C$2000=$A47)*COUNTIFS('Team Lineups'!$K$2:$K$2000,'Team Lineups'!$K$2:$K$2000,'Team Lineups'!$C$2:$C$2000,AJ$1))</f>
        <v>2</v>
      </c>
      <c r="AK47" cm="1">
        <f t="array" ref="AK47">SUMPRODUCT(('Team Lineups'!$K$2:$K$2000&lt;&gt;"")*('Team Lineups'!$C$2:$C$2000=$A47)*COUNTIFS('Team Lineups'!$K$2:$K$2000,'Team Lineups'!$K$2:$K$2000,'Team Lineups'!$C$2:$C$2000,AK$1))</f>
        <v>0</v>
      </c>
      <c r="AL47" cm="1">
        <f t="array" ref="AL47">SUMPRODUCT(('Team Lineups'!$K$2:$K$2000&lt;&gt;"")*('Team Lineups'!$C$2:$C$2000=$A47)*COUNTIFS('Team Lineups'!$K$2:$K$2000,'Team Lineups'!$K$2:$K$2000,'Team Lineups'!$C$2:$C$2000,AL$1))</f>
        <v>1</v>
      </c>
      <c r="AM47" cm="1">
        <f t="array" ref="AM47">SUMPRODUCT(('Team Lineups'!$K$2:$K$2000&lt;&gt;"")*('Team Lineups'!$C$2:$C$2000=$A47)*COUNTIFS('Team Lineups'!$K$2:$K$2000,'Team Lineups'!$K$2:$K$2000,'Team Lineups'!$C$2:$C$2000,AM$1))</f>
        <v>0</v>
      </c>
      <c r="AN47" cm="1">
        <f t="array" ref="AN47">SUMPRODUCT(('Team Lineups'!$K$2:$K$2000&lt;&gt;"")*('Team Lineups'!$C$2:$C$2000=$A47)*COUNTIFS('Team Lineups'!$K$2:$K$2000,'Team Lineups'!$K$2:$K$2000,'Team Lineups'!$C$2:$C$2000,AN$1))</f>
        <v>0</v>
      </c>
      <c r="AO47" cm="1">
        <f t="array" ref="AO47">SUMPRODUCT(('Team Lineups'!$K$2:$K$2000&lt;&gt;"")*('Team Lineups'!$C$2:$C$2000=$A47)*COUNTIFS('Team Lineups'!$K$2:$K$2000,'Team Lineups'!$K$2:$K$2000,'Team Lineups'!$C$2:$C$2000,AO$1))</f>
        <v>1</v>
      </c>
      <c r="AP47" cm="1">
        <f t="array" ref="AP47">SUMPRODUCT(('Team Lineups'!$K$2:$K$2000&lt;&gt;"")*('Team Lineups'!$C$2:$C$2000=$A47)*COUNTIFS('Team Lineups'!$K$2:$K$2000,'Team Lineups'!$K$2:$K$2000,'Team Lineups'!$C$2:$C$2000,AP$1))</f>
        <v>0</v>
      </c>
      <c r="AQ47" cm="1">
        <f t="array" ref="AQ47">SUMPRODUCT(('Team Lineups'!$K$2:$K$2000&lt;&gt;"")*('Team Lineups'!$C$2:$C$2000=$A47)*COUNTIFS('Team Lineups'!$K$2:$K$2000,'Team Lineups'!$K$2:$K$2000,'Team Lineups'!$C$2:$C$2000,AQ$1))</f>
        <v>1</v>
      </c>
      <c r="AR47" cm="1">
        <f t="array" ref="AR47">SUMPRODUCT(('Team Lineups'!$K$2:$K$2000&lt;&gt;"")*('Team Lineups'!$C$2:$C$2000=$A47)*COUNTIFS('Team Lineups'!$K$2:$K$2000,'Team Lineups'!$K$2:$K$2000,'Team Lineups'!$C$2:$C$2000,AR$1))</f>
        <v>0</v>
      </c>
      <c r="AS47" cm="1">
        <f t="array" ref="AS47">SUMPRODUCT(('Team Lineups'!$K$2:$K$2000&lt;&gt;"")*('Team Lineups'!$C$2:$C$2000=$A47)*COUNTIFS('Team Lineups'!$K$2:$K$2000,'Team Lineups'!$K$2:$K$2000,'Team Lineups'!$C$2:$C$2000,AS$1))</f>
        <v>0</v>
      </c>
      <c r="AT47" cm="1">
        <f t="array" ref="AT47">SUMPRODUCT(('Team Lineups'!$K$2:$K$2000&lt;&gt;"")*('Team Lineups'!$C$2:$C$2000=$A47)*COUNTIFS('Team Lineups'!$K$2:$K$2000,'Team Lineups'!$K$2:$K$2000,'Team Lineups'!$C$2:$C$2000,AT$1))</f>
        <v>1</v>
      </c>
      <c r="AU47" cm="1">
        <f t="array" ref="AU47">SUMPRODUCT(('Team Lineups'!$K$2:$K$2000&lt;&gt;"")*('Team Lineups'!$C$2:$C$2000=$A47)*COUNTIFS('Team Lineups'!$K$2:$K$2000,'Team Lineups'!$K$2:$K$2000,'Team Lineups'!$C$2:$C$2000,AU$1))</f>
        <v>7</v>
      </c>
      <c r="AV47" cm="1">
        <f t="array" ref="AV47">SUMPRODUCT(('Team Lineups'!$K$2:$K$2000&lt;&gt;"")*('Team Lineups'!$C$2:$C$2000=$A47)*COUNTIFS('Team Lineups'!$K$2:$K$2000,'Team Lineups'!$K$2:$K$2000,'Team Lineups'!$C$2:$C$2000,AV$1))</f>
        <v>3</v>
      </c>
      <c r="AW47" cm="1">
        <f t="array" ref="AW47">SUMPRODUCT(('Team Lineups'!$K$2:$K$2000&lt;&gt;"")*('Team Lineups'!$C$2:$C$2000=$A47)*COUNTIFS('Team Lineups'!$K$2:$K$2000,'Team Lineups'!$K$2:$K$2000,'Team Lineups'!$C$2:$C$2000,AW$1))</f>
        <v>0</v>
      </c>
      <c r="AX47" cm="1">
        <f t="array" ref="AX47">SUMPRODUCT(('Team Lineups'!$K$2:$K$2000&lt;&gt;"")*('Team Lineups'!$C$2:$C$2000=$A47)*COUNTIFS('Team Lineups'!$K$2:$K$2000,'Team Lineups'!$K$2:$K$2000,'Team Lineups'!$C$2:$C$2000,AX$1))</f>
        <v>0</v>
      </c>
      <c r="AY47" cm="1">
        <f t="array" ref="AY47">SUMPRODUCT(('Team Lineups'!$K$2:$K$2000&lt;&gt;"")*('Team Lineups'!$C$2:$C$2000=$A47)*COUNTIFS('Team Lineups'!$K$2:$K$2000,'Team Lineups'!$K$2:$K$2000,'Team Lineups'!$C$2:$C$2000,AY$1))</f>
        <v>0</v>
      </c>
    </row>
    <row r="48" spans="1:51" x14ac:dyDescent="0.35">
      <c r="A48" t="str">
        <v>Pedro (Not Barroso)</v>
      </c>
      <c r="B48" cm="1">
        <f t="array" ref="B48">SUMPRODUCT(('Team Lineups'!$K$2:$K$2000&lt;&gt;"")*('Team Lineups'!$C$2:$C$2000=$A48)*COUNTIFS('Team Lineups'!$K$2:$K$2000,'Team Lineups'!$K$2:$K$2000,'Team Lineups'!$C$2:$C$2000,B$1))</f>
        <v>1</v>
      </c>
      <c r="C48" cm="1">
        <f t="array" ref="C48">SUMPRODUCT(('Team Lineups'!$K$2:$K$2000&lt;&gt;"")*('Team Lineups'!$C$2:$C$2000=$A48)*COUNTIFS('Team Lineups'!$K$2:$K$2000,'Team Lineups'!$K$2:$K$2000,'Team Lineups'!$C$2:$C$2000,C$1))</f>
        <v>0</v>
      </c>
      <c r="D48" cm="1">
        <f t="array" ref="D48">SUMPRODUCT(('Team Lineups'!$K$2:$K$2000&lt;&gt;"")*('Team Lineups'!$C$2:$C$2000=$A48)*COUNTIFS('Team Lineups'!$K$2:$K$2000,'Team Lineups'!$K$2:$K$2000,'Team Lineups'!$C$2:$C$2000,D$1))</f>
        <v>3</v>
      </c>
      <c r="E48" cm="1">
        <f t="array" ref="E48">SUMPRODUCT(('Team Lineups'!$K$2:$K$2000&lt;&gt;"")*('Team Lineups'!$C$2:$C$2000=$A48)*COUNTIFS('Team Lineups'!$K$2:$K$2000,'Team Lineups'!$K$2:$K$2000,'Team Lineups'!$C$2:$C$2000,E$1))</f>
        <v>2</v>
      </c>
      <c r="F48" cm="1">
        <f t="array" ref="F48">SUMPRODUCT(('Team Lineups'!$K$2:$K$2000&lt;&gt;"")*('Team Lineups'!$C$2:$C$2000=$A48)*COUNTIFS('Team Lineups'!$K$2:$K$2000,'Team Lineups'!$K$2:$K$2000,'Team Lineups'!$C$2:$C$2000,F$1))</f>
        <v>2</v>
      </c>
      <c r="G48" cm="1">
        <f t="array" ref="G48">SUMPRODUCT(('Team Lineups'!$K$2:$K$2000&lt;&gt;"")*('Team Lineups'!$C$2:$C$2000=$A48)*COUNTIFS('Team Lineups'!$K$2:$K$2000,'Team Lineups'!$K$2:$K$2000,'Team Lineups'!$C$2:$C$2000,G$1))</f>
        <v>5</v>
      </c>
      <c r="H48" cm="1">
        <f t="array" ref="H48">SUMPRODUCT(('Team Lineups'!$K$2:$K$2000&lt;&gt;"")*('Team Lineups'!$C$2:$C$2000=$A48)*COUNTIFS('Team Lineups'!$K$2:$K$2000,'Team Lineups'!$K$2:$K$2000,'Team Lineups'!$C$2:$C$2000,H$1))</f>
        <v>2</v>
      </c>
      <c r="I48" cm="1">
        <f t="array" ref="I48">SUMPRODUCT(('Team Lineups'!$K$2:$K$2000&lt;&gt;"")*('Team Lineups'!$C$2:$C$2000=$A48)*COUNTIFS('Team Lineups'!$K$2:$K$2000,'Team Lineups'!$K$2:$K$2000,'Team Lineups'!$C$2:$C$2000,I$1))</f>
        <v>2</v>
      </c>
      <c r="J48" cm="1">
        <f t="array" ref="J48">SUMPRODUCT(('Team Lineups'!$K$2:$K$2000&lt;&gt;"")*('Team Lineups'!$C$2:$C$2000=$A48)*COUNTIFS('Team Lineups'!$K$2:$K$2000,'Team Lineups'!$K$2:$K$2000,'Team Lineups'!$C$2:$C$2000,J$1))</f>
        <v>0</v>
      </c>
      <c r="K48" cm="1">
        <f t="array" ref="K48">SUMPRODUCT(('Team Lineups'!$K$2:$K$2000&lt;&gt;"")*('Team Lineups'!$C$2:$C$2000=$A48)*COUNTIFS('Team Lineups'!$K$2:$K$2000,'Team Lineups'!$K$2:$K$2000,'Team Lineups'!$C$2:$C$2000,K$1))</f>
        <v>0</v>
      </c>
      <c r="L48" cm="1">
        <f t="array" ref="L48">SUMPRODUCT(('Team Lineups'!$K$2:$K$2000&lt;&gt;"")*('Team Lineups'!$C$2:$C$2000=$A48)*COUNTIFS('Team Lineups'!$K$2:$K$2000,'Team Lineups'!$K$2:$K$2000,'Team Lineups'!$C$2:$C$2000,L$1))</f>
        <v>0</v>
      </c>
      <c r="M48" cm="1">
        <f t="array" ref="M48">SUMPRODUCT(('Team Lineups'!$K$2:$K$2000&lt;&gt;"")*('Team Lineups'!$C$2:$C$2000=$A48)*COUNTIFS('Team Lineups'!$K$2:$K$2000,'Team Lineups'!$K$2:$K$2000,'Team Lineups'!$C$2:$C$2000,M$1))</f>
        <v>1</v>
      </c>
      <c r="N48" cm="1">
        <f t="array" ref="N48">SUMPRODUCT(('Team Lineups'!$K$2:$K$2000&lt;&gt;"")*('Team Lineups'!$C$2:$C$2000=$A48)*COUNTIFS('Team Lineups'!$K$2:$K$2000,'Team Lineups'!$K$2:$K$2000,'Team Lineups'!$C$2:$C$2000,N$1))</f>
        <v>0</v>
      </c>
      <c r="O48" cm="1">
        <f t="array" ref="O48">SUMPRODUCT(('Team Lineups'!$K$2:$K$2000&lt;&gt;"")*('Team Lineups'!$C$2:$C$2000=$A48)*COUNTIFS('Team Lineups'!$K$2:$K$2000,'Team Lineups'!$K$2:$K$2000,'Team Lineups'!$C$2:$C$2000,O$1))</f>
        <v>2</v>
      </c>
      <c r="P48" cm="1">
        <f t="array" ref="P48">SUMPRODUCT(('Team Lineups'!$K$2:$K$2000&lt;&gt;"")*('Team Lineups'!$C$2:$C$2000=$A48)*COUNTIFS('Team Lineups'!$K$2:$K$2000,'Team Lineups'!$K$2:$K$2000,'Team Lineups'!$C$2:$C$2000,P$1))</f>
        <v>1</v>
      </c>
      <c r="Q48" cm="1">
        <f t="array" ref="Q48">SUMPRODUCT(('Team Lineups'!$K$2:$K$2000&lt;&gt;"")*('Team Lineups'!$C$2:$C$2000=$A48)*COUNTIFS('Team Lineups'!$K$2:$K$2000,'Team Lineups'!$K$2:$K$2000,'Team Lineups'!$C$2:$C$2000,Q$1))</f>
        <v>1</v>
      </c>
      <c r="R48" cm="1">
        <f t="array" ref="R48">SUMPRODUCT(('Team Lineups'!$K$2:$K$2000&lt;&gt;"")*('Team Lineups'!$C$2:$C$2000=$A48)*COUNTIFS('Team Lineups'!$K$2:$K$2000,'Team Lineups'!$K$2:$K$2000,'Team Lineups'!$C$2:$C$2000,R$1))</f>
        <v>2</v>
      </c>
      <c r="S48" cm="1">
        <f t="array" ref="S48">SUMPRODUCT(('Team Lineups'!$K$2:$K$2000&lt;&gt;"")*('Team Lineups'!$C$2:$C$2000=$A48)*COUNTIFS('Team Lineups'!$K$2:$K$2000,'Team Lineups'!$K$2:$K$2000,'Team Lineups'!$C$2:$C$2000,S$1))</f>
        <v>0</v>
      </c>
      <c r="T48" cm="1">
        <f t="array" ref="T48">SUMPRODUCT(('Team Lineups'!$K$2:$K$2000&lt;&gt;"")*('Team Lineups'!$C$2:$C$2000=$A48)*COUNTIFS('Team Lineups'!$K$2:$K$2000,'Team Lineups'!$K$2:$K$2000,'Team Lineups'!$C$2:$C$2000,T$1))</f>
        <v>0</v>
      </c>
      <c r="U48" cm="1">
        <f t="array" ref="U48">SUMPRODUCT(('Team Lineups'!$K$2:$K$2000&lt;&gt;"")*('Team Lineups'!$C$2:$C$2000=$A48)*COUNTIFS('Team Lineups'!$K$2:$K$2000,'Team Lineups'!$K$2:$K$2000,'Team Lineups'!$C$2:$C$2000,U$1))</f>
        <v>0</v>
      </c>
      <c r="V48" cm="1">
        <f t="array" ref="V48">SUMPRODUCT(('Team Lineups'!$K$2:$K$2000&lt;&gt;"")*('Team Lineups'!$C$2:$C$2000=$A48)*COUNTIFS('Team Lineups'!$K$2:$K$2000,'Team Lineups'!$K$2:$K$2000,'Team Lineups'!$C$2:$C$2000,V$1))</f>
        <v>0</v>
      </c>
      <c r="W48" cm="1">
        <f t="array" ref="W48">SUMPRODUCT(('Team Lineups'!$K$2:$K$2000&lt;&gt;"")*('Team Lineups'!$C$2:$C$2000=$A48)*COUNTIFS('Team Lineups'!$K$2:$K$2000,'Team Lineups'!$K$2:$K$2000,'Team Lineups'!$C$2:$C$2000,W$1))</f>
        <v>0</v>
      </c>
      <c r="X48" cm="1">
        <f t="array" ref="X48">SUMPRODUCT(('Team Lineups'!$K$2:$K$2000&lt;&gt;"")*('Team Lineups'!$C$2:$C$2000=$A48)*COUNTIFS('Team Lineups'!$K$2:$K$2000,'Team Lineups'!$K$2:$K$2000,'Team Lineups'!$C$2:$C$2000,X$1))</f>
        <v>0</v>
      </c>
      <c r="Y48" cm="1">
        <f t="array" ref="Y48">SUMPRODUCT(('Team Lineups'!$K$2:$K$2000&lt;&gt;"")*('Team Lineups'!$C$2:$C$2000=$A48)*COUNTIFS('Team Lineups'!$K$2:$K$2000,'Team Lineups'!$K$2:$K$2000,'Team Lineups'!$C$2:$C$2000,Y$1))</f>
        <v>0</v>
      </c>
      <c r="Z48" cm="1">
        <f t="array" ref="Z48">SUMPRODUCT(('Team Lineups'!$K$2:$K$2000&lt;&gt;"")*('Team Lineups'!$C$2:$C$2000=$A48)*COUNTIFS('Team Lineups'!$K$2:$K$2000,'Team Lineups'!$K$2:$K$2000,'Team Lineups'!$C$2:$C$2000,Z$1))</f>
        <v>1</v>
      </c>
      <c r="AA48" cm="1">
        <f t="array" ref="AA48">SUMPRODUCT(('Team Lineups'!$K$2:$K$2000&lt;&gt;"")*('Team Lineups'!$C$2:$C$2000=$A48)*COUNTIFS('Team Lineups'!$K$2:$K$2000,'Team Lineups'!$K$2:$K$2000,'Team Lineups'!$C$2:$C$2000,AA$1))</f>
        <v>1</v>
      </c>
      <c r="AB48" cm="1">
        <f t="array" ref="AB48">SUMPRODUCT(('Team Lineups'!$K$2:$K$2000&lt;&gt;"")*('Team Lineups'!$C$2:$C$2000=$A48)*COUNTIFS('Team Lineups'!$K$2:$K$2000,'Team Lineups'!$K$2:$K$2000,'Team Lineups'!$C$2:$C$2000,AB$1))</f>
        <v>0</v>
      </c>
      <c r="AC48" cm="1">
        <f t="array" ref="AC48">SUMPRODUCT(('Team Lineups'!$K$2:$K$2000&lt;&gt;"")*('Team Lineups'!$C$2:$C$2000=$A48)*COUNTIFS('Team Lineups'!$K$2:$K$2000,'Team Lineups'!$K$2:$K$2000,'Team Lineups'!$C$2:$C$2000,AC$1))</f>
        <v>0</v>
      </c>
      <c r="AD48" cm="1">
        <f t="array" ref="AD48">SUMPRODUCT(('Team Lineups'!$K$2:$K$2000&lt;&gt;"")*('Team Lineups'!$C$2:$C$2000=$A48)*COUNTIFS('Team Lineups'!$K$2:$K$2000,'Team Lineups'!$K$2:$K$2000,'Team Lineups'!$C$2:$C$2000,AD$1))</f>
        <v>3</v>
      </c>
      <c r="AE48" cm="1">
        <f t="array" ref="AE48">SUMPRODUCT(('Team Lineups'!$K$2:$K$2000&lt;&gt;"")*('Team Lineups'!$C$2:$C$2000=$A48)*COUNTIFS('Team Lineups'!$K$2:$K$2000,'Team Lineups'!$K$2:$K$2000,'Team Lineups'!$C$2:$C$2000,AE$1))</f>
        <v>0</v>
      </c>
      <c r="AF48" cm="1">
        <f t="array" ref="AF48">SUMPRODUCT(('Team Lineups'!$K$2:$K$2000&lt;&gt;"")*('Team Lineups'!$C$2:$C$2000=$A48)*COUNTIFS('Team Lineups'!$K$2:$K$2000,'Team Lineups'!$K$2:$K$2000,'Team Lineups'!$C$2:$C$2000,AF$1))</f>
        <v>0</v>
      </c>
      <c r="AG48" cm="1">
        <f t="array" ref="AG48">SUMPRODUCT(('Team Lineups'!$K$2:$K$2000&lt;&gt;"")*('Team Lineups'!$C$2:$C$2000=$A48)*COUNTIFS('Team Lineups'!$K$2:$K$2000,'Team Lineups'!$K$2:$K$2000,'Team Lineups'!$C$2:$C$2000,AG$1))</f>
        <v>1</v>
      </c>
      <c r="AH48" cm="1">
        <f t="array" ref="AH48">SUMPRODUCT(('Team Lineups'!$K$2:$K$2000&lt;&gt;"")*('Team Lineups'!$C$2:$C$2000=$A48)*COUNTIFS('Team Lineups'!$K$2:$K$2000,'Team Lineups'!$K$2:$K$2000,'Team Lineups'!$C$2:$C$2000,AH$1))</f>
        <v>0</v>
      </c>
      <c r="AI48" cm="1">
        <f t="array" ref="AI48">SUMPRODUCT(('Team Lineups'!$K$2:$K$2000&lt;&gt;"")*('Team Lineups'!$C$2:$C$2000=$A48)*COUNTIFS('Team Lineups'!$K$2:$K$2000,'Team Lineups'!$K$2:$K$2000,'Team Lineups'!$C$2:$C$2000,AI$1))</f>
        <v>0</v>
      </c>
      <c r="AJ48" cm="1">
        <f t="array" ref="AJ48">SUMPRODUCT(('Team Lineups'!$K$2:$K$2000&lt;&gt;"")*('Team Lineups'!$C$2:$C$2000=$A48)*COUNTIFS('Team Lineups'!$K$2:$K$2000,'Team Lineups'!$K$2:$K$2000,'Team Lineups'!$C$2:$C$2000,AJ$1))</f>
        <v>4</v>
      </c>
      <c r="AK48" cm="1">
        <f t="array" ref="AK48">SUMPRODUCT(('Team Lineups'!$K$2:$K$2000&lt;&gt;"")*('Team Lineups'!$C$2:$C$2000=$A48)*COUNTIFS('Team Lineups'!$K$2:$K$2000,'Team Lineups'!$K$2:$K$2000,'Team Lineups'!$C$2:$C$2000,AK$1))</f>
        <v>0</v>
      </c>
      <c r="AL48" cm="1">
        <f t="array" ref="AL48">SUMPRODUCT(('Team Lineups'!$K$2:$K$2000&lt;&gt;"")*('Team Lineups'!$C$2:$C$2000=$A48)*COUNTIFS('Team Lineups'!$K$2:$K$2000,'Team Lineups'!$K$2:$K$2000,'Team Lineups'!$C$2:$C$2000,AL$1))</f>
        <v>5</v>
      </c>
      <c r="AM48" cm="1">
        <f t="array" ref="AM48">SUMPRODUCT(('Team Lineups'!$K$2:$K$2000&lt;&gt;"")*('Team Lineups'!$C$2:$C$2000=$A48)*COUNTIFS('Team Lineups'!$K$2:$K$2000,'Team Lineups'!$K$2:$K$2000,'Team Lineups'!$C$2:$C$2000,AM$1))</f>
        <v>0</v>
      </c>
      <c r="AN48" cm="1">
        <f t="array" ref="AN48">SUMPRODUCT(('Team Lineups'!$K$2:$K$2000&lt;&gt;"")*('Team Lineups'!$C$2:$C$2000=$A48)*COUNTIFS('Team Lineups'!$K$2:$K$2000,'Team Lineups'!$K$2:$K$2000,'Team Lineups'!$C$2:$C$2000,AN$1))</f>
        <v>0</v>
      </c>
      <c r="AO48" cm="1">
        <f t="array" ref="AO48">SUMPRODUCT(('Team Lineups'!$K$2:$K$2000&lt;&gt;"")*('Team Lineups'!$C$2:$C$2000=$A48)*COUNTIFS('Team Lineups'!$K$2:$K$2000,'Team Lineups'!$K$2:$K$2000,'Team Lineups'!$C$2:$C$2000,AO$1))</f>
        <v>0</v>
      </c>
      <c r="AP48" cm="1">
        <f t="array" ref="AP48">SUMPRODUCT(('Team Lineups'!$K$2:$K$2000&lt;&gt;"")*('Team Lineups'!$C$2:$C$2000=$A48)*COUNTIFS('Team Lineups'!$K$2:$K$2000,'Team Lineups'!$K$2:$K$2000,'Team Lineups'!$C$2:$C$2000,AP$1))</f>
        <v>4</v>
      </c>
      <c r="AQ48" cm="1">
        <f t="array" ref="AQ48">SUMPRODUCT(('Team Lineups'!$K$2:$K$2000&lt;&gt;"")*('Team Lineups'!$C$2:$C$2000=$A48)*COUNTIFS('Team Lineups'!$K$2:$K$2000,'Team Lineups'!$K$2:$K$2000,'Team Lineups'!$C$2:$C$2000,AQ$1))</f>
        <v>4</v>
      </c>
      <c r="AR48" cm="1">
        <f t="array" ref="AR48">SUMPRODUCT(('Team Lineups'!$K$2:$K$2000&lt;&gt;"")*('Team Lineups'!$C$2:$C$2000=$A48)*COUNTIFS('Team Lineups'!$K$2:$K$2000,'Team Lineups'!$K$2:$K$2000,'Team Lineups'!$C$2:$C$2000,AR$1))</f>
        <v>0</v>
      </c>
      <c r="AS48" cm="1">
        <f t="array" ref="AS48">SUMPRODUCT(('Team Lineups'!$K$2:$K$2000&lt;&gt;"")*('Team Lineups'!$C$2:$C$2000=$A48)*COUNTIFS('Team Lineups'!$K$2:$K$2000,'Team Lineups'!$K$2:$K$2000,'Team Lineups'!$C$2:$C$2000,AS$1))</f>
        <v>0</v>
      </c>
      <c r="AT48" cm="1">
        <f t="array" ref="AT48">SUMPRODUCT(('Team Lineups'!$K$2:$K$2000&lt;&gt;"")*('Team Lineups'!$C$2:$C$2000=$A48)*COUNTIFS('Team Lineups'!$K$2:$K$2000,'Team Lineups'!$K$2:$K$2000,'Team Lineups'!$C$2:$C$2000,AT$1))</f>
        <v>0</v>
      </c>
      <c r="AU48" cm="1">
        <f t="array" ref="AU48">SUMPRODUCT(('Team Lineups'!$K$2:$K$2000&lt;&gt;"")*('Team Lineups'!$C$2:$C$2000=$A48)*COUNTIFS('Team Lineups'!$K$2:$K$2000,'Team Lineups'!$K$2:$K$2000,'Team Lineups'!$C$2:$C$2000,AU$1))</f>
        <v>3</v>
      </c>
      <c r="AV48" cm="1">
        <f t="array" ref="AV48">SUMPRODUCT(('Team Lineups'!$K$2:$K$2000&lt;&gt;"")*('Team Lineups'!$C$2:$C$2000=$A48)*COUNTIFS('Team Lineups'!$K$2:$K$2000,'Team Lineups'!$K$2:$K$2000,'Team Lineups'!$C$2:$C$2000,AV$1))</f>
        <v>9</v>
      </c>
      <c r="AW48" cm="1">
        <f t="array" ref="AW48">SUMPRODUCT(('Team Lineups'!$K$2:$K$2000&lt;&gt;"")*('Team Lineups'!$C$2:$C$2000=$A48)*COUNTIFS('Team Lineups'!$K$2:$K$2000,'Team Lineups'!$K$2:$K$2000,'Team Lineups'!$C$2:$C$2000,AW$1))</f>
        <v>0</v>
      </c>
      <c r="AX48" cm="1">
        <f t="array" ref="AX48">SUMPRODUCT(('Team Lineups'!$K$2:$K$2000&lt;&gt;"")*('Team Lineups'!$C$2:$C$2000=$A48)*COUNTIFS('Team Lineups'!$K$2:$K$2000,'Team Lineups'!$K$2:$K$2000,'Team Lineups'!$C$2:$C$2000,AX$1))</f>
        <v>0</v>
      </c>
      <c r="AY48" cm="1">
        <f t="array" ref="AY48">SUMPRODUCT(('Team Lineups'!$K$2:$K$2000&lt;&gt;"")*('Team Lineups'!$C$2:$C$2000=$A48)*COUNTIFS('Team Lineups'!$K$2:$K$2000,'Team Lineups'!$K$2:$K$2000,'Team Lineups'!$C$2:$C$2000,AY$1))</f>
        <v>0</v>
      </c>
    </row>
    <row r="49" spans="1:51" x14ac:dyDescent="0.35">
      <c r="A49" t="str">
        <v>Renan</v>
      </c>
      <c r="B49" cm="1">
        <f t="array" ref="B49">SUMPRODUCT(('Team Lineups'!$K$2:$K$2000&lt;&gt;"")*('Team Lineups'!$C$2:$C$2000=$A49)*COUNTIFS('Team Lineups'!$K$2:$K$2000,'Team Lineups'!$K$2:$K$2000,'Team Lineups'!$C$2:$C$2000,B$1))</f>
        <v>1</v>
      </c>
      <c r="C49" cm="1">
        <f t="array" ref="C49">SUMPRODUCT(('Team Lineups'!$K$2:$K$2000&lt;&gt;"")*('Team Lineups'!$C$2:$C$2000=$A49)*COUNTIFS('Team Lineups'!$K$2:$K$2000,'Team Lineups'!$K$2:$K$2000,'Team Lineups'!$C$2:$C$2000,C$1))</f>
        <v>0</v>
      </c>
      <c r="D49" cm="1">
        <f t="array" ref="D49">SUMPRODUCT(('Team Lineups'!$K$2:$K$2000&lt;&gt;"")*('Team Lineups'!$C$2:$C$2000=$A49)*COUNTIFS('Team Lineups'!$K$2:$K$2000,'Team Lineups'!$K$2:$K$2000,'Team Lineups'!$C$2:$C$2000,D$1))</f>
        <v>0</v>
      </c>
      <c r="E49" cm="1">
        <f t="array" ref="E49">SUMPRODUCT(('Team Lineups'!$K$2:$K$2000&lt;&gt;"")*('Team Lineups'!$C$2:$C$2000=$A49)*COUNTIFS('Team Lineups'!$K$2:$K$2000,'Team Lineups'!$K$2:$K$2000,'Team Lineups'!$C$2:$C$2000,E$1))</f>
        <v>0</v>
      </c>
      <c r="F49" cm="1">
        <f t="array" ref="F49">SUMPRODUCT(('Team Lineups'!$K$2:$K$2000&lt;&gt;"")*('Team Lineups'!$C$2:$C$2000=$A49)*COUNTIFS('Team Lineups'!$K$2:$K$2000,'Team Lineups'!$K$2:$K$2000,'Team Lineups'!$C$2:$C$2000,F$1))</f>
        <v>0</v>
      </c>
      <c r="G49" cm="1">
        <f t="array" ref="G49">SUMPRODUCT(('Team Lineups'!$K$2:$K$2000&lt;&gt;"")*('Team Lineups'!$C$2:$C$2000=$A49)*COUNTIFS('Team Lineups'!$K$2:$K$2000,'Team Lineups'!$K$2:$K$2000,'Team Lineups'!$C$2:$C$2000,G$1))</f>
        <v>1</v>
      </c>
      <c r="H49" cm="1">
        <f t="array" ref="H49">SUMPRODUCT(('Team Lineups'!$K$2:$K$2000&lt;&gt;"")*('Team Lineups'!$C$2:$C$2000=$A49)*COUNTIFS('Team Lineups'!$K$2:$K$2000,'Team Lineups'!$K$2:$K$2000,'Team Lineups'!$C$2:$C$2000,H$1))</f>
        <v>0</v>
      </c>
      <c r="I49" cm="1">
        <f t="array" ref="I49">SUMPRODUCT(('Team Lineups'!$K$2:$K$2000&lt;&gt;"")*('Team Lineups'!$C$2:$C$2000=$A49)*COUNTIFS('Team Lineups'!$K$2:$K$2000,'Team Lineups'!$K$2:$K$2000,'Team Lineups'!$C$2:$C$2000,I$1))</f>
        <v>1</v>
      </c>
      <c r="J49" cm="1">
        <f t="array" ref="J49">SUMPRODUCT(('Team Lineups'!$K$2:$K$2000&lt;&gt;"")*('Team Lineups'!$C$2:$C$2000=$A49)*COUNTIFS('Team Lineups'!$K$2:$K$2000,'Team Lineups'!$K$2:$K$2000,'Team Lineups'!$C$2:$C$2000,J$1))</f>
        <v>0</v>
      </c>
      <c r="K49" cm="1">
        <f t="array" ref="K49">SUMPRODUCT(('Team Lineups'!$K$2:$K$2000&lt;&gt;"")*('Team Lineups'!$C$2:$C$2000=$A49)*COUNTIFS('Team Lineups'!$K$2:$K$2000,'Team Lineups'!$K$2:$K$2000,'Team Lineups'!$C$2:$C$2000,K$1))</f>
        <v>0</v>
      </c>
      <c r="L49" cm="1">
        <f t="array" ref="L49">SUMPRODUCT(('Team Lineups'!$K$2:$K$2000&lt;&gt;"")*('Team Lineups'!$C$2:$C$2000=$A49)*COUNTIFS('Team Lineups'!$K$2:$K$2000,'Team Lineups'!$K$2:$K$2000,'Team Lineups'!$C$2:$C$2000,L$1))</f>
        <v>1</v>
      </c>
      <c r="M49" cm="1">
        <f t="array" ref="M49">SUMPRODUCT(('Team Lineups'!$K$2:$K$2000&lt;&gt;"")*('Team Lineups'!$C$2:$C$2000=$A49)*COUNTIFS('Team Lineups'!$K$2:$K$2000,'Team Lineups'!$K$2:$K$2000,'Team Lineups'!$C$2:$C$2000,M$1))</f>
        <v>1</v>
      </c>
      <c r="N49" cm="1">
        <f t="array" ref="N49">SUMPRODUCT(('Team Lineups'!$K$2:$K$2000&lt;&gt;"")*('Team Lineups'!$C$2:$C$2000=$A49)*COUNTIFS('Team Lineups'!$K$2:$K$2000,'Team Lineups'!$K$2:$K$2000,'Team Lineups'!$C$2:$C$2000,N$1))</f>
        <v>0</v>
      </c>
      <c r="O49" cm="1">
        <f t="array" ref="O49">SUMPRODUCT(('Team Lineups'!$K$2:$K$2000&lt;&gt;"")*('Team Lineups'!$C$2:$C$2000=$A49)*COUNTIFS('Team Lineups'!$K$2:$K$2000,'Team Lineups'!$K$2:$K$2000,'Team Lineups'!$C$2:$C$2000,O$1))</f>
        <v>0</v>
      </c>
      <c r="P49" cm="1">
        <f t="array" ref="P49">SUMPRODUCT(('Team Lineups'!$K$2:$K$2000&lt;&gt;"")*('Team Lineups'!$C$2:$C$2000=$A49)*COUNTIFS('Team Lineups'!$K$2:$K$2000,'Team Lineups'!$K$2:$K$2000,'Team Lineups'!$C$2:$C$2000,P$1))</f>
        <v>0</v>
      </c>
      <c r="Q49" cm="1">
        <f t="array" ref="Q49">SUMPRODUCT(('Team Lineups'!$K$2:$K$2000&lt;&gt;"")*('Team Lineups'!$C$2:$C$2000=$A49)*COUNTIFS('Team Lineups'!$K$2:$K$2000,'Team Lineups'!$K$2:$K$2000,'Team Lineups'!$C$2:$C$2000,Q$1))</f>
        <v>0</v>
      </c>
      <c r="R49" cm="1">
        <f t="array" ref="R49">SUMPRODUCT(('Team Lineups'!$K$2:$K$2000&lt;&gt;"")*('Team Lineups'!$C$2:$C$2000=$A49)*COUNTIFS('Team Lineups'!$K$2:$K$2000,'Team Lineups'!$K$2:$K$2000,'Team Lineups'!$C$2:$C$2000,R$1))</f>
        <v>0</v>
      </c>
      <c r="S49" cm="1">
        <f t="array" ref="S49">SUMPRODUCT(('Team Lineups'!$K$2:$K$2000&lt;&gt;"")*('Team Lineups'!$C$2:$C$2000=$A49)*COUNTIFS('Team Lineups'!$K$2:$K$2000,'Team Lineups'!$K$2:$K$2000,'Team Lineups'!$C$2:$C$2000,S$1))</f>
        <v>0</v>
      </c>
      <c r="T49" cm="1">
        <f t="array" ref="T49">SUMPRODUCT(('Team Lineups'!$K$2:$K$2000&lt;&gt;"")*('Team Lineups'!$C$2:$C$2000=$A49)*COUNTIFS('Team Lineups'!$K$2:$K$2000,'Team Lineups'!$K$2:$K$2000,'Team Lineups'!$C$2:$C$2000,T$1))</f>
        <v>0</v>
      </c>
      <c r="U49" cm="1">
        <f t="array" ref="U49">SUMPRODUCT(('Team Lineups'!$K$2:$K$2000&lt;&gt;"")*('Team Lineups'!$C$2:$C$2000=$A49)*COUNTIFS('Team Lineups'!$K$2:$K$2000,'Team Lineups'!$K$2:$K$2000,'Team Lineups'!$C$2:$C$2000,U$1))</f>
        <v>0</v>
      </c>
      <c r="V49" cm="1">
        <f t="array" ref="V49">SUMPRODUCT(('Team Lineups'!$K$2:$K$2000&lt;&gt;"")*('Team Lineups'!$C$2:$C$2000=$A49)*COUNTIFS('Team Lineups'!$K$2:$K$2000,'Team Lineups'!$K$2:$K$2000,'Team Lineups'!$C$2:$C$2000,V$1))</f>
        <v>0</v>
      </c>
      <c r="W49" cm="1">
        <f t="array" ref="W49">SUMPRODUCT(('Team Lineups'!$K$2:$K$2000&lt;&gt;"")*('Team Lineups'!$C$2:$C$2000=$A49)*COUNTIFS('Team Lineups'!$K$2:$K$2000,'Team Lineups'!$K$2:$K$2000,'Team Lineups'!$C$2:$C$2000,W$1))</f>
        <v>0</v>
      </c>
      <c r="X49" cm="1">
        <f t="array" ref="X49">SUMPRODUCT(('Team Lineups'!$K$2:$K$2000&lt;&gt;"")*('Team Lineups'!$C$2:$C$2000=$A49)*COUNTIFS('Team Lineups'!$K$2:$K$2000,'Team Lineups'!$K$2:$K$2000,'Team Lineups'!$C$2:$C$2000,X$1))</f>
        <v>0</v>
      </c>
      <c r="Y49" cm="1">
        <f t="array" ref="Y49">SUMPRODUCT(('Team Lineups'!$K$2:$K$2000&lt;&gt;"")*('Team Lineups'!$C$2:$C$2000=$A49)*COUNTIFS('Team Lineups'!$K$2:$K$2000,'Team Lineups'!$K$2:$K$2000,'Team Lineups'!$C$2:$C$2000,Y$1))</f>
        <v>0</v>
      </c>
      <c r="Z49" cm="1">
        <f t="array" ref="Z49">SUMPRODUCT(('Team Lineups'!$K$2:$K$2000&lt;&gt;"")*('Team Lineups'!$C$2:$C$2000=$A49)*COUNTIFS('Team Lineups'!$K$2:$K$2000,'Team Lineups'!$K$2:$K$2000,'Team Lineups'!$C$2:$C$2000,Z$1))</f>
        <v>0</v>
      </c>
      <c r="AA49" cm="1">
        <f t="array" ref="AA49">SUMPRODUCT(('Team Lineups'!$K$2:$K$2000&lt;&gt;"")*('Team Lineups'!$C$2:$C$2000=$A49)*COUNTIFS('Team Lineups'!$K$2:$K$2000,'Team Lineups'!$K$2:$K$2000,'Team Lineups'!$C$2:$C$2000,AA$1))</f>
        <v>1</v>
      </c>
      <c r="AB49" cm="1">
        <f t="array" ref="AB49">SUMPRODUCT(('Team Lineups'!$K$2:$K$2000&lt;&gt;"")*('Team Lineups'!$C$2:$C$2000=$A49)*COUNTIFS('Team Lineups'!$K$2:$K$2000,'Team Lineups'!$K$2:$K$2000,'Team Lineups'!$C$2:$C$2000,AB$1))</f>
        <v>0</v>
      </c>
      <c r="AC49" cm="1">
        <f t="array" ref="AC49">SUMPRODUCT(('Team Lineups'!$K$2:$K$2000&lt;&gt;"")*('Team Lineups'!$C$2:$C$2000=$A49)*COUNTIFS('Team Lineups'!$K$2:$K$2000,'Team Lineups'!$K$2:$K$2000,'Team Lineups'!$C$2:$C$2000,AC$1))</f>
        <v>0</v>
      </c>
      <c r="AD49" cm="1">
        <f t="array" ref="AD49">SUMPRODUCT(('Team Lineups'!$K$2:$K$2000&lt;&gt;"")*('Team Lineups'!$C$2:$C$2000=$A49)*COUNTIFS('Team Lineups'!$K$2:$K$2000,'Team Lineups'!$K$2:$K$2000,'Team Lineups'!$C$2:$C$2000,AD$1))</f>
        <v>0</v>
      </c>
      <c r="AE49" cm="1">
        <f t="array" ref="AE49">SUMPRODUCT(('Team Lineups'!$K$2:$K$2000&lt;&gt;"")*('Team Lineups'!$C$2:$C$2000=$A49)*COUNTIFS('Team Lineups'!$K$2:$K$2000,'Team Lineups'!$K$2:$K$2000,'Team Lineups'!$C$2:$C$2000,AE$1))</f>
        <v>0</v>
      </c>
      <c r="AF49" cm="1">
        <f t="array" ref="AF49">SUMPRODUCT(('Team Lineups'!$K$2:$K$2000&lt;&gt;"")*('Team Lineups'!$C$2:$C$2000=$A49)*COUNTIFS('Team Lineups'!$K$2:$K$2000,'Team Lineups'!$K$2:$K$2000,'Team Lineups'!$C$2:$C$2000,AF$1))</f>
        <v>0</v>
      </c>
      <c r="AG49" cm="1">
        <f t="array" ref="AG49">SUMPRODUCT(('Team Lineups'!$K$2:$K$2000&lt;&gt;"")*('Team Lineups'!$C$2:$C$2000=$A49)*COUNTIFS('Team Lineups'!$K$2:$K$2000,'Team Lineups'!$K$2:$K$2000,'Team Lineups'!$C$2:$C$2000,AG$1))</f>
        <v>0</v>
      </c>
      <c r="AH49" cm="1">
        <f t="array" ref="AH49">SUMPRODUCT(('Team Lineups'!$K$2:$K$2000&lt;&gt;"")*('Team Lineups'!$C$2:$C$2000=$A49)*COUNTIFS('Team Lineups'!$K$2:$K$2000,'Team Lineups'!$K$2:$K$2000,'Team Lineups'!$C$2:$C$2000,AH$1))</f>
        <v>0</v>
      </c>
      <c r="AI49" cm="1">
        <f t="array" ref="AI49">SUMPRODUCT(('Team Lineups'!$K$2:$K$2000&lt;&gt;"")*('Team Lineups'!$C$2:$C$2000=$A49)*COUNTIFS('Team Lineups'!$K$2:$K$2000,'Team Lineups'!$K$2:$K$2000,'Team Lineups'!$C$2:$C$2000,AI$1))</f>
        <v>0</v>
      </c>
      <c r="AJ49" cm="1">
        <f t="array" ref="AJ49">SUMPRODUCT(('Team Lineups'!$K$2:$K$2000&lt;&gt;"")*('Team Lineups'!$C$2:$C$2000=$A49)*COUNTIFS('Team Lineups'!$K$2:$K$2000,'Team Lineups'!$K$2:$K$2000,'Team Lineups'!$C$2:$C$2000,AJ$1))</f>
        <v>0</v>
      </c>
      <c r="AK49" cm="1">
        <f t="array" ref="AK49">SUMPRODUCT(('Team Lineups'!$K$2:$K$2000&lt;&gt;"")*('Team Lineups'!$C$2:$C$2000=$A49)*COUNTIFS('Team Lineups'!$K$2:$K$2000,'Team Lineups'!$K$2:$K$2000,'Team Lineups'!$C$2:$C$2000,AK$1))</f>
        <v>0</v>
      </c>
      <c r="AL49" cm="1">
        <f t="array" ref="AL49">SUMPRODUCT(('Team Lineups'!$K$2:$K$2000&lt;&gt;"")*('Team Lineups'!$C$2:$C$2000=$A49)*COUNTIFS('Team Lineups'!$K$2:$K$2000,'Team Lineups'!$K$2:$K$2000,'Team Lineups'!$C$2:$C$2000,AL$1))</f>
        <v>0</v>
      </c>
      <c r="AM49" cm="1">
        <f t="array" ref="AM49">SUMPRODUCT(('Team Lineups'!$K$2:$K$2000&lt;&gt;"")*('Team Lineups'!$C$2:$C$2000=$A49)*COUNTIFS('Team Lineups'!$K$2:$K$2000,'Team Lineups'!$K$2:$K$2000,'Team Lineups'!$C$2:$C$2000,AM$1))</f>
        <v>0</v>
      </c>
      <c r="AN49" cm="1">
        <f t="array" ref="AN49">SUMPRODUCT(('Team Lineups'!$K$2:$K$2000&lt;&gt;"")*('Team Lineups'!$C$2:$C$2000=$A49)*COUNTIFS('Team Lineups'!$K$2:$K$2000,'Team Lineups'!$K$2:$K$2000,'Team Lineups'!$C$2:$C$2000,AN$1))</f>
        <v>0</v>
      </c>
      <c r="AO49" cm="1">
        <f t="array" ref="AO49">SUMPRODUCT(('Team Lineups'!$K$2:$K$2000&lt;&gt;"")*('Team Lineups'!$C$2:$C$2000=$A49)*COUNTIFS('Team Lineups'!$K$2:$K$2000,'Team Lineups'!$K$2:$K$2000,'Team Lineups'!$C$2:$C$2000,AO$1))</f>
        <v>0</v>
      </c>
      <c r="AP49" cm="1">
        <f t="array" ref="AP49">SUMPRODUCT(('Team Lineups'!$K$2:$K$2000&lt;&gt;"")*('Team Lineups'!$C$2:$C$2000=$A49)*COUNTIFS('Team Lineups'!$K$2:$K$2000,'Team Lineups'!$K$2:$K$2000,'Team Lineups'!$C$2:$C$2000,AP$1))</f>
        <v>0</v>
      </c>
      <c r="AQ49" cm="1">
        <f t="array" ref="AQ49">SUMPRODUCT(('Team Lineups'!$K$2:$K$2000&lt;&gt;"")*('Team Lineups'!$C$2:$C$2000=$A49)*COUNTIFS('Team Lineups'!$K$2:$K$2000,'Team Lineups'!$K$2:$K$2000,'Team Lineups'!$C$2:$C$2000,AQ$1))</f>
        <v>0</v>
      </c>
      <c r="AR49" cm="1">
        <f t="array" ref="AR49">SUMPRODUCT(('Team Lineups'!$K$2:$K$2000&lt;&gt;"")*('Team Lineups'!$C$2:$C$2000=$A49)*COUNTIFS('Team Lineups'!$K$2:$K$2000,'Team Lineups'!$K$2:$K$2000,'Team Lineups'!$C$2:$C$2000,AR$1))</f>
        <v>0</v>
      </c>
      <c r="AS49" cm="1">
        <f t="array" ref="AS49">SUMPRODUCT(('Team Lineups'!$K$2:$K$2000&lt;&gt;"")*('Team Lineups'!$C$2:$C$2000=$A49)*COUNTIFS('Team Lineups'!$K$2:$K$2000,'Team Lineups'!$K$2:$K$2000,'Team Lineups'!$C$2:$C$2000,AS$1))</f>
        <v>0</v>
      </c>
      <c r="AT49" cm="1">
        <f t="array" ref="AT49">SUMPRODUCT(('Team Lineups'!$K$2:$K$2000&lt;&gt;"")*('Team Lineups'!$C$2:$C$2000=$A49)*COUNTIFS('Team Lineups'!$K$2:$K$2000,'Team Lineups'!$K$2:$K$2000,'Team Lineups'!$C$2:$C$2000,AT$1))</f>
        <v>0</v>
      </c>
      <c r="AU49" cm="1">
        <f t="array" ref="AU49">SUMPRODUCT(('Team Lineups'!$K$2:$K$2000&lt;&gt;"")*('Team Lineups'!$C$2:$C$2000=$A49)*COUNTIFS('Team Lineups'!$K$2:$K$2000,'Team Lineups'!$K$2:$K$2000,'Team Lineups'!$C$2:$C$2000,AU$1))</f>
        <v>0</v>
      </c>
      <c r="AV49" cm="1">
        <f t="array" ref="AV49">SUMPRODUCT(('Team Lineups'!$K$2:$K$2000&lt;&gt;"")*('Team Lineups'!$C$2:$C$2000=$A49)*COUNTIFS('Team Lineups'!$K$2:$K$2000,'Team Lineups'!$K$2:$K$2000,'Team Lineups'!$C$2:$C$2000,AV$1))</f>
        <v>0</v>
      </c>
      <c r="AW49" cm="1">
        <f t="array" ref="AW49">SUMPRODUCT(('Team Lineups'!$K$2:$K$2000&lt;&gt;"")*('Team Lineups'!$C$2:$C$2000=$A49)*COUNTIFS('Team Lineups'!$K$2:$K$2000,'Team Lineups'!$K$2:$K$2000,'Team Lineups'!$C$2:$C$2000,AW$1))</f>
        <v>1</v>
      </c>
      <c r="AX49" cm="1">
        <f t="array" ref="AX49">SUMPRODUCT(('Team Lineups'!$K$2:$K$2000&lt;&gt;"")*('Team Lineups'!$C$2:$C$2000=$A49)*COUNTIFS('Team Lineups'!$K$2:$K$2000,'Team Lineups'!$K$2:$K$2000,'Team Lineups'!$C$2:$C$2000,AX$1))</f>
        <v>0</v>
      </c>
      <c r="AY49" cm="1">
        <f t="array" ref="AY49">SUMPRODUCT(('Team Lineups'!$K$2:$K$2000&lt;&gt;"")*('Team Lineups'!$C$2:$C$2000=$A49)*COUNTIFS('Team Lineups'!$K$2:$K$2000,'Team Lineups'!$K$2:$K$2000,'Team Lineups'!$C$2:$C$2000,AY$1))</f>
        <v>0</v>
      </c>
    </row>
    <row r="50" spans="1:51" x14ac:dyDescent="0.35">
      <c r="A50" t="str">
        <v>Felipe</v>
      </c>
      <c r="B50" cm="1">
        <f t="array" ref="B50">SUMPRODUCT(('Team Lineups'!$K$2:$K$2000&lt;&gt;"")*('Team Lineups'!$C$2:$C$2000=$A50)*COUNTIFS('Team Lineups'!$K$2:$K$2000,'Team Lineups'!$K$2:$K$2000,'Team Lineups'!$C$2:$C$2000,B$1))</f>
        <v>0</v>
      </c>
      <c r="C50" cm="1">
        <f t="array" ref="C50">SUMPRODUCT(('Team Lineups'!$K$2:$K$2000&lt;&gt;"")*('Team Lineups'!$C$2:$C$2000=$A50)*COUNTIFS('Team Lineups'!$K$2:$K$2000,'Team Lineups'!$K$2:$K$2000,'Team Lineups'!$C$2:$C$2000,C$1))</f>
        <v>0</v>
      </c>
      <c r="D50" cm="1">
        <f t="array" ref="D50">SUMPRODUCT(('Team Lineups'!$K$2:$K$2000&lt;&gt;"")*('Team Lineups'!$C$2:$C$2000=$A50)*COUNTIFS('Team Lineups'!$K$2:$K$2000,'Team Lineups'!$K$2:$K$2000,'Team Lineups'!$C$2:$C$2000,D$1))</f>
        <v>0</v>
      </c>
      <c r="E50" cm="1">
        <f t="array" ref="E50">SUMPRODUCT(('Team Lineups'!$K$2:$K$2000&lt;&gt;"")*('Team Lineups'!$C$2:$C$2000=$A50)*COUNTIFS('Team Lineups'!$K$2:$K$2000,'Team Lineups'!$K$2:$K$2000,'Team Lineups'!$C$2:$C$2000,E$1))</f>
        <v>0</v>
      </c>
      <c r="F50" cm="1">
        <f t="array" ref="F50">SUMPRODUCT(('Team Lineups'!$K$2:$K$2000&lt;&gt;"")*('Team Lineups'!$C$2:$C$2000=$A50)*COUNTIFS('Team Lineups'!$K$2:$K$2000,'Team Lineups'!$K$2:$K$2000,'Team Lineups'!$C$2:$C$2000,F$1))</f>
        <v>0</v>
      </c>
      <c r="G50" cm="1">
        <f t="array" ref="G50">SUMPRODUCT(('Team Lineups'!$K$2:$K$2000&lt;&gt;"")*('Team Lineups'!$C$2:$C$2000=$A50)*COUNTIFS('Team Lineups'!$K$2:$K$2000,'Team Lineups'!$K$2:$K$2000,'Team Lineups'!$C$2:$C$2000,G$1))</f>
        <v>1</v>
      </c>
      <c r="H50" cm="1">
        <f t="array" ref="H50">SUMPRODUCT(('Team Lineups'!$K$2:$K$2000&lt;&gt;"")*('Team Lineups'!$C$2:$C$2000=$A50)*COUNTIFS('Team Lineups'!$K$2:$K$2000,'Team Lineups'!$K$2:$K$2000,'Team Lineups'!$C$2:$C$2000,H$1))</f>
        <v>0</v>
      </c>
      <c r="I50" cm="1">
        <f t="array" ref="I50">SUMPRODUCT(('Team Lineups'!$K$2:$K$2000&lt;&gt;"")*('Team Lineups'!$C$2:$C$2000=$A50)*COUNTIFS('Team Lineups'!$K$2:$K$2000,'Team Lineups'!$K$2:$K$2000,'Team Lineups'!$C$2:$C$2000,I$1))</f>
        <v>0</v>
      </c>
      <c r="J50" cm="1">
        <f t="array" ref="J50">SUMPRODUCT(('Team Lineups'!$K$2:$K$2000&lt;&gt;"")*('Team Lineups'!$C$2:$C$2000=$A50)*COUNTIFS('Team Lineups'!$K$2:$K$2000,'Team Lineups'!$K$2:$K$2000,'Team Lineups'!$C$2:$C$2000,J$1))</f>
        <v>0</v>
      </c>
      <c r="K50" cm="1">
        <f t="array" ref="K50">SUMPRODUCT(('Team Lineups'!$K$2:$K$2000&lt;&gt;"")*('Team Lineups'!$C$2:$C$2000=$A50)*COUNTIFS('Team Lineups'!$K$2:$K$2000,'Team Lineups'!$K$2:$K$2000,'Team Lineups'!$C$2:$C$2000,K$1))</f>
        <v>0</v>
      </c>
      <c r="L50" cm="1">
        <f t="array" ref="L50">SUMPRODUCT(('Team Lineups'!$K$2:$K$2000&lt;&gt;"")*('Team Lineups'!$C$2:$C$2000=$A50)*COUNTIFS('Team Lineups'!$K$2:$K$2000,'Team Lineups'!$K$2:$K$2000,'Team Lineups'!$C$2:$C$2000,L$1))</f>
        <v>0</v>
      </c>
      <c r="M50" cm="1">
        <f t="array" ref="M50">SUMPRODUCT(('Team Lineups'!$K$2:$K$2000&lt;&gt;"")*('Team Lineups'!$C$2:$C$2000=$A50)*COUNTIFS('Team Lineups'!$K$2:$K$2000,'Team Lineups'!$K$2:$K$2000,'Team Lineups'!$C$2:$C$2000,M$1))</f>
        <v>1</v>
      </c>
      <c r="N50" cm="1">
        <f t="array" ref="N50">SUMPRODUCT(('Team Lineups'!$K$2:$K$2000&lt;&gt;"")*('Team Lineups'!$C$2:$C$2000=$A50)*COUNTIFS('Team Lineups'!$K$2:$K$2000,'Team Lineups'!$K$2:$K$2000,'Team Lineups'!$C$2:$C$2000,N$1))</f>
        <v>0</v>
      </c>
      <c r="O50" cm="1">
        <f t="array" ref="O50">SUMPRODUCT(('Team Lineups'!$K$2:$K$2000&lt;&gt;"")*('Team Lineups'!$C$2:$C$2000=$A50)*COUNTIFS('Team Lineups'!$K$2:$K$2000,'Team Lineups'!$K$2:$K$2000,'Team Lineups'!$C$2:$C$2000,O$1))</f>
        <v>0</v>
      </c>
      <c r="P50" cm="1">
        <f t="array" ref="P50">SUMPRODUCT(('Team Lineups'!$K$2:$K$2000&lt;&gt;"")*('Team Lineups'!$C$2:$C$2000=$A50)*COUNTIFS('Team Lineups'!$K$2:$K$2000,'Team Lineups'!$K$2:$K$2000,'Team Lineups'!$C$2:$C$2000,P$1))</f>
        <v>0</v>
      </c>
      <c r="Q50" cm="1">
        <f t="array" ref="Q50">SUMPRODUCT(('Team Lineups'!$K$2:$K$2000&lt;&gt;"")*('Team Lineups'!$C$2:$C$2000=$A50)*COUNTIFS('Team Lineups'!$K$2:$K$2000,'Team Lineups'!$K$2:$K$2000,'Team Lineups'!$C$2:$C$2000,Q$1))</f>
        <v>0</v>
      </c>
      <c r="R50" cm="1">
        <f t="array" ref="R50">SUMPRODUCT(('Team Lineups'!$K$2:$K$2000&lt;&gt;"")*('Team Lineups'!$C$2:$C$2000=$A50)*COUNTIFS('Team Lineups'!$K$2:$K$2000,'Team Lineups'!$K$2:$K$2000,'Team Lineups'!$C$2:$C$2000,R$1))</f>
        <v>1</v>
      </c>
      <c r="S50" cm="1">
        <f t="array" ref="S50">SUMPRODUCT(('Team Lineups'!$K$2:$K$2000&lt;&gt;"")*('Team Lineups'!$C$2:$C$2000=$A50)*COUNTIFS('Team Lineups'!$K$2:$K$2000,'Team Lineups'!$K$2:$K$2000,'Team Lineups'!$C$2:$C$2000,S$1))</f>
        <v>0</v>
      </c>
      <c r="T50" cm="1">
        <f t="array" ref="T50">SUMPRODUCT(('Team Lineups'!$K$2:$K$2000&lt;&gt;"")*('Team Lineups'!$C$2:$C$2000=$A50)*COUNTIFS('Team Lineups'!$K$2:$K$2000,'Team Lineups'!$K$2:$K$2000,'Team Lineups'!$C$2:$C$2000,T$1))</f>
        <v>0</v>
      </c>
      <c r="U50" cm="1">
        <f t="array" ref="U50">SUMPRODUCT(('Team Lineups'!$K$2:$K$2000&lt;&gt;"")*('Team Lineups'!$C$2:$C$2000=$A50)*COUNTIFS('Team Lineups'!$K$2:$K$2000,'Team Lineups'!$K$2:$K$2000,'Team Lineups'!$C$2:$C$2000,U$1))</f>
        <v>0</v>
      </c>
      <c r="V50" cm="1">
        <f t="array" ref="V50">SUMPRODUCT(('Team Lineups'!$K$2:$K$2000&lt;&gt;"")*('Team Lineups'!$C$2:$C$2000=$A50)*COUNTIFS('Team Lineups'!$K$2:$K$2000,'Team Lineups'!$K$2:$K$2000,'Team Lineups'!$C$2:$C$2000,V$1))</f>
        <v>0</v>
      </c>
      <c r="W50" cm="1">
        <f t="array" ref="W50">SUMPRODUCT(('Team Lineups'!$K$2:$K$2000&lt;&gt;"")*('Team Lineups'!$C$2:$C$2000=$A50)*COUNTIFS('Team Lineups'!$K$2:$K$2000,'Team Lineups'!$K$2:$K$2000,'Team Lineups'!$C$2:$C$2000,W$1))</f>
        <v>0</v>
      </c>
      <c r="X50" cm="1">
        <f t="array" ref="X50">SUMPRODUCT(('Team Lineups'!$K$2:$K$2000&lt;&gt;"")*('Team Lineups'!$C$2:$C$2000=$A50)*COUNTIFS('Team Lineups'!$K$2:$K$2000,'Team Lineups'!$K$2:$K$2000,'Team Lineups'!$C$2:$C$2000,X$1))</f>
        <v>0</v>
      </c>
      <c r="Y50" cm="1">
        <f t="array" ref="Y50">SUMPRODUCT(('Team Lineups'!$K$2:$K$2000&lt;&gt;"")*('Team Lineups'!$C$2:$C$2000=$A50)*COUNTIFS('Team Lineups'!$K$2:$K$2000,'Team Lineups'!$K$2:$K$2000,'Team Lineups'!$C$2:$C$2000,Y$1))</f>
        <v>0</v>
      </c>
      <c r="Z50" cm="1">
        <f t="array" ref="Z50">SUMPRODUCT(('Team Lineups'!$K$2:$K$2000&lt;&gt;"")*('Team Lineups'!$C$2:$C$2000=$A50)*COUNTIFS('Team Lineups'!$K$2:$K$2000,'Team Lineups'!$K$2:$K$2000,'Team Lineups'!$C$2:$C$2000,Z$1))</f>
        <v>0</v>
      </c>
      <c r="AA50" cm="1">
        <f t="array" ref="AA50">SUMPRODUCT(('Team Lineups'!$K$2:$K$2000&lt;&gt;"")*('Team Lineups'!$C$2:$C$2000=$A50)*COUNTIFS('Team Lineups'!$K$2:$K$2000,'Team Lineups'!$K$2:$K$2000,'Team Lineups'!$C$2:$C$2000,AA$1))</f>
        <v>0</v>
      </c>
      <c r="AB50" cm="1">
        <f t="array" ref="AB50">SUMPRODUCT(('Team Lineups'!$K$2:$K$2000&lt;&gt;"")*('Team Lineups'!$C$2:$C$2000=$A50)*COUNTIFS('Team Lineups'!$K$2:$K$2000,'Team Lineups'!$K$2:$K$2000,'Team Lineups'!$C$2:$C$2000,AB$1))</f>
        <v>0</v>
      </c>
      <c r="AC50" cm="1">
        <f t="array" ref="AC50">SUMPRODUCT(('Team Lineups'!$K$2:$K$2000&lt;&gt;"")*('Team Lineups'!$C$2:$C$2000=$A50)*COUNTIFS('Team Lineups'!$K$2:$K$2000,'Team Lineups'!$K$2:$K$2000,'Team Lineups'!$C$2:$C$2000,AC$1))</f>
        <v>0</v>
      </c>
      <c r="AD50" cm="1">
        <f t="array" ref="AD50">SUMPRODUCT(('Team Lineups'!$K$2:$K$2000&lt;&gt;"")*('Team Lineups'!$C$2:$C$2000=$A50)*COUNTIFS('Team Lineups'!$K$2:$K$2000,'Team Lineups'!$K$2:$K$2000,'Team Lineups'!$C$2:$C$2000,AD$1))</f>
        <v>0</v>
      </c>
      <c r="AE50" cm="1">
        <f t="array" ref="AE50">SUMPRODUCT(('Team Lineups'!$K$2:$K$2000&lt;&gt;"")*('Team Lineups'!$C$2:$C$2000=$A50)*COUNTIFS('Team Lineups'!$K$2:$K$2000,'Team Lineups'!$K$2:$K$2000,'Team Lineups'!$C$2:$C$2000,AE$1))</f>
        <v>0</v>
      </c>
      <c r="AF50" cm="1">
        <f t="array" ref="AF50">SUMPRODUCT(('Team Lineups'!$K$2:$K$2000&lt;&gt;"")*('Team Lineups'!$C$2:$C$2000=$A50)*COUNTIFS('Team Lineups'!$K$2:$K$2000,'Team Lineups'!$K$2:$K$2000,'Team Lineups'!$C$2:$C$2000,AF$1))</f>
        <v>0</v>
      </c>
      <c r="AG50" cm="1">
        <f t="array" ref="AG50">SUMPRODUCT(('Team Lineups'!$K$2:$K$2000&lt;&gt;"")*('Team Lineups'!$C$2:$C$2000=$A50)*COUNTIFS('Team Lineups'!$K$2:$K$2000,'Team Lineups'!$K$2:$K$2000,'Team Lineups'!$C$2:$C$2000,AG$1))</f>
        <v>0</v>
      </c>
      <c r="AH50" cm="1">
        <f t="array" ref="AH50">SUMPRODUCT(('Team Lineups'!$K$2:$K$2000&lt;&gt;"")*('Team Lineups'!$C$2:$C$2000=$A50)*COUNTIFS('Team Lineups'!$K$2:$K$2000,'Team Lineups'!$K$2:$K$2000,'Team Lineups'!$C$2:$C$2000,AH$1))</f>
        <v>0</v>
      </c>
      <c r="AI50" cm="1">
        <f t="array" ref="AI50">SUMPRODUCT(('Team Lineups'!$K$2:$K$2000&lt;&gt;"")*('Team Lineups'!$C$2:$C$2000=$A50)*COUNTIFS('Team Lineups'!$K$2:$K$2000,'Team Lineups'!$K$2:$K$2000,'Team Lineups'!$C$2:$C$2000,AI$1))</f>
        <v>0</v>
      </c>
      <c r="AJ50" cm="1">
        <f t="array" ref="AJ50">SUMPRODUCT(('Team Lineups'!$K$2:$K$2000&lt;&gt;"")*('Team Lineups'!$C$2:$C$2000=$A50)*COUNTIFS('Team Lineups'!$K$2:$K$2000,'Team Lineups'!$K$2:$K$2000,'Team Lineups'!$C$2:$C$2000,AJ$1))</f>
        <v>0</v>
      </c>
      <c r="AK50" cm="1">
        <f t="array" ref="AK50">SUMPRODUCT(('Team Lineups'!$K$2:$K$2000&lt;&gt;"")*('Team Lineups'!$C$2:$C$2000=$A50)*COUNTIFS('Team Lineups'!$K$2:$K$2000,'Team Lineups'!$K$2:$K$2000,'Team Lineups'!$C$2:$C$2000,AK$1))</f>
        <v>0</v>
      </c>
      <c r="AL50" cm="1">
        <f t="array" ref="AL50">SUMPRODUCT(('Team Lineups'!$K$2:$K$2000&lt;&gt;"")*('Team Lineups'!$C$2:$C$2000=$A50)*COUNTIFS('Team Lineups'!$K$2:$K$2000,'Team Lineups'!$K$2:$K$2000,'Team Lineups'!$C$2:$C$2000,AL$1))</f>
        <v>1</v>
      </c>
      <c r="AM50" cm="1">
        <f t="array" ref="AM50">SUMPRODUCT(('Team Lineups'!$K$2:$K$2000&lt;&gt;"")*('Team Lineups'!$C$2:$C$2000=$A50)*COUNTIFS('Team Lineups'!$K$2:$K$2000,'Team Lineups'!$K$2:$K$2000,'Team Lineups'!$C$2:$C$2000,AM$1))</f>
        <v>0</v>
      </c>
      <c r="AN50" cm="1">
        <f t="array" ref="AN50">SUMPRODUCT(('Team Lineups'!$K$2:$K$2000&lt;&gt;"")*('Team Lineups'!$C$2:$C$2000=$A50)*COUNTIFS('Team Lineups'!$K$2:$K$2000,'Team Lineups'!$K$2:$K$2000,'Team Lineups'!$C$2:$C$2000,AN$1))</f>
        <v>0</v>
      </c>
      <c r="AO50" cm="1">
        <f t="array" ref="AO50">SUMPRODUCT(('Team Lineups'!$K$2:$K$2000&lt;&gt;"")*('Team Lineups'!$C$2:$C$2000=$A50)*COUNTIFS('Team Lineups'!$K$2:$K$2000,'Team Lineups'!$K$2:$K$2000,'Team Lineups'!$C$2:$C$2000,AO$1))</f>
        <v>0</v>
      </c>
      <c r="AP50" cm="1">
        <f t="array" ref="AP50">SUMPRODUCT(('Team Lineups'!$K$2:$K$2000&lt;&gt;"")*('Team Lineups'!$C$2:$C$2000=$A50)*COUNTIFS('Team Lineups'!$K$2:$K$2000,'Team Lineups'!$K$2:$K$2000,'Team Lineups'!$C$2:$C$2000,AP$1))</f>
        <v>0</v>
      </c>
      <c r="AQ50" cm="1">
        <f t="array" ref="AQ50">SUMPRODUCT(('Team Lineups'!$K$2:$K$2000&lt;&gt;"")*('Team Lineups'!$C$2:$C$2000=$A50)*COUNTIFS('Team Lineups'!$K$2:$K$2000,'Team Lineups'!$K$2:$K$2000,'Team Lineups'!$C$2:$C$2000,AQ$1))</f>
        <v>0</v>
      </c>
      <c r="AR50" cm="1">
        <f t="array" ref="AR50">SUMPRODUCT(('Team Lineups'!$K$2:$K$2000&lt;&gt;"")*('Team Lineups'!$C$2:$C$2000=$A50)*COUNTIFS('Team Lineups'!$K$2:$K$2000,'Team Lineups'!$K$2:$K$2000,'Team Lineups'!$C$2:$C$2000,AR$1))</f>
        <v>0</v>
      </c>
      <c r="AS50" cm="1">
        <f t="array" ref="AS50">SUMPRODUCT(('Team Lineups'!$K$2:$K$2000&lt;&gt;"")*('Team Lineups'!$C$2:$C$2000=$A50)*COUNTIFS('Team Lineups'!$K$2:$K$2000,'Team Lineups'!$K$2:$K$2000,'Team Lineups'!$C$2:$C$2000,AS$1))</f>
        <v>0</v>
      </c>
      <c r="AT50" cm="1">
        <f t="array" ref="AT50">SUMPRODUCT(('Team Lineups'!$K$2:$K$2000&lt;&gt;"")*('Team Lineups'!$C$2:$C$2000=$A50)*COUNTIFS('Team Lineups'!$K$2:$K$2000,'Team Lineups'!$K$2:$K$2000,'Team Lineups'!$C$2:$C$2000,AT$1))</f>
        <v>0</v>
      </c>
      <c r="AU50" cm="1">
        <f t="array" ref="AU50">SUMPRODUCT(('Team Lineups'!$K$2:$K$2000&lt;&gt;"")*('Team Lineups'!$C$2:$C$2000=$A50)*COUNTIFS('Team Lineups'!$K$2:$K$2000,'Team Lineups'!$K$2:$K$2000,'Team Lineups'!$C$2:$C$2000,AU$1))</f>
        <v>0</v>
      </c>
      <c r="AV50" cm="1">
        <f t="array" ref="AV50">SUMPRODUCT(('Team Lineups'!$K$2:$K$2000&lt;&gt;"")*('Team Lineups'!$C$2:$C$2000=$A50)*COUNTIFS('Team Lineups'!$K$2:$K$2000,'Team Lineups'!$K$2:$K$2000,'Team Lineups'!$C$2:$C$2000,AV$1))</f>
        <v>0</v>
      </c>
      <c r="AW50" cm="1">
        <f t="array" ref="AW50">SUMPRODUCT(('Team Lineups'!$K$2:$K$2000&lt;&gt;"")*('Team Lineups'!$C$2:$C$2000=$A50)*COUNTIFS('Team Lineups'!$K$2:$K$2000,'Team Lineups'!$K$2:$K$2000,'Team Lineups'!$C$2:$C$2000,AW$1))</f>
        <v>0</v>
      </c>
      <c r="AX50" cm="1">
        <f t="array" ref="AX50">SUMPRODUCT(('Team Lineups'!$K$2:$K$2000&lt;&gt;"")*('Team Lineups'!$C$2:$C$2000=$A50)*COUNTIFS('Team Lineups'!$K$2:$K$2000,'Team Lineups'!$K$2:$K$2000,'Team Lineups'!$C$2:$C$2000,AX$1))</f>
        <v>1</v>
      </c>
      <c r="AY50" cm="1">
        <f t="array" ref="AY50">SUMPRODUCT(('Team Lineups'!$K$2:$K$2000&lt;&gt;"")*('Team Lineups'!$C$2:$C$2000=$A50)*COUNTIFS('Team Lineups'!$K$2:$K$2000,'Team Lineups'!$K$2:$K$2000,'Team Lineups'!$C$2:$C$2000,AY$1))</f>
        <v>0</v>
      </c>
    </row>
    <row r="51" spans="1:51" x14ac:dyDescent="0.35">
      <c r="A51" t="str">
        <v>Georgian</v>
      </c>
      <c r="B51" cm="1">
        <f t="array" ref="B51">SUMPRODUCT(('Team Lineups'!$K$2:$K$2000&lt;&gt;"")*('Team Lineups'!$C$2:$C$2000=$A51)*COUNTIFS('Team Lineups'!$K$2:$K$2000,'Team Lineups'!$K$2:$K$2000,'Team Lineups'!$C$2:$C$2000,B$1))</f>
        <v>0</v>
      </c>
      <c r="C51" cm="1">
        <f t="array" ref="C51">SUMPRODUCT(('Team Lineups'!$K$2:$K$2000&lt;&gt;"")*('Team Lineups'!$C$2:$C$2000=$A51)*COUNTIFS('Team Lineups'!$K$2:$K$2000,'Team Lineups'!$K$2:$K$2000,'Team Lineups'!$C$2:$C$2000,C$1))</f>
        <v>0</v>
      </c>
      <c r="D51" cm="1">
        <f t="array" ref="D51">SUMPRODUCT(('Team Lineups'!$K$2:$K$2000&lt;&gt;"")*('Team Lineups'!$C$2:$C$2000=$A51)*COUNTIFS('Team Lineups'!$K$2:$K$2000,'Team Lineups'!$K$2:$K$2000,'Team Lineups'!$C$2:$C$2000,D$1))</f>
        <v>0</v>
      </c>
      <c r="E51" cm="1">
        <f t="array" ref="E51">SUMPRODUCT(('Team Lineups'!$K$2:$K$2000&lt;&gt;"")*('Team Lineups'!$C$2:$C$2000=$A51)*COUNTIFS('Team Lineups'!$K$2:$K$2000,'Team Lineups'!$K$2:$K$2000,'Team Lineups'!$C$2:$C$2000,E$1))</f>
        <v>0</v>
      </c>
      <c r="F51" cm="1">
        <f t="array" ref="F51">SUMPRODUCT(('Team Lineups'!$K$2:$K$2000&lt;&gt;"")*('Team Lineups'!$C$2:$C$2000=$A51)*COUNTIFS('Team Lineups'!$K$2:$K$2000,'Team Lineups'!$K$2:$K$2000,'Team Lineups'!$C$2:$C$2000,F$1))</f>
        <v>0</v>
      </c>
      <c r="G51" cm="1">
        <f t="array" ref="G51">SUMPRODUCT(('Team Lineups'!$K$2:$K$2000&lt;&gt;"")*('Team Lineups'!$C$2:$C$2000=$A51)*COUNTIFS('Team Lineups'!$K$2:$K$2000,'Team Lineups'!$K$2:$K$2000,'Team Lineups'!$C$2:$C$2000,G$1))</f>
        <v>0</v>
      </c>
      <c r="H51" cm="1">
        <f t="array" ref="H51">SUMPRODUCT(('Team Lineups'!$K$2:$K$2000&lt;&gt;"")*('Team Lineups'!$C$2:$C$2000=$A51)*COUNTIFS('Team Lineups'!$K$2:$K$2000,'Team Lineups'!$K$2:$K$2000,'Team Lineups'!$C$2:$C$2000,H$1))</f>
        <v>1</v>
      </c>
      <c r="I51" cm="1">
        <f t="array" ref="I51">SUMPRODUCT(('Team Lineups'!$K$2:$K$2000&lt;&gt;"")*('Team Lineups'!$C$2:$C$2000=$A51)*COUNTIFS('Team Lineups'!$K$2:$K$2000,'Team Lineups'!$K$2:$K$2000,'Team Lineups'!$C$2:$C$2000,I$1))</f>
        <v>1</v>
      </c>
      <c r="J51" cm="1">
        <f t="array" ref="J51">SUMPRODUCT(('Team Lineups'!$K$2:$K$2000&lt;&gt;"")*('Team Lineups'!$C$2:$C$2000=$A51)*COUNTIFS('Team Lineups'!$K$2:$K$2000,'Team Lineups'!$K$2:$K$2000,'Team Lineups'!$C$2:$C$2000,J$1))</f>
        <v>0</v>
      </c>
      <c r="K51" cm="1">
        <f t="array" ref="K51">SUMPRODUCT(('Team Lineups'!$K$2:$K$2000&lt;&gt;"")*('Team Lineups'!$C$2:$C$2000=$A51)*COUNTIFS('Team Lineups'!$K$2:$K$2000,'Team Lineups'!$K$2:$K$2000,'Team Lineups'!$C$2:$C$2000,K$1))</f>
        <v>0</v>
      </c>
      <c r="L51" cm="1">
        <f t="array" ref="L51">SUMPRODUCT(('Team Lineups'!$K$2:$K$2000&lt;&gt;"")*('Team Lineups'!$C$2:$C$2000=$A51)*COUNTIFS('Team Lineups'!$K$2:$K$2000,'Team Lineups'!$K$2:$K$2000,'Team Lineups'!$C$2:$C$2000,L$1))</f>
        <v>1</v>
      </c>
      <c r="M51" cm="1">
        <f t="array" ref="M51">SUMPRODUCT(('Team Lineups'!$K$2:$K$2000&lt;&gt;"")*('Team Lineups'!$C$2:$C$2000=$A51)*COUNTIFS('Team Lineups'!$K$2:$K$2000,'Team Lineups'!$K$2:$K$2000,'Team Lineups'!$C$2:$C$2000,M$1))</f>
        <v>0</v>
      </c>
      <c r="N51" cm="1">
        <f t="array" ref="N51">SUMPRODUCT(('Team Lineups'!$K$2:$K$2000&lt;&gt;"")*('Team Lineups'!$C$2:$C$2000=$A51)*COUNTIFS('Team Lineups'!$K$2:$K$2000,'Team Lineups'!$K$2:$K$2000,'Team Lineups'!$C$2:$C$2000,N$1))</f>
        <v>1</v>
      </c>
      <c r="O51" cm="1">
        <f t="array" ref="O51">SUMPRODUCT(('Team Lineups'!$K$2:$K$2000&lt;&gt;"")*('Team Lineups'!$C$2:$C$2000=$A51)*COUNTIFS('Team Lineups'!$K$2:$K$2000,'Team Lineups'!$K$2:$K$2000,'Team Lineups'!$C$2:$C$2000,O$1))</f>
        <v>0</v>
      </c>
      <c r="P51" cm="1">
        <f t="array" ref="P51">SUMPRODUCT(('Team Lineups'!$K$2:$K$2000&lt;&gt;"")*('Team Lineups'!$C$2:$C$2000=$A51)*COUNTIFS('Team Lineups'!$K$2:$K$2000,'Team Lineups'!$K$2:$K$2000,'Team Lineups'!$C$2:$C$2000,P$1))</f>
        <v>0</v>
      </c>
      <c r="Q51" cm="1">
        <f t="array" ref="Q51">SUMPRODUCT(('Team Lineups'!$K$2:$K$2000&lt;&gt;"")*('Team Lineups'!$C$2:$C$2000=$A51)*COUNTIFS('Team Lineups'!$K$2:$K$2000,'Team Lineups'!$K$2:$K$2000,'Team Lineups'!$C$2:$C$2000,Q$1))</f>
        <v>0</v>
      </c>
      <c r="R51" cm="1">
        <f t="array" ref="R51">SUMPRODUCT(('Team Lineups'!$K$2:$K$2000&lt;&gt;"")*('Team Lineups'!$C$2:$C$2000=$A51)*COUNTIFS('Team Lineups'!$K$2:$K$2000,'Team Lineups'!$K$2:$K$2000,'Team Lineups'!$C$2:$C$2000,R$1))</f>
        <v>0</v>
      </c>
      <c r="S51" cm="1">
        <f t="array" ref="S51">SUMPRODUCT(('Team Lineups'!$K$2:$K$2000&lt;&gt;"")*('Team Lineups'!$C$2:$C$2000=$A51)*COUNTIFS('Team Lineups'!$K$2:$K$2000,'Team Lineups'!$K$2:$K$2000,'Team Lineups'!$C$2:$C$2000,S$1))</f>
        <v>0</v>
      </c>
      <c r="T51" cm="1">
        <f t="array" ref="T51">SUMPRODUCT(('Team Lineups'!$K$2:$K$2000&lt;&gt;"")*('Team Lineups'!$C$2:$C$2000=$A51)*COUNTIFS('Team Lineups'!$K$2:$K$2000,'Team Lineups'!$K$2:$K$2000,'Team Lineups'!$C$2:$C$2000,T$1))</f>
        <v>0</v>
      </c>
      <c r="U51" cm="1">
        <f t="array" ref="U51">SUMPRODUCT(('Team Lineups'!$K$2:$K$2000&lt;&gt;"")*('Team Lineups'!$C$2:$C$2000=$A51)*COUNTIFS('Team Lineups'!$K$2:$K$2000,'Team Lineups'!$K$2:$K$2000,'Team Lineups'!$C$2:$C$2000,U$1))</f>
        <v>0</v>
      </c>
      <c r="V51" cm="1">
        <f t="array" ref="V51">SUMPRODUCT(('Team Lineups'!$K$2:$K$2000&lt;&gt;"")*('Team Lineups'!$C$2:$C$2000=$A51)*COUNTIFS('Team Lineups'!$K$2:$K$2000,'Team Lineups'!$K$2:$K$2000,'Team Lineups'!$C$2:$C$2000,V$1))</f>
        <v>0</v>
      </c>
      <c r="W51" cm="1">
        <f t="array" ref="W51">SUMPRODUCT(('Team Lineups'!$K$2:$K$2000&lt;&gt;"")*('Team Lineups'!$C$2:$C$2000=$A51)*COUNTIFS('Team Lineups'!$K$2:$K$2000,'Team Lineups'!$K$2:$K$2000,'Team Lineups'!$C$2:$C$2000,W$1))</f>
        <v>0</v>
      </c>
      <c r="X51" cm="1">
        <f t="array" ref="X51">SUMPRODUCT(('Team Lineups'!$K$2:$K$2000&lt;&gt;"")*('Team Lineups'!$C$2:$C$2000=$A51)*COUNTIFS('Team Lineups'!$K$2:$K$2000,'Team Lineups'!$K$2:$K$2000,'Team Lineups'!$C$2:$C$2000,X$1))</f>
        <v>0</v>
      </c>
      <c r="Y51" cm="1">
        <f t="array" ref="Y51">SUMPRODUCT(('Team Lineups'!$K$2:$K$2000&lt;&gt;"")*('Team Lineups'!$C$2:$C$2000=$A51)*COUNTIFS('Team Lineups'!$K$2:$K$2000,'Team Lineups'!$K$2:$K$2000,'Team Lineups'!$C$2:$C$2000,Y$1))</f>
        <v>0</v>
      </c>
      <c r="Z51" cm="1">
        <f t="array" ref="Z51">SUMPRODUCT(('Team Lineups'!$K$2:$K$2000&lt;&gt;"")*('Team Lineups'!$C$2:$C$2000=$A51)*COUNTIFS('Team Lineups'!$K$2:$K$2000,'Team Lineups'!$K$2:$K$2000,'Team Lineups'!$C$2:$C$2000,Z$1))</f>
        <v>0</v>
      </c>
      <c r="AA51" cm="1">
        <f t="array" ref="AA51">SUMPRODUCT(('Team Lineups'!$K$2:$K$2000&lt;&gt;"")*('Team Lineups'!$C$2:$C$2000=$A51)*COUNTIFS('Team Lineups'!$K$2:$K$2000,'Team Lineups'!$K$2:$K$2000,'Team Lineups'!$C$2:$C$2000,AA$1))</f>
        <v>1</v>
      </c>
      <c r="AB51" cm="1">
        <f t="array" ref="AB51">SUMPRODUCT(('Team Lineups'!$K$2:$K$2000&lt;&gt;"")*('Team Lineups'!$C$2:$C$2000=$A51)*COUNTIFS('Team Lineups'!$K$2:$K$2000,'Team Lineups'!$K$2:$K$2000,'Team Lineups'!$C$2:$C$2000,AB$1))</f>
        <v>1</v>
      </c>
      <c r="AC51" cm="1">
        <f t="array" ref="AC51">SUMPRODUCT(('Team Lineups'!$K$2:$K$2000&lt;&gt;"")*('Team Lineups'!$C$2:$C$2000=$A51)*COUNTIFS('Team Lineups'!$K$2:$K$2000,'Team Lineups'!$K$2:$K$2000,'Team Lineups'!$C$2:$C$2000,AC$1))</f>
        <v>0</v>
      </c>
      <c r="AD51" cm="1">
        <f t="array" ref="AD51">SUMPRODUCT(('Team Lineups'!$K$2:$K$2000&lt;&gt;"")*('Team Lineups'!$C$2:$C$2000=$A51)*COUNTIFS('Team Lineups'!$K$2:$K$2000,'Team Lineups'!$K$2:$K$2000,'Team Lineups'!$C$2:$C$2000,AD$1))</f>
        <v>1</v>
      </c>
      <c r="AE51" cm="1">
        <f t="array" ref="AE51">SUMPRODUCT(('Team Lineups'!$K$2:$K$2000&lt;&gt;"")*('Team Lineups'!$C$2:$C$2000=$A51)*COUNTIFS('Team Lineups'!$K$2:$K$2000,'Team Lineups'!$K$2:$K$2000,'Team Lineups'!$C$2:$C$2000,AE$1))</f>
        <v>0</v>
      </c>
      <c r="AF51" cm="1">
        <f t="array" ref="AF51">SUMPRODUCT(('Team Lineups'!$K$2:$K$2000&lt;&gt;"")*('Team Lineups'!$C$2:$C$2000=$A51)*COUNTIFS('Team Lineups'!$K$2:$K$2000,'Team Lineups'!$K$2:$K$2000,'Team Lineups'!$C$2:$C$2000,AF$1))</f>
        <v>0</v>
      </c>
      <c r="AG51" cm="1">
        <f t="array" ref="AG51">SUMPRODUCT(('Team Lineups'!$K$2:$K$2000&lt;&gt;"")*('Team Lineups'!$C$2:$C$2000=$A51)*COUNTIFS('Team Lineups'!$K$2:$K$2000,'Team Lineups'!$K$2:$K$2000,'Team Lineups'!$C$2:$C$2000,AG$1))</f>
        <v>0</v>
      </c>
      <c r="AH51" cm="1">
        <f t="array" ref="AH51">SUMPRODUCT(('Team Lineups'!$K$2:$K$2000&lt;&gt;"")*('Team Lineups'!$C$2:$C$2000=$A51)*COUNTIFS('Team Lineups'!$K$2:$K$2000,'Team Lineups'!$K$2:$K$2000,'Team Lineups'!$C$2:$C$2000,AH$1))</f>
        <v>0</v>
      </c>
      <c r="AI51" cm="1">
        <f t="array" ref="AI51">SUMPRODUCT(('Team Lineups'!$K$2:$K$2000&lt;&gt;"")*('Team Lineups'!$C$2:$C$2000=$A51)*COUNTIFS('Team Lineups'!$K$2:$K$2000,'Team Lineups'!$K$2:$K$2000,'Team Lineups'!$C$2:$C$2000,AI$1))</f>
        <v>0</v>
      </c>
      <c r="AJ51" cm="1">
        <f t="array" ref="AJ51">SUMPRODUCT(('Team Lineups'!$K$2:$K$2000&lt;&gt;"")*('Team Lineups'!$C$2:$C$2000=$A51)*COUNTIFS('Team Lineups'!$K$2:$K$2000,'Team Lineups'!$K$2:$K$2000,'Team Lineups'!$C$2:$C$2000,AJ$1))</f>
        <v>0</v>
      </c>
      <c r="AK51" cm="1">
        <f t="array" ref="AK51">SUMPRODUCT(('Team Lineups'!$K$2:$K$2000&lt;&gt;"")*('Team Lineups'!$C$2:$C$2000=$A51)*COUNTIFS('Team Lineups'!$K$2:$K$2000,'Team Lineups'!$K$2:$K$2000,'Team Lineups'!$C$2:$C$2000,AK$1))</f>
        <v>0</v>
      </c>
      <c r="AL51" cm="1">
        <f t="array" ref="AL51">SUMPRODUCT(('Team Lineups'!$K$2:$K$2000&lt;&gt;"")*('Team Lineups'!$C$2:$C$2000=$A51)*COUNTIFS('Team Lineups'!$K$2:$K$2000,'Team Lineups'!$K$2:$K$2000,'Team Lineups'!$C$2:$C$2000,AL$1))</f>
        <v>0</v>
      </c>
      <c r="AM51" cm="1">
        <f t="array" ref="AM51">SUMPRODUCT(('Team Lineups'!$K$2:$K$2000&lt;&gt;"")*('Team Lineups'!$C$2:$C$2000=$A51)*COUNTIFS('Team Lineups'!$K$2:$K$2000,'Team Lineups'!$K$2:$K$2000,'Team Lineups'!$C$2:$C$2000,AM$1))</f>
        <v>0</v>
      </c>
      <c r="AN51" cm="1">
        <f t="array" ref="AN51">SUMPRODUCT(('Team Lineups'!$K$2:$K$2000&lt;&gt;"")*('Team Lineups'!$C$2:$C$2000=$A51)*COUNTIFS('Team Lineups'!$K$2:$K$2000,'Team Lineups'!$K$2:$K$2000,'Team Lineups'!$C$2:$C$2000,AN$1))</f>
        <v>0</v>
      </c>
      <c r="AO51" cm="1">
        <f t="array" ref="AO51">SUMPRODUCT(('Team Lineups'!$K$2:$K$2000&lt;&gt;"")*('Team Lineups'!$C$2:$C$2000=$A51)*COUNTIFS('Team Lineups'!$K$2:$K$2000,'Team Lineups'!$K$2:$K$2000,'Team Lineups'!$C$2:$C$2000,AO$1))</f>
        <v>0</v>
      </c>
      <c r="AP51" cm="1">
        <f t="array" ref="AP51">SUMPRODUCT(('Team Lineups'!$K$2:$K$2000&lt;&gt;"")*('Team Lineups'!$C$2:$C$2000=$A51)*COUNTIFS('Team Lineups'!$K$2:$K$2000,'Team Lineups'!$K$2:$K$2000,'Team Lineups'!$C$2:$C$2000,AP$1))</f>
        <v>0</v>
      </c>
      <c r="AQ51" cm="1">
        <f t="array" ref="AQ51">SUMPRODUCT(('Team Lineups'!$K$2:$K$2000&lt;&gt;"")*('Team Lineups'!$C$2:$C$2000=$A51)*COUNTIFS('Team Lineups'!$K$2:$K$2000,'Team Lineups'!$K$2:$K$2000,'Team Lineups'!$C$2:$C$2000,AQ$1))</f>
        <v>0</v>
      </c>
      <c r="AR51" cm="1">
        <f t="array" ref="AR51">SUMPRODUCT(('Team Lineups'!$K$2:$K$2000&lt;&gt;"")*('Team Lineups'!$C$2:$C$2000=$A51)*COUNTIFS('Team Lineups'!$K$2:$K$2000,'Team Lineups'!$K$2:$K$2000,'Team Lineups'!$C$2:$C$2000,AR$1))</f>
        <v>0</v>
      </c>
      <c r="AS51" cm="1">
        <f t="array" ref="AS51">SUMPRODUCT(('Team Lineups'!$K$2:$K$2000&lt;&gt;"")*('Team Lineups'!$C$2:$C$2000=$A51)*COUNTIFS('Team Lineups'!$K$2:$K$2000,'Team Lineups'!$K$2:$K$2000,'Team Lineups'!$C$2:$C$2000,AS$1))</f>
        <v>0</v>
      </c>
      <c r="AT51" cm="1">
        <f t="array" ref="AT51">SUMPRODUCT(('Team Lineups'!$K$2:$K$2000&lt;&gt;"")*('Team Lineups'!$C$2:$C$2000=$A51)*COUNTIFS('Team Lineups'!$K$2:$K$2000,'Team Lineups'!$K$2:$K$2000,'Team Lineups'!$C$2:$C$2000,AT$1))</f>
        <v>0</v>
      </c>
      <c r="AU51" cm="1">
        <f t="array" ref="AU51">SUMPRODUCT(('Team Lineups'!$K$2:$K$2000&lt;&gt;"")*('Team Lineups'!$C$2:$C$2000=$A51)*COUNTIFS('Team Lineups'!$K$2:$K$2000,'Team Lineups'!$K$2:$K$2000,'Team Lineups'!$C$2:$C$2000,AU$1))</f>
        <v>0</v>
      </c>
      <c r="AV51" cm="1">
        <f t="array" ref="AV51">SUMPRODUCT(('Team Lineups'!$K$2:$K$2000&lt;&gt;"")*('Team Lineups'!$C$2:$C$2000=$A51)*COUNTIFS('Team Lineups'!$K$2:$K$2000,'Team Lineups'!$K$2:$K$2000,'Team Lineups'!$C$2:$C$2000,AV$1))</f>
        <v>0</v>
      </c>
      <c r="AW51" cm="1">
        <f t="array" ref="AW51">SUMPRODUCT(('Team Lineups'!$K$2:$K$2000&lt;&gt;"")*('Team Lineups'!$C$2:$C$2000=$A51)*COUNTIFS('Team Lineups'!$K$2:$K$2000,'Team Lineups'!$K$2:$K$2000,'Team Lineups'!$C$2:$C$2000,AW$1))</f>
        <v>0</v>
      </c>
      <c r="AX51" cm="1">
        <f t="array" ref="AX51">SUMPRODUCT(('Team Lineups'!$K$2:$K$2000&lt;&gt;"")*('Team Lineups'!$C$2:$C$2000=$A51)*COUNTIFS('Team Lineups'!$K$2:$K$2000,'Team Lineups'!$K$2:$K$2000,'Team Lineups'!$C$2:$C$2000,AX$1))</f>
        <v>0</v>
      </c>
      <c r="AY51" cm="1">
        <f t="array" ref="AY51">SUMPRODUCT(('Team Lineups'!$K$2:$K$2000&lt;&gt;"")*('Team Lineups'!$C$2:$C$2000=$A51)*COUNTIFS('Team Lineups'!$K$2:$K$2000,'Team Lineups'!$K$2:$K$2000,'Team Lineups'!$C$2:$C$2000,AY$1))</f>
        <v>1</v>
      </c>
    </row>
    <row r="52" spans="1:51" x14ac:dyDescent="0.35">
      <c r="A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Players</vt:lpstr>
      <vt:lpstr>Matches</vt:lpstr>
      <vt:lpstr>Team Lineups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2026-10-23T08:18:44Z</dcterms:modified>
</cp:coreProperties>
</file>