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gp000048\Downloads\"/>
    </mc:Choice>
  </mc:AlternateContent>
  <xr:revisionPtr revIDLastSave="0" documentId="13_ncr:1_{FB0C6185-4CC4-4E69-B825-431B111E796D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Matches" sheetId="1" r:id="rId1"/>
    <sheet name="Team Lineups" sheetId="2" r:id="rId2"/>
    <sheet name="Players" sheetId="3" r:id="rId3"/>
  </sheets>
  <definedNames>
    <definedName name="_xlnm._FilterDatabase" localSheetId="2" hidden="1">Players!$A$1:$O$27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0" i="2" l="1"/>
  <c r="G21" i="2"/>
  <c r="G22" i="2"/>
  <c r="F22" i="2"/>
  <c r="F23" i="2"/>
  <c r="E19" i="3" s="1"/>
  <c r="F24" i="2"/>
  <c r="F25" i="2"/>
  <c r="F12" i="2"/>
  <c r="F13" i="2"/>
  <c r="F14" i="2"/>
  <c r="F15" i="2"/>
  <c r="F16" i="2"/>
  <c r="G16" i="2" s="1"/>
  <c r="F17" i="2"/>
  <c r="F18" i="2"/>
  <c r="E26" i="3" s="1"/>
  <c r="F19" i="2"/>
  <c r="F20" i="2"/>
  <c r="F21" i="2"/>
  <c r="F3" i="2"/>
  <c r="F4" i="2"/>
  <c r="F5" i="2"/>
  <c r="F6" i="2"/>
  <c r="F7" i="2"/>
  <c r="F8" i="2"/>
  <c r="F9" i="2"/>
  <c r="F10" i="2"/>
  <c r="F11" i="2"/>
  <c r="E3" i="2"/>
  <c r="E4" i="2"/>
  <c r="E5" i="2"/>
  <c r="E6" i="2"/>
  <c r="E7" i="2"/>
  <c r="E8" i="2"/>
  <c r="E9" i="2"/>
  <c r="E10" i="2"/>
  <c r="E11" i="2"/>
  <c r="D20" i="3" s="1"/>
  <c r="E12" i="2"/>
  <c r="D25" i="3" s="1"/>
  <c r="E13" i="2"/>
  <c r="G13" i="2" s="1"/>
  <c r="E14" i="2"/>
  <c r="G14" i="2" s="1"/>
  <c r="E15" i="2"/>
  <c r="G15" i="2" s="1"/>
  <c r="E16" i="2"/>
  <c r="E17" i="2"/>
  <c r="G17" i="2" s="1"/>
  <c r="E18" i="2"/>
  <c r="D26" i="3" s="1"/>
  <c r="E19" i="2"/>
  <c r="G19" i="2" s="1"/>
  <c r="E20" i="2"/>
  <c r="E21" i="2"/>
  <c r="E22" i="2"/>
  <c r="E23" i="2"/>
  <c r="D19" i="3" s="1"/>
  <c r="E24" i="2"/>
  <c r="G24" i="2" s="1"/>
  <c r="E25" i="2"/>
  <c r="D4" i="3" s="1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12" i="2"/>
  <c r="F3" i="1"/>
  <c r="F2" i="1"/>
  <c r="E3" i="1"/>
  <c r="B3" i="2"/>
  <c r="B4" i="2"/>
  <c r="B5" i="2"/>
  <c r="B6" i="2"/>
  <c r="B7" i="2"/>
  <c r="B8" i="2"/>
  <c r="B9" i="2"/>
  <c r="B10" i="2"/>
  <c r="B11" i="2"/>
  <c r="B2" i="2"/>
  <c r="D6" i="3"/>
  <c r="D7" i="3"/>
  <c r="D9" i="3"/>
  <c r="D10" i="3"/>
  <c r="D11" i="3"/>
  <c r="D13" i="3"/>
  <c r="D14" i="3"/>
  <c r="D15" i="3"/>
  <c r="D21" i="3"/>
  <c r="D22" i="3"/>
  <c r="D27" i="3"/>
  <c r="N27" i="3"/>
  <c r="M27" i="3"/>
  <c r="K27" i="3"/>
  <c r="I27" i="3"/>
  <c r="H27" i="3"/>
  <c r="G27" i="3"/>
  <c r="J27" i="3" s="1"/>
  <c r="E27" i="3"/>
  <c r="C27" i="3"/>
  <c r="N26" i="3"/>
  <c r="M26" i="3"/>
  <c r="K26" i="3"/>
  <c r="C26" i="3"/>
  <c r="N25" i="3"/>
  <c r="M25" i="3"/>
  <c r="K25" i="3"/>
  <c r="E25" i="3"/>
  <c r="C25" i="3"/>
  <c r="N2" i="3"/>
  <c r="M2" i="3"/>
  <c r="K2" i="3"/>
  <c r="E2" i="3"/>
  <c r="C2" i="3"/>
  <c r="N8" i="3"/>
  <c r="M8" i="3"/>
  <c r="K8" i="3"/>
  <c r="C8" i="3"/>
  <c r="N22" i="3"/>
  <c r="M22" i="3"/>
  <c r="K22" i="3"/>
  <c r="I22" i="3"/>
  <c r="H22" i="3"/>
  <c r="G22" i="3"/>
  <c r="E22" i="3"/>
  <c r="C22" i="3"/>
  <c r="N21" i="3"/>
  <c r="M21" i="3"/>
  <c r="K21" i="3"/>
  <c r="I21" i="3"/>
  <c r="H21" i="3"/>
  <c r="G21" i="3"/>
  <c r="E21" i="3"/>
  <c r="C21" i="3"/>
  <c r="N24" i="3"/>
  <c r="M24" i="3"/>
  <c r="K24" i="3"/>
  <c r="C24" i="3"/>
  <c r="N19" i="3"/>
  <c r="M19" i="3"/>
  <c r="K19" i="3"/>
  <c r="C19" i="3"/>
  <c r="N23" i="3"/>
  <c r="M23" i="3"/>
  <c r="K23" i="3"/>
  <c r="C23" i="3"/>
  <c r="N5" i="3"/>
  <c r="M5" i="3"/>
  <c r="K5" i="3"/>
  <c r="C5" i="3"/>
  <c r="N3" i="3"/>
  <c r="M3" i="3"/>
  <c r="K3" i="3"/>
  <c r="C3" i="3"/>
  <c r="N15" i="3"/>
  <c r="M15" i="3"/>
  <c r="K15" i="3"/>
  <c r="I15" i="3"/>
  <c r="H15" i="3"/>
  <c r="G15" i="3"/>
  <c r="E15" i="3"/>
  <c r="C15" i="3"/>
  <c r="N14" i="3"/>
  <c r="M14" i="3"/>
  <c r="K14" i="3"/>
  <c r="I14" i="3"/>
  <c r="H14" i="3"/>
  <c r="G14" i="3"/>
  <c r="E14" i="3"/>
  <c r="C14" i="3"/>
  <c r="N13" i="3"/>
  <c r="M13" i="3"/>
  <c r="K13" i="3"/>
  <c r="I13" i="3"/>
  <c r="H13" i="3"/>
  <c r="G13" i="3"/>
  <c r="E13" i="3"/>
  <c r="C13" i="3"/>
  <c r="N12" i="3"/>
  <c r="M12" i="3"/>
  <c r="K12" i="3"/>
  <c r="E12" i="3"/>
  <c r="C12" i="3"/>
  <c r="N11" i="3"/>
  <c r="M11" i="3"/>
  <c r="K11" i="3"/>
  <c r="I11" i="3"/>
  <c r="H11" i="3"/>
  <c r="G11" i="3"/>
  <c r="E11" i="3"/>
  <c r="C11" i="3"/>
  <c r="N10" i="3"/>
  <c r="M10" i="3"/>
  <c r="K10" i="3"/>
  <c r="I10" i="3"/>
  <c r="H10" i="3"/>
  <c r="G10" i="3"/>
  <c r="E10" i="3"/>
  <c r="C10" i="3"/>
  <c r="N9" i="3"/>
  <c r="M9" i="3"/>
  <c r="K9" i="3"/>
  <c r="C9" i="3"/>
  <c r="N20" i="3"/>
  <c r="M20" i="3"/>
  <c r="K20" i="3"/>
  <c r="E20" i="3"/>
  <c r="C20" i="3"/>
  <c r="N7" i="3"/>
  <c r="M7" i="3"/>
  <c r="K7" i="3"/>
  <c r="E7" i="3"/>
  <c r="C7" i="3"/>
  <c r="N6" i="3"/>
  <c r="M6" i="3"/>
  <c r="K6" i="3"/>
  <c r="I6" i="3"/>
  <c r="H6" i="3"/>
  <c r="G6" i="3"/>
  <c r="E6" i="3"/>
  <c r="C6" i="3"/>
  <c r="N18" i="3"/>
  <c r="M18" i="3"/>
  <c r="K18" i="3"/>
  <c r="C18" i="3"/>
  <c r="N4" i="3"/>
  <c r="M4" i="3"/>
  <c r="K4" i="3"/>
  <c r="E4" i="3"/>
  <c r="C4" i="3"/>
  <c r="N17" i="3"/>
  <c r="M17" i="3"/>
  <c r="K17" i="3"/>
  <c r="C17" i="3"/>
  <c r="N16" i="3"/>
  <c r="M16" i="3"/>
  <c r="K16" i="3"/>
  <c r="C16" i="3"/>
  <c r="G11" i="2"/>
  <c r="H20" i="3" s="1"/>
  <c r="G10" i="2"/>
  <c r="G8" i="2"/>
  <c r="D23" i="3"/>
  <c r="D18" i="3"/>
  <c r="D17" i="3"/>
  <c r="E8" i="3"/>
  <c r="E3" i="3"/>
  <c r="D3" i="3"/>
  <c r="E2" i="2"/>
  <c r="D5" i="3" s="1"/>
  <c r="E2" i="1"/>
  <c r="I12" i="3" l="1"/>
  <c r="H12" i="3"/>
  <c r="G12" i="3"/>
  <c r="I9" i="3"/>
  <c r="H9" i="3"/>
  <c r="G9" i="3"/>
  <c r="I7" i="3"/>
  <c r="H7" i="3"/>
  <c r="G7" i="3"/>
  <c r="G23" i="2"/>
  <c r="D12" i="3"/>
  <c r="F12" i="3" s="1"/>
  <c r="D2" i="3"/>
  <c r="G18" i="2"/>
  <c r="I26" i="3" s="1"/>
  <c r="E9" i="3"/>
  <c r="F9" i="3" s="1"/>
  <c r="E16" i="3"/>
  <c r="E23" i="3"/>
  <c r="G25" i="2"/>
  <c r="G12" i="2"/>
  <c r="G26" i="3"/>
  <c r="J26" i="3" s="1"/>
  <c r="H26" i="3"/>
  <c r="G2" i="3"/>
  <c r="J2" i="3" s="1"/>
  <c r="G19" i="3"/>
  <c r="J19" i="3" s="1"/>
  <c r="E24" i="3"/>
  <c r="F20" i="3"/>
  <c r="F19" i="3"/>
  <c r="F6" i="3"/>
  <c r="F11" i="3"/>
  <c r="O12" i="3"/>
  <c r="F15" i="3"/>
  <c r="G7" i="2"/>
  <c r="I23" i="3" s="1"/>
  <c r="G4" i="2"/>
  <c r="H8" i="3" s="1"/>
  <c r="D8" i="3"/>
  <c r="F8" i="3" s="1"/>
  <c r="I2" i="3"/>
  <c r="G3" i="2"/>
  <c r="I3" i="3" s="1"/>
  <c r="I20" i="3"/>
  <c r="D16" i="3"/>
  <c r="F16" i="3" s="1"/>
  <c r="O5" i="3"/>
  <c r="F25" i="3"/>
  <c r="J10" i="3"/>
  <c r="L11" i="3"/>
  <c r="L4" i="3"/>
  <c r="J12" i="3"/>
  <c r="J11" i="3"/>
  <c r="J14" i="3"/>
  <c r="O23" i="3"/>
  <c r="O21" i="3"/>
  <c r="O18" i="3"/>
  <c r="F27" i="3"/>
  <c r="F26" i="3"/>
  <c r="O11" i="3"/>
  <c r="O2" i="3"/>
  <c r="O13" i="3"/>
  <c r="O26" i="3"/>
  <c r="O14" i="3"/>
  <c r="F13" i="3"/>
  <c r="L3" i="3"/>
  <c r="O6" i="3"/>
  <c r="F22" i="3"/>
  <c r="O17" i="3"/>
  <c r="F10" i="3"/>
  <c r="F21" i="3"/>
  <c r="O9" i="3"/>
  <c r="F3" i="3"/>
  <c r="L9" i="3"/>
  <c r="L18" i="3"/>
  <c r="L20" i="3"/>
  <c r="L8" i="3"/>
  <c r="L16" i="3"/>
  <c r="J7" i="3"/>
  <c r="O3" i="3"/>
  <c r="O24" i="3"/>
  <c r="O8" i="3"/>
  <c r="F14" i="3"/>
  <c r="J15" i="3"/>
  <c r="L21" i="3"/>
  <c r="J9" i="3"/>
  <c r="J13" i="3"/>
  <c r="O15" i="3"/>
  <c r="L12" i="3"/>
  <c r="F4" i="3"/>
  <c r="F7" i="3"/>
  <c r="L10" i="3"/>
  <c r="J21" i="3"/>
  <c r="O10" i="3"/>
  <c r="L26" i="3"/>
  <c r="O27" i="3"/>
  <c r="L5" i="3"/>
  <c r="J22" i="3"/>
  <c r="F2" i="3"/>
  <c r="L25" i="3"/>
  <c r="J6" i="3"/>
  <c r="L27" i="3"/>
  <c r="O20" i="3"/>
  <c r="L19" i="3"/>
  <c r="L7" i="3"/>
  <c r="L22" i="3"/>
  <c r="L2" i="3"/>
  <c r="O25" i="3"/>
  <c r="L13" i="3"/>
  <c r="L15" i="3"/>
  <c r="O19" i="3"/>
  <c r="O4" i="3"/>
  <c r="L17" i="3"/>
  <c r="L6" i="3"/>
  <c r="O7" i="3"/>
  <c r="L23" i="3"/>
  <c r="L24" i="3"/>
  <c r="O22" i="3"/>
  <c r="I16" i="3"/>
  <c r="H16" i="3"/>
  <c r="G16" i="3"/>
  <c r="J16" i="3" s="1"/>
  <c r="E18" i="3"/>
  <c r="F18" i="3" s="1"/>
  <c r="G6" i="2"/>
  <c r="F23" i="3"/>
  <c r="H2" i="3"/>
  <c r="L14" i="3"/>
  <c r="O16" i="3"/>
  <c r="G20" i="3"/>
  <c r="J20" i="3" s="1"/>
  <c r="F2" i="2"/>
  <c r="H19" i="3" l="1"/>
  <c r="I19" i="3"/>
  <c r="I25" i="3"/>
  <c r="H25" i="3"/>
  <c r="G25" i="3"/>
  <c r="J25" i="3" s="1"/>
  <c r="G4" i="3"/>
  <c r="J4" i="3" s="1"/>
  <c r="H4" i="3"/>
  <c r="I4" i="3"/>
  <c r="G23" i="3"/>
  <c r="J23" i="3" s="1"/>
  <c r="G8" i="3"/>
  <c r="J8" i="3" s="1"/>
  <c r="G3" i="3"/>
  <c r="J3" i="3" s="1"/>
  <c r="I8" i="3"/>
  <c r="H3" i="3"/>
  <c r="G9" i="2"/>
  <c r="I24" i="3" s="1"/>
  <c r="D24" i="3"/>
  <c r="F24" i="3" s="1"/>
  <c r="H23" i="3"/>
  <c r="G5" i="2"/>
  <c r="E17" i="3"/>
  <c r="F17" i="3" s="1"/>
  <c r="I18" i="3"/>
  <c r="H18" i="3"/>
  <c r="G18" i="3"/>
  <c r="J18" i="3" s="1"/>
  <c r="E5" i="3"/>
  <c r="F5" i="3" s="1"/>
  <c r="G2" i="2"/>
  <c r="G24" i="3" l="1"/>
  <c r="J24" i="3" s="1"/>
  <c r="H24" i="3"/>
  <c r="I5" i="3"/>
  <c r="H5" i="3"/>
  <c r="G5" i="3"/>
  <c r="J5" i="3" s="1"/>
  <c r="H17" i="3"/>
  <c r="G17" i="3"/>
  <c r="J17" i="3" s="1"/>
  <c r="I17" i="3"/>
</calcChain>
</file>

<file path=xl/sharedStrings.xml><?xml version="1.0" encoding="utf-8"?>
<sst xmlns="http://schemas.openxmlformats.org/spreadsheetml/2006/main" count="111" uniqueCount="57">
  <si>
    <t>Match ID</t>
  </si>
  <si>
    <t>Date</t>
  </si>
  <si>
    <t>Team</t>
  </si>
  <si>
    <t>Score</t>
  </si>
  <si>
    <t>Goals Team A</t>
  </si>
  <si>
    <t>Goals Team B</t>
  </si>
  <si>
    <t>MVP</t>
  </si>
  <si>
    <t>Team A vs Team B</t>
  </si>
  <si>
    <t>7-7</t>
  </si>
  <si>
    <t>Player Name</t>
  </si>
  <si>
    <t>Team (A/B)</t>
  </si>
  <si>
    <t>Team Score</t>
  </si>
  <si>
    <t>Team Conceded</t>
  </si>
  <si>
    <t>Result</t>
  </si>
  <si>
    <t>Goals Scored</t>
  </si>
  <si>
    <t>Assists</t>
  </si>
  <si>
    <t>Gioele</t>
  </si>
  <si>
    <t>A</t>
  </si>
  <si>
    <t>Gianmarco</t>
  </si>
  <si>
    <t>Musta</t>
  </si>
  <si>
    <t>Alessandro D</t>
  </si>
  <si>
    <t>Andreadb</t>
  </si>
  <si>
    <t>Jose</t>
  </si>
  <si>
    <t>B</t>
  </si>
  <si>
    <t>Alessandro C</t>
  </si>
  <si>
    <t>Lorenzo</t>
  </si>
  <si>
    <t>Pranav</t>
  </si>
  <si>
    <t>Damian</t>
  </si>
  <si>
    <t>Position</t>
  </si>
  <si>
    <t>Match Played</t>
  </si>
  <si>
    <t>Total Goals Scored</t>
  </si>
  <si>
    <t>Total Goals Conceded</t>
  </si>
  <si>
    <t>Goal Difference</t>
  </si>
  <si>
    <t>Games Won</t>
  </si>
  <si>
    <t>Games Drew</t>
  </si>
  <si>
    <t>Games Lost</t>
  </si>
  <si>
    <t>% Win</t>
  </si>
  <si>
    <t>Goal Scored</t>
  </si>
  <si>
    <t>Goal/Game</t>
  </si>
  <si>
    <t>MVP/Game</t>
  </si>
  <si>
    <t>Alirio</t>
  </si>
  <si>
    <t>Angelo</t>
  </si>
  <si>
    <t>Barroso</t>
  </si>
  <si>
    <t>Dario</t>
  </si>
  <si>
    <t>Diego</t>
  </si>
  <si>
    <t>Edison</t>
  </si>
  <si>
    <t>Enrico</t>
  </si>
  <si>
    <t>Ervin</t>
  </si>
  <si>
    <t>Gabriele</t>
  </si>
  <si>
    <t>Giacomo</t>
  </si>
  <si>
    <t>Julio</t>
  </si>
  <si>
    <t>Manfredi</t>
  </si>
  <si>
    <t>Martyson</t>
  </si>
  <si>
    <t>Sergio</t>
  </si>
  <si>
    <t>Tano</t>
  </si>
  <si>
    <t>Tiago</t>
  </si>
  <si>
    <t>5-7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</si>
</sst>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/>
  </cellStyleXfs>
  <cellXfs count="7">
    <xf numFmtId="0" fontId="0" fillId="0" borderId="0" xfId="0"/>
    <xf numFmtId="49" fontId="0" fillId="0" borderId="0" xfId="0" applyNumberFormat="1"/>
    <xf numFmtId="14" fontId="0" fillId="0" borderId="0" xfId="0" applyNumberFormat="1"/>
    <xf numFmtId="9" fontId="0" fillId="0" borderId="0" xfId="1" applyFont="1"/>
    <xf numFmtId="0" fontId="2" fillId="0" borderId="0" xfId="0" applyFont="1"/>
    <xf numFmtId="9" fontId="2" fillId="0" borderId="0" xfId="1" applyFont="1"/>
    <xf numFmtId="164" fontId="0" fillId="0" borderId="0" xfId="0" applyNumberFormat="1"/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"/>
  <sheetViews>
    <sheetView tabSelected="1" workbookViewId="0">
      <selection activeCell="D5" sqref="D5"/>
    </sheetView>
  </sheetViews>
  <sheetFormatPr defaultRowHeight="14.5" x14ac:dyDescent="0.35"/>
  <cols>
    <col min="2" max="2" width="18" customWidth="1"/>
    <col min="3" max="3" width="18.08984375" customWidth="1"/>
    <col min="5" max="5" width="17.1796875" customWidth="1"/>
    <col min="6" max="6" width="19.08984375" customWidth="1"/>
  </cols>
  <sheetData>
    <row r="1" spans="1:7" s="4" customFormat="1" x14ac:dyDescent="0.3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</row>
    <row r="2" spans="1:7" x14ac:dyDescent="0.35">
      <c r="A2">
        <v>1</v>
      </c>
      <c r="B2" s="2">
        <v>45974</v>
      </c>
      <c r="C2" t="s">
        <v>7</v>
      </c>
      <c r="D2" s="1" t="s">
        <v>8</v>
      </c>
      <c r="E2">
        <f>VALUE(LEFT(D2, FIND("-", D2)-1))</f>
        <v>7</v>
      </c>
      <c r="F2">
        <f>VALUE(MID(D2, FIND("-", D2)+1, 10))</f>
        <v>7</v>
      </c>
      <c r="G2" t="s">
        <v>26</v>
      </c>
    </row>
    <row r="3" spans="1:7" x14ac:dyDescent="0.35">
      <c r="A3">
        <v>2</v>
      </c>
      <c r="B3" s="2">
        <v>45981</v>
      </c>
      <c r="C3" t="s">
        <v>7</v>
      </c>
      <c r="D3" s="1" t="s">
        <v>56</v>
      </c>
      <c r="E3">
        <f t="shared" ref="E3:E11" si="0">VALUE(LEFT(D3, FIND("-", D3)-1))</f>
        <v>5</v>
      </c>
      <c r="F3">
        <f>VALUE(MID(D3, FIND("-", D3)+1, 10))</f>
        <v>7</v>
      </c>
      <c r="G3" t="s">
        <v>26</v>
      </c>
    </row>
    <row r="4" spans="1:7" x14ac:dyDescent="0.35">
      <c r="B4" s="2"/>
    </row>
    <row r="5" spans="1:7" x14ac:dyDescent="0.35">
      <c r="D5" s="1"/>
    </row>
  </sheetData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B32C8D9-6A4A-432E-9C63-B4C29A6D6188}">
          <x14:formula1>
            <xm:f>Players!$A:$A</xm:f>
          </x14:formula1>
          <xm:sqref>G1:G1048576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25"/>
  <sheetViews>
    <sheetView topLeftCell="A14" workbookViewId="0">
      <selection activeCell="I24" sqref="I24"/>
    </sheetView>
  </sheetViews>
  <sheetFormatPr defaultRowHeight="14.5" x14ac:dyDescent="0.35"/>
  <cols>
    <col min="2" max="2" width="22.90625" customWidth="1"/>
    <col min="3" max="3" width="14.26953125" customWidth="1"/>
    <col min="5" max="5" width="14" customWidth="1"/>
    <col min="6" max="6" width="17.26953125" customWidth="1"/>
    <col min="8" max="8" width="18.81640625" customWidth="1"/>
  </cols>
  <sheetData>
    <row r="1" spans="1:9" s="4" customFormat="1" x14ac:dyDescent="0.35">
      <c r="A1" s="4" t="s">
        <v>0</v>
      </c>
      <c r="B1" s="4" t="s">
        <v>1</v>
      </c>
      <c r="C1" s="4" t="s">
        <v>9</v>
      </c>
      <c r="D1" s="4" t="s">
        <v>10</v>
      </c>
      <c r="E1" s="4" t="s">
        <v>11</v>
      </c>
      <c r="F1" s="4" t="s">
        <v>12</v>
      </c>
      <c r="G1" s="4" t="s">
        <v>13</v>
      </c>
      <c r="H1" s="4" t="s">
        <v>14</v>
      </c>
      <c r="I1" s="4" t="s">
        <v>15</v>
      </c>
    </row>
    <row r="2" spans="1:9" x14ac:dyDescent="0.35">
      <c r="A2">
        <v>1</v>
      </c>
      <c r="B2" s="6">
        <f>VLOOKUP(A2,Matches!A:B,2,FALSE)</f>
        <v>45974</v>
      </c>
      <c r="C2" t="s">
        <v>16</v>
      </c>
      <c r="D2" t="s">
        <v>17</v>
      </c>
      <c r="E2">
        <f>IF(D2="A", INDEX(Matches!$E:$E, MATCH(A2, Matches!$A:$A, 0)), INDEX(Matches!$F:$F, MATCH(A2, Matches!$A:$A, 0)))</f>
        <v>7</v>
      </c>
      <c r="F2">
        <f>IF(D2="A", INDEX(Matches!$F:$F, MATCH(A2, Matches!$A:$A, 0)), INDEX(Matches!$E:$E, MATCH(A2, Matches!$A:$A, 0)))</f>
        <v>7</v>
      </c>
      <c r="G2" t="str">
        <f t="shared" ref="G2:G25" si="0">IF(E2&gt;F2,"Win",IF(E2&lt;F2,"Loss","Draw"))</f>
        <v>Draw</v>
      </c>
      <c r="H2">
        <v>2</v>
      </c>
      <c r="I2">
        <v>2</v>
      </c>
    </row>
    <row r="3" spans="1:9" x14ac:dyDescent="0.35">
      <c r="A3">
        <v>1</v>
      </c>
      <c r="B3" s="6">
        <f>VLOOKUP(A3,Matches!A:B,2,FALSE)</f>
        <v>45974</v>
      </c>
      <c r="C3" t="s">
        <v>18</v>
      </c>
      <c r="D3" t="s">
        <v>17</v>
      </c>
      <c r="E3">
        <f>IF(D3="A", INDEX(Matches!$E:$E, MATCH(A3, Matches!$A:$A, 0)), INDEX(Matches!$F:$F, MATCH(A3, Matches!$A:$A, 0)))</f>
        <v>7</v>
      </c>
      <c r="F3">
        <f>IF(D3="A", INDEX(Matches!$F:$F, MATCH(A3, Matches!$A:$A, 0)), INDEX(Matches!$E:$E, MATCH(A3, Matches!$A:$A, 0)))</f>
        <v>7</v>
      </c>
      <c r="G3" t="str">
        <f t="shared" si="0"/>
        <v>Draw</v>
      </c>
      <c r="H3">
        <v>2</v>
      </c>
    </row>
    <row r="4" spans="1:9" x14ac:dyDescent="0.35">
      <c r="A4">
        <v>1</v>
      </c>
      <c r="B4" s="6">
        <f>VLOOKUP(A4,Matches!A:B,2,FALSE)</f>
        <v>45974</v>
      </c>
      <c r="C4" t="s">
        <v>19</v>
      </c>
      <c r="D4" t="s">
        <v>17</v>
      </c>
      <c r="E4">
        <f>IF(D4="A", INDEX(Matches!$E:$E, MATCH(A4, Matches!$A:$A, 0)), INDEX(Matches!$F:$F, MATCH(A4, Matches!$A:$A, 0)))</f>
        <v>7</v>
      </c>
      <c r="F4">
        <f>IF(D4="A", INDEX(Matches!$F:$F, MATCH(A4, Matches!$A:$A, 0)), INDEX(Matches!$E:$E, MATCH(A4, Matches!$A:$A, 0)))</f>
        <v>7</v>
      </c>
      <c r="G4" t="str">
        <f t="shared" si="0"/>
        <v>Draw</v>
      </c>
      <c r="H4">
        <v>2</v>
      </c>
    </row>
    <row r="5" spans="1:9" x14ac:dyDescent="0.35">
      <c r="A5">
        <v>1</v>
      </c>
      <c r="B5" s="6">
        <f>VLOOKUP(A5,Matches!A:B,2,FALSE)</f>
        <v>45974</v>
      </c>
      <c r="C5" t="s">
        <v>20</v>
      </c>
      <c r="D5" t="s">
        <v>17</v>
      </c>
      <c r="E5">
        <f>IF(D5="A", INDEX(Matches!$E:$E, MATCH(A5, Matches!$A:$A, 0)), INDEX(Matches!$F:$F, MATCH(A5, Matches!$A:$A, 0)))</f>
        <v>7</v>
      </c>
      <c r="F5">
        <f>IF(D5="A", INDEX(Matches!$F:$F, MATCH(A5, Matches!$A:$A, 0)), INDEX(Matches!$E:$E, MATCH(A5, Matches!$A:$A, 0)))</f>
        <v>7</v>
      </c>
      <c r="G5" t="str">
        <f t="shared" si="0"/>
        <v>Draw</v>
      </c>
    </row>
    <row r="6" spans="1:9" x14ac:dyDescent="0.35">
      <c r="A6">
        <v>1</v>
      </c>
      <c r="B6" s="6">
        <f>VLOOKUP(A6,Matches!A:B,2,FALSE)</f>
        <v>45974</v>
      </c>
      <c r="C6" t="s">
        <v>21</v>
      </c>
      <c r="D6" t="s">
        <v>17</v>
      </c>
      <c r="E6">
        <f>IF(D6="A", INDEX(Matches!$E:$E, MATCH(A6, Matches!$A:$A, 0)), INDEX(Matches!$F:$F, MATCH(A6, Matches!$A:$A, 0)))</f>
        <v>7</v>
      </c>
      <c r="F6">
        <f>IF(D6="A", INDEX(Matches!$F:$F, MATCH(A6, Matches!$A:$A, 0)), INDEX(Matches!$E:$E, MATCH(A6, Matches!$A:$A, 0)))</f>
        <v>7</v>
      </c>
      <c r="G6" t="str">
        <f t="shared" si="0"/>
        <v>Draw</v>
      </c>
    </row>
    <row r="7" spans="1:9" x14ac:dyDescent="0.35">
      <c r="A7">
        <v>1</v>
      </c>
      <c r="B7" s="6">
        <f>VLOOKUP(A7,Matches!A:B,2,FALSE)</f>
        <v>45974</v>
      </c>
      <c r="C7" t="s">
        <v>22</v>
      </c>
      <c r="D7" t="s">
        <v>23</v>
      </c>
      <c r="E7">
        <f>IF(D7="A", INDEX(Matches!$E:$E, MATCH(A7, Matches!$A:$A, 0)), INDEX(Matches!$F:$F, MATCH(A7, Matches!$A:$A, 0)))</f>
        <v>7</v>
      </c>
      <c r="F7">
        <f>IF(D7="A", INDEX(Matches!$F:$F, MATCH(A7, Matches!$A:$A, 0)), INDEX(Matches!$E:$E, MATCH(A7, Matches!$A:$A, 0)))</f>
        <v>7</v>
      </c>
      <c r="G7" t="str">
        <f t="shared" si="0"/>
        <v>Draw</v>
      </c>
    </row>
    <row r="8" spans="1:9" x14ac:dyDescent="0.35">
      <c r="A8">
        <v>1</v>
      </c>
      <c r="B8" s="6">
        <f>VLOOKUP(A8,Matches!A:B,2,FALSE)</f>
        <v>45974</v>
      </c>
      <c r="C8" t="s">
        <v>24</v>
      </c>
      <c r="D8" t="s">
        <v>23</v>
      </c>
      <c r="E8">
        <f>IF(D8="A", INDEX(Matches!$E:$E, MATCH(A8, Matches!$A:$A, 0)), INDEX(Matches!$F:$F, MATCH(A8, Matches!$A:$A, 0)))</f>
        <v>7</v>
      </c>
      <c r="F8">
        <f>IF(D8="A", INDEX(Matches!$F:$F, MATCH(A8, Matches!$A:$A, 0)), INDEX(Matches!$E:$E, MATCH(A8, Matches!$A:$A, 0)))</f>
        <v>7</v>
      </c>
      <c r="G8" t="str">
        <f t="shared" si="0"/>
        <v>Draw</v>
      </c>
      <c r="H8">
        <v>1</v>
      </c>
    </row>
    <row r="9" spans="1:9" x14ac:dyDescent="0.35">
      <c r="A9">
        <v>1</v>
      </c>
      <c r="B9" s="6">
        <f>VLOOKUP(A9,Matches!A:B,2,FALSE)</f>
        <v>45974</v>
      </c>
      <c r="C9" t="s">
        <v>25</v>
      </c>
      <c r="D9" t="s">
        <v>23</v>
      </c>
      <c r="E9">
        <f>IF(D9="A", INDEX(Matches!$E:$E, MATCH(A9, Matches!$A:$A, 0)), INDEX(Matches!$F:$F, MATCH(A9, Matches!$A:$A, 0)))</f>
        <v>7</v>
      </c>
      <c r="F9">
        <f>IF(D9="A", INDEX(Matches!$F:$F, MATCH(A9, Matches!$A:$A, 0)), INDEX(Matches!$E:$E, MATCH(A9, Matches!$A:$A, 0)))</f>
        <v>7</v>
      </c>
      <c r="G9" t="str">
        <f t="shared" si="0"/>
        <v>Draw</v>
      </c>
    </row>
    <row r="10" spans="1:9" x14ac:dyDescent="0.35">
      <c r="A10">
        <v>1</v>
      </c>
      <c r="B10" s="6">
        <f>VLOOKUP(A10,Matches!A:B,2,FALSE)</f>
        <v>45974</v>
      </c>
      <c r="C10" t="s">
        <v>26</v>
      </c>
      <c r="D10" t="s">
        <v>23</v>
      </c>
      <c r="E10">
        <f>IF(D10="A", INDEX(Matches!$E:$E, MATCH(A10, Matches!$A:$A, 0)), INDEX(Matches!$F:$F, MATCH(A10, Matches!$A:$A, 0)))</f>
        <v>7</v>
      </c>
      <c r="F10">
        <f>IF(D10="A", INDEX(Matches!$F:$F, MATCH(A10, Matches!$A:$A, 0)), INDEX(Matches!$E:$E, MATCH(A10, Matches!$A:$A, 0)))</f>
        <v>7</v>
      </c>
      <c r="G10" t="str">
        <f t="shared" si="0"/>
        <v>Draw</v>
      </c>
      <c r="H10">
        <v>3</v>
      </c>
      <c r="I10">
        <v>2</v>
      </c>
    </row>
    <row r="11" spans="1:9" x14ac:dyDescent="0.35">
      <c r="A11">
        <v>1</v>
      </c>
      <c r="B11" s="6">
        <f>VLOOKUP(A11,Matches!A:B,2,FALSE)</f>
        <v>45974</v>
      </c>
      <c r="C11" t="s">
        <v>27</v>
      </c>
      <c r="D11" t="s">
        <v>23</v>
      </c>
      <c r="E11">
        <f>IF(D11="A", INDEX(Matches!$E:$E, MATCH(A11, Matches!$A:$A, 0)), INDEX(Matches!$F:$F, MATCH(A11, Matches!$A:$A, 0)))</f>
        <v>7</v>
      </c>
      <c r="F11">
        <f>IF(D11="A", INDEX(Matches!$F:$F, MATCH(A11, Matches!$A:$A, 0)), INDEX(Matches!$E:$E, MATCH(A11, Matches!$A:$A, 0)))</f>
        <v>7</v>
      </c>
      <c r="G11" t="str">
        <f t="shared" si="0"/>
        <v>Draw</v>
      </c>
    </row>
    <row r="12" spans="1:9" x14ac:dyDescent="0.35">
      <c r="A12">
        <v>2</v>
      </c>
      <c r="B12" s="6">
        <f>VLOOKUP(A12,Matches!A:B,2,FALSE)</f>
        <v>45981</v>
      </c>
      <c r="C12" t="s">
        <v>53</v>
      </c>
      <c r="D12" t="s">
        <v>17</v>
      </c>
      <c r="E12">
        <f>IF(D12="A", INDEX(Matches!$E:$E, MATCH(A12, Matches!$A:$A, 0)), INDEX(Matches!$F:$F, MATCH(A12, Matches!$A:$A, 0)))</f>
        <v>5</v>
      </c>
      <c r="F12">
        <f>IF(D12="A", INDEX(Matches!$F:$F, MATCH(A12, Matches!$A:$A, 0)), INDEX(Matches!$E:$E, MATCH(A12, Matches!$A:$A, 0)))</f>
        <v>7</v>
      </c>
      <c r="G12" t="str">
        <f t="shared" si="0"/>
        <v>Loss</v>
      </c>
      <c r="H12">
        <v>1</v>
      </c>
    </row>
    <row r="13" spans="1:9" x14ac:dyDescent="0.35">
      <c r="A13">
        <v>2</v>
      </c>
      <c r="B13" s="6">
        <f>VLOOKUP(A13,Matches!A:B,2,FALSE)</f>
        <v>45981</v>
      </c>
      <c r="C13" t="s">
        <v>19</v>
      </c>
      <c r="D13" t="s">
        <v>17</v>
      </c>
      <c r="E13">
        <f>IF(D13="A", INDEX(Matches!$E:$E, MATCH(A13, Matches!$A:$A, 0)), INDEX(Matches!$F:$F, MATCH(A13, Matches!$A:$A, 0)))</f>
        <v>5</v>
      </c>
      <c r="F13">
        <f>IF(D13="A", INDEX(Matches!$F:$F, MATCH(A13, Matches!$A:$A, 0)), INDEX(Matches!$E:$E, MATCH(A13, Matches!$A:$A, 0)))</f>
        <v>7</v>
      </c>
      <c r="G13" t="str">
        <f t="shared" si="0"/>
        <v>Loss</v>
      </c>
      <c r="H13">
        <v>1</v>
      </c>
    </row>
    <row r="14" spans="1:9" x14ac:dyDescent="0.35">
      <c r="A14">
        <v>2</v>
      </c>
      <c r="B14" s="6">
        <f>VLOOKUP(A14,Matches!A:B,2,FALSE)</f>
        <v>45981</v>
      </c>
      <c r="C14" t="s">
        <v>20</v>
      </c>
      <c r="D14" t="s">
        <v>17</v>
      </c>
      <c r="E14">
        <f>IF(D14="A", INDEX(Matches!$E:$E, MATCH(A14, Matches!$A:$A, 0)), INDEX(Matches!$F:$F, MATCH(A14, Matches!$A:$A, 0)))</f>
        <v>5</v>
      </c>
      <c r="F14">
        <f>IF(D14="A", INDEX(Matches!$F:$F, MATCH(A14, Matches!$A:$A, 0)), INDEX(Matches!$E:$E, MATCH(A14, Matches!$A:$A, 0)))</f>
        <v>7</v>
      </c>
      <c r="G14" t="str">
        <f t="shared" si="0"/>
        <v>Loss</v>
      </c>
      <c r="H14">
        <v>1</v>
      </c>
    </row>
    <row r="15" spans="1:9" x14ac:dyDescent="0.35">
      <c r="A15">
        <v>2</v>
      </c>
      <c r="B15" s="6">
        <f>VLOOKUP(A15,Matches!A:B,2,FALSE)</f>
        <v>45981</v>
      </c>
      <c r="C15" t="s">
        <v>42</v>
      </c>
      <c r="D15" t="s">
        <v>17</v>
      </c>
      <c r="E15">
        <f>IF(D15="A", INDEX(Matches!$E:$E, MATCH(A15, Matches!$A:$A, 0)), INDEX(Matches!$F:$F, MATCH(A15, Matches!$A:$A, 0)))</f>
        <v>5</v>
      </c>
      <c r="F15">
        <f>IF(D15="A", INDEX(Matches!$F:$F, MATCH(A15, Matches!$A:$A, 0)), INDEX(Matches!$E:$E, MATCH(A15, Matches!$A:$A, 0)))</f>
        <v>7</v>
      </c>
      <c r="G15" t="str">
        <f t="shared" si="0"/>
        <v>Loss</v>
      </c>
      <c r="H15">
        <v>1</v>
      </c>
    </row>
    <row r="16" spans="1:9" x14ac:dyDescent="0.35">
      <c r="A16">
        <v>2</v>
      </c>
      <c r="B16" s="6">
        <f>VLOOKUP(A16,Matches!A:B,2,FALSE)</f>
        <v>45981</v>
      </c>
      <c r="C16" t="s">
        <v>43</v>
      </c>
      <c r="D16" t="s">
        <v>17</v>
      </c>
      <c r="E16">
        <f>IF(D16="A", INDEX(Matches!$E:$E, MATCH(A16, Matches!$A:$A, 0)), INDEX(Matches!$F:$F, MATCH(A16, Matches!$A:$A, 0)))</f>
        <v>5</v>
      </c>
      <c r="F16">
        <f>IF(D16="A", INDEX(Matches!$F:$F, MATCH(A16, Matches!$A:$A, 0)), INDEX(Matches!$E:$E, MATCH(A16, Matches!$A:$A, 0)))</f>
        <v>7</v>
      </c>
      <c r="G16" t="str">
        <f t="shared" si="0"/>
        <v>Loss</v>
      </c>
    </row>
    <row r="17" spans="1:8" x14ac:dyDescent="0.35">
      <c r="A17">
        <v>2</v>
      </c>
      <c r="B17" s="6">
        <f>VLOOKUP(A17,Matches!A:B,2,FALSE)</f>
        <v>45981</v>
      </c>
      <c r="C17" t="s">
        <v>21</v>
      </c>
      <c r="D17" t="s">
        <v>17</v>
      </c>
      <c r="E17">
        <f>IF(D17="A", INDEX(Matches!$E:$E, MATCH(A17, Matches!$A:$A, 0)), INDEX(Matches!$F:$F, MATCH(A17, Matches!$A:$A, 0)))</f>
        <v>5</v>
      </c>
      <c r="F17">
        <f>IF(D17="A", INDEX(Matches!$F:$F, MATCH(A17, Matches!$A:$A, 0)), INDEX(Matches!$E:$E, MATCH(A17, Matches!$A:$A, 0)))</f>
        <v>7</v>
      </c>
      <c r="G17" t="str">
        <f t="shared" si="0"/>
        <v>Loss</v>
      </c>
      <c r="H17">
        <v>1</v>
      </c>
    </row>
    <row r="18" spans="1:8" x14ac:dyDescent="0.35">
      <c r="A18">
        <v>2</v>
      </c>
      <c r="B18" s="6">
        <f>VLOOKUP(A18,Matches!A:B,2,FALSE)</f>
        <v>45981</v>
      </c>
      <c r="C18" t="s">
        <v>54</v>
      </c>
      <c r="D18" t="s">
        <v>17</v>
      </c>
      <c r="E18">
        <f>IF(D18="A", INDEX(Matches!$E:$E, MATCH(A18, Matches!$A:$A, 0)), INDEX(Matches!$F:$F, MATCH(A18, Matches!$A:$A, 0)))</f>
        <v>5</v>
      </c>
      <c r="F18">
        <f>IF(D18="A", INDEX(Matches!$F:$F, MATCH(A18, Matches!$A:$A, 0)), INDEX(Matches!$E:$E, MATCH(A18, Matches!$A:$A, 0)))</f>
        <v>7</v>
      </c>
      <c r="G18" t="str">
        <f t="shared" si="0"/>
        <v>Loss</v>
      </c>
    </row>
    <row r="19" spans="1:8" x14ac:dyDescent="0.35">
      <c r="A19">
        <v>2</v>
      </c>
      <c r="B19" s="6">
        <f>VLOOKUP(A19,Matches!A:B,2,FALSE)</f>
        <v>45981</v>
      </c>
      <c r="C19" t="s">
        <v>22</v>
      </c>
      <c r="D19" t="s">
        <v>23</v>
      </c>
      <c r="E19">
        <f>IF(D19="A", INDEX(Matches!$E:$E, MATCH(A19, Matches!$A:$A, 0)), INDEX(Matches!$F:$F, MATCH(A19, Matches!$A:$A, 0)))</f>
        <v>7</v>
      </c>
      <c r="F19">
        <f>IF(D19="A", INDEX(Matches!$F:$F, MATCH(A19, Matches!$A:$A, 0)), INDEX(Matches!$E:$E, MATCH(A19, Matches!$A:$A, 0)))</f>
        <v>5</v>
      </c>
      <c r="G19" t="str">
        <f t="shared" si="0"/>
        <v>Win</v>
      </c>
    </row>
    <row r="20" spans="1:8" x14ac:dyDescent="0.35">
      <c r="A20">
        <v>2</v>
      </c>
      <c r="B20" s="6">
        <f>VLOOKUP(A20,Matches!A:B,2,FALSE)</f>
        <v>45981</v>
      </c>
      <c r="C20" t="s">
        <v>25</v>
      </c>
      <c r="D20" t="s">
        <v>23</v>
      </c>
      <c r="E20">
        <f>IF(D20="A", INDEX(Matches!$E:$E, MATCH(A20, Matches!$A:$A, 0)), INDEX(Matches!$F:$F, MATCH(A20, Matches!$A:$A, 0)))</f>
        <v>7</v>
      </c>
      <c r="F20">
        <f>IF(D20="A", INDEX(Matches!$F:$F, MATCH(A20, Matches!$A:$A, 0)), INDEX(Matches!$E:$E, MATCH(A20, Matches!$A:$A, 0)))</f>
        <v>5</v>
      </c>
      <c r="G20" t="str">
        <f t="shared" si="0"/>
        <v>Win</v>
      </c>
      <c r="H20">
        <v>2</v>
      </c>
    </row>
    <row r="21" spans="1:8" x14ac:dyDescent="0.35">
      <c r="A21">
        <v>2</v>
      </c>
      <c r="B21" s="6">
        <f>VLOOKUP(A21,Matches!A:B,2,FALSE)</f>
        <v>45981</v>
      </c>
      <c r="C21" t="s">
        <v>24</v>
      </c>
      <c r="D21" t="s">
        <v>23</v>
      </c>
      <c r="E21">
        <f>IF(D21="A", INDEX(Matches!$E:$E, MATCH(A21, Matches!$A:$A, 0)), INDEX(Matches!$F:$F, MATCH(A21, Matches!$A:$A, 0)))</f>
        <v>7</v>
      </c>
      <c r="F21">
        <f>IF(D21="A", INDEX(Matches!$F:$F, MATCH(A21, Matches!$A:$A, 0)), INDEX(Matches!$E:$E, MATCH(A21, Matches!$A:$A, 0)))</f>
        <v>5</v>
      </c>
      <c r="G21" t="str">
        <f t="shared" si="0"/>
        <v>Win</v>
      </c>
    </row>
    <row r="22" spans="1:8" x14ac:dyDescent="0.35">
      <c r="A22">
        <v>2</v>
      </c>
      <c r="B22" s="6">
        <f>VLOOKUP(A22,Matches!A:B,2,FALSE)</f>
        <v>45981</v>
      </c>
      <c r="C22" t="s">
        <v>26</v>
      </c>
      <c r="D22" t="s">
        <v>23</v>
      </c>
      <c r="E22">
        <f>IF(D22="A", INDEX(Matches!$E:$E, MATCH(A22, Matches!$A:$A, 0)), INDEX(Matches!$F:$F, MATCH(A22, Matches!$A:$A, 0)))</f>
        <v>7</v>
      </c>
      <c r="F22">
        <f>IF(D22="A", INDEX(Matches!$F:$F, MATCH(A22, Matches!$A:$A, 0)), INDEX(Matches!$E:$E, MATCH(A22, Matches!$A:$A, 0)))</f>
        <v>5</v>
      </c>
      <c r="G22" t="str">
        <f t="shared" si="0"/>
        <v>Win</v>
      </c>
      <c r="H22">
        <v>2</v>
      </c>
    </row>
    <row r="23" spans="1:8" x14ac:dyDescent="0.35">
      <c r="A23">
        <v>2</v>
      </c>
      <c r="B23" s="6">
        <f>VLOOKUP(A23,Matches!A:B,2,FALSE)</f>
        <v>45981</v>
      </c>
      <c r="C23" t="s">
        <v>50</v>
      </c>
      <c r="D23" t="s">
        <v>23</v>
      </c>
      <c r="E23">
        <f>IF(D23="A", INDEX(Matches!$E:$E, MATCH(A23, Matches!$A:$A, 0)), INDEX(Matches!$F:$F, MATCH(A23, Matches!$A:$A, 0)))</f>
        <v>7</v>
      </c>
      <c r="F23">
        <f>IF(D23="A", INDEX(Matches!$F:$F, MATCH(A23, Matches!$A:$A, 0)), INDEX(Matches!$E:$E, MATCH(A23, Matches!$A:$A, 0)))</f>
        <v>5</v>
      </c>
      <c r="G23" t="str">
        <f t="shared" si="0"/>
        <v>Win</v>
      </c>
      <c r="H23">
        <v>2</v>
      </c>
    </row>
    <row r="24" spans="1:8" x14ac:dyDescent="0.35">
      <c r="A24">
        <v>2</v>
      </c>
      <c r="B24" s="6">
        <f>VLOOKUP(A24,Matches!A:B,2,FALSE)</f>
        <v>45981</v>
      </c>
      <c r="C24" t="s">
        <v>46</v>
      </c>
      <c r="D24" t="s">
        <v>23</v>
      </c>
      <c r="E24">
        <f>IF(D24="A", INDEX(Matches!$E:$E, MATCH(A24, Matches!$A:$A, 0)), INDEX(Matches!$F:$F, MATCH(A24, Matches!$A:$A, 0)))</f>
        <v>7</v>
      </c>
      <c r="F24">
        <f>IF(D24="A", INDEX(Matches!$F:$F, MATCH(A24, Matches!$A:$A, 0)), INDEX(Matches!$E:$E, MATCH(A24, Matches!$A:$A, 0)))</f>
        <v>5</v>
      </c>
      <c r="G24" t="str">
        <f t="shared" si="0"/>
        <v>Win</v>
      </c>
      <c r="H24">
        <v>1</v>
      </c>
    </row>
    <row r="25" spans="1:8" x14ac:dyDescent="0.35">
      <c r="A25">
        <v>2</v>
      </c>
      <c r="B25" s="6">
        <f>VLOOKUP(A25,Matches!A:B,2,FALSE)</f>
        <v>45981</v>
      </c>
      <c r="C25" t="s">
        <v>40</v>
      </c>
      <c r="D25" t="s">
        <v>23</v>
      </c>
      <c r="E25">
        <f>IF(D25="A", INDEX(Matches!$E:$E, MATCH(A25, Matches!$A:$A, 0)), INDEX(Matches!$F:$F, MATCH(A25, Matches!$A:$A, 0)))</f>
        <v>7</v>
      </c>
      <c r="F25">
        <f>IF(D25="A", INDEX(Matches!$F:$F, MATCH(A25, Matches!$A:$A, 0)), INDEX(Matches!$E:$E, MATCH(A25, Matches!$A:$A, 0)))</f>
        <v>5</v>
      </c>
      <c r="G25" t="str">
        <f t="shared" si="0"/>
        <v>Win</v>
      </c>
    </row>
  </sheetData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1E1A0C4-701E-4259-996D-298E05111AF5}">
          <x14:formula1>
            <xm:f>Players!$A:$A</xm:f>
          </x14:formula1>
          <xm:sqref>C1:C1048576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27"/>
  <sheetViews>
    <sheetView workbookViewId="0">
      <selection activeCell="A28" sqref="A28:XFD28"/>
    </sheetView>
  </sheetViews>
  <sheetFormatPr defaultRowHeight="14.5" x14ac:dyDescent="0.35"/>
  <cols>
    <col min="1" max="1" width="14" customWidth="1"/>
    <col min="4" max="4" width="12.26953125" customWidth="1"/>
    <col min="6" max="9" width="18" customWidth="1"/>
    <col min="10" max="10" width="18" style="3" customWidth="1"/>
    <col min="11" max="12" width="13" customWidth="1"/>
  </cols>
  <sheetData>
    <row r="1" spans="1:15" s="4" customFormat="1" x14ac:dyDescent="0.35">
      <c r="A1" s="4" t="s">
        <v>9</v>
      </c>
      <c r="B1" s="4" t="s">
        <v>28</v>
      </c>
      <c r="C1" s="4" t="s">
        <v>29</v>
      </c>
      <c r="D1" s="4" t="s">
        <v>30</v>
      </c>
      <c r="E1" s="4" t="s">
        <v>31</v>
      </c>
      <c r="F1" s="4" t="s">
        <v>32</v>
      </c>
      <c r="G1" s="4" t="s">
        <v>33</v>
      </c>
      <c r="H1" s="4" t="s">
        <v>34</v>
      </c>
      <c r="I1" s="4" t="s">
        <v>35</v>
      </c>
      <c r="J1" s="5" t="s">
        <v>36</v>
      </c>
      <c r="K1" s="4" t="s">
        <v>37</v>
      </c>
      <c r="L1" s="4" t="s">
        <v>38</v>
      </c>
      <c r="M1" s="4" t="s">
        <v>15</v>
      </c>
      <c r="N1" s="4" t="s">
        <v>6</v>
      </c>
      <c r="O1" s="4" t="s">
        <v>39</v>
      </c>
    </row>
    <row r="2" spans="1:15" x14ac:dyDescent="0.35">
      <c r="A2" t="s">
        <v>26</v>
      </c>
      <c r="C2">
        <f>COUNTIF('Team Lineups'!C:C,A2)</f>
        <v>2</v>
      </c>
      <c r="D2">
        <f>SUMIF('Team Lineups'!C:C,A2,'Team Lineups'!E:E)</f>
        <v>14</v>
      </c>
      <c r="E2">
        <f>SUMIF('Team Lineups'!C:C,A2,'Team Lineups'!F:F)</f>
        <v>12</v>
      </c>
      <c r="F2">
        <f t="shared" ref="F2:F27" si="0">D2-E2</f>
        <v>2</v>
      </c>
      <c r="G2">
        <f>COUNTIFS('Team Lineups'!C:C,A2,'Team Lineups'!G:G,"Win")</f>
        <v>1</v>
      </c>
      <c r="H2">
        <f>COUNTIFS('Team Lineups'!C:C,A2,'Team Lineups'!G:G,"Draw")</f>
        <v>1</v>
      </c>
      <c r="I2">
        <f>COUNTIFS('Team Lineups'!C:C,A2,'Team Lineups'!G:G,"Loss")</f>
        <v>0</v>
      </c>
      <c r="J2" s="3">
        <f t="shared" ref="J2:J27" si="1">G2/C2</f>
        <v>0.5</v>
      </c>
      <c r="K2">
        <f>SUMIF('Team Lineups'!C:C,A2,'Team Lineups'!H:H)</f>
        <v>5</v>
      </c>
      <c r="L2">
        <f t="shared" ref="L2:L27" si="2">K2/C2</f>
        <v>2.5</v>
      </c>
      <c r="M2">
        <f>SUMIF('Team Lineups'!C:C,A2,'Team Lineups'!I:I)</f>
        <v>2</v>
      </c>
      <c r="N2">
        <f>COUNTIF(Matches!G:G,A2)</f>
        <v>2</v>
      </c>
      <c r="O2">
        <f t="shared" ref="O2:O27" si="3">N2/C2</f>
        <v>1</v>
      </c>
    </row>
    <row r="3" spans="1:15" x14ac:dyDescent="0.35">
      <c r="A3" t="s">
        <v>18</v>
      </c>
      <c r="C3">
        <f>COUNTIF('Team Lineups'!C:C,A3)</f>
        <v>1</v>
      </c>
      <c r="D3">
        <f>SUMIF('Team Lineups'!C:C,A3,'Team Lineups'!E:E)</f>
        <v>7</v>
      </c>
      <c r="E3">
        <f>SUMIF('Team Lineups'!C:C,A3,'Team Lineups'!F:F)</f>
        <v>7</v>
      </c>
      <c r="F3">
        <f t="shared" si="0"/>
        <v>0</v>
      </c>
      <c r="G3">
        <f>COUNTIFS('Team Lineups'!C:C,A3,'Team Lineups'!G:G,"Win")</f>
        <v>0</v>
      </c>
      <c r="H3">
        <f>COUNTIFS('Team Lineups'!C:C,A3,'Team Lineups'!G:G,"Draw")</f>
        <v>1</v>
      </c>
      <c r="I3">
        <f>COUNTIFS('Team Lineups'!C:C,A3,'Team Lineups'!G:G,"Loss")</f>
        <v>0</v>
      </c>
      <c r="J3" s="3">
        <f t="shared" si="1"/>
        <v>0</v>
      </c>
      <c r="K3">
        <f>SUMIF('Team Lineups'!C:C,A3,'Team Lineups'!H:H)</f>
        <v>2</v>
      </c>
      <c r="L3">
        <f t="shared" si="2"/>
        <v>2</v>
      </c>
      <c r="M3">
        <f>SUMIF('Team Lineups'!C:C,A3,'Team Lineups'!I:I)</f>
        <v>0</v>
      </c>
      <c r="N3">
        <f>COUNTIF(Matches!G:G,A3)</f>
        <v>0</v>
      </c>
      <c r="O3">
        <f t="shared" si="3"/>
        <v>0</v>
      </c>
    </row>
    <row r="4" spans="1:15" x14ac:dyDescent="0.35">
      <c r="A4" t="s">
        <v>40</v>
      </c>
      <c r="C4">
        <f>COUNTIF('Team Lineups'!C:C,A4)</f>
        <v>1</v>
      </c>
      <c r="D4">
        <f>SUMIF('Team Lineups'!C:C,A4,'Team Lineups'!E:E)</f>
        <v>7</v>
      </c>
      <c r="E4">
        <f>SUMIF('Team Lineups'!C:C,A4,'Team Lineups'!F:F)</f>
        <v>5</v>
      </c>
      <c r="F4">
        <f t="shared" si="0"/>
        <v>2</v>
      </c>
      <c r="G4">
        <f>COUNTIFS('Team Lineups'!C:C,A4,'Team Lineups'!G:G,"Win")</f>
        <v>1</v>
      </c>
      <c r="H4">
        <f>COUNTIFS('Team Lineups'!C:C,A4,'Team Lineups'!G:G,"Draw")</f>
        <v>0</v>
      </c>
      <c r="I4">
        <f>COUNTIFS('Team Lineups'!C:C,A4,'Team Lineups'!G:G,"Loss")</f>
        <v>0</v>
      </c>
      <c r="J4" s="3">
        <f t="shared" si="1"/>
        <v>1</v>
      </c>
      <c r="K4">
        <f>SUMIF('Team Lineups'!C:C,A4,'Team Lineups'!H:H)</f>
        <v>0</v>
      </c>
      <c r="L4">
        <f t="shared" si="2"/>
        <v>0</v>
      </c>
      <c r="M4">
        <f>SUMIF('Team Lineups'!C:C,A4,'Team Lineups'!I:I)</f>
        <v>0</v>
      </c>
      <c r="N4">
        <f>COUNTIF(Matches!G:G,A4)</f>
        <v>0</v>
      </c>
      <c r="O4">
        <f t="shared" si="3"/>
        <v>0</v>
      </c>
    </row>
    <row r="5" spans="1:15" x14ac:dyDescent="0.35">
      <c r="A5" t="s">
        <v>16</v>
      </c>
      <c r="C5">
        <f>COUNTIF('Team Lineups'!C:C,A5)</f>
        <v>1</v>
      </c>
      <c r="D5">
        <f>SUMIF('Team Lineups'!C:C,A5,'Team Lineups'!E:E)</f>
        <v>7</v>
      </c>
      <c r="E5">
        <f>SUMIF('Team Lineups'!C:C,A5,'Team Lineups'!F:F)</f>
        <v>7</v>
      </c>
      <c r="F5">
        <f t="shared" si="0"/>
        <v>0</v>
      </c>
      <c r="G5">
        <f>COUNTIFS('Team Lineups'!C:C,A5,'Team Lineups'!G:G,"Win")</f>
        <v>0</v>
      </c>
      <c r="H5">
        <f>COUNTIFS('Team Lineups'!C:C,A5,'Team Lineups'!G:G,"Draw")</f>
        <v>1</v>
      </c>
      <c r="I5">
        <f>COUNTIFS('Team Lineups'!C:C,A5,'Team Lineups'!G:G,"Loss")</f>
        <v>0</v>
      </c>
      <c r="J5" s="3">
        <f t="shared" si="1"/>
        <v>0</v>
      </c>
      <c r="K5">
        <f>SUMIF('Team Lineups'!C:C,A5,'Team Lineups'!H:H)</f>
        <v>2</v>
      </c>
      <c r="L5">
        <f t="shared" si="2"/>
        <v>2</v>
      </c>
      <c r="M5">
        <f>SUMIF('Team Lineups'!C:C,A5,'Team Lineups'!I:I)</f>
        <v>2</v>
      </c>
      <c r="N5">
        <f>COUNTIF(Matches!G:G,A5)</f>
        <v>0</v>
      </c>
      <c r="O5">
        <f t="shared" si="3"/>
        <v>0</v>
      </c>
    </row>
    <row r="6" spans="1:15" x14ac:dyDescent="0.35">
      <c r="A6" t="s">
        <v>41</v>
      </c>
      <c r="C6">
        <f>COUNTIF('Team Lineups'!C:C,A6)</f>
        <v>0</v>
      </c>
      <c r="D6">
        <f>SUMIF('Team Lineups'!C:C,A6,'Team Lineups'!E:E)</f>
        <v>0</v>
      </c>
      <c r="E6">
        <f>SUMIF('Team Lineups'!C:C,A6,'Team Lineups'!F:F)</f>
        <v>0</v>
      </c>
      <c r="F6">
        <f t="shared" si="0"/>
        <v>0</v>
      </c>
      <c r="G6">
        <f>COUNTIFS('Team Lineups'!C:C,A6,'Team Lineups'!G:G,"Win")</f>
        <v>0</v>
      </c>
      <c r="H6">
        <f>COUNTIFS('Team Lineups'!C:C,A6,'Team Lineups'!G:G,"Draw")</f>
        <v>0</v>
      </c>
      <c r="I6">
        <f>COUNTIFS('Team Lineups'!C:C,A6,'Team Lineups'!G:G,"Loss")</f>
        <v>0</v>
      </c>
      <c r="J6" s="3" t="e">
        <f t="shared" si="1"/>
        <v>#DIV/0!</v>
      </c>
      <c r="K6">
        <f>SUMIF('Team Lineups'!C:C,A6,'Team Lineups'!H:H)</f>
        <v>0</v>
      </c>
      <c r="L6" t="e">
        <f t="shared" si="2"/>
        <v>#DIV/0!</v>
      </c>
      <c r="M6">
        <f>SUMIF('Team Lineups'!C:C,A6,'Team Lineups'!I:I)</f>
        <v>0</v>
      </c>
      <c r="N6">
        <f>COUNTIF(Matches!G:G,A6)</f>
        <v>0</v>
      </c>
      <c r="O6" t="e">
        <f t="shared" si="3"/>
        <v>#DIV/0!</v>
      </c>
    </row>
    <row r="7" spans="1:15" x14ac:dyDescent="0.35">
      <c r="A7" t="s">
        <v>42</v>
      </c>
      <c r="C7">
        <f>COUNTIF('Team Lineups'!C:C,A7)</f>
        <v>1</v>
      </c>
      <c r="D7">
        <f>SUMIF('Team Lineups'!C:C,A7,'Team Lineups'!E:E)</f>
        <v>5</v>
      </c>
      <c r="E7">
        <f>SUMIF('Team Lineups'!C:C,A7,'Team Lineups'!F:F)</f>
        <v>7</v>
      </c>
      <c r="F7">
        <f t="shared" si="0"/>
        <v>-2</v>
      </c>
      <c r="G7">
        <f>COUNTIFS('Team Lineups'!C:C,A7,'Team Lineups'!G:G,"Win")</f>
        <v>0</v>
      </c>
      <c r="H7">
        <f>COUNTIFS('Team Lineups'!C:C,A7,'Team Lineups'!G:G,"Draw")</f>
        <v>0</v>
      </c>
      <c r="I7">
        <f>COUNTIFS('Team Lineups'!C:C,A7,'Team Lineups'!G:G,"Loss")</f>
        <v>1</v>
      </c>
      <c r="J7" s="3">
        <f t="shared" si="1"/>
        <v>0</v>
      </c>
      <c r="K7">
        <f>SUMIF('Team Lineups'!C:C,A7,'Team Lineups'!H:H)</f>
        <v>1</v>
      </c>
      <c r="L7">
        <f t="shared" si="2"/>
        <v>1</v>
      </c>
      <c r="M7">
        <f>SUMIF('Team Lineups'!C:C,A7,'Team Lineups'!I:I)</f>
        <v>0</v>
      </c>
      <c r="N7">
        <f>COUNTIF(Matches!G:G,A7)</f>
        <v>0</v>
      </c>
      <c r="O7">
        <f t="shared" si="3"/>
        <v>0</v>
      </c>
    </row>
    <row r="8" spans="1:15" x14ac:dyDescent="0.35">
      <c r="A8" t="s">
        <v>19</v>
      </c>
      <c r="C8">
        <f>COUNTIF('Team Lineups'!C:C,A8)</f>
        <v>2</v>
      </c>
      <c r="D8">
        <f>SUMIF('Team Lineups'!C:C,A8,'Team Lineups'!E:E)</f>
        <v>12</v>
      </c>
      <c r="E8">
        <f>SUMIF('Team Lineups'!C:C,A8,'Team Lineups'!F:F)</f>
        <v>14</v>
      </c>
      <c r="F8">
        <f t="shared" si="0"/>
        <v>-2</v>
      </c>
      <c r="G8">
        <f>COUNTIFS('Team Lineups'!C:C,A8,'Team Lineups'!G:G,"Win")</f>
        <v>0</v>
      </c>
      <c r="H8">
        <f>COUNTIFS('Team Lineups'!C:C,A8,'Team Lineups'!G:G,"Draw")</f>
        <v>1</v>
      </c>
      <c r="I8">
        <f>COUNTIFS('Team Lineups'!C:C,A8,'Team Lineups'!G:G,"Loss")</f>
        <v>1</v>
      </c>
      <c r="J8" s="3">
        <f t="shared" si="1"/>
        <v>0</v>
      </c>
      <c r="K8">
        <f>SUMIF('Team Lineups'!C:C,A8,'Team Lineups'!H:H)</f>
        <v>3</v>
      </c>
      <c r="L8">
        <f t="shared" si="2"/>
        <v>1.5</v>
      </c>
      <c r="M8">
        <f>SUMIF('Team Lineups'!C:C,A8,'Team Lineups'!I:I)</f>
        <v>0</v>
      </c>
      <c r="N8">
        <f>COUNTIF(Matches!G:G,A8)</f>
        <v>0</v>
      </c>
      <c r="O8">
        <f t="shared" si="3"/>
        <v>0</v>
      </c>
    </row>
    <row r="9" spans="1:15" x14ac:dyDescent="0.35">
      <c r="A9" t="s">
        <v>43</v>
      </c>
      <c r="C9">
        <f>COUNTIF('Team Lineups'!C:C,A9)</f>
        <v>1</v>
      </c>
      <c r="D9">
        <f>SUMIF('Team Lineups'!C:C,A9,'Team Lineups'!E:E)</f>
        <v>5</v>
      </c>
      <c r="E9">
        <f>SUMIF('Team Lineups'!C:C,A9,'Team Lineups'!F:F)</f>
        <v>7</v>
      </c>
      <c r="F9">
        <f t="shared" si="0"/>
        <v>-2</v>
      </c>
      <c r="G9">
        <f>COUNTIFS('Team Lineups'!C:C,A9,'Team Lineups'!G:G,"Win")</f>
        <v>0</v>
      </c>
      <c r="H9">
        <f>COUNTIFS('Team Lineups'!C:C,A9,'Team Lineups'!G:G,"Draw")</f>
        <v>0</v>
      </c>
      <c r="I9">
        <f>COUNTIFS('Team Lineups'!C:C,A9,'Team Lineups'!G:G,"Loss")</f>
        <v>1</v>
      </c>
      <c r="J9" s="3">
        <f t="shared" si="1"/>
        <v>0</v>
      </c>
      <c r="K9">
        <f>SUMIF('Team Lineups'!C:C,A9,'Team Lineups'!H:H)</f>
        <v>0</v>
      </c>
      <c r="L9">
        <f t="shared" si="2"/>
        <v>0</v>
      </c>
      <c r="M9">
        <f>SUMIF('Team Lineups'!C:C,A9,'Team Lineups'!I:I)</f>
        <v>0</v>
      </c>
      <c r="N9">
        <f>COUNTIF(Matches!G:G,A9)</f>
        <v>0</v>
      </c>
      <c r="O9">
        <f t="shared" si="3"/>
        <v>0</v>
      </c>
    </row>
    <row r="10" spans="1:15" x14ac:dyDescent="0.35">
      <c r="A10" t="s">
        <v>44</v>
      </c>
      <c r="C10">
        <f>COUNTIF('Team Lineups'!C:C,A10)</f>
        <v>0</v>
      </c>
      <c r="D10">
        <f>SUMIF('Team Lineups'!C:C,A10,'Team Lineups'!E:E)</f>
        <v>0</v>
      </c>
      <c r="E10">
        <f>SUMIF('Team Lineups'!C:C,A10,'Team Lineups'!F:F)</f>
        <v>0</v>
      </c>
      <c r="F10">
        <f t="shared" si="0"/>
        <v>0</v>
      </c>
      <c r="G10">
        <f>COUNTIFS('Team Lineups'!C:C,A10,'Team Lineups'!G:G,"Win")</f>
        <v>0</v>
      </c>
      <c r="H10">
        <f>COUNTIFS('Team Lineups'!C:C,A10,'Team Lineups'!G:G,"Draw")</f>
        <v>0</v>
      </c>
      <c r="I10">
        <f>COUNTIFS('Team Lineups'!C:C,A10,'Team Lineups'!G:G,"Loss")</f>
        <v>0</v>
      </c>
      <c r="J10" s="3" t="e">
        <f t="shared" si="1"/>
        <v>#DIV/0!</v>
      </c>
      <c r="K10">
        <f>SUMIF('Team Lineups'!C:C,A10,'Team Lineups'!H:H)</f>
        <v>0</v>
      </c>
      <c r="L10" t="e">
        <f t="shared" si="2"/>
        <v>#DIV/0!</v>
      </c>
      <c r="M10">
        <f>SUMIF('Team Lineups'!C:C,A10,'Team Lineups'!I:I)</f>
        <v>0</v>
      </c>
      <c r="N10">
        <f>COUNTIF(Matches!G:G,A10)</f>
        <v>0</v>
      </c>
      <c r="O10" t="e">
        <f t="shared" si="3"/>
        <v>#DIV/0!</v>
      </c>
    </row>
    <row r="11" spans="1:15" x14ac:dyDescent="0.35">
      <c r="A11" t="s">
        <v>45</v>
      </c>
      <c r="C11">
        <f>COUNTIF('Team Lineups'!C:C,A11)</f>
        <v>0</v>
      </c>
      <c r="D11">
        <f>SUMIF('Team Lineups'!C:C,A11,'Team Lineups'!E:E)</f>
        <v>0</v>
      </c>
      <c r="E11">
        <f>SUMIF('Team Lineups'!C:C,A11,'Team Lineups'!F:F)</f>
        <v>0</v>
      </c>
      <c r="F11">
        <f t="shared" si="0"/>
        <v>0</v>
      </c>
      <c r="G11">
        <f>COUNTIFS('Team Lineups'!C:C,A11,'Team Lineups'!G:G,"Win")</f>
        <v>0</v>
      </c>
      <c r="H11">
        <f>COUNTIFS('Team Lineups'!C:C,A11,'Team Lineups'!G:G,"Draw")</f>
        <v>0</v>
      </c>
      <c r="I11">
        <f>COUNTIFS('Team Lineups'!C:C,A11,'Team Lineups'!G:G,"Loss")</f>
        <v>0</v>
      </c>
      <c r="J11" s="3" t="e">
        <f t="shared" si="1"/>
        <v>#DIV/0!</v>
      </c>
      <c r="K11">
        <f>SUMIF('Team Lineups'!C:C,A11,'Team Lineups'!H:H)</f>
        <v>0</v>
      </c>
      <c r="L11" t="e">
        <f t="shared" si="2"/>
        <v>#DIV/0!</v>
      </c>
      <c r="M11">
        <f>SUMIF('Team Lineups'!C:C,A11,'Team Lineups'!I:I)</f>
        <v>0</v>
      </c>
      <c r="N11">
        <f>COUNTIF(Matches!G:G,A11)</f>
        <v>0</v>
      </c>
      <c r="O11" t="e">
        <f t="shared" si="3"/>
        <v>#DIV/0!</v>
      </c>
    </row>
    <row r="12" spans="1:15" x14ac:dyDescent="0.35">
      <c r="A12" t="s">
        <v>46</v>
      </c>
      <c r="C12">
        <f>COUNTIF('Team Lineups'!C:C,A12)</f>
        <v>1</v>
      </c>
      <c r="D12">
        <f>SUMIF('Team Lineups'!C:C,A12,'Team Lineups'!E:E)</f>
        <v>7</v>
      </c>
      <c r="E12">
        <f>SUMIF('Team Lineups'!C:C,A12,'Team Lineups'!F:F)</f>
        <v>5</v>
      </c>
      <c r="F12">
        <f t="shared" si="0"/>
        <v>2</v>
      </c>
      <c r="G12">
        <f>COUNTIFS('Team Lineups'!C:C,A12,'Team Lineups'!G:G,"Win")</f>
        <v>1</v>
      </c>
      <c r="H12">
        <f>COUNTIFS('Team Lineups'!C:C,A12,'Team Lineups'!G:G,"Draw")</f>
        <v>0</v>
      </c>
      <c r="I12">
        <f>COUNTIFS('Team Lineups'!C:C,A12,'Team Lineups'!G:G,"Loss")</f>
        <v>0</v>
      </c>
      <c r="J12" s="3">
        <f t="shared" si="1"/>
        <v>1</v>
      </c>
      <c r="K12">
        <f>SUMIF('Team Lineups'!C:C,A12,'Team Lineups'!H:H)</f>
        <v>1</v>
      </c>
      <c r="L12">
        <f t="shared" si="2"/>
        <v>1</v>
      </c>
      <c r="M12">
        <f>SUMIF('Team Lineups'!C:C,A12,'Team Lineups'!I:I)</f>
        <v>0</v>
      </c>
      <c r="N12">
        <f>COUNTIF(Matches!G:G,A12)</f>
        <v>0</v>
      </c>
      <c r="O12">
        <f t="shared" si="3"/>
        <v>0</v>
      </c>
    </row>
    <row r="13" spans="1:15" x14ac:dyDescent="0.35">
      <c r="A13" t="s">
        <v>47</v>
      </c>
      <c r="C13">
        <f>COUNTIF('Team Lineups'!C:C,A13)</f>
        <v>0</v>
      </c>
      <c r="D13">
        <f>SUMIF('Team Lineups'!C:C,A13,'Team Lineups'!E:E)</f>
        <v>0</v>
      </c>
      <c r="E13">
        <f>SUMIF('Team Lineups'!C:C,A13,'Team Lineups'!F:F)</f>
        <v>0</v>
      </c>
      <c r="F13">
        <f t="shared" si="0"/>
        <v>0</v>
      </c>
      <c r="G13">
        <f>COUNTIFS('Team Lineups'!C:C,A13,'Team Lineups'!G:G,"Win")</f>
        <v>0</v>
      </c>
      <c r="H13">
        <f>COUNTIFS('Team Lineups'!C:C,A13,'Team Lineups'!G:G,"Draw")</f>
        <v>0</v>
      </c>
      <c r="I13">
        <f>COUNTIFS('Team Lineups'!C:C,A13,'Team Lineups'!G:G,"Loss")</f>
        <v>0</v>
      </c>
      <c r="J13" s="3" t="e">
        <f t="shared" si="1"/>
        <v>#DIV/0!</v>
      </c>
      <c r="K13">
        <f>SUMIF('Team Lineups'!C:C,A13,'Team Lineups'!H:H)</f>
        <v>0</v>
      </c>
      <c r="L13" t="e">
        <f t="shared" si="2"/>
        <v>#DIV/0!</v>
      </c>
      <c r="M13">
        <f>SUMIF('Team Lineups'!C:C,A13,'Team Lineups'!I:I)</f>
        <v>0</v>
      </c>
      <c r="N13">
        <f>COUNTIF(Matches!G:G,A13)</f>
        <v>0</v>
      </c>
      <c r="O13" t="e">
        <f t="shared" si="3"/>
        <v>#DIV/0!</v>
      </c>
    </row>
    <row r="14" spans="1:15" x14ac:dyDescent="0.35">
      <c r="A14" t="s">
        <v>48</v>
      </c>
      <c r="C14">
        <f>COUNTIF('Team Lineups'!C:C,A14)</f>
        <v>0</v>
      </c>
      <c r="D14">
        <f>SUMIF('Team Lineups'!C:C,A14,'Team Lineups'!E:E)</f>
        <v>0</v>
      </c>
      <c r="E14">
        <f>SUMIF('Team Lineups'!C:C,A14,'Team Lineups'!F:F)</f>
        <v>0</v>
      </c>
      <c r="F14">
        <f t="shared" si="0"/>
        <v>0</v>
      </c>
      <c r="G14">
        <f>COUNTIFS('Team Lineups'!C:C,A14,'Team Lineups'!G:G,"Win")</f>
        <v>0</v>
      </c>
      <c r="H14">
        <f>COUNTIFS('Team Lineups'!C:C,A14,'Team Lineups'!G:G,"Draw")</f>
        <v>0</v>
      </c>
      <c r="I14">
        <f>COUNTIFS('Team Lineups'!C:C,A14,'Team Lineups'!G:G,"Loss")</f>
        <v>0</v>
      </c>
      <c r="J14" s="3" t="e">
        <f t="shared" si="1"/>
        <v>#DIV/0!</v>
      </c>
      <c r="K14">
        <f>SUMIF('Team Lineups'!C:C,A14,'Team Lineups'!H:H)</f>
        <v>0</v>
      </c>
      <c r="L14" t="e">
        <f t="shared" si="2"/>
        <v>#DIV/0!</v>
      </c>
      <c r="M14">
        <f>SUMIF('Team Lineups'!C:C,A14,'Team Lineups'!I:I)</f>
        <v>0</v>
      </c>
      <c r="N14">
        <f>COUNTIF(Matches!G:G,A14)</f>
        <v>0</v>
      </c>
      <c r="O14" t="e">
        <f t="shared" si="3"/>
        <v>#DIV/0!</v>
      </c>
    </row>
    <row r="15" spans="1:15" x14ac:dyDescent="0.35">
      <c r="A15" t="s">
        <v>49</v>
      </c>
      <c r="C15">
        <f>COUNTIF('Team Lineups'!C:C,A15)</f>
        <v>0</v>
      </c>
      <c r="D15">
        <f>SUMIF('Team Lineups'!C:C,A15,'Team Lineups'!E:E)</f>
        <v>0</v>
      </c>
      <c r="E15">
        <f>SUMIF('Team Lineups'!C:C,A15,'Team Lineups'!F:F)</f>
        <v>0</v>
      </c>
      <c r="F15">
        <f t="shared" si="0"/>
        <v>0</v>
      </c>
      <c r="G15">
        <f>COUNTIFS('Team Lineups'!C:C,A15,'Team Lineups'!G:G,"Win")</f>
        <v>0</v>
      </c>
      <c r="H15">
        <f>COUNTIFS('Team Lineups'!C:C,A15,'Team Lineups'!G:G,"Draw")</f>
        <v>0</v>
      </c>
      <c r="I15">
        <f>COUNTIFS('Team Lineups'!C:C,A15,'Team Lineups'!G:G,"Loss")</f>
        <v>0</v>
      </c>
      <c r="J15" s="3" t="e">
        <f t="shared" si="1"/>
        <v>#DIV/0!</v>
      </c>
      <c r="K15">
        <f>SUMIF('Team Lineups'!C:C,A15,'Team Lineups'!H:H)</f>
        <v>0</v>
      </c>
      <c r="L15" t="e">
        <f t="shared" si="2"/>
        <v>#DIV/0!</v>
      </c>
      <c r="M15">
        <f>SUMIF('Team Lineups'!C:C,A15,'Team Lineups'!I:I)</f>
        <v>0</v>
      </c>
      <c r="N15">
        <f>COUNTIF(Matches!G:G,A15)</f>
        <v>0</v>
      </c>
      <c r="O15" t="e">
        <f t="shared" si="3"/>
        <v>#DIV/0!</v>
      </c>
    </row>
    <row r="16" spans="1:15" x14ac:dyDescent="0.35">
      <c r="A16" t="s">
        <v>24</v>
      </c>
      <c r="C16">
        <f>COUNTIF('Team Lineups'!C:C,A16)</f>
        <v>2</v>
      </c>
      <c r="D16">
        <f>SUMIF('Team Lineups'!C:C,A16,'Team Lineups'!E:E)</f>
        <v>14</v>
      </c>
      <c r="E16">
        <f>SUMIF('Team Lineups'!C:C,A16,'Team Lineups'!F:F)</f>
        <v>12</v>
      </c>
      <c r="F16">
        <f t="shared" si="0"/>
        <v>2</v>
      </c>
      <c r="G16">
        <f>COUNTIFS('Team Lineups'!C:C,A16,'Team Lineups'!G:G,"Win")</f>
        <v>1</v>
      </c>
      <c r="H16">
        <f>COUNTIFS('Team Lineups'!C:C,A16,'Team Lineups'!G:G,"Draw")</f>
        <v>1</v>
      </c>
      <c r="I16">
        <f>COUNTIFS('Team Lineups'!C:C,A16,'Team Lineups'!G:G,"Loss")</f>
        <v>0</v>
      </c>
      <c r="J16" s="3">
        <f t="shared" si="1"/>
        <v>0.5</v>
      </c>
      <c r="K16">
        <f>SUMIF('Team Lineups'!C:C,A16,'Team Lineups'!H:H)</f>
        <v>1</v>
      </c>
      <c r="L16">
        <f t="shared" si="2"/>
        <v>0.5</v>
      </c>
      <c r="M16">
        <f>SUMIF('Team Lineups'!C:C,A16,'Team Lineups'!I:I)</f>
        <v>0</v>
      </c>
      <c r="N16">
        <f>COUNTIF(Matches!G:G,A16)</f>
        <v>0</v>
      </c>
      <c r="O16">
        <f t="shared" si="3"/>
        <v>0</v>
      </c>
    </row>
    <row r="17" spans="1:15" x14ac:dyDescent="0.35">
      <c r="A17" t="s">
        <v>20</v>
      </c>
      <c r="C17">
        <f>COUNTIF('Team Lineups'!C:C,A17)</f>
        <v>2</v>
      </c>
      <c r="D17">
        <f>SUMIF('Team Lineups'!C:C,A17,'Team Lineups'!E:E)</f>
        <v>12</v>
      </c>
      <c r="E17">
        <f>SUMIF('Team Lineups'!C:C,A17,'Team Lineups'!F:F)</f>
        <v>14</v>
      </c>
      <c r="F17">
        <f t="shared" si="0"/>
        <v>-2</v>
      </c>
      <c r="G17">
        <f>COUNTIFS('Team Lineups'!C:C,A17,'Team Lineups'!G:G,"Win")</f>
        <v>0</v>
      </c>
      <c r="H17">
        <f>COUNTIFS('Team Lineups'!C:C,A17,'Team Lineups'!G:G,"Draw")</f>
        <v>1</v>
      </c>
      <c r="I17">
        <f>COUNTIFS('Team Lineups'!C:C,A17,'Team Lineups'!G:G,"Loss")</f>
        <v>1</v>
      </c>
      <c r="J17" s="3">
        <f t="shared" si="1"/>
        <v>0</v>
      </c>
      <c r="K17">
        <f>SUMIF('Team Lineups'!C:C,A17,'Team Lineups'!H:H)</f>
        <v>1</v>
      </c>
      <c r="L17">
        <f t="shared" si="2"/>
        <v>0.5</v>
      </c>
      <c r="M17">
        <f>SUMIF('Team Lineups'!C:C,A17,'Team Lineups'!I:I)</f>
        <v>0</v>
      </c>
      <c r="N17">
        <f>COUNTIF(Matches!G:G,A17)</f>
        <v>0</v>
      </c>
      <c r="O17">
        <f t="shared" si="3"/>
        <v>0</v>
      </c>
    </row>
    <row r="18" spans="1:15" x14ac:dyDescent="0.35">
      <c r="A18" t="s">
        <v>21</v>
      </c>
      <c r="C18">
        <f>COUNTIF('Team Lineups'!C:C,A18)</f>
        <v>2</v>
      </c>
      <c r="D18">
        <f>SUMIF('Team Lineups'!C:C,A18,'Team Lineups'!E:E)</f>
        <v>12</v>
      </c>
      <c r="E18">
        <f>SUMIF('Team Lineups'!C:C,A18,'Team Lineups'!F:F)</f>
        <v>14</v>
      </c>
      <c r="F18">
        <f t="shared" si="0"/>
        <v>-2</v>
      </c>
      <c r="G18">
        <f>COUNTIFS('Team Lineups'!C:C,A18,'Team Lineups'!G:G,"Win")</f>
        <v>0</v>
      </c>
      <c r="H18">
        <f>COUNTIFS('Team Lineups'!C:C,A18,'Team Lineups'!G:G,"Draw")</f>
        <v>1</v>
      </c>
      <c r="I18">
        <f>COUNTIFS('Team Lineups'!C:C,A18,'Team Lineups'!G:G,"Loss")</f>
        <v>1</v>
      </c>
      <c r="J18" s="3">
        <f t="shared" si="1"/>
        <v>0</v>
      </c>
      <c r="K18">
        <f>SUMIF('Team Lineups'!C:C,A18,'Team Lineups'!H:H)</f>
        <v>1</v>
      </c>
      <c r="L18">
        <f t="shared" si="2"/>
        <v>0.5</v>
      </c>
      <c r="M18">
        <f>SUMIF('Team Lineups'!C:C,A18,'Team Lineups'!I:I)</f>
        <v>0</v>
      </c>
      <c r="N18">
        <f>COUNTIF(Matches!G:G,A18)</f>
        <v>0</v>
      </c>
      <c r="O18">
        <f t="shared" si="3"/>
        <v>0</v>
      </c>
    </row>
    <row r="19" spans="1:15" x14ac:dyDescent="0.35">
      <c r="A19" t="s">
        <v>50</v>
      </c>
      <c r="C19">
        <f>COUNTIF('Team Lineups'!C:C,A19)</f>
        <v>1</v>
      </c>
      <c r="D19">
        <f>SUMIF('Team Lineups'!C:C,A19,'Team Lineups'!E:E)</f>
        <v>7</v>
      </c>
      <c r="E19">
        <f>SUMIF('Team Lineups'!C:C,A19,'Team Lineups'!F:F)</f>
        <v>5</v>
      </c>
      <c r="F19">
        <f t="shared" si="0"/>
        <v>2</v>
      </c>
      <c r="G19">
        <f>COUNTIFS('Team Lineups'!C:C,A19,'Team Lineups'!G:G,"Win")</f>
        <v>1</v>
      </c>
      <c r="H19">
        <f>COUNTIFS('Team Lineups'!C:C,A19,'Team Lineups'!G:G,"Draw")</f>
        <v>0</v>
      </c>
      <c r="I19">
        <f>COUNTIFS('Team Lineups'!C:C,A19,'Team Lineups'!G:G,"Loss")</f>
        <v>0</v>
      </c>
      <c r="J19" s="3">
        <f t="shared" si="1"/>
        <v>1</v>
      </c>
      <c r="K19">
        <f>SUMIF('Team Lineups'!C:C,A19,'Team Lineups'!H:H)</f>
        <v>2</v>
      </c>
      <c r="L19">
        <f t="shared" si="2"/>
        <v>2</v>
      </c>
      <c r="M19">
        <f>SUMIF('Team Lineups'!C:C,A19,'Team Lineups'!I:I)</f>
        <v>0</v>
      </c>
      <c r="N19">
        <f>COUNTIF(Matches!G:G,A19)</f>
        <v>0</v>
      </c>
      <c r="O19">
        <f t="shared" si="3"/>
        <v>0</v>
      </c>
    </row>
    <row r="20" spans="1:15" x14ac:dyDescent="0.35">
      <c r="A20" t="s">
        <v>27</v>
      </c>
      <c r="C20">
        <f>COUNTIF('Team Lineups'!C:C,A20)</f>
        <v>1</v>
      </c>
      <c r="D20">
        <f>SUMIF('Team Lineups'!C:C,A20,'Team Lineups'!E:E)</f>
        <v>7</v>
      </c>
      <c r="E20">
        <f>SUMIF('Team Lineups'!C:C,A20,'Team Lineups'!F:F)</f>
        <v>7</v>
      </c>
      <c r="F20">
        <f t="shared" si="0"/>
        <v>0</v>
      </c>
      <c r="G20">
        <f>COUNTIFS('Team Lineups'!C:C,A20,'Team Lineups'!G:G,"Win")</f>
        <v>0</v>
      </c>
      <c r="H20">
        <f>COUNTIFS('Team Lineups'!C:C,A20,'Team Lineups'!G:G,"Draw")</f>
        <v>1</v>
      </c>
      <c r="I20">
        <f>COUNTIFS('Team Lineups'!C:C,A20,'Team Lineups'!G:G,"Loss")</f>
        <v>0</v>
      </c>
      <c r="J20" s="3">
        <f t="shared" si="1"/>
        <v>0</v>
      </c>
      <c r="K20">
        <f>SUMIF('Team Lineups'!C:C,A20,'Team Lineups'!H:H)</f>
        <v>0</v>
      </c>
      <c r="L20">
        <f t="shared" si="2"/>
        <v>0</v>
      </c>
      <c r="M20">
        <f>SUMIF('Team Lineups'!C:C,A20,'Team Lineups'!I:I)</f>
        <v>0</v>
      </c>
      <c r="N20">
        <f>COUNTIF(Matches!G:G,A20)</f>
        <v>0</v>
      </c>
      <c r="O20">
        <f t="shared" si="3"/>
        <v>0</v>
      </c>
    </row>
    <row r="21" spans="1:15" x14ac:dyDescent="0.35">
      <c r="A21" t="s">
        <v>51</v>
      </c>
      <c r="C21">
        <f>COUNTIF('Team Lineups'!C:C,A21)</f>
        <v>0</v>
      </c>
      <c r="D21">
        <f>SUMIF('Team Lineups'!C:C,A21,'Team Lineups'!E:E)</f>
        <v>0</v>
      </c>
      <c r="E21">
        <f>SUMIF('Team Lineups'!C:C,A21,'Team Lineups'!F:F)</f>
        <v>0</v>
      </c>
      <c r="F21">
        <f t="shared" si="0"/>
        <v>0</v>
      </c>
      <c r="G21">
        <f>COUNTIFS('Team Lineups'!C:C,A21,'Team Lineups'!G:G,"Win")</f>
        <v>0</v>
      </c>
      <c r="H21">
        <f>COUNTIFS('Team Lineups'!C:C,A21,'Team Lineups'!G:G,"Draw")</f>
        <v>0</v>
      </c>
      <c r="I21">
        <f>COUNTIFS('Team Lineups'!C:C,A21,'Team Lineups'!G:G,"Loss")</f>
        <v>0</v>
      </c>
      <c r="J21" s="3" t="e">
        <f t="shared" si="1"/>
        <v>#DIV/0!</v>
      </c>
      <c r="K21">
        <f>SUMIF('Team Lineups'!C:C,A21,'Team Lineups'!H:H)</f>
        <v>0</v>
      </c>
      <c r="L21" t="e">
        <f t="shared" si="2"/>
        <v>#DIV/0!</v>
      </c>
      <c r="M21">
        <f>SUMIF('Team Lineups'!C:C,A21,'Team Lineups'!I:I)</f>
        <v>0</v>
      </c>
      <c r="N21">
        <f>COUNTIF(Matches!G:G,A21)</f>
        <v>0</v>
      </c>
      <c r="O21" t="e">
        <f t="shared" si="3"/>
        <v>#DIV/0!</v>
      </c>
    </row>
    <row r="22" spans="1:15" x14ac:dyDescent="0.35">
      <c r="A22" t="s">
        <v>52</v>
      </c>
      <c r="C22">
        <f>COUNTIF('Team Lineups'!C:C,A22)</f>
        <v>0</v>
      </c>
      <c r="D22">
        <f>SUMIF('Team Lineups'!C:C,A22,'Team Lineups'!E:E)</f>
        <v>0</v>
      </c>
      <c r="E22">
        <f>SUMIF('Team Lineups'!C:C,A22,'Team Lineups'!F:F)</f>
        <v>0</v>
      </c>
      <c r="F22">
        <f t="shared" si="0"/>
        <v>0</v>
      </c>
      <c r="G22">
        <f>COUNTIFS('Team Lineups'!C:C,A22,'Team Lineups'!G:G,"Win")</f>
        <v>0</v>
      </c>
      <c r="H22">
        <f>COUNTIFS('Team Lineups'!C:C,A22,'Team Lineups'!G:G,"Draw")</f>
        <v>0</v>
      </c>
      <c r="I22">
        <f>COUNTIFS('Team Lineups'!C:C,A22,'Team Lineups'!G:G,"Loss")</f>
        <v>0</v>
      </c>
      <c r="J22" s="3" t="e">
        <f t="shared" si="1"/>
        <v>#DIV/0!</v>
      </c>
      <c r="K22">
        <f>SUMIF('Team Lineups'!C:C,A22,'Team Lineups'!H:H)</f>
        <v>0</v>
      </c>
      <c r="L22" t="e">
        <f t="shared" si="2"/>
        <v>#DIV/0!</v>
      </c>
      <c r="M22">
        <f>SUMIF('Team Lineups'!C:C,A22,'Team Lineups'!I:I)</f>
        <v>0</v>
      </c>
      <c r="N22">
        <f>COUNTIF(Matches!G:G,A22)</f>
        <v>0</v>
      </c>
      <c r="O22" t="e">
        <f t="shared" si="3"/>
        <v>#DIV/0!</v>
      </c>
    </row>
    <row r="23" spans="1:15" x14ac:dyDescent="0.35">
      <c r="A23" t="s">
        <v>22</v>
      </c>
      <c r="C23">
        <f>COUNTIF('Team Lineups'!C:C,A23)</f>
        <v>2</v>
      </c>
      <c r="D23">
        <f>SUMIF('Team Lineups'!C:C,A23,'Team Lineups'!E:E)</f>
        <v>14</v>
      </c>
      <c r="E23">
        <f>SUMIF('Team Lineups'!C:C,A23,'Team Lineups'!F:F)</f>
        <v>12</v>
      </c>
      <c r="F23">
        <f t="shared" si="0"/>
        <v>2</v>
      </c>
      <c r="G23">
        <f>COUNTIFS('Team Lineups'!C:C,A23,'Team Lineups'!G:G,"Win")</f>
        <v>1</v>
      </c>
      <c r="H23">
        <f>COUNTIFS('Team Lineups'!C:C,A23,'Team Lineups'!G:G,"Draw")</f>
        <v>1</v>
      </c>
      <c r="I23">
        <f>COUNTIFS('Team Lineups'!C:C,A23,'Team Lineups'!G:G,"Loss")</f>
        <v>0</v>
      </c>
      <c r="J23" s="3">
        <f t="shared" si="1"/>
        <v>0.5</v>
      </c>
      <c r="K23">
        <f>SUMIF('Team Lineups'!C:C,A23,'Team Lineups'!H:H)</f>
        <v>0</v>
      </c>
      <c r="L23">
        <f t="shared" si="2"/>
        <v>0</v>
      </c>
      <c r="M23">
        <f>SUMIF('Team Lineups'!C:C,A23,'Team Lineups'!I:I)</f>
        <v>0</v>
      </c>
      <c r="N23">
        <f>COUNTIF(Matches!G:G,A23)</f>
        <v>0</v>
      </c>
      <c r="O23">
        <f t="shared" si="3"/>
        <v>0</v>
      </c>
    </row>
    <row r="24" spans="1:15" x14ac:dyDescent="0.35">
      <c r="A24" t="s">
        <v>25</v>
      </c>
      <c r="C24">
        <f>COUNTIF('Team Lineups'!C:C,A24)</f>
        <v>2</v>
      </c>
      <c r="D24">
        <f>SUMIF('Team Lineups'!C:C,A24,'Team Lineups'!E:E)</f>
        <v>14</v>
      </c>
      <c r="E24">
        <f>SUMIF('Team Lineups'!C:C,A24,'Team Lineups'!F:F)</f>
        <v>12</v>
      </c>
      <c r="F24">
        <f t="shared" si="0"/>
        <v>2</v>
      </c>
      <c r="G24">
        <f>COUNTIFS('Team Lineups'!C:C,A24,'Team Lineups'!G:G,"Win")</f>
        <v>1</v>
      </c>
      <c r="H24">
        <f>COUNTIFS('Team Lineups'!C:C,A24,'Team Lineups'!G:G,"Draw")</f>
        <v>1</v>
      </c>
      <c r="I24">
        <f>COUNTIFS('Team Lineups'!C:C,A24,'Team Lineups'!G:G,"Loss")</f>
        <v>0</v>
      </c>
      <c r="J24" s="3">
        <f t="shared" si="1"/>
        <v>0.5</v>
      </c>
      <c r="K24">
        <f>SUMIF('Team Lineups'!C:C,A24,'Team Lineups'!H:H)</f>
        <v>2</v>
      </c>
      <c r="L24">
        <f t="shared" si="2"/>
        <v>1</v>
      </c>
      <c r="M24">
        <f>SUMIF('Team Lineups'!C:C,A24,'Team Lineups'!I:I)</f>
        <v>0</v>
      </c>
      <c r="N24">
        <f>COUNTIF(Matches!G:G,A24)</f>
        <v>0</v>
      </c>
      <c r="O24">
        <f t="shared" si="3"/>
        <v>0</v>
      </c>
    </row>
    <row r="25" spans="1:15" x14ac:dyDescent="0.35">
      <c r="A25" t="s">
        <v>53</v>
      </c>
      <c r="C25">
        <f>COUNTIF('Team Lineups'!C:C,A25)</f>
        <v>1</v>
      </c>
      <c r="D25">
        <f>SUMIF('Team Lineups'!C:C,A25,'Team Lineups'!E:E)</f>
        <v>5</v>
      </c>
      <c r="E25">
        <f>SUMIF('Team Lineups'!C:C,A25,'Team Lineups'!F:F)</f>
        <v>7</v>
      </c>
      <c r="F25">
        <f t="shared" si="0"/>
        <v>-2</v>
      </c>
      <c r="G25">
        <f>COUNTIFS('Team Lineups'!C:C,A25,'Team Lineups'!G:G,"Win")</f>
        <v>0</v>
      </c>
      <c r="H25">
        <f>COUNTIFS('Team Lineups'!C:C,A25,'Team Lineups'!G:G,"Draw")</f>
        <v>0</v>
      </c>
      <c r="I25">
        <f>COUNTIFS('Team Lineups'!C:C,A25,'Team Lineups'!G:G,"Loss")</f>
        <v>1</v>
      </c>
      <c r="J25" s="3">
        <f t="shared" si="1"/>
        <v>0</v>
      </c>
      <c r="K25">
        <f>SUMIF('Team Lineups'!C:C,A25,'Team Lineups'!H:H)</f>
        <v>1</v>
      </c>
      <c r="L25">
        <f t="shared" si="2"/>
        <v>1</v>
      </c>
      <c r="M25">
        <f>SUMIF('Team Lineups'!C:C,A25,'Team Lineups'!I:I)</f>
        <v>0</v>
      </c>
      <c r="N25">
        <f>COUNTIF(Matches!G:G,A25)</f>
        <v>0</v>
      </c>
      <c r="O25">
        <f t="shared" si="3"/>
        <v>0</v>
      </c>
    </row>
    <row r="26" spans="1:15" x14ac:dyDescent="0.35">
      <c r="A26" t="s">
        <v>54</v>
      </c>
      <c r="C26">
        <f>COUNTIF('Team Lineups'!C:C,A26)</f>
        <v>1</v>
      </c>
      <c r="D26">
        <f>SUMIF('Team Lineups'!C:C,A26,'Team Lineups'!E:E)</f>
        <v>5</v>
      </c>
      <c r="E26">
        <f>SUMIF('Team Lineups'!C:C,A26,'Team Lineups'!F:F)</f>
        <v>7</v>
      </c>
      <c r="F26">
        <f t="shared" si="0"/>
        <v>-2</v>
      </c>
      <c r="G26">
        <f>COUNTIFS('Team Lineups'!C:C,A26,'Team Lineups'!G:G,"Win")</f>
        <v>0</v>
      </c>
      <c r="H26">
        <f>COUNTIFS('Team Lineups'!C:C,A26,'Team Lineups'!G:G,"Draw")</f>
        <v>0</v>
      </c>
      <c r="I26">
        <f>COUNTIFS('Team Lineups'!C:C,A26,'Team Lineups'!G:G,"Loss")</f>
        <v>1</v>
      </c>
      <c r="J26" s="3">
        <f t="shared" si="1"/>
        <v>0</v>
      </c>
      <c r="K26">
        <f>SUMIF('Team Lineups'!C:C,A26,'Team Lineups'!H:H)</f>
        <v>0</v>
      </c>
      <c r="L26">
        <f t="shared" si="2"/>
        <v>0</v>
      </c>
      <c r="M26">
        <f>SUMIF('Team Lineups'!C:C,A26,'Team Lineups'!I:I)</f>
        <v>0</v>
      </c>
      <c r="N26">
        <f>COUNTIF(Matches!G:G,A26)</f>
        <v>0</v>
      </c>
      <c r="O26">
        <f t="shared" si="3"/>
        <v>0</v>
      </c>
    </row>
    <row r="27" spans="1:15" x14ac:dyDescent="0.35">
      <c r="A27" t="s">
        <v>55</v>
      </c>
      <c r="C27">
        <f>COUNTIF('Team Lineups'!C:C,A27)</f>
        <v>0</v>
      </c>
      <c r="D27">
        <f>SUMIF('Team Lineups'!C:C,A27,'Team Lineups'!E:E)</f>
        <v>0</v>
      </c>
      <c r="E27">
        <f>SUMIF('Team Lineups'!C:C,A27,'Team Lineups'!F:F)</f>
        <v>0</v>
      </c>
      <c r="F27">
        <f t="shared" si="0"/>
        <v>0</v>
      </c>
      <c r="G27">
        <f>COUNTIFS('Team Lineups'!C:C,A27,'Team Lineups'!G:G,"Win")</f>
        <v>0</v>
      </c>
      <c r="H27">
        <f>COUNTIFS('Team Lineups'!C:C,A27,'Team Lineups'!G:G,"Draw")</f>
        <v>0</v>
      </c>
      <c r="I27">
        <f>COUNTIFS('Team Lineups'!C:C,A27,'Team Lineups'!G:G,"Loss")</f>
        <v>0</v>
      </c>
      <c r="J27" s="3" t="e">
        <f t="shared" si="1"/>
        <v>#DIV/0!</v>
      </c>
      <c r="K27">
        <f>SUMIF('Team Lineups'!C:C,A27,'Team Lineups'!H:H)</f>
        <v>0</v>
      </c>
      <c r="L27" t="e">
        <f t="shared" si="2"/>
        <v>#DIV/0!</v>
      </c>
      <c r="M27">
        <f>SUMIF('Team Lineups'!C:C,A27,'Team Lineups'!I:I)</f>
        <v>0</v>
      </c>
      <c r="N27">
        <f>COUNTIF(Matches!G:G,A27)</f>
        <v>0</v>
      </c>
      <c r="O27" t="e">
        <f t="shared" si="3"/>
        <v>#DIV/0!</v>
      </c>
    </row>
  </sheetData>
  <autoFilter ref="A1:O27" xr:uid="{00000000-0001-0000-0200-000000000000}">
    <sortState xmlns:xlrd2="http://schemas.microsoft.com/office/spreadsheetml/2017/richdata2" ref="A2:O27">
      <sortCondition descending="1" ref="G2:G27"/>
      <sortCondition descending="1" ref="H2:H27"/>
      <sortCondition descending="1" ref="J2:J27"/>
      <sortCondition descending="1" ref="N2:N27"/>
      <sortCondition descending="1" ref="K2:K27"/>
      <sortCondition descending="1" ref="F2:F27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Matches</vt:lpstr>
      <vt:lpstr>Team Lineups</vt:lpstr>
      <vt:lpstr>Players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Gioele Passoni</cp:lastModifiedBy>
  <dcterms:created xsi:type="dcterms:W3CDTF">2025-11-14T15:34:15Z</dcterms:created>
  <dcterms:modified xsi:type="dcterms:W3CDTF">2025-11-21T07:08:57Z</dcterms:modified>
</cp:coreProperties>
</file>