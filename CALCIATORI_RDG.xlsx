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CB355818-BF8D-431A-AB43-7794C774082D}" xr6:coauthVersionLast="47" xr6:coauthVersionMax="47" xr10:uidLastSave="{00000000-0000-0000-0000-000000000000}"/>
  <bookViews>
    <workbookView xWindow="20" yWindow="380" windowWidth="19180" windowHeight="10060" activeTab="1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5" i="2" l="1"/>
  <c r="F475" i="2"/>
  <c r="G475" i="2"/>
  <c r="E476" i="2"/>
  <c r="F476" i="2"/>
  <c r="G476" i="2"/>
  <c r="E477" i="2"/>
  <c r="F477" i="2"/>
  <c r="G477" i="2"/>
  <c r="E478" i="2"/>
  <c r="F478" i="2"/>
  <c r="G478" i="2"/>
  <c r="E479" i="2"/>
  <c r="F479" i="2"/>
  <c r="G479" i="2"/>
  <c r="E480" i="2"/>
  <c r="F480" i="2"/>
  <c r="G480" i="2"/>
  <c r="E481" i="2"/>
  <c r="F481" i="2"/>
  <c r="G481" i="2"/>
  <c r="E482" i="2"/>
  <c r="F482" i="2"/>
  <c r="G482" i="2"/>
  <c r="E483" i="2"/>
  <c r="F483" i="2"/>
  <c r="G483" i="2"/>
  <c r="E484" i="2"/>
  <c r="F484" i="2"/>
  <c r="G484" i="2"/>
  <c r="E485" i="2"/>
  <c r="F485" i="2"/>
  <c r="G485" i="2"/>
  <c r="E486" i="2"/>
  <c r="F486" i="2"/>
  <c r="G486" i="2"/>
  <c r="E487" i="2"/>
  <c r="F487" i="2"/>
  <c r="G487" i="2"/>
  <c r="E488" i="2"/>
  <c r="F488" i="2"/>
  <c r="G488" i="2"/>
  <c r="E489" i="2"/>
  <c r="F489" i="2"/>
  <c r="G489" i="2"/>
  <c r="E490" i="2"/>
  <c r="F490" i="2"/>
  <c r="E491" i="2"/>
  <c r="F491" i="2"/>
  <c r="E492" i="2"/>
  <c r="F492" i="2"/>
  <c r="G492" i="2"/>
  <c r="E493" i="2"/>
  <c r="F493" i="2"/>
  <c r="E494" i="2"/>
  <c r="F494" i="2"/>
  <c r="G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46" i="3"/>
  <c r="L46" i="3"/>
  <c r="N46" i="3"/>
  <c r="O46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/>
  <c r="E428" i="2"/>
  <c r="F428" i="2"/>
  <c r="E429" i="2"/>
  <c r="F429" i="2"/>
  <c r="E430" i="2"/>
  <c r="F430" i="2"/>
  <c r="E431" i="2"/>
  <c r="F431" i="2"/>
  <c r="G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G120" i="2" s="1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G104" i="2" s="1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G491" i="2" l="1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46" i="3"/>
  <c r="G46" i="3"/>
  <c r="I46" i="3"/>
  <c r="G417" i="2"/>
  <c r="D46" i="3"/>
  <c r="H46" i="3"/>
  <c r="G418" i="2"/>
  <c r="E22" i="3"/>
  <c r="D22" i="3"/>
  <c r="G128" i="2"/>
  <c r="G80" i="2"/>
  <c r="P46" i="3"/>
  <c r="M46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G399" i="2" s="1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E45" i="3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45" i="3"/>
  <c r="P45" i="3"/>
  <c r="G285" i="2"/>
  <c r="G43" i="2"/>
  <c r="G279" i="2"/>
  <c r="G288" i="2"/>
  <c r="D45" i="3"/>
  <c r="D43" i="3"/>
  <c r="G270" i="2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44" i="3"/>
  <c r="P44" i="3"/>
  <c r="P43" i="3"/>
  <c r="K13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G199" i="2"/>
  <c r="G175" i="2"/>
  <c r="G79" i="2"/>
  <c r="G180" i="2"/>
  <c r="E234" i="2"/>
  <c r="F241" i="2"/>
  <c r="E235" i="2"/>
  <c r="D39" i="3" s="1"/>
  <c r="F240" i="2"/>
  <c r="F242" i="2"/>
  <c r="E40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F161" i="2"/>
  <c r="F162" i="2"/>
  <c r="F160" i="2"/>
  <c r="E3" i="3" s="1"/>
  <c r="F163" i="2"/>
  <c r="E34" i="3" s="1"/>
  <c r="E156" i="2"/>
  <c r="E155" i="2"/>
  <c r="E157" i="2"/>
  <c r="E158" i="2"/>
  <c r="E159" i="2"/>
  <c r="F164" i="2"/>
  <c r="E26" i="3" s="1"/>
  <c r="E163" i="2"/>
  <c r="E162" i="2"/>
  <c r="E164" i="2"/>
  <c r="D26" i="3" s="1"/>
  <c r="F159" i="2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E167" i="2"/>
  <c r="D19" i="3" s="1"/>
  <c r="F171" i="2"/>
  <c r="E25" i="3" s="1"/>
  <c r="F174" i="2"/>
  <c r="E15" i="3" s="1"/>
  <c r="E165" i="2"/>
  <c r="F166" i="2"/>
  <c r="E173" i="2"/>
  <c r="F165" i="2"/>
  <c r="E170" i="2"/>
  <c r="D9" i="3" s="1"/>
  <c r="E172" i="2"/>
  <c r="D8" i="3" s="1"/>
  <c r="E174" i="2"/>
  <c r="F169" i="2"/>
  <c r="E36" i="3" s="1"/>
  <c r="F167" i="2"/>
  <c r="E19" i="3" s="1"/>
  <c r="E171" i="2"/>
  <c r="F168" i="2"/>
  <c r="G61" i="2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G6" i="2"/>
  <c r="G5" i="2"/>
  <c r="G4" i="2"/>
  <c r="G3" i="2"/>
  <c r="G2" i="2"/>
  <c r="G391" i="2" l="1"/>
  <c r="G392" i="2"/>
  <c r="D44" i="3"/>
  <c r="E44" i="3"/>
  <c r="G395" i="2"/>
  <c r="G396" i="2"/>
  <c r="G398" i="2"/>
  <c r="G400" i="2"/>
  <c r="F46" i="3"/>
  <c r="K46" i="3"/>
  <c r="J46" i="3"/>
  <c r="F22" i="3"/>
  <c r="G394" i="2"/>
  <c r="D41" i="3"/>
  <c r="D4" i="3"/>
  <c r="D14" i="3"/>
  <c r="E14" i="3"/>
  <c r="E41" i="3"/>
  <c r="D42" i="3"/>
  <c r="E18" i="3"/>
  <c r="D33" i="3"/>
  <c r="E33" i="3"/>
  <c r="D21" i="3"/>
  <c r="D7" i="3"/>
  <c r="E7" i="3"/>
  <c r="E21" i="3"/>
  <c r="D18" i="3"/>
  <c r="H22" i="3"/>
  <c r="G22" i="3"/>
  <c r="J22" i="3" s="1"/>
  <c r="I22" i="3"/>
  <c r="K22" i="3" s="1"/>
  <c r="G393" i="2"/>
  <c r="G397" i="2"/>
  <c r="G401" i="2"/>
  <c r="G402" i="2"/>
  <c r="F45" i="3"/>
  <c r="I45" i="3"/>
  <c r="K45" i="3" s="1"/>
  <c r="G45" i="3"/>
  <c r="J45" i="3" s="1"/>
  <c r="H45" i="3"/>
  <c r="F43" i="3"/>
  <c r="F41" i="3"/>
  <c r="I43" i="3"/>
  <c r="K43" i="3" s="1"/>
  <c r="G43" i="3"/>
  <c r="J43" i="3" s="1"/>
  <c r="H43" i="3"/>
  <c r="I14" i="3"/>
  <c r="K14" i="3" s="1"/>
  <c r="F38" i="3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H38" i="3"/>
  <c r="I38" i="3"/>
  <c r="K38" i="3" s="1"/>
  <c r="G38" i="3"/>
  <c r="J38" i="3" s="1"/>
  <c r="F40" i="3"/>
  <c r="F29" i="3"/>
  <c r="F26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19" i="3"/>
  <c r="D35" i="3"/>
  <c r="G155" i="2"/>
  <c r="D34" i="3"/>
  <c r="F34" i="3" s="1"/>
  <c r="G163" i="2"/>
  <c r="D36" i="3"/>
  <c r="F36" i="3" s="1"/>
  <c r="G169" i="2"/>
  <c r="G164" i="2"/>
  <c r="G168" i="2"/>
  <c r="G167" i="2"/>
  <c r="G19" i="3" s="1"/>
  <c r="J19" i="3" s="1"/>
  <c r="G165" i="2"/>
  <c r="G170" i="2"/>
  <c r="G172" i="2"/>
  <c r="G156" i="2"/>
  <c r="G157" i="2"/>
  <c r="G158" i="2"/>
  <c r="H5" i="3" s="1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H14" i="3" l="1"/>
  <c r="G14" i="3"/>
  <c r="J14" i="3" s="1"/>
  <c r="I41" i="3"/>
  <c r="K41" i="3" s="1"/>
  <c r="H41" i="3"/>
  <c r="G41" i="3"/>
  <c r="J41" i="3" s="1"/>
  <c r="H44" i="3"/>
  <c r="F14" i="3"/>
  <c r="I44" i="3"/>
  <c r="K44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44" i="3"/>
  <c r="J44" i="3" s="1"/>
  <c r="F44" i="3"/>
  <c r="F33" i="3"/>
  <c r="F21" i="3"/>
  <c r="F7" i="3"/>
  <c r="F18" i="3"/>
  <c r="F4" i="3"/>
  <c r="G21" i="3"/>
  <c r="J21" i="3" s="1"/>
  <c r="G5" i="3"/>
  <c r="J5" i="3" s="1"/>
  <c r="I5" i="3"/>
  <c r="K5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17" i="3"/>
  <c r="J17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W2" i="6" a="1"/>
  <c r="S2" i="6" a="1"/>
  <c r="J2" i="6" a="1"/>
  <c r="B42" i="6" s="1" a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<sst xmlns="http://schemas.openxmlformats.org/spreadsheetml/2006/main" count="1193" uniqueCount="115">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</sst>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32" workbookViewId="0">
      <selection activeCell="C45" sqref="C45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B44" s="2"/>
    </row>
    <row r="45" spans="1:7" x14ac:dyDescent="0.35">
      <c r="B45" s="2"/>
    </row>
    <row r="46" spans="1:7" x14ac:dyDescent="0.35">
      <c r="B46" s="2"/>
    </row>
    <row r="47" spans="1:7" x14ac:dyDescent="0.35">
      <c r="B47" s="2"/>
    </row>
    <row r="48" spans="1:7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94"/>
  <sheetViews>
    <sheetView tabSelected="1" topLeftCell="A480" workbookViewId="0">
      <selection activeCell="I495" sqref="I495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494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6"/>
  <sheetViews>
    <sheetView topLeftCell="A38" workbookViewId="0">
      <selection activeCell="C49" sqref="C4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12</v>
      </c>
      <c r="D3">
        <f>SUMIF('Team Lineups'!C:C,A3,'Team Lineups'!E:E)</f>
        <v>68</v>
      </c>
      <c r="E3">
        <f>SUMIF('Team Lineups'!C:C,A3,'Team Lineups'!F:F)</f>
        <v>66</v>
      </c>
      <c r="F3">
        <f t="shared" si="0"/>
        <v>2</v>
      </c>
      <c r="G3">
        <f>COUNTIFS('Team Lineups'!C:C,A3,'Team Lineups'!G:G,"Win")</f>
        <v>5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0.41666666666666669</v>
      </c>
      <c r="K3" s="3">
        <f t="shared" ref="K3:K36" si="4">I3/C3</f>
        <v>0.16666666666666666</v>
      </c>
      <c r="L3">
        <f>SUMIF('Team Lineups'!C:C,A3,'Team Lineups'!H:H)</f>
        <v>11</v>
      </c>
      <c r="M3">
        <f t="shared" si="1"/>
        <v>0.91666666666666663</v>
      </c>
      <c r="N3">
        <f>SUMIF('Team Lineups'!C:C,A3,'Team Lineups'!I:I)</f>
        <v>6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18</v>
      </c>
      <c r="D4">
        <f>SUMIF('Team Lineups'!C:C,A4,'Team Lineups'!E:E)</f>
        <v>131</v>
      </c>
      <c r="E4">
        <f>SUMIF('Team Lineups'!C:C,A4,'Team Lineups'!F:F)</f>
        <v>132</v>
      </c>
      <c r="F4">
        <f t="shared" si="0"/>
        <v>-1</v>
      </c>
      <c r="G4">
        <f>COUNTIFS('Team Lineups'!C:C,A4,'Team Lineups'!G:G,"Win")</f>
        <v>7</v>
      </c>
      <c r="H4">
        <f>COUNTIFS('Team Lineups'!C:C,A4,'Team Lineups'!G:G,"Draw")</f>
        <v>4</v>
      </c>
      <c r="I4">
        <f>COUNTIFS('Team Lineups'!C:C,A4,'Team Lineups'!G:G,"Loss")</f>
        <v>7</v>
      </c>
      <c r="J4" s="3">
        <f t="shared" si="3"/>
        <v>0.3888888888888889</v>
      </c>
      <c r="K4" s="3">
        <f t="shared" si="4"/>
        <v>0.3888888888888889</v>
      </c>
      <c r="L4">
        <f>SUMIF('Team Lineups'!C:C,A4,'Team Lineups'!H:H)</f>
        <v>11</v>
      </c>
      <c r="M4">
        <f t="shared" si="1"/>
        <v>0.61111111111111116</v>
      </c>
      <c r="N4">
        <f>SUMIF('Team Lineups'!C:C,A4,'Team Lineups'!I:I)</f>
        <v>5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19</v>
      </c>
      <c r="D5">
        <f>SUMIF('Team Lineups'!C:C,A5,'Team Lineups'!E:E)</f>
        <v>113</v>
      </c>
      <c r="E5">
        <f>SUMIF('Team Lineups'!C:C,A5,'Team Lineups'!F:F)</f>
        <v>135</v>
      </c>
      <c r="F5">
        <f t="shared" si="0"/>
        <v>-22</v>
      </c>
      <c r="G5">
        <f>COUNTIFS('Team Lineups'!C:C,A5,'Team Lineups'!G:G,"Win")</f>
        <v>4</v>
      </c>
      <c r="H5">
        <f>COUNTIFS('Team Lineups'!C:C,A5,'Team Lineups'!G:G,"Draw")</f>
        <v>3</v>
      </c>
      <c r="I5">
        <f>COUNTIFS('Team Lineups'!C:C,A5,'Team Lineups'!G:G,"Loss")</f>
        <v>12</v>
      </c>
      <c r="J5" s="3">
        <f t="shared" si="3"/>
        <v>0.21052631578947367</v>
      </c>
      <c r="K5" s="3">
        <f t="shared" si="4"/>
        <v>0.63157894736842102</v>
      </c>
      <c r="L5">
        <f>SUMIF('Team Lineups'!C:C,A5,'Team Lineups'!H:H)</f>
        <v>27</v>
      </c>
      <c r="M5">
        <f t="shared" si="1"/>
        <v>1.4210526315789473</v>
      </c>
      <c r="N5">
        <f>SUMIF('Team Lineups'!C:C,A5,'Team Lineups'!I:I)</f>
        <v>22</v>
      </c>
      <c r="O5">
        <f>COUNTIF(Matches!G:G,A5)</f>
        <v>2</v>
      </c>
      <c r="P5">
        <f t="shared" si="2"/>
        <v>0.10526315789473684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17</v>
      </c>
      <c r="D6">
        <f>SUMIF('Team Lineups'!C:C,A6,'Team Lineups'!E:E)</f>
        <v>110</v>
      </c>
      <c r="E6">
        <f>SUMIF('Team Lineups'!C:C,A6,'Team Lineups'!F:F)</f>
        <v>103</v>
      </c>
      <c r="F6">
        <f t="shared" si="0"/>
        <v>7</v>
      </c>
      <c r="G6">
        <f>COUNTIFS('Team Lineups'!C:C,A6,'Team Lineups'!G:G,"Win")</f>
        <v>7</v>
      </c>
      <c r="H6">
        <f>COUNTIFS('Team Lineups'!C:C,A6,'Team Lineups'!G:G,"Draw")</f>
        <v>6</v>
      </c>
      <c r="I6">
        <f>COUNTIFS('Team Lineups'!C:C,A6,'Team Lineups'!G:G,"Loss")</f>
        <v>4</v>
      </c>
      <c r="J6" s="3">
        <f t="shared" si="3"/>
        <v>0.41176470588235292</v>
      </c>
      <c r="K6" s="3">
        <f t="shared" si="4"/>
        <v>0.23529411764705882</v>
      </c>
      <c r="L6">
        <f>SUMIF('Team Lineups'!C:C,A6,'Team Lineups'!H:H)</f>
        <v>22</v>
      </c>
      <c r="M6">
        <f t="shared" si="1"/>
        <v>1.2941176470588236</v>
      </c>
      <c r="N6">
        <f>SUMIF('Team Lineups'!C:C,A6,'Team Lineups'!I:I)</f>
        <v>9</v>
      </c>
      <c r="O6">
        <f>COUNTIF(Matches!G:G,A6)</f>
        <v>1</v>
      </c>
      <c r="P6">
        <f t="shared" si="2"/>
        <v>5.8823529411764705E-2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26</v>
      </c>
      <c r="D7">
        <f>SUMIF('Team Lineups'!C:C,A7,'Team Lineups'!E:E)</f>
        <v>174</v>
      </c>
      <c r="E7">
        <f>SUMIF('Team Lineups'!C:C,A7,'Team Lineups'!F:F)</f>
        <v>189</v>
      </c>
      <c r="F7">
        <f t="shared" si="0"/>
        <v>-15</v>
      </c>
      <c r="G7">
        <f>COUNTIFS('Team Lineups'!C:C,A7,'Team Lineups'!G:G,"Win")</f>
        <v>9</v>
      </c>
      <c r="H7">
        <f>COUNTIFS('Team Lineups'!C:C,A7,'Team Lineups'!G:G,"Draw")</f>
        <v>4</v>
      </c>
      <c r="I7">
        <f>COUNTIFS('Team Lineups'!C:C,A7,'Team Lineups'!G:G,"Loss")</f>
        <v>12</v>
      </c>
      <c r="J7" s="3">
        <f t="shared" si="3"/>
        <v>0.34615384615384615</v>
      </c>
      <c r="K7" s="3">
        <f t="shared" si="4"/>
        <v>0.46153846153846156</v>
      </c>
      <c r="L7">
        <f>SUMIF('Team Lineups'!C:C,A7,'Team Lineups'!H:H)</f>
        <v>27</v>
      </c>
      <c r="M7">
        <f t="shared" si="1"/>
        <v>1.0384615384615385</v>
      </c>
      <c r="N7">
        <f>SUMIF('Team Lineups'!C:C,A7,'Team Lineups'!I:I)</f>
        <v>27</v>
      </c>
      <c r="O7">
        <f>COUNTIF(Matches!G:G,A7)</f>
        <v>3</v>
      </c>
      <c r="P7">
        <f t="shared" si="2"/>
        <v>0.11538461538461539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22</v>
      </c>
      <c r="D8">
        <f>SUMIF('Team Lineups'!C:C,A8,'Team Lineups'!E:E)</f>
        <v>159</v>
      </c>
      <c r="E8">
        <f>SUMIF('Team Lineups'!C:C,A8,'Team Lineups'!F:F)</f>
        <v>153</v>
      </c>
      <c r="F8">
        <f t="shared" si="0"/>
        <v>6</v>
      </c>
      <c r="G8">
        <f>COUNTIFS('Team Lineups'!C:C,A8,'Team Lineups'!G:G,"Win")</f>
        <v>10</v>
      </c>
      <c r="H8">
        <f>COUNTIFS('Team Lineups'!C:C,A8,'Team Lineups'!G:G,"Draw")</f>
        <v>5</v>
      </c>
      <c r="I8">
        <f>COUNTIFS('Team Lineups'!C:C,A8,'Team Lineups'!G:G,"Loss")</f>
        <v>7</v>
      </c>
      <c r="J8" s="3">
        <f t="shared" si="3"/>
        <v>0.45454545454545453</v>
      </c>
      <c r="K8" s="3">
        <f t="shared" si="4"/>
        <v>0.31818181818181818</v>
      </c>
      <c r="L8">
        <f>SUMIF('Team Lineups'!C:C,A8,'Team Lineups'!H:H)</f>
        <v>45</v>
      </c>
      <c r="M8">
        <f t="shared" si="1"/>
        <v>2.0454545454545454</v>
      </c>
      <c r="N8">
        <f>SUMIF('Team Lineups'!C:C,A8,'Team Lineups'!I:I)</f>
        <v>27</v>
      </c>
      <c r="O8">
        <f>COUNTIF(Matches!G:G,A8)</f>
        <v>6</v>
      </c>
      <c r="P8">
        <f t="shared" si="2"/>
        <v>0.27272727272727271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20</v>
      </c>
      <c r="D9">
        <f>SUMIF('Team Lineups'!C:C,A9,'Team Lineups'!E:E)</f>
        <v>108</v>
      </c>
      <c r="E9">
        <f>SUMIF('Team Lineups'!C:C,A9,'Team Lineups'!F:F)</f>
        <v>122</v>
      </c>
      <c r="F9">
        <f t="shared" si="0"/>
        <v>-14</v>
      </c>
      <c r="G9">
        <f>COUNTIFS('Team Lineups'!C:C,A9,'Team Lineups'!G:G,"Win")</f>
        <v>6</v>
      </c>
      <c r="H9">
        <f>COUNTIFS('Team Lineups'!C:C,A9,'Team Lineups'!G:G,"Draw")</f>
        <v>4</v>
      </c>
      <c r="I9">
        <f>COUNTIFS('Team Lineups'!C:C,A9,'Team Lineups'!G:G,"Loss")</f>
        <v>10</v>
      </c>
      <c r="J9" s="3">
        <f t="shared" si="3"/>
        <v>0.3</v>
      </c>
      <c r="K9" s="3">
        <f t="shared" si="4"/>
        <v>0.5</v>
      </c>
      <c r="L9">
        <f>SUMIF('Team Lineups'!C:C,A9,'Team Lineups'!H:H)</f>
        <v>12</v>
      </c>
      <c r="M9">
        <f t="shared" si="1"/>
        <v>0.6</v>
      </c>
      <c r="N9">
        <f>SUMIF('Team Lineups'!C:C,A9,'Team Lineups'!I:I)</f>
        <v>6</v>
      </c>
      <c r="O9">
        <f>COUNTIF(Matches!G:G,A9)</f>
        <v>1</v>
      </c>
      <c r="P9">
        <f t="shared" si="2"/>
        <v>0.05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27</v>
      </c>
      <c r="D12">
        <f>SUMIF('Team Lineups'!C:C,A12,'Team Lineups'!E:E)</f>
        <v>184</v>
      </c>
      <c r="E12">
        <f>SUMIF('Team Lineups'!C:C,A12,'Team Lineups'!F:F)</f>
        <v>184</v>
      </c>
      <c r="F12">
        <f t="shared" si="0"/>
        <v>0</v>
      </c>
      <c r="G12">
        <f>COUNTIFS('Team Lineups'!C:C,A12,'Team Lineups'!G:G,"Win")</f>
        <v>10</v>
      </c>
      <c r="H12">
        <f>COUNTIFS('Team Lineups'!C:C,A12,'Team Lineups'!G:G,"Draw")</f>
        <v>3</v>
      </c>
      <c r="I12">
        <f>COUNTIFS('Team Lineups'!C:C,A12,'Team Lineups'!G:G,"Loss")</f>
        <v>14</v>
      </c>
      <c r="J12" s="3">
        <f t="shared" si="3"/>
        <v>0.37037037037037035</v>
      </c>
      <c r="K12" s="3">
        <f t="shared" si="4"/>
        <v>0.51851851851851849</v>
      </c>
      <c r="L12">
        <f>SUMIF('Team Lineups'!C:C,A12,'Team Lineups'!H:H)</f>
        <v>46</v>
      </c>
      <c r="M12">
        <f t="shared" si="1"/>
        <v>1.7037037037037037</v>
      </c>
      <c r="N12">
        <f>SUMIF('Team Lineups'!C:C,A12,'Team Lineups'!I:I)</f>
        <v>15</v>
      </c>
      <c r="O12">
        <f>COUNTIF(Matches!G:G,A12)</f>
        <v>1</v>
      </c>
      <c r="P12">
        <f t="shared" si="2"/>
        <v>3.7037037037037035E-2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9</v>
      </c>
      <c r="D14">
        <f>SUMIF('Team Lineups'!C:C,A14,'Team Lineups'!E:E)</f>
        <v>68</v>
      </c>
      <c r="E14">
        <f>SUMIF('Team Lineups'!C:C,A14,'Team Lineups'!F:F)</f>
        <v>77</v>
      </c>
      <c r="F14">
        <f t="shared" si="0"/>
        <v>-9</v>
      </c>
      <c r="G14">
        <f>COUNTIFS('Team Lineups'!C:C,A14,'Team Lineups'!G:G,"Win")</f>
        <v>3</v>
      </c>
      <c r="H14">
        <f>COUNTIFS('Team Lineups'!C:C,A14,'Team Lineups'!G:G,"Draw")</f>
        <v>0</v>
      </c>
      <c r="I14">
        <f>COUNTIFS('Team Lineups'!C:C,A14,'Team Lineups'!G:G,"Loss")</f>
        <v>6</v>
      </c>
      <c r="J14" s="3">
        <f t="shared" si="3"/>
        <v>0.33333333333333331</v>
      </c>
      <c r="K14" s="3">
        <f t="shared" si="4"/>
        <v>0.66666666666666663</v>
      </c>
      <c r="L14">
        <f>SUMIF('Team Lineups'!C:C,A14,'Team Lineups'!H:H)</f>
        <v>3</v>
      </c>
      <c r="M14">
        <f t="shared" si="1"/>
        <v>0.33333333333333331</v>
      </c>
      <c r="N14">
        <f>SUMIF('Team Lineups'!C:C,A14,'Team Lineups'!I:I)</f>
        <v>7</v>
      </c>
      <c r="O14">
        <f>COUNTIF(Matches!G:G,A14)</f>
        <v>1</v>
      </c>
      <c r="P14">
        <f t="shared" si="2"/>
        <v>0.1111111111111111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10</v>
      </c>
      <c r="D15">
        <f>SUMIF('Team Lineups'!C:C,A15,'Team Lineups'!E:E)</f>
        <v>74</v>
      </c>
      <c r="E15">
        <f>SUMIF('Team Lineups'!C:C,A15,'Team Lineups'!F:F)</f>
        <v>53</v>
      </c>
      <c r="F15">
        <f t="shared" si="0"/>
        <v>21</v>
      </c>
      <c r="G15">
        <f>COUNTIFS('Team Lineups'!C:C,A15,'Team Lineups'!G:G,"Win")</f>
        <v>5</v>
      </c>
      <c r="H15">
        <f>COUNTIFS('Team Lineups'!C:C,A15,'Team Lineups'!G:G,"Draw")</f>
        <v>3</v>
      </c>
      <c r="I15">
        <f>COUNTIFS('Team Lineups'!C:C,A15,'Team Lineups'!G:G,"Loss")</f>
        <v>2</v>
      </c>
      <c r="J15" s="3">
        <f t="shared" si="3"/>
        <v>0.5</v>
      </c>
      <c r="K15" s="3">
        <f t="shared" si="4"/>
        <v>0.2</v>
      </c>
      <c r="L15">
        <f>SUMIF('Team Lineups'!C:C,A15,'Team Lineups'!H:H)</f>
        <v>5</v>
      </c>
      <c r="M15">
        <f t="shared" si="1"/>
        <v>0.5</v>
      </c>
      <c r="N15">
        <f>SUMIF('Team Lineups'!C:C,A15,'Team Lineups'!I:I)</f>
        <v>8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21</v>
      </c>
      <c r="D16">
        <f>SUMIF('Team Lineups'!C:C,A16,'Team Lineups'!E:E)</f>
        <v>116</v>
      </c>
      <c r="E16">
        <f>SUMIF('Team Lineups'!C:C,A16,'Team Lineups'!F:F)</f>
        <v>133</v>
      </c>
      <c r="F16">
        <f t="shared" si="0"/>
        <v>-17</v>
      </c>
      <c r="G16">
        <f>COUNTIFS('Team Lineups'!C:C,A16,'Team Lineups'!G:G,"Win")</f>
        <v>6</v>
      </c>
      <c r="H16">
        <f>COUNTIFS('Team Lineups'!C:C,A16,'Team Lineups'!G:G,"Draw")</f>
        <v>5</v>
      </c>
      <c r="I16">
        <f>COUNTIFS('Team Lineups'!C:C,A16,'Team Lineups'!G:G,"Loss")</f>
        <v>10</v>
      </c>
      <c r="J16" s="3">
        <f t="shared" si="3"/>
        <v>0.2857142857142857</v>
      </c>
      <c r="K16" s="3">
        <f t="shared" si="4"/>
        <v>0.47619047619047616</v>
      </c>
      <c r="L16">
        <f>SUMIF('Team Lineups'!C:C,A16,'Team Lineups'!H:H)</f>
        <v>9</v>
      </c>
      <c r="M16">
        <f t="shared" si="1"/>
        <v>0.42857142857142855</v>
      </c>
      <c r="N16">
        <f>SUMIF('Team Lineups'!C:C,A16,'Team Lineups'!I:I)</f>
        <v>5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23</v>
      </c>
      <c r="D17">
        <f>SUMIF('Team Lineups'!C:C,A17,'Team Lineups'!E:E)</f>
        <v>141</v>
      </c>
      <c r="E17">
        <f>SUMIF('Team Lineups'!C:C,A17,'Team Lineups'!F:F)</f>
        <v>137</v>
      </c>
      <c r="F17">
        <f t="shared" si="0"/>
        <v>4</v>
      </c>
      <c r="G17">
        <f>COUNTIFS('Team Lineups'!C:C,A17,'Team Lineups'!G:G,"Win")</f>
        <v>11</v>
      </c>
      <c r="H17">
        <f>COUNTIFS('Team Lineups'!C:C,A17,'Team Lineups'!G:G,"Draw")</f>
        <v>5</v>
      </c>
      <c r="I17">
        <f>COUNTIFS('Team Lineups'!C:C,A17,'Team Lineups'!G:G,"Loss")</f>
        <v>7</v>
      </c>
      <c r="J17" s="3">
        <f t="shared" si="3"/>
        <v>0.47826086956521741</v>
      </c>
      <c r="K17" s="3">
        <f t="shared" si="4"/>
        <v>0.30434782608695654</v>
      </c>
      <c r="L17">
        <f>SUMIF('Team Lineups'!C:C,A17,'Team Lineups'!H:H)</f>
        <v>15</v>
      </c>
      <c r="M17">
        <f t="shared" si="1"/>
        <v>0.65217391304347827</v>
      </c>
      <c r="N17">
        <f>SUMIF('Team Lineups'!C:C,A17,'Team Lineups'!I:I)</f>
        <v>20</v>
      </c>
      <c r="O17">
        <f>COUNTIF(Matches!G:G,A17)</f>
        <v>1</v>
      </c>
      <c r="P17">
        <f t="shared" si="2"/>
        <v>4.3478260869565216E-2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23</v>
      </c>
      <c r="D18">
        <f>SUMIF('Team Lineups'!C:C,A18,'Team Lineups'!E:E)</f>
        <v>164</v>
      </c>
      <c r="E18">
        <f>SUMIF('Team Lineups'!C:C,A18,'Team Lineups'!F:F)</f>
        <v>175</v>
      </c>
      <c r="F18">
        <f t="shared" si="0"/>
        <v>-11</v>
      </c>
      <c r="G18">
        <f>COUNTIFS('Team Lineups'!C:C,A18,'Team Lineups'!G:G,"Win")</f>
        <v>9</v>
      </c>
      <c r="H18">
        <f>COUNTIFS('Team Lineups'!C:C,A18,'Team Lineups'!G:G,"Draw")</f>
        <v>4</v>
      </c>
      <c r="I18">
        <f>COUNTIFS('Team Lineups'!C:C,A18,'Team Lineups'!G:G,"Loss")</f>
        <v>10</v>
      </c>
      <c r="J18" s="3">
        <f t="shared" si="3"/>
        <v>0.39130434782608697</v>
      </c>
      <c r="K18" s="3">
        <f t="shared" si="4"/>
        <v>0.43478260869565216</v>
      </c>
      <c r="L18">
        <f>SUMIF('Team Lineups'!C:C,A18,'Team Lineups'!H:H)</f>
        <v>15</v>
      </c>
      <c r="M18">
        <f t="shared" si="1"/>
        <v>0.65217391304347827</v>
      </c>
      <c r="N18">
        <f>SUMIF('Team Lineups'!C:C,A18,'Team Lineups'!I:I)</f>
        <v>11</v>
      </c>
      <c r="O18">
        <f>COUNTIF(Matches!G:G,A18)</f>
        <v>1</v>
      </c>
      <c r="P18">
        <f t="shared" si="2"/>
        <v>4.3478260869565216E-2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10</v>
      </c>
      <c r="D21">
        <f>SUMIF('Team Lineups'!C:C,A21,'Team Lineups'!E:E)</f>
        <v>73</v>
      </c>
      <c r="E21">
        <f>SUMIF('Team Lineups'!C:C,A21,'Team Lineups'!F:F)</f>
        <v>84</v>
      </c>
      <c r="F21">
        <f t="shared" si="0"/>
        <v>-11</v>
      </c>
      <c r="G21">
        <f>COUNTIFS('Team Lineups'!C:C,A21,'Team Lineups'!G:G,"Win")</f>
        <v>3</v>
      </c>
      <c r="H21">
        <f>COUNTIFS('Team Lineups'!C:C,A21,'Team Lineups'!G:G,"Draw")</f>
        <v>1</v>
      </c>
      <c r="I21">
        <f>COUNTIFS('Team Lineups'!C:C,A21,'Team Lineups'!G:G,"Loss")</f>
        <v>6</v>
      </c>
      <c r="J21" s="3">
        <f t="shared" si="3"/>
        <v>0.3</v>
      </c>
      <c r="K21" s="3">
        <f t="shared" si="4"/>
        <v>0.6</v>
      </c>
      <c r="L21">
        <f>SUMIF('Team Lineups'!C:C,A21,'Team Lineups'!H:H)</f>
        <v>6</v>
      </c>
      <c r="M21">
        <f t="shared" si="1"/>
        <v>0.6</v>
      </c>
      <c r="N21">
        <f>SUMIF('Team Lineups'!C:C,A21,'Team Lineups'!I:I)</f>
        <v>15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2</v>
      </c>
      <c r="D22">
        <f>SUMIF('Team Lineups'!C:C,A22,'Team Lineups'!E:E)</f>
        <v>9</v>
      </c>
      <c r="E22">
        <f>SUMIF('Team Lineups'!C:C,A22,'Team Lineups'!F:F)</f>
        <v>19</v>
      </c>
      <c r="F22">
        <f t="shared" si="0"/>
        <v>-10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2</v>
      </c>
      <c r="J22" s="3">
        <f t="shared" si="3"/>
        <v>0</v>
      </c>
      <c r="K22" s="3">
        <f t="shared" si="4"/>
        <v>1</v>
      </c>
      <c r="L22">
        <f>SUMIF('Team Lineups'!C:C,A22,'Team Lineups'!H:H)</f>
        <v>1</v>
      </c>
      <c r="M22">
        <f t="shared" si="1"/>
        <v>0.5</v>
      </c>
      <c r="N22">
        <f>SUMIF('Team Lineups'!C:C,A22,'Team Lineups'!I:I)</f>
        <v>3</v>
      </c>
      <c r="O22">
        <f>COUNTIF(Matches!G:G,A22)</f>
        <v>0</v>
      </c>
      <c r="P22">
        <f t="shared" si="2"/>
        <v>0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28</v>
      </c>
      <c r="D23">
        <f>SUMIF('Team Lineups'!C:C,A23,'Team Lineups'!E:E)</f>
        <v>195</v>
      </c>
      <c r="E23">
        <f>SUMIF('Team Lineups'!C:C,A23,'Team Lineups'!F:F)</f>
        <v>166</v>
      </c>
      <c r="F23">
        <f t="shared" si="0"/>
        <v>29</v>
      </c>
      <c r="G23">
        <f>COUNTIFS('Team Lineups'!C:C,A23,'Team Lineups'!G:G,"Win")</f>
        <v>13</v>
      </c>
      <c r="H23">
        <f>COUNTIFS('Team Lineups'!C:C,A23,'Team Lineups'!G:G,"Draw")</f>
        <v>5</v>
      </c>
      <c r="I23">
        <f>COUNTIFS('Team Lineups'!C:C,A23,'Team Lineups'!G:G,"Loss")</f>
        <v>10</v>
      </c>
      <c r="J23" s="3">
        <f t="shared" si="3"/>
        <v>0.4642857142857143</v>
      </c>
      <c r="K23" s="3">
        <f t="shared" si="4"/>
        <v>0.35714285714285715</v>
      </c>
      <c r="L23">
        <f>SUMIF('Team Lineups'!C:C,A23,'Team Lineups'!H:H)</f>
        <v>40</v>
      </c>
      <c r="M23">
        <f t="shared" si="1"/>
        <v>1.4285714285714286</v>
      </c>
      <c r="N23">
        <f>SUMIF('Team Lineups'!C:C,A23,'Team Lineups'!I:I)</f>
        <v>12</v>
      </c>
      <c r="O23">
        <f>COUNTIF(Matches!G:G,A23)</f>
        <v>5</v>
      </c>
      <c r="P23">
        <f t="shared" si="2"/>
        <v>0.17857142857142858</v>
      </c>
      <c r="Q23">
        <f>SUMIF('Team Lineups'!C:C,A23,'Team Lineups'!J:J)</f>
        <v>1</v>
      </c>
    </row>
    <row r="24" spans="1:17" x14ac:dyDescent="0.35">
      <c r="A24" t="s">
        <v>25</v>
      </c>
      <c r="C24">
        <f>COUNTIF('Team Lineups'!C:C,A24)</f>
        <v>26</v>
      </c>
      <c r="D24">
        <f>SUMIF('Team Lineups'!C:C,A24,'Team Lineups'!E:E)</f>
        <v>168</v>
      </c>
      <c r="E24">
        <f>SUMIF('Team Lineups'!C:C,A24,'Team Lineups'!F:F)</f>
        <v>168</v>
      </c>
      <c r="F24">
        <f t="shared" si="0"/>
        <v>0</v>
      </c>
      <c r="G24">
        <f>COUNTIFS('Team Lineups'!C:C,A24,'Team Lineups'!G:G,"Win")</f>
        <v>10</v>
      </c>
      <c r="H24">
        <f>COUNTIFS('Team Lineups'!C:C,A24,'Team Lineups'!G:G,"Draw")</f>
        <v>5</v>
      </c>
      <c r="I24">
        <f>COUNTIFS('Team Lineups'!C:C,A24,'Team Lineups'!G:G,"Loss")</f>
        <v>11</v>
      </c>
      <c r="J24" s="3">
        <f t="shared" si="3"/>
        <v>0.38461538461538464</v>
      </c>
      <c r="K24" s="3">
        <f t="shared" si="4"/>
        <v>0.42307692307692307</v>
      </c>
      <c r="L24">
        <f>SUMIF('Team Lineups'!C:C,A24,'Team Lineups'!H:H)</f>
        <v>14</v>
      </c>
      <c r="M24">
        <f t="shared" si="1"/>
        <v>0.53846153846153844</v>
      </c>
      <c r="N24">
        <f>SUMIF('Team Lineups'!C:C,A24,'Team Lineups'!I:I)</f>
        <v>11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25</v>
      </c>
      <c r="D25">
        <f>SUMIF('Team Lineups'!C:C,A25,'Team Lineups'!E:E)</f>
        <v>168</v>
      </c>
      <c r="E25">
        <f>SUMIF('Team Lineups'!C:C,A25,'Team Lineups'!F:F)</f>
        <v>154</v>
      </c>
      <c r="F25">
        <f t="shared" si="0"/>
        <v>14</v>
      </c>
      <c r="G25">
        <f>COUNTIFS('Team Lineups'!C:C,A25,'Team Lineups'!G:G,"Win")</f>
        <v>13</v>
      </c>
      <c r="H25">
        <f>COUNTIFS('Team Lineups'!C:C,A25,'Team Lineups'!G:G,"Draw")</f>
        <v>4</v>
      </c>
      <c r="I25">
        <f>COUNTIFS('Team Lineups'!C:C,A25,'Team Lineups'!G:G,"Loss")</f>
        <v>8</v>
      </c>
      <c r="J25" s="3">
        <f t="shared" si="3"/>
        <v>0.52</v>
      </c>
      <c r="K25" s="3">
        <f t="shared" si="4"/>
        <v>0.32</v>
      </c>
      <c r="L25">
        <f>SUMIF('Team Lineups'!C:C,A25,'Team Lineups'!H:H)</f>
        <v>32</v>
      </c>
      <c r="M25">
        <f t="shared" si="1"/>
        <v>1.28</v>
      </c>
      <c r="N25">
        <f>SUMIF('Team Lineups'!C:C,A25,'Team Lineups'!I:I)</f>
        <v>15</v>
      </c>
      <c r="O25">
        <f>COUNTIF(Matches!G:G,A25)</f>
        <v>2</v>
      </c>
      <c r="P25">
        <f t="shared" si="2"/>
        <v>0.08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13</v>
      </c>
      <c r="D26">
        <f>SUMIF('Team Lineups'!C:C,A26,'Team Lineups'!E:E)</f>
        <v>63</v>
      </c>
      <c r="E26">
        <f>SUMIF('Team Lineups'!C:C,A26,'Team Lineups'!F:F)</f>
        <v>76</v>
      </c>
      <c r="F26">
        <f t="shared" si="0"/>
        <v>-13</v>
      </c>
      <c r="G26">
        <f>COUNTIFS('Team Lineups'!C:C,A26,'Team Lineups'!G:G,"Win")</f>
        <v>3</v>
      </c>
      <c r="H26">
        <f>COUNTIFS('Team Lineups'!C:C,A26,'Team Lineups'!G:G,"Draw")</f>
        <v>2</v>
      </c>
      <c r="I26">
        <f>COUNTIFS('Team Lineups'!C:C,A26,'Team Lineups'!G:G,"Loss")</f>
        <v>8</v>
      </c>
      <c r="J26" s="3">
        <f t="shared" si="3"/>
        <v>0.23076923076923078</v>
      </c>
      <c r="K26" s="3">
        <f t="shared" si="4"/>
        <v>0.61538461538461542</v>
      </c>
      <c r="L26">
        <f>SUMIF('Team Lineups'!C:C,A26,'Team Lineups'!H:H)</f>
        <v>5</v>
      </c>
      <c r="M26">
        <f t="shared" si="1"/>
        <v>0.38461538461538464</v>
      </c>
      <c r="N26">
        <f>SUMIF('Team Lineups'!C:C,A26,'Team Lineups'!I:I)</f>
        <v>7</v>
      </c>
      <c r="O26">
        <f>COUNTIF(Matches!G:G,A26)</f>
        <v>2</v>
      </c>
      <c r="P26">
        <f t="shared" si="2"/>
        <v>0.15384615384615385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2</v>
      </c>
      <c r="D30">
        <f>SUMIF('Team Lineups'!C:C,A30,'Team Lineups'!E:E)</f>
        <v>23</v>
      </c>
      <c r="E30">
        <f>SUMIF('Team Lineups'!C:C,A30,'Team Lineups'!F:F)</f>
        <v>26</v>
      </c>
      <c r="F30">
        <f t="shared" si="5"/>
        <v>-3</v>
      </c>
      <c r="G30">
        <f>COUNTIFS('Team Lineups'!C:C,A30,'Team Lineups'!G:G,"Win")</f>
        <v>1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0.5</v>
      </c>
      <c r="K30" s="3">
        <f t="shared" si="4"/>
        <v>0.5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22</v>
      </c>
      <c r="D33">
        <f>SUMIF('Team Lineups'!C:C,A33,'Team Lineups'!E:E)</f>
        <v>155</v>
      </c>
      <c r="E33">
        <f>SUMIF('Team Lineups'!C:C,A33,'Team Lineups'!F:F)</f>
        <v>156</v>
      </c>
      <c r="F33">
        <f t="shared" si="5"/>
        <v>-1</v>
      </c>
      <c r="G33">
        <f>COUNTIFS('Team Lineups'!C:C,A33,'Team Lineups'!G:G,"Win")</f>
        <v>10</v>
      </c>
      <c r="H33">
        <f>COUNTIFS('Team Lineups'!C:C,A33,'Team Lineups'!G:G,"Draw")</f>
        <v>4</v>
      </c>
      <c r="I33">
        <f>COUNTIFS('Team Lineups'!C:C,A33,'Team Lineups'!G:G,"Loss")</f>
        <v>8</v>
      </c>
      <c r="J33" s="3">
        <f t="shared" si="6"/>
        <v>0.45454545454545453</v>
      </c>
      <c r="K33" s="3">
        <f t="shared" si="4"/>
        <v>0.36363636363636365</v>
      </c>
      <c r="L33">
        <f>SUMIF('Team Lineups'!C:C,A33,'Team Lineups'!H:H)</f>
        <v>55</v>
      </c>
      <c r="M33">
        <f t="shared" si="7"/>
        <v>2.5</v>
      </c>
      <c r="N33">
        <f>SUMIF('Team Lineups'!C:C,A33,'Team Lineups'!I:I)</f>
        <v>20</v>
      </c>
      <c r="O33">
        <f>COUNTIF(Matches!G:G,A33)</f>
        <v>2</v>
      </c>
      <c r="P33">
        <f t="shared" si="8"/>
        <v>9.0909090909090912E-2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12</v>
      </c>
      <c r="D34">
        <f>SUMIF('Team Lineups'!C:C,A34,'Team Lineups'!E:E)</f>
        <v>86</v>
      </c>
      <c r="E34">
        <f>SUMIF('Team Lineups'!C:C,A34,'Team Lineups'!F:F)</f>
        <v>66</v>
      </c>
      <c r="F34">
        <f t="shared" si="5"/>
        <v>20</v>
      </c>
      <c r="G34">
        <f>COUNTIFS('Team Lineups'!C:C,A34,'Team Lineups'!G:G,"Win")</f>
        <v>8</v>
      </c>
      <c r="H34">
        <f>COUNTIFS('Team Lineups'!C:C,A34,'Team Lineups'!G:G,"Draw")</f>
        <v>1</v>
      </c>
      <c r="I34">
        <f>COUNTIFS('Team Lineups'!C:C,A34,'Team Lineups'!G:G,"Loss")</f>
        <v>3</v>
      </c>
      <c r="J34" s="3">
        <f t="shared" si="6"/>
        <v>0.66666666666666663</v>
      </c>
      <c r="K34" s="3">
        <f t="shared" si="4"/>
        <v>0.25</v>
      </c>
      <c r="L34">
        <f>SUMIF('Team Lineups'!C:C,A34,'Team Lineups'!H:H)</f>
        <v>20</v>
      </c>
      <c r="M34">
        <f t="shared" si="7"/>
        <v>1.6666666666666667</v>
      </c>
      <c r="N34">
        <f>SUMIF('Team Lineups'!C:C,A34,'Team Lineups'!I:I)</f>
        <v>12</v>
      </c>
      <c r="O34">
        <f>COUNTIF(Matches!G:G,A34)</f>
        <v>2</v>
      </c>
      <c r="P34">
        <f t="shared" si="8"/>
        <v>0.16666666666666666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7</v>
      </c>
      <c r="D35">
        <f>SUMIF('Team Lineups'!C:C,A35,'Team Lineups'!E:E)</f>
        <v>35</v>
      </c>
      <c r="E35">
        <f>SUMIF('Team Lineups'!C:C,A35,'Team Lineups'!F:F)</f>
        <v>46</v>
      </c>
      <c r="F35">
        <f t="shared" ref="F35" si="9">D35-E35</f>
        <v>-11</v>
      </c>
      <c r="G35">
        <f>COUNTIFS('Team Lineups'!C:C,A35,'Team Lineups'!G:G,"Win")</f>
        <v>1</v>
      </c>
      <c r="H35">
        <f>COUNTIFS('Team Lineups'!C:C,A35,'Team Lineups'!G:G,"Draw")</f>
        <v>0</v>
      </c>
      <c r="I35">
        <f>COUNTIFS('Team Lineups'!C:C,A35,'Team Lineups'!G:G,"Loss")</f>
        <v>6</v>
      </c>
      <c r="J35" s="3">
        <f t="shared" ref="J35" si="10">G35/C35</f>
        <v>0.14285714285714285</v>
      </c>
      <c r="K35" s="3">
        <f t="shared" si="4"/>
        <v>0.8571428571428571</v>
      </c>
      <c r="L35">
        <f>SUMIF('Team Lineups'!C:C,A35,'Team Lineups'!H:H)</f>
        <v>3</v>
      </c>
      <c r="M35">
        <f t="shared" ref="M35" si="11">L35/C35</f>
        <v>0.42857142857142855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10</v>
      </c>
      <c r="D37">
        <f>SUMIF('Team Lineups'!C:C,A37,'Team Lineups'!E:E)</f>
        <v>54</v>
      </c>
      <c r="E37">
        <f>SUMIF('Team Lineups'!C:C,A37,'Team Lineups'!F:F)</f>
        <v>65</v>
      </c>
      <c r="F37">
        <f t="shared" ref="F37:F42" si="17">D37-E37</f>
        <v>-11</v>
      </c>
      <c r="G37">
        <f>COUNTIFS('Team Lineups'!C:C,A37,'Team Lineups'!G:G,"Win")</f>
        <v>4</v>
      </c>
      <c r="H37">
        <f>COUNTIFS('Team Lineups'!C:C,A37,'Team Lineups'!G:G,"Draw")</f>
        <v>2</v>
      </c>
      <c r="I37">
        <f>COUNTIFS('Team Lineups'!C:C,A37,'Team Lineups'!G:G,"Loss")</f>
        <v>4</v>
      </c>
      <c r="J37" s="3">
        <f t="shared" ref="J37:J42" si="18">G37/C37</f>
        <v>0.4</v>
      </c>
      <c r="K37" s="3">
        <f t="shared" ref="K37:K42" si="19">I37/C37</f>
        <v>0.4</v>
      </c>
      <c r="L37">
        <f>SUMIF('Team Lineups'!C:C,A37,'Team Lineups'!H:H)</f>
        <v>8</v>
      </c>
      <c r="M37">
        <f t="shared" ref="M37:M42" si="20">L37/C37</f>
        <v>0.8</v>
      </c>
      <c r="N37">
        <f>SUMIF('Team Lineups'!C:C,A37,'Team Lineups'!I:I)</f>
        <v>8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3</v>
      </c>
      <c r="D38">
        <f>SUMIF('Team Lineups'!C:C,A38,'Team Lineups'!E:E)</f>
        <v>17</v>
      </c>
      <c r="E38">
        <f>SUMIF('Team Lineups'!C:C,A38,'Team Lineups'!F:F)</f>
        <v>15</v>
      </c>
      <c r="F38">
        <f t="shared" si="17"/>
        <v>2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1</v>
      </c>
      <c r="J38" s="3">
        <f t="shared" si="18"/>
        <v>0.66666666666666663</v>
      </c>
      <c r="K38" s="3">
        <f t="shared" si="19"/>
        <v>0.33333333333333331</v>
      </c>
      <c r="L38">
        <f>SUMIF('Team Lineups'!C:C,A38,'Team Lineups'!H:H)</f>
        <v>5</v>
      </c>
      <c r="M38">
        <f t="shared" si="20"/>
        <v>1.6666666666666667</v>
      </c>
      <c r="N38">
        <f>SUMIF('Team Lineups'!C:C,A38,'Team Lineups'!I:I)</f>
        <v>0</v>
      </c>
      <c r="O38">
        <f>COUNTIF(Matches!G:G,A38)</f>
        <v>2</v>
      </c>
      <c r="P38">
        <f t="shared" si="21"/>
        <v>0.66666666666666663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5</v>
      </c>
      <c r="D39">
        <f>SUMIF('Team Lineups'!C:C,A39,'Team Lineups'!E:E)</f>
        <v>33</v>
      </c>
      <c r="E39">
        <f>SUMIF('Team Lineups'!C:C,A39,'Team Lineups'!F:F)</f>
        <v>19</v>
      </c>
      <c r="F39">
        <f t="shared" si="17"/>
        <v>14</v>
      </c>
      <c r="G39">
        <f>COUNTIFS('Team Lineups'!C:C,A39,'Team Lineups'!G:G,"Win")</f>
        <v>3</v>
      </c>
      <c r="H39">
        <f>COUNTIFS('Team Lineups'!C:C,A39,'Team Lineups'!G:G,"Draw")</f>
        <v>0</v>
      </c>
      <c r="I39">
        <f>COUNTIFS('Team Lineups'!C:C,A39,'Team Lineups'!G:G,"Loss")</f>
        <v>2</v>
      </c>
      <c r="J39" s="3">
        <f t="shared" si="18"/>
        <v>0.6</v>
      </c>
      <c r="K39" s="3">
        <f t="shared" si="19"/>
        <v>0.4</v>
      </c>
      <c r="L39">
        <f>SUMIF('Team Lineups'!C:C,A39,'Team Lineups'!H:H)</f>
        <v>7</v>
      </c>
      <c r="M39">
        <f t="shared" si="20"/>
        <v>1.4</v>
      </c>
      <c r="N39">
        <f>SUMIF('Team Lineups'!C:C,A39,'Team Lineups'!I:I)</f>
        <v>2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14</v>
      </c>
      <c r="D41">
        <f>SUMIF('Team Lineups'!C:C,A41,'Team Lineups'!E:E)</f>
        <v>96</v>
      </c>
      <c r="E41">
        <f>SUMIF('Team Lineups'!C:C,A41,'Team Lineups'!F:F)</f>
        <v>102</v>
      </c>
      <c r="F41">
        <f t="shared" si="17"/>
        <v>-6</v>
      </c>
      <c r="G41">
        <f>COUNTIFS('Team Lineups'!C:C,A41,'Team Lineups'!G:G,"Win")</f>
        <v>4</v>
      </c>
      <c r="H41">
        <f>COUNTIFS('Team Lineups'!C:C,A41,'Team Lineups'!G:G,"Draw")</f>
        <v>3</v>
      </c>
      <c r="I41">
        <f>COUNTIFS('Team Lineups'!C:C,A41,'Team Lineups'!G:G,"Loss")</f>
        <v>7</v>
      </c>
      <c r="J41" s="3">
        <f t="shared" si="18"/>
        <v>0.2857142857142857</v>
      </c>
      <c r="K41" s="3">
        <f t="shared" si="19"/>
        <v>0.5</v>
      </c>
      <c r="L41">
        <f>SUMIF('Team Lineups'!C:C,A41,'Team Lineups'!H:H)</f>
        <v>12</v>
      </c>
      <c r="M41">
        <f t="shared" si="20"/>
        <v>0.8571428571428571</v>
      </c>
      <c r="N41">
        <f>SUMIF('Team Lineups'!C:C,A41,'Team Lineups'!I:I)</f>
        <v>5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15</v>
      </c>
      <c r="D42">
        <f>SUMIF('Team Lineups'!C:C,A42,'Team Lineups'!E:E)</f>
        <v>115</v>
      </c>
      <c r="E42">
        <f>SUMIF('Team Lineups'!C:C,A42,'Team Lineups'!F:F)</f>
        <v>104</v>
      </c>
      <c r="F42">
        <f t="shared" si="17"/>
        <v>11</v>
      </c>
      <c r="G42">
        <f>COUNTIFS('Team Lineups'!C:C,A42,'Team Lineups'!G:G,"Win")</f>
        <v>8</v>
      </c>
      <c r="H42">
        <f>COUNTIFS('Team Lineups'!C:C,A42,'Team Lineups'!G:G,"Draw")</f>
        <v>3</v>
      </c>
      <c r="I42">
        <f>COUNTIFS('Team Lineups'!C:C,A42,'Team Lineups'!G:G,"Loss")</f>
        <v>4</v>
      </c>
      <c r="J42" s="3">
        <f t="shared" si="18"/>
        <v>0.53333333333333333</v>
      </c>
      <c r="K42" s="3">
        <f t="shared" si="19"/>
        <v>0.26666666666666666</v>
      </c>
      <c r="L42">
        <f>SUMIF('Team Lineups'!C:C,A42,'Team Lineups'!H:H)</f>
        <v>37</v>
      </c>
      <c r="M42">
        <f t="shared" si="20"/>
        <v>2.4666666666666668</v>
      </c>
      <c r="N42">
        <f>SUMIF('Team Lineups'!C:C,A42,'Team Lineups'!I:I)</f>
        <v>15</v>
      </c>
      <c r="O42">
        <f>COUNTIF(Matches!G:G,A42)</f>
        <v>1</v>
      </c>
      <c r="P42">
        <f t="shared" si="21"/>
        <v>6.6666666666666666E-2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7</v>
      </c>
      <c r="D44">
        <f>SUMIF('Team Lineups'!C:C,A44,'Team Lineups'!E:E)</f>
        <v>71</v>
      </c>
      <c r="E44">
        <f>SUMIF('Team Lineups'!C:C,A44,'Team Lineups'!F:F)</f>
        <v>56</v>
      </c>
      <c r="F44">
        <f t="shared" ref="F44" si="27">D44-E44</f>
        <v>15</v>
      </c>
      <c r="G44">
        <f>COUNTIFS('Team Lineups'!C:C,A44,'Team Lineups'!G:G,"Win")</f>
        <v>5</v>
      </c>
      <c r="H44">
        <f>COUNTIFS('Team Lineups'!C:C,A44,'Team Lineups'!G:G,"Draw")</f>
        <v>0</v>
      </c>
      <c r="I44">
        <f>COUNTIFS('Team Lineups'!C:C,A44,'Team Lineups'!G:G,"Loss")</f>
        <v>2</v>
      </c>
      <c r="J44" s="3">
        <f t="shared" ref="J44" si="28">G44/C44</f>
        <v>0.7142857142857143</v>
      </c>
      <c r="K44" s="3">
        <f t="shared" ref="K44" si="29">I44/C44</f>
        <v>0.2857142857142857</v>
      </c>
      <c r="L44">
        <f>SUMIF('Team Lineups'!C:C,A44,'Team Lineups'!H:H)</f>
        <v>19</v>
      </c>
      <c r="M44">
        <f t="shared" ref="M44" si="30">L44/C44</f>
        <v>2.7142857142857144</v>
      </c>
      <c r="N44">
        <f>SUMIF('Team Lineups'!C:C,A44,'Team Lineups'!I:I)</f>
        <v>13</v>
      </c>
      <c r="O44">
        <f>COUNTIF(Matches!G:G,A44)</f>
        <v>2</v>
      </c>
      <c r="P44">
        <f t="shared" ref="P44" si="31">O44/C44</f>
        <v>0.2857142857142857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9</v>
      </c>
      <c r="D45">
        <f>SUMIF('Team Lineups'!C:C,A45,'Team Lineups'!E:E)</f>
        <v>57</v>
      </c>
      <c r="E45">
        <f>SUMIF('Team Lineups'!C:C,A45,'Team Lineups'!F:F)</f>
        <v>61</v>
      </c>
      <c r="F45">
        <f t="shared" ref="F45" si="32">D45-E45</f>
        <v>-4</v>
      </c>
      <c r="G45">
        <f>COUNTIFS('Team Lineups'!C:C,A45,'Team Lineups'!G:G,"Win")</f>
        <v>4</v>
      </c>
      <c r="H45">
        <f>COUNTIFS('Team Lineups'!C:C,A45,'Team Lineups'!G:G,"Draw")</f>
        <v>1</v>
      </c>
      <c r="I45">
        <f>COUNTIFS('Team Lineups'!C:C,A45,'Team Lineups'!G:G,"Loss")</f>
        <v>4</v>
      </c>
      <c r="J45" s="3">
        <f t="shared" ref="J45" si="33">G45/C45</f>
        <v>0.44444444444444442</v>
      </c>
      <c r="K45" s="3">
        <f t="shared" ref="K45" si="34">I45/C45</f>
        <v>0.44444444444444442</v>
      </c>
      <c r="L45">
        <f>SUMIF('Team Lineups'!C:C,A45,'Team Lineups'!H:H)</f>
        <v>3</v>
      </c>
      <c r="M45">
        <f t="shared" ref="M45" si="35">L45/C45</f>
        <v>0.33333333333333331</v>
      </c>
      <c r="N45">
        <f>SUMIF('Team Lineups'!C:C,A45,'Team Lineups'!I:I)</f>
        <v>1</v>
      </c>
      <c r="O45">
        <f>COUNTIF(Matches!G:G,A45)</f>
        <v>3</v>
      </c>
      <c r="P45">
        <f t="shared" ref="P45" si="36">O45/C45</f>
        <v>0.33333333333333331</v>
      </c>
      <c r="Q45">
        <f>SUMIF('Team Lineups'!C:C,A45,'Team Lineups'!J:J)</f>
        <v>0</v>
      </c>
    </row>
    <row r="46" spans="1:17" x14ac:dyDescent="0.35">
      <c r="A46" t="s">
        <v>111</v>
      </c>
      <c r="C46">
        <f>COUNTIF('Team Lineups'!C:C,A46)</f>
        <v>1</v>
      </c>
      <c r="D46">
        <f>SUMIF('Team Lineups'!C:C,A46,'Team Lineups'!E:E)</f>
        <v>7</v>
      </c>
      <c r="E46">
        <f>SUMIF('Team Lineups'!C:C,A46,'Team Lineups'!F:F)</f>
        <v>9</v>
      </c>
      <c r="F46">
        <f t="shared" ref="F46" si="37">D46-E46</f>
        <v>-2</v>
      </c>
      <c r="G46">
        <f>COUNTIFS('Team Lineups'!C:C,A46,'Team Lineups'!G:G,"Win")</f>
        <v>0</v>
      </c>
      <c r="H46">
        <f>COUNTIFS('Team Lineups'!C:C,A46,'Team Lineups'!G:G,"Draw")</f>
        <v>0</v>
      </c>
      <c r="I46">
        <f>COUNTIFS('Team Lineups'!C:C,A46,'Team Lineups'!G:G,"Loss")</f>
        <v>1</v>
      </c>
      <c r="J46" s="3">
        <f t="shared" ref="J46" si="38">G46/C46</f>
        <v>0</v>
      </c>
      <c r="K46" s="3">
        <f t="shared" ref="K46" si="39">I46/C46</f>
        <v>1</v>
      </c>
      <c r="L46">
        <f>SUMIF('Team Lineups'!C:C,A46,'Team Lineups'!H:H)</f>
        <v>1</v>
      </c>
      <c r="M46">
        <f t="shared" ref="M46" si="40">L46/C46</f>
        <v>1</v>
      </c>
      <c r="N46">
        <f>SUMIF('Team Lineups'!C:C,A46,'Team Lineups'!I:I)</f>
        <v>1</v>
      </c>
      <c r="O46">
        <f>COUNTIF(Matches!G:G,A46)</f>
        <v>0</v>
      </c>
      <c r="P46">
        <f t="shared" ref="P46" si="41">O46/C46</f>
        <v>0</v>
      </c>
      <c r="Q46">
        <f>SUMIF('Team Lineups'!C:C,A46,'Team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5"/>
  <sheetViews>
    <sheetView topLeftCell="A31" workbookViewId="0">
      <selection activeCell="AF45" sqref="AF45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5">_xlfn.UNIQUE('Team Lineups'!C2:C500)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19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7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3</v>
      </c>
      <c r="G2" cm="1">
        <f t="array" ref="G2">SUMPRODUCT(('Team Lineups'!$K$2:$K$2000&lt;&gt;"")*('Team Lineups'!$C$2:$C$2000=$A2)*COUNTIFS('Team Lineups'!$K$2:$K$2000,'Team Lineups'!$K$2:$K$2000,'Team Lineups'!$C$2:$C$2000,G$1))</f>
        <v>6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9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6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3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4</v>
      </c>
      <c r="AB2" cm="1">
        <f t="array" ref="AB2">SUMPRODUCT(('Team Lineups'!$K$2:$K$2000&lt;&gt;"")*('Team Lineups'!$C$2:$C$2000=$A2)*COUNTIFS('Team Lineups'!$K$2:$K$2000,'Team Lineups'!$K$2:$K$2000,'Team Lineups'!$C$2:$C$2000,AB$1))</f>
        <v>2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4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2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1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7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22</v>
      </c>
      <c r="E4" cm="1">
        <f t="array" ref="E4">SUMPRODUCT(('Team Lineups'!$K$2:$K$2000&lt;&gt;"")*('Team Lineups'!$C$2:$C$2000=$A4)*COUNTIFS('Team Lineups'!$K$2:$K$2000,'Team Lineups'!$K$2:$K$2000,'Team Lineups'!$C$2:$C$2000,E$1))</f>
        <v>6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2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7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5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4</v>
      </c>
      <c r="R4" cm="1">
        <f t="array" ref="R4">SUMPRODUCT(('Team Lineups'!$K$2:$K$2000&lt;&gt;"")*('Team Lineups'!$C$2:$C$2000=$A4)*COUNTIFS('Team Lineups'!$K$2:$K$2000,'Team Lineups'!$K$2:$K$2000,'Team Lineups'!$C$2:$C$2000,R$1))</f>
        <v>8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1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3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3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2</v>
      </c>
      <c r="AQ4" cm="1">
        <f t="array" ref="AQ4">SUMPRODUCT(('Team Lineups'!$K$2:$K$2000&lt;&gt;"")*('Team Lineups'!$C$2:$C$2000=$A4)*COUNTIFS('Team Lineups'!$K$2:$K$2000,'Team Lineups'!$K$2:$K$2000,'Team Lineups'!$C$2:$C$2000,AQ$1))</f>
        <v>0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6</v>
      </c>
      <c r="E5" cm="1">
        <f t="array" ref="E5">SUMPRODUCT(('Team Lineups'!$K$2:$K$2000&lt;&gt;"")*('Team Lineups'!$C$2:$C$2000=$A5)*COUNTIFS('Team Lineups'!$K$2:$K$2000,'Team Lineups'!$K$2:$K$2000,'Team Lineups'!$C$2:$C$2000,E$1))</f>
        <v>23</v>
      </c>
      <c r="F5" cm="1">
        <f t="array" ref="F5">SUMPRODUCT(('Team Lineups'!$K$2:$K$2000&lt;&gt;"")*('Team Lineups'!$C$2:$C$2000=$A5)*COUNTIFS('Team Lineups'!$K$2:$K$2000,'Team Lineups'!$K$2:$K$2000,'Team Lineups'!$C$2:$C$2000,F$1))</f>
        <v>9</v>
      </c>
      <c r="G5" cm="1">
        <f t="array" ref="G5">SUMPRODUCT(('Team Lineups'!$K$2:$K$2000&lt;&gt;"")*('Team Lineups'!$C$2:$C$2000=$A5)*COUNTIFS('Team Lineups'!$K$2:$K$2000,'Team Lineups'!$K$2:$K$2000,'Team Lineups'!$C$2:$C$2000,G$1))</f>
        <v>8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4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3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6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3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3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6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3</v>
      </c>
      <c r="AQ5" cm="1">
        <f t="array" ref="AQ5">SUMPRODUCT(('Team Lineups'!$K$2:$K$2000&lt;&gt;"")*('Team Lineups'!$C$2:$C$2000=$A5)*COUNTIFS('Team Lineups'!$K$2:$K$2000,'Team Lineups'!$K$2:$K$2000,'Team Lineups'!$C$2:$C$2000,AQ$1))</f>
        <v>1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3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9</v>
      </c>
      <c r="F6" cm="1">
        <f t="array" ref="F6">SUMPRODUCT(('Team Lineups'!$K$2:$K$2000&lt;&gt;"")*('Team Lineups'!$C$2:$C$2000=$A6)*COUNTIFS('Team Lineups'!$K$2:$K$2000,'Team Lineups'!$K$2:$K$2000,'Team Lineups'!$C$2:$C$2000,F$1))</f>
        <v>23</v>
      </c>
      <c r="G6" cm="1">
        <f t="array" ref="G6">SUMPRODUCT(('Team Lineups'!$K$2:$K$2000&lt;&gt;"")*('Team Lineups'!$C$2:$C$2000=$A6)*COUNTIFS('Team Lineups'!$K$2:$K$2000,'Team Lineups'!$K$2:$K$2000,'Team Lineups'!$C$2:$C$2000,G$1))</f>
        <v>4</v>
      </c>
      <c r="H6" cm="1">
        <f t="array" ref="H6">SUMPRODUCT(('Team Lineups'!$K$2:$K$2000&lt;&gt;"")*('Team Lineups'!$C$2:$C$2000=$A6)*COUNTIFS('Team Lineups'!$K$2:$K$2000,'Team Lineups'!$K$2:$K$2000,'Team Lineups'!$C$2:$C$2000,H$1))</f>
        <v>5</v>
      </c>
      <c r="I6" cm="1">
        <f t="array" ref="I6">SUMPRODUCT(('Team Lineups'!$K$2:$K$2000&lt;&gt;"")*('Team Lineups'!$C$2:$C$2000=$A6)*COUNTIFS('Team Lineups'!$K$2:$K$2000,'Team Lineups'!$K$2:$K$2000,'Team Lineups'!$C$2:$C$2000,I$1))</f>
        <v>6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9</v>
      </c>
      <c r="M6" cm="1">
        <f t="array" ref="M6">SUMPRODUCT(('Team Lineups'!$K$2:$K$2000&lt;&gt;"")*('Team Lineups'!$C$2:$C$2000=$A6)*COUNTIFS('Team Lineups'!$K$2:$K$2000,'Team Lineups'!$K$2:$K$2000,'Team Lineups'!$C$2:$C$2000,M$1))</f>
        <v>9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8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7</v>
      </c>
      <c r="AB6" cm="1">
        <f t="array" ref="AB6">SUMPRODUCT(('Team Lineups'!$K$2:$K$2000&lt;&gt;"")*('Team Lineups'!$C$2:$C$2000=$A6)*COUNTIFS('Team Lineups'!$K$2:$K$2000,'Team Lineups'!$K$2:$K$2000,'Team Lineups'!$C$2:$C$2000,AB$1))</f>
        <v>3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2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1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6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2</v>
      </c>
      <c r="E7" cm="1">
        <f t="array" ref="E7">SUMPRODUCT(('Team Lineups'!$K$2:$K$2000&lt;&gt;"")*('Team Lineups'!$C$2:$C$2000=$A7)*COUNTIFS('Team Lineups'!$K$2:$K$2000,'Team Lineups'!$K$2:$K$2000,'Team Lineups'!$C$2:$C$2000,E$1))</f>
        <v>8</v>
      </c>
      <c r="F7" cm="1">
        <f t="array" ref="F7">SUMPRODUCT(('Team Lineups'!$K$2:$K$2000&lt;&gt;"")*('Team Lineups'!$C$2:$C$2000=$A7)*COUNTIFS('Team Lineups'!$K$2:$K$2000,'Team Lineups'!$K$2:$K$2000,'Team Lineups'!$C$2:$C$2000,F$1))</f>
        <v>4</v>
      </c>
      <c r="G7" cm="1">
        <f t="array" ref="G7">SUMPRODUCT(('Team Lineups'!$K$2:$K$2000&lt;&gt;"")*('Team Lineups'!$C$2:$C$2000=$A7)*COUNTIFS('Team Lineups'!$K$2:$K$2000,'Team Lineups'!$K$2:$K$2000,'Team Lineups'!$C$2:$C$2000,G$1))</f>
        <v>28</v>
      </c>
      <c r="H7" cm="1">
        <f t="array" ref="H7">SUMPRODUCT(('Team Lineups'!$K$2:$K$2000&lt;&gt;"")*('Team Lineups'!$C$2:$C$2000=$A7)*COUNTIFS('Team Lineups'!$K$2:$K$2000,'Team Lineups'!$K$2:$K$2000,'Team Lineups'!$C$2:$C$2000,H$1))</f>
        <v>6</v>
      </c>
      <c r="I7" cm="1">
        <f t="array" ref="I7">SUMPRODUCT(('Team Lineups'!$K$2:$K$2000&lt;&gt;"")*('Team Lineups'!$C$2:$C$2000=$A7)*COUNTIFS('Team Lineups'!$K$2:$K$2000,'Team Lineups'!$K$2:$K$2000,'Team Lineups'!$C$2:$C$2000,I$1))</f>
        <v>8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6</v>
      </c>
      <c r="M7" cm="1">
        <f t="array" ref="M7">SUMPRODUCT(('Team Lineups'!$K$2:$K$2000&lt;&gt;"")*('Team Lineups'!$C$2:$C$2000=$A7)*COUNTIFS('Team Lineups'!$K$2:$K$2000,'Team Lineups'!$K$2:$K$2000,'Team Lineups'!$C$2:$C$2000,M$1))</f>
        <v>11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2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8</v>
      </c>
      <c r="R7" cm="1">
        <f t="array" ref="R7">SUMPRODUCT(('Team Lineups'!$K$2:$K$2000&lt;&gt;"")*('Team Lineups'!$C$2:$C$2000=$A7)*COUNTIFS('Team Lineups'!$K$2:$K$2000,'Team Lineups'!$K$2:$K$2000,'Team Lineups'!$C$2:$C$2000,R$1))</f>
        <v>7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9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5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2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2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6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3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5</v>
      </c>
      <c r="G8" cm="1">
        <f t="array" ref="G8">SUMPRODUCT(('Team Lineups'!$K$2:$K$2000&lt;&gt;"")*('Team Lineups'!$C$2:$C$2000=$A8)*COUNTIFS('Team Lineups'!$K$2:$K$2000,'Team Lineups'!$K$2:$K$2000,'Team Lineups'!$C$2:$C$2000,G$1))</f>
        <v>6</v>
      </c>
      <c r="H8" cm="1">
        <f t="array" ref="H8">SUMPRODUCT(('Team Lineups'!$K$2:$K$2000&lt;&gt;"")*('Team Lineups'!$C$2:$C$2000=$A8)*COUNTIFS('Team Lineups'!$K$2:$K$2000,'Team Lineups'!$K$2:$K$2000,'Team Lineups'!$C$2:$C$2000,H$1))</f>
        <v>21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3</v>
      </c>
      <c r="M8" cm="1">
        <f t="array" ref="M8">SUMPRODUCT(('Team Lineups'!$K$2:$K$2000&lt;&gt;"")*('Team Lineups'!$C$2:$C$2000=$A8)*COUNTIFS('Team Lineups'!$K$2:$K$2000,'Team Lineups'!$K$2:$K$2000,'Team Lineups'!$C$2:$C$2000,M$1))</f>
        <v>8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11</v>
      </c>
      <c r="R8" cm="1">
        <f t="array" ref="R8">SUMPRODUCT(('Team Lineups'!$K$2:$K$2000&lt;&gt;"")*('Team Lineups'!$C$2:$C$2000=$A8)*COUNTIFS('Team Lineups'!$K$2:$K$2000,'Team Lineups'!$K$2:$K$2000,'Team Lineups'!$C$2:$C$2000,R$1))</f>
        <v>6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3</v>
      </c>
      <c r="AA8" cm="1">
        <f t="array" ref="AA8">SUMPRODUCT(('Team Lineups'!$K$2:$K$2000&lt;&gt;"")*('Team Lineups'!$C$2:$C$2000=$A8)*COUNTIFS('Team Lineups'!$K$2:$K$2000,'Team Lineups'!$K$2:$K$2000,'Team Lineups'!$C$2:$C$2000,AA$1))</f>
        <v>4</v>
      </c>
      <c r="AB8" cm="1">
        <f t="array" ref="AB8">SUMPRODUCT(('Team Lineups'!$K$2:$K$2000&lt;&gt;"")*('Team Lineups'!$C$2:$C$2000=$A8)*COUNTIFS('Team Lineups'!$K$2:$K$2000,'Team Lineups'!$K$2:$K$2000,'Team Lineups'!$C$2:$C$2000,AB$1))</f>
        <v>6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1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0</v>
      </c>
      <c r="AP8" cm="1">
        <f t="array" ref="AP8">SUMPRODUCT(('Team Lineups'!$K$2:$K$2000&lt;&gt;"")*('Team Lineups'!$C$2:$C$2000=$A8)*COUNTIFS('Team Lineups'!$K$2:$K$2000,'Team Lineups'!$K$2:$K$2000,'Team Lineups'!$C$2:$C$2000,AP$1))</f>
        <v>1</v>
      </c>
      <c r="AQ8" cm="1">
        <f t="array" ref="AQ8">SUMPRODUCT(('Team Lineups'!$K$2:$K$2000&lt;&gt;"")*('Team Lineups'!$C$2:$C$2000=$A8)*COUNTIFS('Team Lineups'!$K$2:$K$2000,'Team Lineups'!$K$2:$K$2000,'Team Lineups'!$C$2:$C$2000,AQ$1))</f>
        <v>0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9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7</v>
      </c>
      <c r="E9" cm="1">
        <f t="array" ref="E9">SUMPRODUCT(('Team Lineups'!$K$2:$K$2000&lt;&gt;"")*('Team Lineups'!$C$2:$C$2000=$A9)*COUNTIFS('Team Lineups'!$K$2:$K$2000,'Team Lineups'!$K$2:$K$2000,'Team Lineups'!$C$2:$C$2000,E$1))</f>
        <v>4</v>
      </c>
      <c r="F9" cm="1">
        <f t="array" ref="F9">SUMPRODUCT(('Team Lineups'!$K$2:$K$2000&lt;&gt;"")*('Team Lineups'!$C$2:$C$2000=$A9)*COUNTIFS('Team Lineups'!$K$2:$K$2000,'Team Lineups'!$K$2:$K$2000,'Team Lineups'!$C$2:$C$2000,F$1))</f>
        <v>6</v>
      </c>
      <c r="G9" cm="1">
        <f t="array" ref="G9">SUMPRODUCT(('Team Lineups'!$K$2:$K$2000&lt;&gt;"")*('Team Lineups'!$C$2:$C$2000=$A9)*COUNTIFS('Team Lineups'!$K$2:$K$2000,'Team Lineups'!$K$2:$K$2000,'Team Lineups'!$C$2:$C$2000,G$1))</f>
        <v>8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26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8</v>
      </c>
      <c r="M9" cm="1">
        <f t="array" ref="M9">SUMPRODUCT(('Team Lineups'!$K$2:$K$2000&lt;&gt;"")*('Team Lineups'!$C$2:$C$2000=$A9)*COUNTIFS('Team Lineups'!$K$2:$K$2000,'Team Lineups'!$K$2:$K$2000,'Team Lineups'!$C$2:$C$2000,M$1))</f>
        <v>8</v>
      </c>
      <c r="N9" cm="1">
        <f t="array" ref="N9">SUMPRODUCT(('Team Lineups'!$K$2:$K$2000&lt;&gt;"")*('Team Lineups'!$C$2:$C$2000=$A9)*COUNTIFS('Team Lineups'!$K$2:$K$2000,'Team Lineups'!$K$2:$K$2000,'Team Lineups'!$C$2:$C$2000,N$1))</f>
        <v>6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6</v>
      </c>
      <c r="R9" cm="1">
        <f t="array" ref="R9">SUMPRODUCT(('Team Lineups'!$K$2:$K$2000&lt;&gt;"")*('Team Lineups'!$C$2:$C$2000=$A9)*COUNTIFS('Team Lineups'!$K$2:$K$2000,'Team Lineups'!$K$2:$K$2000,'Team Lineups'!$C$2:$C$2000,R$1))</f>
        <v>5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8</v>
      </c>
      <c r="AB9" cm="1">
        <f t="array" ref="AB9">SUMPRODUCT(('Team Lineups'!$K$2:$K$2000&lt;&gt;"")*('Team Lineups'!$C$2:$C$2000=$A9)*COUNTIFS('Team Lineups'!$K$2:$K$2000,'Team Lineups'!$K$2:$K$2000,'Team Lineups'!$C$2:$C$2000,AB$1))</f>
        <v>3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6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6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2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1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9</v>
      </c>
      <c r="G12" cm="1">
        <f t="array" ref="G12">SUMPRODUCT(('Team Lineups'!$K$2:$K$2000&lt;&gt;"")*('Team Lineups'!$C$2:$C$2000=$A12)*COUNTIFS('Team Lineups'!$K$2:$K$2000,'Team Lineups'!$K$2:$K$2000,'Team Lineups'!$C$2:$C$2000,G$1))</f>
        <v>6</v>
      </c>
      <c r="H12" cm="1">
        <f t="array" ref="H12">SUMPRODUCT(('Team Lineups'!$K$2:$K$2000&lt;&gt;"")*('Team Lineups'!$C$2:$C$2000=$A12)*COUNTIFS('Team Lineups'!$K$2:$K$2000,'Team Lineups'!$K$2:$K$2000,'Team Lineups'!$C$2:$C$2000,H$1))</f>
        <v>3</v>
      </c>
      <c r="I12" cm="1">
        <f t="array" ref="I12">SUMPRODUCT(('Team Lineups'!$K$2:$K$2000&lt;&gt;"")*('Team Lineups'!$C$2:$C$2000=$A12)*COUNTIFS('Team Lineups'!$K$2:$K$2000,'Team Lineups'!$K$2:$K$2000,'Team Lineups'!$C$2:$C$2000,I$1))</f>
        <v>8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25</v>
      </c>
      <c r="M12" cm="1">
        <f t="array" ref="M12">SUMPRODUCT(('Team Lineups'!$K$2:$K$2000&lt;&gt;"")*('Team Lineups'!$C$2:$C$2000=$A12)*COUNTIFS('Team Lineups'!$K$2:$K$2000,'Team Lineups'!$K$2:$K$2000,'Team Lineups'!$C$2:$C$2000,M$1))</f>
        <v>7</v>
      </c>
      <c r="N12" cm="1">
        <f t="array" ref="N12">SUMPRODUCT(('Team Lineups'!$K$2:$K$2000&lt;&gt;"")*('Team Lineups'!$C$2:$C$2000=$A12)*COUNTIFS('Team Lineups'!$K$2:$K$2000,'Team Lineups'!$K$2:$K$2000,'Team Lineups'!$C$2:$C$2000,N$1))</f>
        <v>7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7</v>
      </c>
      <c r="R12" cm="1">
        <f t="array" ref="R12">SUMPRODUCT(('Team Lineups'!$K$2:$K$2000&lt;&gt;"")*('Team Lineups'!$C$2:$C$2000=$A12)*COUNTIFS('Team Lineups'!$K$2:$K$2000,'Team Lineups'!$K$2:$K$2000,'Team Lineups'!$C$2:$C$2000,R$1))</f>
        <v>3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7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4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4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1</v>
      </c>
      <c r="AQ12" cm="1">
        <f t="array" ref="AQ12">SUMPRODUCT(('Team Lineups'!$K$2:$K$2000&lt;&gt;"")*('Team Lineups'!$C$2:$C$2000=$A12)*COUNTIFS('Team Lineups'!$K$2:$K$2000,'Team Lineups'!$K$2:$K$2000,'Team Lineups'!$C$2:$C$2000,AQ$1))</f>
        <v>2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6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5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9</v>
      </c>
      <c r="G13" cm="1">
        <f t="array" ref="G13">SUMPRODUCT(('Team Lineups'!$K$2:$K$2000&lt;&gt;"")*('Team Lineups'!$C$2:$C$2000=$A13)*COUNTIFS('Team Lineups'!$K$2:$K$2000,'Team Lineups'!$K$2:$K$2000,'Team Lineups'!$C$2:$C$2000,G$1))</f>
        <v>11</v>
      </c>
      <c r="H13" cm="1">
        <f t="array" ref="H13">SUMPRODUCT(('Team Lineups'!$K$2:$K$2000&lt;&gt;"")*('Team Lineups'!$C$2:$C$2000=$A13)*COUNTIFS('Team Lineups'!$K$2:$K$2000,'Team Lineups'!$K$2:$K$2000,'Team Lineups'!$C$2:$C$2000,H$1))</f>
        <v>8</v>
      </c>
      <c r="I13" cm="1">
        <f t="array" ref="I13">SUMPRODUCT(('Team Lineups'!$K$2:$K$2000&lt;&gt;"")*('Team Lineups'!$C$2:$C$2000=$A13)*COUNTIFS('Team Lineups'!$K$2:$K$2000,'Team Lineups'!$K$2:$K$2000,'Team Lineups'!$C$2:$C$2000,I$1))</f>
        <v>8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7</v>
      </c>
      <c r="M13" cm="1">
        <f t="array" ref="M13">SUMPRODUCT(('Team Lineups'!$K$2:$K$2000&lt;&gt;"")*('Team Lineups'!$C$2:$C$2000=$A13)*COUNTIFS('Team Lineups'!$K$2:$K$2000,'Team Lineups'!$K$2:$K$2000,'Team Lineups'!$C$2:$C$2000,M$1))</f>
        <v>26</v>
      </c>
      <c r="N13" cm="1">
        <f t="array" ref="N13">SUMPRODUCT(('Team Lineups'!$K$2:$K$2000&lt;&gt;"")*('Team Lineups'!$C$2:$C$2000=$A13)*COUNTIFS('Team Lineups'!$K$2:$K$2000,'Team Lineups'!$K$2:$K$2000,'Team Lineups'!$C$2:$C$2000,N$1))</f>
        <v>5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10</v>
      </c>
      <c r="R13" cm="1">
        <f t="array" ref="R13">SUMPRODUCT(('Team Lineups'!$K$2:$K$2000&lt;&gt;"")*('Team Lineups'!$C$2:$C$2000=$A13)*COUNTIFS('Team Lineups'!$K$2:$K$2000,'Team Lineups'!$K$2:$K$2000,'Team Lineups'!$C$2:$C$2000,R$1))</f>
        <v>7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6</v>
      </c>
      <c r="AA13" cm="1">
        <f t="array" ref="AA13">SUMPRODUCT(('Team Lineups'!$K$2:$K$2000&lt;&gt;"")*('Team Lineups'!$C$2:$C$2000=$A13)*COUNTIFS('Team Lineups'!$K$2:$K$2000,'Team Lineups'!$K$2:$K$2000,'Team Lineups'!$C$2:$C$2000,AA$1))</f>
        <v>6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3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2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4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2</v>
      </c>
      <c r="AQ13" cm="1">
        <f t="array" ref="AQ13">SUMPRODUCT(('Team Lineups'!$K$2:$K$2000&lt;&gt;"")*('Team Lineups'!$C$2:$C$2000=$A13)*COUNTIFS('Team Lineups'!$K$2:$K$2000,'Team Lineups'!$K$2:$K$2000,'Team Lineups'!$C$2:$C$2000,AQ$1))</f>
        <v>0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6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7</v>
      </c>
      <c r="M14" cm="1">
        <f t="array" ref="M14">SUMPRODUCT(('Team Lineups'!$K$2:$K$2000&lt;&gt;"")*('Team Lineups'!$C$2:$C$2000=$A14)*COUNTIFS('Team Lineups'!$K$2:$K$2000,'Team Lineups'!$K$2:$K$2000,'Team Lineups'!$C$2:$C$2000,M$1))</f>
        <v>5</v>
      </c>
      <c r="N14" cm="1">
        <f t="array" ref="N14">SUMPRODUCT(('Team Lineups'!$K$2:$K$2000&lt;&gt;"")*('Team Lineups'!$C$2:$C$2000=$A14)*COUNTIFS('Team Lineups'!$K$2:$K$2000,'Team Lineups'!$K$2:$K$2000,'Team Lineups'!$C$2:$C$2000,N$1))</f>
        <v>20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5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5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2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4</v>
      </c>
      <c r="AQ14" cm="1">
        <f t="array" ref="AQ14">SUMPRODUCT(('Team Lineups'!$K$2:$K$2000&lt;&gt;"")*('Team Lineups'!$C$2:$C$2000=$A14)*COUNTIFS('Team Lineups'!$K$2:$K$2000,'Team Lineups'!$K$2:$K$2000,'Team Lineups'!$C$2:$C$2000,AQ$1))</f>
        <v>1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3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2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13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9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2</v>
      </c>
      <c r="AA15" cm="1">
        <f t="array" ref="AA15">SUMPRODUCT(('Team Lineups'!$K$2:$K$2000&lt;&gt;"")*('Team Lineups'!$C$2:$C$2000=$A15)*COUNTIFS('Team Lineups'!$K$2:$K$2000,'Team Lineups'!$K$2:$K$2000,'Team Lineups'!$C$2:$C$2000,AA$1))</f>
        <v>3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1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1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1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  <c r="AQ15" cm="1">
        <f t="array" ref="AQ15">SUMPRODUCT(('Team Lineups'!$K$2:$K$2000&lt;&gt;"")*('Team Lineups'!$C$2:$C$2000=$A15)*COUNTIFS('Team Lineups'!$K$2:$K$2000,'Team Lineups'!$K$2:$K$2000,'Team Lineups'!$C$2:$C$2000,AQ$1))</f>
        <v>0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</row>
    <row r="17" spans="1:44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4</v>
      </c>
      <c r="E17" cm="1">
        <f t="array" ref="E17">SUMPRODUCT(('Team Lineups'!$K$2:$K$2000&lt;&gt;"")*('Team Lineups'!$C$2:$C$2000=$A17)*COUNTIFS('Team Lineups'!$K$2:$K$2000,'Team Lineups'!$K$2:$K$2000,'Team Lineups'!$C$2:$C$2000,E$1))</f>
        <v>6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8</v>
      </c>
      <c r="H17" cm="1">
        <f t="array" ref="H17">SUMPRODUCT(('Team Lineups'!$K$2:$K$2000&lt;&gt;"")*('Team Lineups'!$C$2:$C$2000=$A17)*COUNTIFS('Team Lineups'!$K$2:$K$2000,'Team Lineups'!$K$2:$K$2000,'Team Lineups'!$C$2:$C$2000,H$1))</f>
        <v>11</v>
      </c>
      <c r="I17" cm="1">
        <f t="array" ref="I17">SUMPRODUCT(('Team Lineups'!$K$2:$K$2000&lt;&gt;"")*('Team Lineups'!$C$2:$C$2000=$A17)*COUNTIFS('Team Lineups'!$K$2:$K$2000,'Team Lineups'!$K$2:$K$2000,'Team Lineups'!$C$2:$C$2000,I$1))</f>
        <v>6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7</v>
      </c>
      <c r="M17" cm="1">
        <f t="array" ref="M17">SUMPRODUCT(('Team Lineups'!$K$2:$K$2000&lt;&gt;"")*('Team Lineups'!$C$2:$C$2000=$A17)*COUNTIFS('Team Lineups'!$K$2:$K$2000,'Team Lineups'!$K$2:$K$2000,'Team Lineups'!$C$2:$C$2000,M$1))</f>
        <v>10</v>
      </c>
      <c r="N17" cm="1">
        <f t="array" ref="N17">SUMPRODUCT(('Team Lineups'!$K$2:$K$2000&lt;&gt;"")*('Team Lineups'!$C$2:$C$2000=$A17)*COUNTIFS('Team Lineups'!$K$2:$K$2000,'Team Lineups'!$K$2:$K$2000,'Team Lineups'!$C$2:$C$2000,N$1))</f>
        <v>5</v>
      </c>
      <c r="O17" cm="1">
        <f t="array" ref="O17">SUMPRODUCT(('Team Lineups'!$K$2:$K$2000&lt;&gt;"")*('Team Lineups'!$C$2:$C$2000=$A17)*COUNTIFS('Team Lineups'!$K$2:$K$2000,'Team Lineups'!$K$2:$K$2000,'Team Lineups'!$C$2:$C$2000,O$1))</f>
        <v>9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27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3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3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4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3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2</v>
      </c>
      <c r="AQ17" cm="1">
        <f t="array" ref="AQ17">SUMPRODUCT(('Team Lineups'!$K$2:$K$2000&lt;&gt;"")*('Team Lineups'!$C$2:$C$2000=$A17)*COUNTIFS('Team Lineups'!$K$2:$K$2000,'Team Lineups'!$K$2:$K$2000,'Team Lineups'!$C$2:$C$2000,AQ$1))</f>
        <v>1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</row>
    <row r="18" spans="1:44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3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8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8</v>
      </c>
      <c r="G18" cm="1">
        <f t="array" ref="G18">SUMPRODUCT(('Team Lineups'!$K$2:$K$2000&lt;&gt;"")*('Team Lineups'!$C$2:$C$2000=$A18)*COUNTIFS('Team Lineups'!$K$2:$K$2000,'Team Lineups'!$K$2:$K$2000,'Team Lineups'!$C$2:$C$2000,G$1))</f>
        <v>7</v>
      </c>
      <c r="H18" cm="1">
        <f t="array" ref="H18">SUMPRODUCT(('Team Lineups'!$K$2:$K$2000&lt;&gt;"")*('Team Lineups'!$C$2:$C$2000=$A18)*COUNTIFS('Team Lineups'!$K$2:$K$2000,'Team Lineups'!$K$2:$K$2000,'Team Lineups'!$C$2:$C$2000,H$1))</f>
        <v>6</v>
      </c>
      <c r="I18" cm="1">
        <f t="array" ref="I18">SUMPRODUCT(('Team Lineups'!$K$2:$K$2000&lt;&gt;"")*('Team Lineups'!$C$2:$C$2000=$A18)*COUNTIFS('Team Lineups'!$K$2:$K$2000,'Team Lineups'!$K$2:$K$2000,'Team Lineups'!$C$2:$C$2000,I$1))</f>
        <v>5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3</v>
      </c>
      <c r="M18" cm="1">
        <f t="array" ref="M18">SUMPRODUCT(('Team Lineups'!$K$2:$K$2000&lt;&gt;"")*('Team Lineups'!$C$2:$C$2000=$A18)*COUNTIFS('Team Lineups'!$K$2:$K$2000,'Team Lineups'!$K$2:$K$2000,'Team Lineups'!$C$2:$C$2000,M$1))</f>
        <v>7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cm="1">
        <f t="array" ref="R18">SUMPRODUCT(('Team Lineups'!$K$2:$K$2000&lt;&gt;"")*('Team Lineups'!$C$2:$C$2000=$A18)*COUNTIFS('Team Lineups'!$K$2:$K$2000,'Team Lineups'!$K$2:$K$2000,'Team Lineups'!$C$2:$C$2000,R$1))</f>
        <v>18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5</v>
      </c>
      <c r="AB18" cm="1">
        <f t="array" ref="AB18">SUMPRODUCT(('Team Lineups'!$K$2:$K$2000&lt;&gt;"")*('Team Lineups'!$C$2:$C$2000=$A18)*COUNTIFS('Team Lineups'!$K$2:$K$2000,'Team Lineups'!$K$2:$K$2000,'Team Lineups'!$C$2:$C$2000,AB$1))</f>
        <v>5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1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8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1</v>
      </c>
      <c r="AQ18" cm="1">
        <f t="array" ref="AQ18">SUMPRODUCT(('Team Lineups'!$K$2:$K$2000&lt;&gt;"")*('Team Lineups'!$C$2:$C$2000=$A18)*COUNTIFS('Team Lineups'!$K$2:$K$2000,'Team Lineups'!$K$2:$K$2000,'Team Lineups'!$C$2:$C$2000,AQ$1))</f>
        <v>0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</row>
    <row r="19" spans="1:44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</row>
    <row r="20" spans="1:44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</row>
    <row r="21" spans="1:44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</row>
    <row r="22" spans="1:44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</row>
    <row r="23" spans="1:44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</row>
    <row r="24" spans="1:44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</row>
    <row r="25" spans="1:44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</row>
    <row r="26" spans="1:44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1</v>
      </c>
      <c r="E26" cm="1">
        <f t="array" ref="E26">SUMPRODUCT(('Team Lineups'!$K$2:$K$2000&lt;&gt;"")*('Team Lineups'!$C$2:$C$2000=$A26)*COUNTIFS('Team Lineups'!$K$2:$K$2000,'Team Lineups'!$K$2:$K$2000,'Team Lineups'!$C$2:$C$2000,E$1))</f>
        <v>3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3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6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2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3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10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4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  <c r="AQ26" cm="1">
        <f t="array" ref="AQ26">SUMPRODUCT(('Team Lineups'!$K$2:$K$2000&lt;&gt;"")*('Team Lineups'!$C$2:$C$2000=$A26)*COUNTIFS('Team Lineups'!$K$2:$K$2000,'Team Lineups'!$K$2:$K$2000,'Team Lineups'!$C$2:$C$2000,AQ$1))</f>
        <v>0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</row>
    <row r="27" spans="1:44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4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7</v>
      </c>
      <c r="G27" cm="1">
        <f t="array" ref="G27">SUMPRODUCT(('Team Lineups'!$K$2:$K$2000&lt;&gt;"")*('Team Lineups'!$C$2:$C$2000=$A27)*COUNTIFS('Team Lineups'!$K$2:$K$2000,'Team Lineups'!$K$2:$K$2000,'Team Lineups'!$C$2:$C$2000,G$1))</f>
        <v>9</v>
      </c>
      <c r="H27" cm="1">
        <f t="array" ref="H27">SUMPRODUCT(('Team Lineups'!$K$2:$K$2000&lt;&gt;"")*('Team Lineups'!$C$2:$C$2000=$A27)*COUNTIFS('Team Lineups'!$K$2:$K$2000,'Team Lineups'!$K$2:$K$2000,'Team Lineups'!$C$2:$C$2000,H$1))</f>
        <v>4</v>
      </c>
      <c r="I27" cm="1">
        <f t="array" ref="I27">SUMPRODUCT(('Team Lineups'!$K$2:$K$2000&lt;&gt;"")*('Team Lineups'!$C$2:$C$2000=$A27)*COUNTIFS('Team Lineups'!$K$2:$K$2000,'Team Lineups'!$K$2:$K$2000,'Team Lineups'!$C$2:$C$2000,I$1))</f>
        <v>8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7</v>
      </c>
      <c r="M27" cm="1">
        <f t="array" ref="M27">SUMPRODUCT(('Team Lineups'!$K$2:$K$2000&lt;&gt;"")*('Team Lineups'!$C$2:$C$2000=$A27)*COUNTIFS('Team Lineups'!$K$2:$K$2000,'Team Lineups'!$K$2:$K$2000,'Team Lineups'!$C$2:$C$2000,M$1))</f>
        <v>6</v>
      </c>
      <c r="N27" cm="1">
        <f t="array" ref="N27">SUMPRODUCT(('Team Lineups'!$K$2:$K$2000&lt;&gt;"")*('Team Lineups'!$C$2:$C$2000=$A27)*COUNTIFS('Team Lineups'!$K$2:$K$2000,'Team Lineups'!$K$2:$K$2000,'Team Lineups'!$C$2:$C$2000,N$1))</f>
        <v>5</v>
      </c>
      <c r="O27" cm="1">
        <f t="array" ref="O27">SUMPRODUCT(('Team Lineups'!$K$2:$K$2000&lt;&gt;"")*('Team Lineups'!$C$2:$C$2000=$A27)*COUNTIFS('Team Lineups'!$K$2:$K$2000,'Team Lineups'!$K$2:$K$2000,'Team Lineups'!$C$2:$C$2000,O$1))</f>
        <v>3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5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22</v>
      </c>
      <c r="AB27" cm="1">
        <f t="array" ref="AB27">SUMPRODUCT(('Team Lineups'!$K$2:$K$2000&lt;&gt;"")*('Team Lineups'!$C$2:$C$2000=$A27)*COUNTIFS('Team Lineups'!$K$2:$K$2000,'Team Lineups'!$K$2:$K$2000,'Team Lineups'!$C$2:$C$2000,AB$1))</f>
        <v>6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6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3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2</v>
      </c>
      <c r="AQ27" cm="1">
        <f t="array" ref="AQ27">SUMPRODUCT(('Team Lineups'!$K$2:$K$2000&lt;&gt;"")*('Team Lineups'!$C$2:$C$2000=$A27)*COUNTIFS('Team Lineups'!$K$2:$K$2000,'Team Lineups'!$K$2:$K$2000,'Team Lineups'!$C$2:$C$2000,AQ$1))</f>
        <v>0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</row>
    <row r="28" spans="1:44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2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3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6</v>
      </c>
      <c r="I28" cm="1">
        <f t="array" ref="I28">SUMPRODUCT(('Team Lineups'!$K$2:$K$2000&lt;&gt;"")*('Team Lineups'!$C$2:$C$2000=$A28)*COUNTIFS('Team Lineups'!$K$2:$K$2000,'Team Lineups'!$K$2:$K$2000,'Team Lineups'!$C$2:$C$2000,I$1))</f>
        <v>3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5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6</v>
      </c>
      <c r="AB28" cm="1">
        <f t="array" ref="AB28">SUMPRODUCT(('Team Lineups'!$K$2:$K$2000&lt;&gt;"")*('Team Lineups'!$C$2:$C$2000=$A28)*COUNTIFS('Team Lineups'!$K$2:$K$2000,'Team Lineups'!$K$2:$K$2000,'Team Lineups'!$C$2:$C$2000,AB$1))</f>
        <v>17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5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0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0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</row>
    <row r="29" spans="1:44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</row>
    <row r="30" spans="1:44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5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6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4</v>
      </c>
      <c r="M30" cm="1">
        <f t="array" ref="M30">SUMPRODUCT(('Team Lineups'!$K$2:$K$2000&lt;&gt;"")*('Team Lineups'!$C$2:$C$2000=$A30)*COUNTIFS('Team Lineups'!$K$2:$K$2000,'Team Lineups'!$K$2:$K$2000,'Team Lineups'!$C$2:$C$2000,M$1))</f>
        <v>3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12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1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2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3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2</v>
      </c>
      <c r="AQ30" cm="1">
        <f t="array" ref="AQ30">SUMPRODUCT(('Team Lineups'!$K$2:$K$2000&lt;&gt;"")*('Team Lineups'!$C$2:$C$2000=$A30)*COUNTIFS('Team Lineups'!$K$2:$K$2000,'Team Lineups'!$K$2:$K$2000,'Team Lineups'!$C$2:$C$2000,AQ$1))</f>
        <v>0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</row>
    <row r="31" spans="1:44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</row>
    <row r="32" spans="1:44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</row>
    <row r="33" spans="1:44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3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2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1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3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1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10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4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</row>
    <row r="34" spans="1:44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</row>
    <row r="35" spans="1:44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</row>
    <row r="36" spans="1:44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4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3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2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6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4</v>
      </c>
      <c r="M36" cm="1">
        <f t="array" ref="M36">SUMPRODUCT(('Team Lineups'!$K$2:$K$2000&lt;&gt;"")*('Team Lineups'!$C$2:$C$2000=$A36)*COUNTIFS('Team Lineups'!$K$2:$K$2000,'Team Lineups'!$K$2:$K$2000,'Team Lineups'!$C$2:$C$2000,M$1))</f>
        <v>2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1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4</v>
      </c>
      <c r="R36" cm="1">
        <f t="array" ref="R36">SUMPRODUCT(('Team Lineups'!$K$2:$K$2000&lt;&gt;"")*('Team Lineups'!$C$2:$C$2000=$A36)*COUNTIFS('Team Lineups'!$K$2:$K$2000,'Team Lineups'!$K$2:$K$2000,'Team Lineups'!$C$2:$C$2000,R$1))</f>
        <v>1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6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2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14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1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3</v>
      </c>
      <c r="AQ36" cm="1">
        <f t="array" ref="AQ36">SUMPRODUCT(('Team Lineups'!$K$2:$K$2000&lt;&gt;"")*('Team Lineups'!$C$2:$C$2000=$A36)*COUNTIFS('Team Lineups'!$K$2:$K$2000,'Team Lineups'!$K$2:$K$2000,'Team Lineups'!$C$2:$C$2000,AQ$1))</f>
        <v>1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</row>
    <row r="37" spans="1:44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</row>
    <row r="38" spans="1:44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2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3</v>
      </c>
      <c r="E38" cm="1">
        <f t="array" ref="E38">SUMPRODUCT(('Team Lineups'!$K$2:$K$2000&lt;&gt;"")*('Team Lineups'!$C$2:$C$2000=$A38)*COUNTIFS('Team Lineups'!$K$2:$K$2000,'Team Lineups'!$K$2:$K$2000,'Team Lineups'!$C$2:$C$2000,E$1))</f>
        <v>6</v>
      </c>
      <c r="F38" cm="1">
        <f t="array" ref="F38">SUMPRODUCT(('Team Lineups'!$K$2:$K$2000&lt;&gt;"")*('Team Lineups'!$C$2:$C$2000=$A38)*COUNTIFS('Team Lineups'!$K$2:$K$2000,'Team Lineups'!$K$2:$K$2000,'Team Lineups'!$C$2:$C$2000,F$1))</f>
        <v>2</v>
      </c>
      <c r="G38" cm="1">
        <f t="array" ref="G38">SUMPRODUCT(('Team Lineups'!$K$2:$K$2000&lt;&gt;"")*('Team Lineups'!$C$2:$C$2000=$A38)*COUNTIFS('Team Lineups'!$K$2:$K$2000,'Team Lineups'!$K$2:$K$2000,'Team Lineups'!$C$2:$C$2000,G$1))</f>
        <v>6</v>
      </c>
      <c r="H38" cm="1">
        <f t="array" ref="H38">SUMPRODUCT(('Team Lineups'!$K$2:$K$2000&lt;&gt;"")*('Team Lineups'!$C$2:$C$2000=$A38)*COUNTIFS('Team Lineups'!$K$2:$K$2000,'Team Lineups'!$K$2:$K$2000,'Team Lineups'!$C$2:$C$2000,H$1))</f>
        <v>1</v>
      </c>
      <c r="I38" cm="1">
        <f t="array" ref="I38">SUMPRODUCT(('Team Lineups'!$K$2:$K$2000&lt;&gt;"")*('Team Lineups'!$C$2:$C$2000=$A38)*COUNTIFS('Team Lineups'!$K$2:$K$2000,'Team Lineups'!$K$2:$K$2000,'Team Lineups'!$C$2:$C$2000,I$1))</f>
        <v>2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4</v>
      </c>
      <c r="N38" cm="1">
        <f t="array" ref="N38">SUMPRODUCT(('Team Lineups'!$K$2:$K$2000&lt;&gt;"")*('Team Lineups'!$C$2:$C$2000=$A38)*COUNTIFS('Team Lineups'!$K$2:$K$2000,'Team Lineups'!$K$2:$K$2000,'Team Lineups'!$C$2:$C$2000,N$1))</f>
        <v>2</v>
      </c>
      <c r="O38" cm="1">
        <f t="array" ref="O38">SUMPRODUCT(('Team Lineups'!$K$2:$K$2000&lt;&gt;"")*('Team Lineups'!$C$2:$C$2000=$A38)*COUNTIFS('Team Lineups'!$K$2:$K$2000,'Team Lineups'!$K$2:$K$2000,'Team Lineups'!$C$2:$C$2000,O$1))</f>
        <v>1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3</v>
      </c>
      <c r="R38" cm="1">
        <f t="array" ref="R38">SUMPRODUCT(('Team Lineups'!$K$2:$K$2000&lt;&gt;"")*('Team Lineups'!$C$2:$C$2000=$A38)*COUNTIFS('Team Lineups'!$K$2:$K$2000,'Team Lineups'!$K$2:$K$2000,'Team Lineups'!$C$2:$C$2000,R$1))</f>
        <v>8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4</v>
      </c>
      <c r="AA38" cm="1">
        <f t="array" ref="AA38">SUMPRODUCT(('Team Lineups'!$K$2:$K$2000&lt;&gt;"")*('Team Lineups'!$C$2:$C$2000=$A38)*COUNTIFS('Team Lineups'!$K$2:$K$2000,'Team Lineups'!$K$2:$K$2000,'Team Lineups'!$C$2:$C$2000,AA$1))</f>
        <v>3</v>
      </c>
      <c r="AB38" cm="1">
        <f t="array" ref="AB38">SUMPRODUCT(('Team Lineups'!$K$2:$K$2000&lt;&gt;"")*('Team Lineups'!$C$2:$C$2000=$A38)*COUNTIFS('Team Lineups'!$K$2:$K$2000,'Team Lineups'!$K$2:$K$2000,'Team Lineups'!$C$2:$C$2000,AB$1))</f>
        <v>5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3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1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15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4</v>
      </c>
      <c r="AQ38" cm="1">
        <f t="array" ref="AQ38">SUMPRODUCT(('Team Lineups'!$K$2:$K$2000&lt;&gt;"")*('Team Lineups'!$C$2:$C$2000=$A38)*COUNTIFS('Team Lineups'!$K$2:$K$2000,'Team Lineups'!$K$2:$K$2000,'Team Lineups'!$C$2:$C$2000,AQ$1))</f>
        <v>0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</row>
    <row r="39" spans="1:44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</row>
    <row r="40" spans="1:44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</row>
    <row r="41" spans="1:44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0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0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7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</row>
    <row r="42" spans="1:44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1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2</v>
      </c>
      <c r="E42" cm="1">
        <f t="array" ref="E42">SUMPRODUCT(('Team Lineups'!$K$2:$K$2000&lt;&gt;"")*('Team Lineups'!$C$2:$C$2000=$A42)*COUNTIFS('Team Lineups'!$K$2:$K$2000,'Team Lineups'!$K$2:$K$2000,'Team Lineups'!$C$2:$C$2000,E$1))</f>
        <v>3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3</v>
      </c>
      <c r="H42" cm="1">
        <f t="array" ref="H42">SUMPRODUCT(('Team Lineups'!$K$2:$K$2000&lt;&gt;"")*('Team Lineups'!$C$2:$C$2000=$A42)*COUNTIFS('Team Lineups'!$K$2:$K$2000,'Team Lineups'!$K$2:$K$2000,'Team Lineups'!$C$2:$C$2000,H$1))</f>
        <v>1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1</v>
      </c>
      <c r="M42" cm="1">
        <f t="array" ref="M42">SUMPRODUCT(('Team Lineups'!$K$2:$K$2000&lt;&gt;"")*('Team Lineups'!$C$2:$C$2000=$A42)*COUNTIFS('Team Lineups'!$K$2:$K$2000,'Team Lineups'!$K$2:$K$2000,'Team Lineups'!$C$2:$C$2000,M$1))</f>
        <v>2</v>
      </c>
      <c r="N42" cm="1">
        <f t="array" ref="N42">SUMPRODUCT(('Team Lineups'!$K$2:$K$2000&lt;&gt;"")*('Team Lineups'!$C$2:$C$2000=$A42)*COUNTIFS('Team Lineups'!$K$2:$K$2000,'Team Lineups'!$K$2:$K$2000,'Team Lineups'!$C$2:$C$2000,N$1))</f>
        <v>4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2</v>
      </c>
      <c r="R42" cm="1">
        <f t="array" ref="R42">SUMPRODUCT(('Team Lineups'!$K$2:$K$2000&lt;&gt;"")*('Team Lineups'!$C$2:$C$2000=$A42)*COUNTIFS('Team Lineups'!$K$2:$K$2000,'Team Lineups'!$K$2:$K$2000,'Team Lineups'!$C$2:$C$2000,R$1))</f>
        <v>1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2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2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4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3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4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9</v>
      </c>
      <c r="AQ42" cm="1">
        <f t="array" ref="AQ42">SUMPRODUCT(('Team Lineups'!$K$2:$K$2000&lt;&gt;"")*('Team Lineups'!$C$2:$C$2000=$A42)*COUNTIFS('Team Lineups'!$K$2:$K$2000,'Team Lineups'!$K$2:$K$2000,'Team Lineups'!$C$2:$C$2000,AQ$1))</f>
        <v>0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</row>
    <row r="43" spans="1:44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0</v>
      </c>
      <c r="E43" cm="1">
        <f t="array" ref="E43">SUMPRODUCT(('Team Lineups'!$K$2:$K$2000&lt;&gt;"")*('Team Lineups'!$C$2:$C$2000=$A43)*COUNTIFS('Team Lineups'!$K$2:$K$2000,'Team Lineups'!$K$2:$K$2000,'Team Lineups'!$C$2:$C$2000,E$1))</f>
        <v>1</v>
      </c>
      <c r="F43" cm="1">
        <f t="array" ref="F43">SUMPRODUCT(('Team Lineups'!$K$2:$K$2000&lt;&gt;"")*('Team Lineups'!$C$2:$C$2000=$A43)*COUNTIFS('Team Lineups'!$K$2:$K$2000,'Team Lineups'!$K$2:$K$2000,'Team Lineups'!$C$2:$C$2000,F$1))</f>
        <v>1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0</v>
      </c>
      <c r="I43" cm="1">
        <f t="array" ref="I43">SUMPRODUCT(('Team Lineups'!$K$2:$K$2000&lt;&gt;"")*('Team Lineups'!$C$2:$C$2000=$A43)*COUNTIFS('Team Lineups'!$K$2:$K$2000,'Team Lineups'!$K$2:$K$2000,'Team Lineups'!$C$2:$C$2000,I$1))</f>
        <v>1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2</v>
      </c>
      <c r="M43" cm="1">
        <f t="array" ref="M43">SUMPRODUCT(('Team Lineups'!$K$2:$K$2000&lt;&gt;"")*('Team Lineups'!$C$2:$C$2000=$A43)*COUNTIFS('Team Lineups'!$K$2:$K$2000,'Team Lineups'!$K$2:$K$2000,'Team Lineups'!$C$2:$C$2000,M$1))</f>
        <v>0</v>
      </c>
      <c r="N43" cm="1">
        <f t="array" ref="N43">SUMPRODUCT(('Team Lineups'!$K$2:$K$2000&lt;&gt;"")*('Team Lineups'!$C$2:$C$2000=$A43)*COUNTIFS('Team Lineups'!$K$2:$K$2000,'Team Lineups'!$K$2:$K$2000,'Team Lineups'!$C$2:$C$2000,N$1))</f>
        <v>1</v>
      </c>
      <c r="O43" cm="1">
        <f t="array" ref="O43">SUMPRODUCT(('Team Lineups'!$K$2:$K$2000&lt;&gt;"")*('Team Lineups'!$C$2:$C$2000=$A43)*COUNTIFS('Team Lineups'!$K$2:$K$2000,'Team Lineups'!$K$2:$K$2000,'Team Lineups'!$C$2:$C$2000,O$1))</f>
        <v>0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1</v>
      </c>
      <c r="R43" cm="1">
        <f t="array" ref="R43">SUMPRODUCT(('Team Lineups'!$K$2:$K$2000&lt;&gt;"")*('Team Lineups'!$C$2:$C$2000=$A43)*COUNTIFS('Team Lineups'!$K$2:$K$2000,'Team Lineups'!$K$2:$K$2000,'Team Lineups'!$C$2:$C$2000,R$1))</f>
        <v>0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0</v>
      </c>
      <c r="AA43" cm="1">
        <f t="array" ref="AA43">SUMPRODUCT(('Team Lineups'!$K$2:$K$2000&lt;&gt;"")*('Team Lineups'!$C$2:$C$2000=$A43)*COUNTIFS('Team Lineups'!$K$2:$K$2000,'Team Lineups'!$K$2:$K$2000,'Team Lineups'!$C$2:$C$2000,AA$1))</f>
        <v>0</v>
      </c>
      <c r="AB43" cm="1">
        <f t="array" ref="AB43">SUMPRODUCT(('Team Lineups'!$K$2:$K$2000&lt;&gt;"")*('Team Lineups'!$C$2:$C$2000=$A43)*COUNTIFS('Team Lineups'!$K$2:$K$2000,'Team Lineups'!$K$2:$K$2000,'Team Lineups'!$C$2:$C$2000,AB$1))</f>
        <v>0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0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1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0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0</v>
      </c>
      <c r="AQ43" cm="1">
        <f t="array" ref="AQ43">SUMPRODUCT(('Team Lineups'!$K$2:$K$2000&lt;&gt;"")*('Team Lineups'!$C$2:$C$2000=$A43)*COUNTIFS('Team Lineups'!$K$2:$K$2000,'Team Lineups'!$K$2:$K$2000,'Team Lineups'!$C$2:$C$2000,AQ$1))</f>
        <v>2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</row>
    <row r="44" spans="1:44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</row>
    <row r="45" spans="1:44" x14ac:dyDescent="0.35">
      <c r="A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2026-07-06T08:38:56Z</dcterms:modified>
</cp:coreProperties>
</file>