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8FA2A7A7-9B2F-4380-BA77-412299009A6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G27" i="2"/>
  <c r="G28" i="2"/>
  <c r="G29" i="2"/>
  <c r="G30" i="2"/>
  <c r="G31" i="2"/>
  <c r="G32" i="2"/>
  <c r="G33" i="2"/>
  <c r="G34" i="2"/>
  <c r="G35" i="2"/>
  <c r="F26" i="2"/>
  <c r="F27" i="2"/>
  <c r="F28" i="2"/>
  <c r="F29" i="2"/>
  <c r="F30" i="2"/>
  <c r="F31" i="2"/>
  <c r="F32" i="2"/>
  <c r="F33" i="2"/>
  <c r="F34" i="2"/>
  <c r="E15" i="3" s="1"/>
  <c r="F35" i="2"/>
  <c r="E26" i="2"/>
  <c r="E27" i="2"/>
  <c r="E28" i="2"/>
  <c r="E29" i="2"/>
  <c r="E30" i="2"/>
  <c r="E31" i="2"/>
  <c r="E32" i="2"/>
  <c r="E33" i="2"/>
  <c r="D7" i="3" s="1"/>
  <c r="E34" i="2"/>
  <c r="E35" i="2"/>
  <c r="D9" i="3" s="1"/>
  <c r="F4" i="1"/>
  <c r="E4" i="1"/>
  <c r="F22" i="2"/>
  <c r="F23" i="2"/>
  <c r="E19" i="3" s="1"/>
  <c r="F24" i="2"/>
  <c r="F25" i="2"/>
  <c r="F12" i="2"/>
  <c r="E25" i="3" s="1"/>
  <c r="F13" i="2"/>
  <c r="E8" i="3" s="1"/>
  <c r="F14" i="2"/>
  <c r="F15" i="2"/>
  <c r="F16" i="2"/>
  <c r="G16" i="2" s="1"/>
  <c r="F17" i="2"/>
  <c r="F18" i="2"/>
  <c r="E26" i="3" s="1"/>
  <c r="F19" i="2"/>
  <c r="F20" i="2"/>
  <c r="F21" i="2"/>
  <c r="F3" i="2"/>
  <c r="F4" i="2"/>
  <c r="F5" i="2"/>
  <c r="F6" i="2"/>
  <c r="F7" i="2"/>
  <c r="F8" i="2"/>
  <c r="G8" i="2" s="1"/>
  <c r="F9" i="2"/>
  <c r="F10" i="2"/>
  <c r="E2" i="3" s="1"/>
  <c r="F11" i="2"/>
  <c r="E20" i="3" s="1"/>
  <c r="E3" i="2"/>
  <c r="E4" i="2"/>
  <c r="E5" i="2"/>
  <c r="E6" i="2"/>
  <c r="E7" i="2"/>
  <c r="E8" i="2"/>
  <c r="E9" i="2"/>
  <c r="E10" i="2"/>
  <c r="E11" i="2"/>
  <c r="D20" i="3" s="1"/>
  <c r="E12" i="2"/>
  <c r="D25" i="3" s="1"/>
  <c r="E13" i="2"/>
  <c r="G13" i="2" s="1"/>
  <c r="E14" i="2"/>
  <c r="E15" i="2"/>
  <c r="E16" i="2"/>
  <c r="E17" i="2"/>
  <c r="E18" i="2"/>
  <c r="D26" i="3" s="1"/>
  <c r="E19" i="2"/>
  <c r="G19" i="2" s="1"/>
  <c r="E20" i="2"/>
  <c r="G20" i="2" s="1"/>
  <c r="E21" i="2"/>
  <c r="G21" i="2" s="1"/>
  <c r="E22" i="2"/>
  <c r="G22" i="2" s="1"/>
  <c r="E23" i="2"/>
  <c r="D19" i="3" s="1"/>
  <c r="E24" i="2"/>
  <c r="G24" i="2" s="1"/>
  <c r="E25" i="2"/>
  <c r="D4" i="3" s="1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6" i="3"/>
  <c r="D10" i="3"/>
  <c r="D11" i="3"/>
  <c r="D13" i="3"/>
  <c r="D14" i="3"/>
  <c r="D15" i="3"/>
  <c r="D21" i="3"/>
  <c r="D22" i="3"/>
  <c r="D27" i="3"/>
  <c r="N27" i="3"/>
  <c r="M27" i="3"/>
  <c r="K27" i="3"/>
  <c r="I27" i="3"/>
  <c r="H27" i="3"/>
  <c r="G27" i="3"/>
  <c r="E27" i="3"/>
  <c r="C27" i="3"/>
  <c r="N26" i="3"/>
  <c r="M26" i="3"/>
  <c r="K26" i="3"/>
  <c r="C26" i="3"/>
  <c r="N25" i="3"/>
  <c r="M25" i="3"/>
  <c r="K25" i="3"/>
  <c r="C25" i="3"/>
  <c r="N2" i="3"/>
  <c r="M2" i="3"/>
  <c r="K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I21" i="3"/>
  <c r="H21" i="3"/>
  <c r="G21" i="3"/>
  <c r="E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I15" i="3"/>
  <c r="H15" i="3"/>
  <c r="G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E12" i="3"/>
  <c r="C12" i="3"/>
  <c r="N11" i="3"/>
  <c r="M11" i="3"/>
  <c r="K11" i="3"/>
  <c r="I11" i="3"/>
  <c r="H11" i="3"/>
  <c r="G11" i="3"/>
  <c r="E11" i="3"/>
  <c r="C11" i="3"/>
  <c r="N10" i="3"/>
  <c r="M10" i="3"/>
  <c r="K10" i="3"/>
  <c r="I10" i="3"/>
  <c r="H10" i="3"/>
  <c r="G10" i="3"/>
  <c r="E10" i="3"/>
  <c r="C10" i="3"/>
  <c r="N9" i="3"/>
  <c r="M9" i="3"/>
  <c r="K9" i="3"/>
  <c r="C9" i="3"/>
  <c r="N20" i="3"/>
  <c r="M20" i="3"/>
  <c r="K20" i="3"/>
  <c r="C20" i="3"/>
  <c r="N7" i="3"/>
  <c r="M7" i="3"/>
  <c r="K7" i="3"/>
  <c r="C7" i="3"/>
  <c r="N6" i="3"/>
  <c r="M6" i="3"/>
  <c r="K6" i="3"/>
  <c r="I6" i="3"/>
  <c r="H6" i="3"/>
  <c r="G6" i="3"/>
  <c r="E6" i="3"/>
  <c r="C6" i="3"/>
  <c r="N18" i="3"/>
  <c r="M18" i="3"/>
  <c r="K18" i="3"/>
  <c r="C18" i="3"/>
  <c r="N4" i="3"/>
  <c r="M4" i="3"/>
  <c r="K4" i="3"/>
  <c r="E4" i="3"/>
  <c r="C4" i="3"/>
  <c r="N17" i="3"/>
  <c r="M17" i="3"/>
  <c r="K17" i="3"/>
  <c r="C17" i="3"/>
  <c r="N16" i="3"/>
  <c r="M16" i="3"/>
  <c r="K16" i="3"/>
  <c r="C16" i="3"/>
  <c r="D23" i="3"/>
  <c r="D18" i="3"/>
  <c r="E3" i="3"/>
  <c r="D3" i="3"/>
  <c r="E2" i="2"/>
  <c r="D5" i="3" s="1"/>
  <c r="E2" i="1"/>
  <c r="E7" i="3" l="1"/>
  <c r="J27" i="3"/>
  <c r="G10" i="2"/>
  <c r="G14" i="2"/>
  <c r="D17" i="3"/>
  <c r="G11" i="2"/>
  <c r="H20" i="3" s="1"/>
  <c r="G17" i="2"/>
  <c r="G15" i="2"/>
  <c r="I7" i="3" s="1"/>
  <c r="I12" i="3"/>
  <c r="H12" i="3"/>
  <c r="G12" i="3"/>
  <c r="J12" i="3" s="1"/>
  <c r="I9" i="3"/>
  <c r="H9" i="3"/>
  <c r="G9" i="3"/>
  <c r="J9" i="3" s="1"/>
  <c r="G7" i="3"/>
  <c r="J7" i="3" s="1"/>
  <c r="G23" i="2"/>
  <c r="D12" i="3"/>
  <c r="F12" i="3" s="1"/>
  <c r="D2" i="3"/>
  <c r="F2" i="3" s="1"/>
  <c r="G18" i="2"/>
  <c r="I26" i="3" s="1"/>
  <c r="E9" i="3"/>
  <c r="F9" i="3" s="1"/>
  <c r="E16" i="3"/>
  <c r="E23" i="3"/>
  <c r="F23" i="3" s="1"/>
  <c r="G25" i="2"/>
  <c r="G12" i="2"/>
  <c r="G2" i="3"/>
  <c r="J2" i="3" s="1"/>
  <c r="G19" i="3"/>
  <c r="J19" i="3" s="1"/>
  <c r="E24" i="3"/>
  <c r="F20" i="3"/>
  <c r="F19" i="3"/>
  <c r="F6" i="3"/>
  <c r="F11" i="3"/>
  <c r="O12" i="3"/>
  <c r="F15" i="3"/>
  <c r="G7" i="2"/>
  <c r="I23" i="3" s="1"/>
  <c r="G4" i="2"/>
  <c r="H8" i="3" s="1"/>
  <c r="D8" i="3"/>
  <c r="F8" i="3" s="1"/>
  <c r="I2" i="3"/>
  <c r="G3" i="2"/>
  <c r="I3" i="3" s="1"/>
  <c r="D16" i="3"/>
  <c r="O5" i="3"/>
  <c r="F25" i="3"/>
  <c r="J10" i="3"/>
  <c r="L11" i="3"/>
  <c r="L4" i="3"/>
  <c r="J11" i="3"/>
  <c r="J14" i="3"/>
  <c r="O23" i="3"/>
  <c r="O21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10" i="3"/>
  <c r="F21" i="3"/>
  <c r="O9" i="3"/>
  <c r="F3" i="3"/>
  <c r="L9" i="3"/>
  <c r="L18" i="3"/>
  <c r="L20" i="3"/>
  <c r="L8" i="3"/>
  <c r="L16" i="3"/>
  <c r="O3" i="3"/>
  <c r="O24" i="3"/>
  <c r="O8" i="3"/>
  <c r="F14" i="3"/>
  <c r="J15" i="3"/>
  <c r="L21" i="3"/>
  <c r="J13" i="3"/>
  <c r="O15" i="3"/>
  <c r="L12" i="3"/>
  <c r="F4" i="3"/>
  <c r="F7" i="3"/>
  <c r="L10" i="3"/>
  <c r="J21" i="3"/>
  <c r="O10" i="3"/>
  <c r="L26" i="3"/>
  <c r="O27" i="3"/>
  <c r="L5" i="3"/>
  <c r="J22" i="3"/>
  <c r="L25" i="3"/>
  <c r="J6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I16" i="3"/>
  <c r="H16" i="3"/>
  <c r="G16" i="3"/>
  <c r="J16" i="3" s="1"/>
  <c r="E18" i="3"/>
  <c r="F18" i="3" s="1"/>
  <c r="G6" i="2"/>
  <c r="H2" i="3"/>
  <c r="L14" i="3"/>
  <c r="O16" i="3"/>
  <c r="G20" i="3"/>
  <c r="J20" i="3" s="1"/>
  <c r="F2" i="2"/>
  <c r="H26" i="3" l="1"/>
  <c r="H7" i="3"/>
  <c r="G26" i="3"/>
  <c r="J26" i="3" s="1"/>
  <c r="I20" i="3"/>
  <c r="F16" i="3"/>
  <c r="H19" i="3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<sst xmlns="http://schemas.openxmlformats.org/spreadsheetml/2006/main" count="134" uniqueCount="58">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</sst>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G4" sqref="G4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4" si="0">VALUE(LEFT(D3, FIND("-", D3)-1))</f>
        <v>5</v>
      </c>
      <c r="F3">
        <f>VALUE(MID(D3, FIND("-", D3)+1, 10))</f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>VALUE(MID(D4, FIND("-", D4)+1, 10))</f>
        <v>9</v>
      </c>
      <c r="G4" t="s">
        <v>19</v>
      </c>
    </row>
    <row r="5" spans="1:7" x14ac:dyDescent="0.35">
      <c r="D5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topLeftCell="A18" workbookViewId="0">
      <selection activeCell="I35" sqref="I35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9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</row>
    <row r="2" spans="1:9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</row>
    <row r="3" spans="1:9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</row>
    <row r="4" spans="1:9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</row>
    <row r="5" spans="1:9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</row>
    <row r="6" spans="1:9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</row>
    <row r="7" spans="1:9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</row>
    <row r="8" spans="1:9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</row>
    <row r="9" spans="1:9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</row>
    <row r="10" spans="1:9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9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</row>
    <row r="12" spans="1:9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</row>
    <row r="13" spans="1:9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</row>
    <row r="14" spans="1:9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</row>
    <row r="15" spans="1:9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</row>
    <row r="16" spans="1:9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</row>
    <row r="17" spans="1:9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</row>
    <row r="18" spans="1:9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</row>
    <row r="19" spans="1:9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</row>
    <row r="20" spans="1:9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</row>
    <row r="21" spans="1:9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</row>
    <row r="22" spans="1:9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</row>
    <row r="23" spans="1:9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</row>
    <row r="24" spans="1:9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</row>
    <row r="25" spans="1:9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</row>
    <row r="26" spans="1:9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</row>
    <row r="27" spans="1:9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</row>
    <row r="28" spans="1:9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</row>
    <row r="29" spans="1:9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I29">
        <v>1</v>
      </c>
    </row>
    <row r="30" spans="1:9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I30">
        <v>2</v>
      </c>
    </row>
    <row r="31" spans="1:9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</row>
    <row r="32" spans="1:9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</row>
    <row r="33" spans="1:9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</row>
    <row r="34" spans="1:9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</row>
    <row r="35" spans="1:9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I35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workbookViewId="0">
      <selection activeCell="A28" sqref="A28:XFD28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</cols>
  <sheetData>
    <row r="1" spans="1:15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</row>
    <row r="2" spans="1:15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</row>
    <row r="3" spans="1:15" x14ac:dyDescent="0.35">
      <c r="A3" t="s">
        <v>18</v>
      </c>
      <c r="C3">
        <f>COUNTIF('Team Lineups'!C:C,A3)</f>
        <v>1</v>
      </c>
      <c r="D3">
        <f>SUMIF('Team Lineups'!C:C,A3,'Team Lineups'!E:E)</f>
        <v>7</v>
      </c>
      <c r="E3">
        <f>SUMIF('Team Lineups'!C:C,A3,'Team Lineups'!F:F)</f>
        <v>7</v>
      </c>
      <c r="F3">
        <f t="shared" si="0"/>
        <v>0</v>
      </c>
      <c r="G3">
        <f>COUNTIFS('Team Lineups'!C:C,A3,'Team Lineups'!G:G,"Win")</f>
        <v>0</v>
      </c>
      <c r="H3">
        <f>COUNTIFS('Team Lineups'!C:C,A3,'Team Lineups'!G:G,"Draw")</f>
        <v>1</v>
      </c>
      <c r="I3">
        <f>COUNTIFS('Team Lineups'!C:C,A3,'Team Lineups'!G:G,"Loss")</f>
        <v>0</v>
      </c>
      <c r="J3" s="3">
        <f t="shared" si="1"/>
        <v>0</v>
      </c>
      <c r="K3">
        <f>SUMIF('Team Lineups'!C:C,A3,'Team Lineups'!H:H)</f>
        <v>2</v>
      </c>
      <c r="L3">
        <f t="shared" si="2"/>
        <v>2</v>
      </c>
      <c r="M3">
        <f>SUMIF('Team Lineups'!C:C,A3,'Team Lineups'!I:I)</f>
        <v>0</v>
      </c>
      <c r="N3">
        <f>COUNTIF(Matches!G:G,A3)</f>
        <v>0</v>
      </c>
      <c r="O3">
        <f t="shared" si="3"/>
        <v>0</v>
      </c>
    </row>
    <row r="4" spans="1:15" x14ac:dyDescent="0.35">
      <c r="A4" t="s">
        <v>40</v>
      </c>
      <c r="C4">
        <f>COUNTIF('Team Lineups'!C:C,A4)</f>
        <v>1</v>
      </c>
      <c r="D4">
        <f>SUMIF('Team Lineups'!C:C,A4,'Team Lineups'!E:E)</f>
        <v>7</v>
      </c>
      <c r="E4">
        <f>SUMIF('Team Lineups'!C:C,A4,'Team Lineups'!F:F)</f>
        <v>5</v>
      </c>
      <c r="F4">
        <f t="shared" si="0"/>
        <v>2</v>
      </c>
      <c r="G4">
        <f>COUNTIFS('Team Lineups'!C:C,A4,'Team Lineups'!G:G,"Win")</f>
        <v>1</v>
      </c>
      <c r="H4">
        <f>COUNTIFS('Team Lineups'!C:C,A4,'Team Lineups'!G:G,"Draw")</f>
        <v>0</v>
      </c>
      <c r="I4">
        <f>COUNTIFS('Team Lineups'!C:C,A4,'Team Lineups'!G:G,"Loss")</f>
        <v>0</v>
      </c>
      <c r="J4" s="3">
        <f t="shared" si="1"/>
        <v>1</v>
      </c>
      <c r="K4">
        <f>SUMIF('Team Lineups'!C:C,A4,'Team Lineups'!H:H)</f>
        <v>0</v>
      </c>
      <c r="L4">
        <f t="shared" si="2"/>
        <v>0</v>
      </c>
      <c r="M4">
        <f>SUMIF('Team Lineups'!C:C,A4,'Team Lineups'!I:I)</f>
        <v>0</v>
      </c>
      <c r="N4">
        <f>COUNTIF(Matches!G:G,A4)</f>
        <v>0</v>
      </c>
      <c r="O4">
        <f t="shared" si="3"/>
        <v>0</v>
      </c>
    </row>
    <row r="5" spans="1:15" x14ac:dyDescent="0.35">
      <c r="A5" t="s">
        <v>16</v>
      </c>
      <c r="C5">
        <f>COUNTIF('Team Lineups'!C:C,A5)</f>
        <v>1</v>
      </c>
      <c r="D5">
        <f>SUMIF('Team Lineups'!C:C,A5,'Team Lineups'!E:E)</f>
        <v>7</v>
      </c>
      <c r="E5">
        <f>SUMIF('Team Lineups'!C:C,A5,'Team Lineups'!F:F)</f>
        <v>7</v>
      </c>
      <c r="F5">
        <f t="shared" si="0"/>
        <v>0</v>
      </c>
      <c r="G5">
        <f>COUNTIFS('Team Lineups'!C:C,A5,'Team Lineups'!G:G,"Win")</f>
        <v>0</v>
      </c>
      <c r="H5">
        <f>COUNTIFS('Team Lineups'!C:C,A5,'Team Lineups'!G:G,"Draw")</f>
        <v>1</v>
      </c>
      <c r="I5">
        <f>COUNTIFS('Team Lineups'!C:C,A5,'Team Lineups'!G:G,"Loss")</f>
        <v>0</v>
      </c>
      <c r="J5" s="3">
        <f t="shared" si="1"/>
        <v>0</v>
      </c>
      <c r="K5">
        <f>SUMIF('Team Lineups'!C:C,A5,'Team Lineups'!H:H)</f>
        <v>2</v>
      </c>
      <c r="L5">
        <f t="shared" si="2"/>
        <v>2</v>
      </c>
      <c r="M5">
        <f>SUMIF('Team Lineups'!C:C,A5,'Team Lineups'!I:I)</f>
        <v>2</v>
      </c>
      <c r="N5">
        <f>COUNTIF(Matches!G:G,A5)</f>
        <v>0</v>
      </c>
      <c r="O5">
        <f t="shared" si="3"/>
        <v>0</v>
      </c>
    </row>
    <row r="6" spans="1:15" x14ac:dyDescent="0.35">
      <c r="A6" t="s">
        <v>41</v>
      </c>
      <c r="C6">
        <f>COUNTIF('Team Lineups'!C:C,A6)</f>
        <v>0</v>
      </c>
      <c r="D6">
        <f>SUMIF('Team Lineups'!C:C,A6,'Team Lineups'!E:E)</f>
        <v>0</v>
      </c>
      <c r="E6">
        <f>SUMIF('Team Lineups'!C:C,A6,'Team Lineups'!F:F)</f>
        <v>0</v>
      </c>
      <c r="F6">
        <f t="shared" si="0"/>
        <v>0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0</v>
      </c>
      <c r="J6" s="3" t="e">
        <f t="shared" si="1"/>
        <v>#DIV/0!</v>
      </c>
      <c r="K6">
        <f>SUMIF('Team Lineups'!C:C,A6,'Team Lineups'!H:H)</f>
        <v>0</v>
      </c>
      <c r="L6" t="e">
        <f t="shared" si="2"/>
        <v>#DIV/0!</v>
      </c>
      <c r="M6">
        <f>SUMIF('Team Lineups'!C:C,A6,'Team Lineups'!I:I)</f>
        <v>0</v>
      </c>
      <c r="N6">
        <f>COUNTIF(Matches!G:G,A6)</f>
        <v>0</v>
      </c>
      <c r="O6" t="e">
        <f t="shared" si="3"/>
        <v>#DIV/0!</v>
      </c>
    </row>
    <row r="7" spans="1:15" x14ac:dyDescent="0.35">
      <c r="A7" t="s">
        <v>42</v>
      </c>
      <c r="C7">
        <f>COUNTIF('Team Lineups'!C:C,A7)</f>
        <v>2</v>
      </c>
      <c r="D7">
        <f>SUMIF('Team Lineups'!C:C,A7,'Team Lineups'!E:E)</f>
        <v>14</v>
      </c>
      <c r="E7">
        <f>SUMIF('Team Lineups'!C:C,A7,'Team Lineups'!F:F)</f>
        <v>14</v>
      </c>
      <c r="F7">
        <f t="shared" si="0"/>
        <v>0</v>
      </c>
      <c r="G7">
        <f>COUNTIFS('Team Lineups'!C:C,A7,'Team Lineups'!G:G,"Win")</f>
        <v>1</v>
      </c>
      <c r="H7">
        <f>COUNTIFS('Team Lineups'!C:C,A7,'Team Lineups'!G:G,"Draw")</f>
        <v>0</v>
      </c>
      <c r="I7">
        <f>COUNTIFS('Team Lineups'!C:C,A7,'Team Lineups'!G:G,"Loss")</f>
        <v>1</v>
      </c>
      <c r="J7" s="3">
        <f t="shared" si="1"/>
        <v>0.5</v>
      </c>
      <c r="K7">
        <f>SUMIF('Team Lineups'!C:C,A7,'Team Lineups'!H:H)</f>
        <v>4</v>
      </c>
      <c r="L7">
        <f t="shared" si="2"/>
        <v>2</v>
      </c>
      <c r="M7">
        <f>SUMIF('Team Lineups'!C:C,A7,'Team Lineups'!I:I)</f>
        <v>1</v>
      </c>
      <c r="N7">
        <f>COUNTIF(Matches!G:G,A7)</f>
        <v>0</v>
      </c>
      <c r="O7">
        <f t="shared" si="3"/>
        <v>0</v>
      </c>
    </row>
    <row r="8" spans="1:15" x14ac:dyDescent="0.35">
      <c r="A8" t="s">
        <v>19</v>
      </c>
      <c r="C8">
        <f>COUNTIF('Team Lineups'!C:C,A8)</f>
        <v>3</v>
      </c>
      <c r="D8">
        <f>SUMIF('Team Lineups'!C:C,A8,'Team Lineups'!E:E)</f>
        <v>21</v>
      </c>
      <c r="E8">
        <f>SUMIF('Team Lineups'!C:C,A8,'Team Lineups'!F:F)</f>
        <v>21</v>
      </c>
      <c r="F8">
        <f t="shared" si="0"/>
        <v>0</v>
      </c>
      <c r="G8">
        <f>COUNTIFS('Team Lineups'!C:C,A8,'Team Lineups'!G:G,"Win")</f>
        <v>1</v>
      </c>
      <c r="H8">
        <f>COUNTIFS('Team Lineups'!C:C,A8,'Team Lineups'!G:G,"Draw")</f>
        <v>1</v>
      </c>
      <c r="I8">
        <f>COUNTIFS('Team Lineups'!C:C,A8,'Team Lineups'!G:G,"Loss")</f>
        <v>1</v>
      </c>
      <c r="J8" s="3">
        <f t="shared" si="1"/>
        <v>0.33333333333333331</v>
      </c>
      <c r="K8">
        <f>SUMIF('Team Lineups'!C:C,A8,'Team Lineups'!H:H)</f>
        <v>6</v>
      </c>
      <c r="L8">
        <f t="shared" si="2"/>
        <v>2</v>
      </c>
      <c r="M8">
        <f>SUMIF('Team Lineups'!C:C,A8,'Team Lineups'!I:I)</f>
        <v>3</v>
      </c>
      <c r="N8">
        <f>COUNTIF(Matches!G:G,A8)</f>
        <v>1</v>
      </c>
      <c r="O8">
        <f t="shared" si="3"/>
        <v>0.33333333333333331</v>
      </c>
    </row>
    <row r="9" spans="1:15" x14ac:dyDescent="0.35">
      <c r="A9" t="s">
        <v>43</v>
      </c>
      <c r="C9">
        <f>COUNTIF('Team Lineups'!C:C,A9)</f>
        <v>2</v>
      </c>
      <c r="D9">
        <f>SUMIF('Team Lineups'!C:C,A9,'Team Lineups'!E:E)</f>
        <v>14</v>
      </c>
      <c r="E9">
        <f>SUMIF('Team Lineups'!C:C,A9,'Team Lineups'!F:F)</f>
        <v>14</v>
      </c>
      <c r="F9">
        <f t="shared" si="0"/>
        <v>0</v>
      </c>
      <c r="G9">
        <f>COUNTIFS('Team Lineups'!C:C,A9,'Team Lineups'!G:G,"Win")</f>
        <v>1</v>
      </c>
      <c r="H9">
        <f>COUNTIFS('Team Lineups'!C:C,A9,'Team Lineups'!G:G,"Draw")</f>
        <v>0</v>
      </c>
      <c r="I9">
        <f>COUNTIFS('Team Lineups'!C:C,A9,'Team Lineups'!G:G,"Loss")</f>
        <v>1</v>
      </c>
      <c r="J9" s="3">
        <f t="shared" si="1"/>
        <v>0.5</v>
      </c>
      <c r="K9">
        <f>SUMIF('Team Lineups'!C:C,A9,'Team Lineups'!H:H)</f>
        <v>0</v>
      </c>
      <c r="L9">
        <f t="shared" si="2"/>
        <v>0</v>
      </c>
      <c r="M9">
        <f>SUMIF('Team Lineups'!C:C,A9,'Team Lineups'!I:I)</f>
        <v>1</v>
      </c>
      <c r="N9">
        <f>COUNTIF(Matches!G:G,A9)</f>
        <v>0</v>
      </c>
      <c r="O9">
        <f t="shared" si="3"/>
        <v>0</v>
      </c>
    </row>
    <row r="10" spans="1:15" x14ac:dyDescent="0.35">
      <c r="A10" t="s">
        <v>44</v>
      </c>
      <c r="C10">
        <f>COUNTIF('Team Lineups'!C:C,A10)</f>
        <v>1</v>
      </c>
      <c r="D10">
        <f>SUMIF('Team Lineups'!C:C,A10,'Team Lineups'!E:E)</f>
        <v>7</v>
      </c>
      <c r="E10">
        <f>SUMIF('Team Lineups'!C:C,A10,'Team Lineups'!F:F)</f>
        <v>9</v>
      </c>
      <c r="F10">
        <f t="shared" si="0"/>
        <v>-2</v>
      </c>
      <c r="G10">
        <f>COUNTIFS('Team Lineups'!C:C,A10,'Team Lineups'!G:G,"Win")</f>
        <v>0</v>
      </c>
      <c r="H10">
        <f>COUNTIFS('Team Lineups'!C:C,A10,'Team Lineups'!G:G,"Draw")</f>
        <v>0</v>
      </c>
      <c r="I10">
        <f>COUNTIFS('Team Lineups'!C:C,A10,'Team Lineups'!G:G,"Loss")</f>
        <v>1</v>
      </c>
      <c r="J10" s="3">
        <f t="shared" si="1"/>
        <v>0</v>
      </c>
      <c r="K10">
        <f>SUMIF('Team Lineups'!C:C,A10,'Team Lineups'!H:H)</f>
        <v>1</v>
      </c>
      <c r="L10">
        <f t="shared" si="2"/>
        <v>1</v>
      </c>
      <c r="M10">
        <f>SUMIF('Team Lineups'!C:C,A10,'Team Lineups'!I:I)</f>
        <v>0</v>
      </c>
      <c r="N10">
        <f>COUNTIF(Matches!G:G,A10)</f>
        <v>0</v>
      </c>
      <c r="O10">
        <f t="shared" si="3"/>
        <v>0</v>
      </c>
    </row>
    <row r="11" spans="1:15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</row>
    <row r="12" spans="1:15" x14ac:dyDescent="0.35">
      <c r="A12" t="s">
        <v>46</v>
      </c>
      <c r="C12">
        <f>COUNTIF('Team Lineups'!C:C,A12)</f>
        <v>2</v>
      </c>
      <c r="D12">
        <f>SUMIF('Team Lineups'!C:C,A12,'Team Lineups'!E:E)</f>
        <v>14</v>
      </c>
      <c r="E12">
        <f>SUMIF('Team Lineups'!C:C,A12,'Team Lineups'!F:F)</f>
        <v>14</v>
      </c>
      <c r="F12">
        <f t="shared" si="0"/>
        <v>0</v>
      </c>
      <c r="G12">
        <f>COUNTIFS('Team Lineups'!C:C,A12,'Team Lineups'!G:G,"Win")</f>
        <v>1</v>
      </c>
      <c r="H12">
        <f>COUNTIFS('Team Lineups'!C:C,A12,'Team Lineups'!G:G,"Draw")</f>
        <v>0</v>
      </c>
      <c r="I12">
        <f>COUNTIFS('Team Lineups'!C:C,A12,'Team Lineups'!G:G,"Loss")</f>
        <v>1</v>
      </c>
      <c r="J12" s="3">
        <f t="shared" si="1"/>
        <v>0.5</v>
      </c>
      <c r="K12">
        <f>SUMIF('Team Lineups'!C:C,A12,'Team Lineups'!H:H)</f>
        <v>5</v>
      </c>
      <c r="L12">
        <f t="shared" si="2"/>
        <v>2.5</v>
      </c>
      <c r="M12">
        <f>SUMIF('Team Lineups'!C:C,A12,'Team Lineups'!I:I)</f>
        <v>0</v>
      </c>
      <c r="N12">
        <f>COUNTIF(Matches!G:G,A12)</f>
        <v>0</v>
      </c>
      <c r="O12">
        <f t="shared" si="3"/>
        <v>0</v>
      </c>
    </row>
    <row r="13" spans="1:15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</row>
    <row r="14" spans="1:15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</row>
    <row r="15" spans="1:15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</row>
    <row r="16" spans="1:15" x14ac:dyDescent="0.35">
      <c r="A16" t="s">
        <v>24</v>
      </c>
      <c r="C16">
        <f>COUNTIF('Team Lineups'!C:C,A16)</f>
        <v>2</v>
      </c>
      <c r="D16">
        <f>SUMIF('Team Lineups'!C:C,A16,'Team Lineups'!E:E)</f>
        <v>14</v>
      </c>
      <c r="E16">
        <f>SUMIF('Team Lineups'!C:C,A16,'Team Lineups'!F:F)</f>
        <v>12</v>
      </c>
      <c r="F16">
        <f t="shared" si="0"/>
        <v>2</v>
      </c>
      <c r="G16">
        <f>COUNTIFS('Team Lineups'!C:C,A16,'Team Lineups'!G:G,"Win")</f>
        <v>1</v>
      </c>
      <c r="H16">
        <f>COUNTIFS('Team Lineups'!C:C,A16,'Team Lineups'!G:G,"Draw")</f>
        <v>1</v>
      </c>
      <c r="I16">
        <f>COUNTIFS('Team Lineups'!C:C,A16,'Team Lineups'!G:G,"Loss")</f>
        <v>0</v>
      </c>
      <c r="J16" s="3">
        <f t="shared" si="1"/>
        <v>0.5</v>
      </c>
      <c r="K16">
        <f>SUMIF('Team Lineups'!C:C,A16,'Team Lineups'!H:H)</f>
        <v>1</v>
      </c>
      <c r="L16">
        <f t="shared" si="2"/>
        <v>0.5</v>
      </c>
      <c r="M16">
        <f>SUMIF('Team Lineups'!C:C,A16,'Team Lineups'!I:I)</f>
        <v>0</v>
      </c>
      <c r="N16">
        <f>COUNTIF(Matches!G:G,A16)</f>
        <v>0</v>
      </c>
      <c r="O16">
        <f t="shared" si="3"/>
        <v>0</v>
      </c>
    </row>
    <row r="17" spans="1:15" x14ac:dyDescent="0.35">
      <c r="A17" t="s">
        <v>20</v>
      </c>
      <c r="C17">
        <f>COUNTIF('Team Lineups'!C:C,A17)</f>
        <v>2</v>
      </c>
      <c r="D17">
        <f>SUMIF('Team Lineups'!C:C,A17,'Team Lineups'!E:E)</f>
        <v>12</v>
      </c>
      <c r="E17">
        <f>SUMIF('Team Lineups'!C:C,A17,'Team Lineups'!F:F)</f>
        <v>14</v>
      </c>
      <c r="F17">
        <f t="shared" si="0"/>
        <v>-2</v>
      </c>
      <c r="G17">
        <f>COUNTIFS('Team Lineups'!C:C,A17,'Team Lineups'!G:G,"Win")</f>
        <v>0</v>
      </c>
      <c r="H17">
        <f>COUNTIFS('Team Lineups'!C:C,A17,'Team Lineups'!G:G,"Draw")</f>
        <v>1</v>
      </c>
      <c r="I17">
        <f>COUNTIFS('Team Lineups'!C:C,A17,'Team Lineups'!G:G,"Loss")</f>
        <v>1</v>
      </c>
      <c r="J17" s="3">
        <f t="shared" si="1"/>
        <v>0</v>
      </c>
      <c r="K17">
        <f>SUMIF('Team Lineups'!C:C,A17,'Team Lineups'!H:H)</f>
        <v>1</v>
      </c>
      <c r="L17">
        <f t="shared" si="2"/>
        <v>0.5</v>
      </c>
      <c r="M17">
        <f>SUMIF('Team Lineups'!C:C,A17,'Team Lineups'!I:I)</f>
        <v>0</v>
      </c>
      <c r="N17">
        <f>COUNTIF(Matches!G:G,A17)</f>
        <v>0</v>
      </c>
      <c r="O17">
        <f t="shared" si="3"/>
        <v>0</v>
      </c>
    </row>
    <row r="18" spans="1:15" x14ac:dyDescent="0.35">
      <c r="A18" t="s">
        <v>21</v>
      </c>
      <c r="C18">
        <f>COUNTIF('Team Lineups'!C:C,A18)</f>
        <v>3</v>
      </c>
      <c r="D18">
        <f>SUMIF('Team Lineups'!C:C,A18,'Team Lineups'!E:E)</f>
        <v>19</v>
      </c>
      <c r="E18">
        <f>SUMIF('Team Lineups'!C:C,A18,'Team Lineups'!F:F)</f>
        <v>23</v>
      </c>
      <c r="F18">
        <f t="shared" si="0"/>
        <v>-4</v>
      </c>
      <c r="G18">
        <f>COUNTIFS('Team Lineups'!C:C,A18,'Team Lineups'!G:G,"Win")</f>
        <v>0</v>
      </c>
      <c r="H18">
        <f>COUNTIFS('Team Lineups'!C:C,A18,'Team Lineups'!G:G,"Draw")</f>
        <v>1</v>
      </c>
      <c r="I18">
        <f>COUNTIFS('Team Lineups'!C:C,A18,'Team Lineups'!G:G,"Loss")</f>
        <v>2</v>
      </c>
      <c r="J18" s="3">
        <f t="shared" si="1"/>
        <v>0</v>
      </c>
      <c r="K18">
        <f>SUMIF('Team Lineups'!C:C,A18,'Team Lineups'!H:H)</f>
        <v>1</v>
      </c>
      <c r="L18">
        <f t="shared" si="2"/>
        <v>0.33333333333333331</v>
      </c>
      <c r="M18">
        <f>SUMIF('Team Lineups'!C:C,A18,'Team Lineups'!I:I)</f>
        <v>2</v>
      </c>
      <c r="N18">
        <f>COUNTIF(Matches!G:G,A18)</f>
        <v>0</v>
      </c>
      <c r="O18">
        <f t="shared" si="3"/>
        <v>0</v>
      </c>
    </row>
    <row r="19" spans="1:15" x14ac:dyDescent="0.35">
      <c r="A19" t="s">
        <v>50</v>
      </c>
      <c r="C19">
        <f>COUNTIF('Team Lineups'!C:C,A19)</f>
        <v>1</v>
      </c>
      <c r="D19">
        <f>SUMIF('Team Lineups'!C:C,A19,'Team Lineups'!E:E)</f>
        <v>7</v>
      </c>
      <c r="E19">
        <f>SUMIF('Team Lineups'!C:C,A19,'Team Lineups'!F:F)</f>
        <v>5</v>
      </c>
      <c r="F19">
        <f t="shared" si="0"/>
        <v>2</v>
      </c>
      <c r="G19">
        <f>COUNTIFS('Team Lineups'!C:C,A19,'Team Lineups'!G:G,"Win")</f>
        <v>1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2</v>
      </c>
      <c r="L19">
        <f t="shared" si="2"/>
        <v>2</v>
      </c>
      <c r="M19">
        <f>SUMIF('Team Lineups'!C:C,A19,'Team Lineups'!I:I)</f>
        <v>0</v>
      </c>
      <c r="N19">
        <f>COUNTIF(Matches!G:G,A19)</f>
        <v>0</v>
      </c>
      <c r="O19">
        <f t="shared" si="3"/>
        <v>0</v>
      </c>
    </row>
    <row r="20" spans="1:15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</row>
    <row r="21" spans="1:15" x14ac:dyDescent="0.35">
      <c r="A21" t="s">
        <v>51</v>
      </c>
      <c r="C21">
        <f>COUNTIF('Team Lineups'!C:C,A21)</f>
        <v>0</v>
      </c>
      <c r="D21">
        <f>SUMIF('Team Lineups'!C:C,A21,'Team Lineups'!E:E)</f>
        <v>0</v>
      </c>
      <c r="E21">
        <f>SUMIF('Team Lineups'!C:C,A21,'Team Lineups'!F:F)</f>
        <v>0</v>
      </c>
      <c r="F21">
        <f t="shared" si="0"/>
        <v>0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0</v>
      </c>
      <c r="J21" s="3" t="e">
        <f t="shared" si="1"/>
        <v>#DIV/0!</v>
      </c>
      <c r="K21">
        <f>SUMIF('Team Lineups'!C:C,A21,'Team Lineups'!H:H)</f>
        <v>0</v>
      </c>
      <c r="L21" t="e">
        <f t="shared" si="2"/>
        <v>#DIV/0!</v>
      </c>
      <c r="M21">
        <f>SUMIF('Team Lineups'!C:C,A21,'Team Lineups'!I:I)</f>
        <v>0</v>
      </c>
      <c r="N21">
        <f>COUNTIF(Matches!G:G,A21)</f>
        <v>0</v>
      </c>
      <c r="O21" t="e">
        <f t="shared" si="3"/>
        <v>#DIV/0!</v>
      </c>
    </row>
    <row r="22" spans="1:15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</row>
    <row r="23" spans="1:15" x14ac:dyDescent="0.35">
      <c r="A23" t="s">
        <v>22</v>
      </c>
      <c r="C23">
        <f>COUNTIF('Team Lineups'!C:C,A23)</f>
        <v>3</v>
      </c>
      <c r="D23">
        <f>SUMIF('Team Lineups'!C:C,A23,'Team Lineups'!E:E)</f>
        <v>23</v>
      </c>
      <c r="E23">
        <f>SUMIF('Team Lineups'!C:C,A23,'Team Lineups'!F:F)</f>
        <v>19</v>
      </c>
      <c r="F23">
        <f t="shared" si="0"/>
        <v>4</v>
      </c>
      <c r="G23">
        <f>COUNTIFS('Team Lineups'!C:C,A23,'Team Lineups'!G:G,"Win")</f>
        <v>2</v>
      </c>
      <c r="H23">
        <f>COUNTIFS('Team Lineups'!C:C,A23,'Team Lineups'!G:G,"Draw")</f>
        <v>1</v>
      </c>
      <c r="I23">
        <f>COUNTIFS('Team Lineups'!C:C,A23,'Team Lineups'!G:G,"Loss")</f>
        <v>0</v>
      </c>
      <c r="J23" s="3">
        <f t="shared" si="1"/>
        <v>0.66666666666666663</v>
      </c>
      <c r="K23">
        <f>SUMIF('Team Lineups'!C:C,A23,'Team Lineups'!H:H)</f>
        <v>2</v>
      </c>
      <c r="L23">
        <f t="shared" si="2"/>
        <v>0.66666666666666663</v>
      </c>
      <c r="M23">
        <f>SUMIF('Team Lineups'!C:C,A23,'Team Lineups'!I:I)</f>
        <v>1</v>
      </c>
      <c r="N23">
        <f>COUNTIF(Matches!G:G,A23)</f>
        <v>0</v>
      </c>
      <c r="O23">
        <f t="shared" si="3"/>
        <v>0</v>
      </c>
    </row>
    <row r="24" spans="1:15" x14ac:dyDescent="0.35">
      <c r="A24" t="s">
        <v>25</v>
      </c>
      <c r="C24">
        <f>COUNTIF('Team Lineups'!C:C,A24)</f>
        <v>3</v>
      </c>
      <c r="D24">
        <f>SUMIF('Team Lineups'!C:C,A24,'Team Lineups'!E:E)</f>
        <v>21</v>
      </c>
      <c r="E24">
        <f>SUMIF('Team Lineups'!C:C,A24,'Team Lineups'!F:F)</f>
        <v>21</v>
      </c>
      <c r="F24">
        <f t="shared" si="0"/>
        <v>0</v>
      </c>
      <c r="G24">
        <f>COUNTIFS('Team Lineups'!C:C,A24,'Team Lineups'!G:G,"Win")</f>
        <v>1</v>
      </c>
      <c r="H24">
        <f>COUNTIFS('Team Lineups'!C:C,A24,'Team Lineups'!G:G,"Draw")</f>
        <v>1</v>
      </c>
      <c r="I24">
        <f>COUNTIFS('Team Lineups'!C:C,A24,'Team Lineups'!G:G,"Loss")</f>
        <v>1</v>
      </c>
      <c r="J24" s="3">
        <f t="shared" si="1"/>
        <v>0.33333333333333331</v>
      </c>
      <c r="K24">
        <f>SUMIF('Team Lineups'!C:C,A24,'Team Lineups'!H:H)</f>
        <v>2</v>
      </c>
      <c r="L24">
        <f t="shared" si="2"/>
        <v>0.66666666666666663</v>
      </c>
      <c r="M24">
        <f>SUMIF('Team Lineups'!C:C,A24,'Team Lineups'!I:I)</f>
        <v>1</v>
      </c>
      <c r="N24">
        <f>COUNTIF(Matches!G:G,A24)</f>
        <v>0</v>
      </c>
      <c r="O24">
        <f t="shared" si="3"/>
        <v>0</v>
      </c>
    </row>
    <row r="25" spans="1:15" x14ac:dyDescent="0.35">
      <c r="A25" t="s">
        <v>53</v>
      </c>
      <c r="C25">
        <f>COUNTIF('Team Lineups'!C:C,A25)</f>
        <v>2</v>
      </c>
      <c r="D25">
        <f>SUMIF('Team Lineups'!C:C,A25,'Team Lineups'!E:E)</f>
        <v>12</v>
      </c>
      <c r="E25">
        <f>SUMIF('Team Lineups'!C:C,A25,'Team Lineups'!F:F)</f>
        <v>16</v>
      </c>
      <c r="F25">
        <f t="shared" si="0"/>
        <v>-4</v>
      </c>
      <c r="G25">
        <f>COUNTIFS('Team Lineups'!C:C,A25,'Team Lineups'!G:G,"Win")</f>
        <v>0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</v>
      </c>
      <c r="K25">
        <f>SUMIF('Team Lineups'!C:C,A25,'Team Lineups'!H:H)</f>
        <v>3</v>
      </c>
      <c r="L25">
        <f t="shared" si="2"/>
        <v>1.5</v>
      </c>
      <c r="M25">
        <f>SUMIF('Team Lineups'!C:C,A25,'Team Lineups'!I:I)</f>
        <v>1</v>
      </c>
      <c r="N25">
        <f>COUNTIF(Matches!G:G,A25)</f>
        <v>0</v>
      </c>
      <c r="O25">
        <f t="shared" si="3"/>
        <v>0</v>
      </c>
    </row>
    <row r="26" spans="1:15" x14ac:dyDescent="0.35">
      <c r="A26" t="s">
        <v>54</v>
      </c>
      <c r="C26">
        <f>COUNTIF('Team Lineups'!C:C,A26)</f>
        <v>1</v>
      </c>
      <c r="D26">
        <f>SUMIF('Team Lineups'!C:C,A26,'Team Lineups'!E:E)</f>
        <v>5</v>
      </c>
      <c r="E26">
        <f>SUMIF('Team Lineups'!C:C,A26,'Team Lineups'!F:F)</f>
        <v>7</v>
      </c>
      <c r="F26">
        <f t="shared" si="0"/>
        <v>-2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1</v>
      </c>
      <c r="J26" s="3">
        <f t="shared" si="1"/>
        <v>0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0</v>
      </c>
      <c r="O26">
        <f t="shared" si="3"/>
        <v>0</v>
      </c>
    </row>
    <row r="27" spans="1:15" x14ac:dyDescent="0.35">
      <c r="A27" t="s">
        <v>55</v>
      </c>
      <c r="C27">
        <f>COUNTIF('Team Lineups'!C:C,A27)</f>
        <v>0</v>
      </c>
      <c r="D27">
        <f>SUMIF('Team Lineups'!C:C,A27,'Team Lineups'!E:E)</f>
        <v>0</v>
      </c>
      <c r="E27">
        <f>SUMIF('Team Lineups'!C:C,A27,'Team Lineups'!F:F)</f>
        <v>0</v>
      </c>
      <c r="F27">
        <f t="shared" si="0"/>
        <v>0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0</v>
      </c>
      <c r="J27" s="3" t="e">
        <f t="shared" si="1"/>
        <v>#DIV/0!</v>
      </c>
      <c r="K27">
        <f>SUMIF('Team Lineups'!C:C,A27,'Team Lineups'!H:H)</f>
        <v>0</v>
      </c>
      <c r="L27" t="e">
        <f t="shared" si="2"/>
        <v>#DIV/0!</v>
      </c>
      <c r="M27">
        <f>SUMIF('Team Lineups'!C:C,A27,'Team Lineups'!I:I)</f>
        <v>0</v>
      </c>
      <c r="N27">
        <f>COUNTIF(Matches!G:G,A27)</f>
        <v>0</v>
      </c>
      <c r="O27" t="e">
        <f t="shared" si="3"/>
        <v>#DIV/0!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2025-12-01T09:08:36Z</dcterms:modified>
</cp:coreProperties>
</file>