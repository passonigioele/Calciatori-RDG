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37EF1AF7-2E64-4C69-9B66-DE50A034DFA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2" i="3"/>
  <c r="J2" i="3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 s="1"/>
  <c r="E188" i="2"/>
  <c r="F188" i="2"/>
  <c r="G188" i="2" s="1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I14" i="3"/>
  <c r="H14" i="3"/>
  <c r="G14" i="3"/>
  <c r="J14" i="3" s="1"/>
  <c r="E14" i="3"/>
  <c r="D14" i="3"/>
  <c r="C14" i="3"/>
  <c r="Q13" i="3"/>
  <c r="O13" i="3"/>
  <c r="N13" i="3"/>
  <c r="L13" i="3"/>
  <c r="I13" i="3"/>
  <c r="H13" i="3"/>
  <c r="G13" i="3"/>
  <c r="J13" i="3" s="1"/>
  <c r="E13" i="3"/>
  <c r="D13" i="3"/>
  <c r="F13" i="3" s="1"/>
  <c r="C13" i="3"/>
  <c r="Q12" i="3"/>
  <c r="O12" i="3"/>
  <c r="N12" i="3"/>
  <c r="L12" i="3"/>
  <c r="C12" i="3"/>
  <c r="P12" i="3" s="1"/>
  <c r="Q11" i="3"/>
  <c r="O11" i="3"/>
  <c r="N11" i="3"/>
  <c r="L11" i="3"/>
  <c r="I11" i="3"/>
  <c r="H11" i="3"/>
  <c r="G11" i="3"/>
  <c r="J11" i="3" s="1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G150" i="2" s="1"/>
  <c r="K149" i="2"/>
  <c r="F149" i="2"/>
  <c r="E149" i="2"/>
  <c r="K148" i="2"/>
  <c r="F148" i="2"/>
  <c r="E148" i="2"/>
  <c r="K147" i="2"/>
  <c r="F147" i="2"/>
  <c r="E147" i="2"/>
  <c r="K146" i="2"/>
  <c r="F146" i="2"/>
  <c r="E146" i="2"/>
  <c r="G146" i="2" s="1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G142" i="2" s="1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G138" i="2" s="1"/>
  <c r="K137" i="2"/>
  <c r="F137" i="2"/>
  <c r="E137" i="2"/>
  <c r="G137" i="2" s="1"/>
  <c r="K136" i="2"/>
  <c r="F136" i="2"/>
  <c r="E136" i="2"/>
  <c r="K135" i="2"/>
  <c r="F135" i="2"/>
  <c r="E135" i="2"/>
  <c r="G135" i="2" s="1"/>
  <c r="K134" i="2"/>
  <c r="F134" i="2"/>
  <c r="E134" i="2"/>
  <c r="G134" i="2" s="1"/>
  <c r="K133" i="2"/>
  <c r="F133" i="2"/>
  <c r="E133" i="2"/>
  <c r="G133" i="2" s="1"/>
  <c r="K132" i="2"/>
  <c r="F132" i="2"/>
  <c r="E132" i="2"/>
  <c r="G132" i="2" s="1"/>
  <c r="K131" i="2"/>
  <c r="F131" i="2"/>
  <c r="E131" i="2"/>
  <c r="G131" i="2" s="1"/>
  <c r="K130" i="2"/>
  <c r="F130" i="2"/>
  <c r="E130" i="2"/>
  <c r="G130" i="2" s="1"/>
  <c r="K129" i="2"/>
  <c r="F129" i="2"/>
  <c r="E129" i="2"/>
  <c r="G129" i="2" s="1"/>
  <c r="K128" i="2"/>
  <c r="F128" i="2"/>
  <c r="E128" i="2"/>
  <c r="G128" i="2" s="1"/>
  <c r="K127" i="2"/>
  <c r="F127" i="2"/>
  <c r="E127" i="2"/>
  <c r="G127" i="2" s="1"/>
  <c r="K126" i="2"/>
  <c r="F126" i="2"/>
  <c r="E126" i="2"/>
  <c r="G126" i="2" s="1"/>
  <c r="K125" i="2"/>
  <c r="F125" i="2"/>
  <c r="E125" i="2"/>
  <c r="G125" i="2" s="1"/>
  <c r="K124" i="2"/>
  <c r="F124" i="2"/>
  <c r="E124" i="2"/>
  <c r="K123" i="2"/>
  <c r="F123" i="2"/>
  <c r="E123" i="2"/>
  <c r="G123" i="2" s="1"/>
  <c r="K122" i="2"/>
  <c r="F122" i="2"/>
  <c r="E122" i="2"/>
  <c r="G122" i="2" s="1"/>
  <c r="K121" i="2"/>
  <c r="F121" i="2"/>
  <c r="E121" i="2"/>
  <c r="G121" i="2" s="1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G117" i="2" s="1"/>
  <c r="K116" i="2"/>
  <c r="F116" i="2"/>
  <c r="E116" i="2"/>
  <c r="G116" i="2" s="1"/>
  <c r="K115" i="2"/>
  <c r="F115" i="2"/>
  <c r="E115" i="2"/>
  <c r="G115" i="2" s="1"/>
  <c r="K114" i="2"/>
  <c r="F114" i="2"/>
  <c r="E114" i="2"/>
  <c r="G114" i="2" s="1"/>
  <c r="K113" i="2"/>
  <c r="F113" i="2"/>
  <c r="E113" i="2"/>
  <c r="G113" i="2" s="1"/>
  <c r="K112" i="2"/>
  <c r="F112" i="2"/>
  <c r="E112" i="2"/>
  <c r="G112" i="2" s="1"/>
  <c r="K111" i="2"/>
  <c r="F111" i="2"/>
  <c r="E111" i="2"/>
  <c r="G111" i="2" s="1"/>
  <c r="K110" i="2"/>
  <c r="F110" i="2"/>
  <c r="E110" i="2"/>
  <c r="G110" i="2" s="1"/>
  <c r="K109" i="2"/>
  <c r="F109" i="2"/>
  <c r="E109" i="2"/>
  <c r="G109" i="2" s="1"/>
  <c r="K108" i="2"/>
  <c r="F108" i="2"/>
  <c r="E108" i="2"/>
  <c r="K107" i="2"/>
  <c r="F107" i="2"/>
  <c r="E107" i="2"/>
  <c r="G107" i="2" s="1"/>
  <c r="K106" i="2"/>
  <c r="F106" i="2"/>
  <c r="E106" i="2"/>
  <c r="G106" i="2" s="1"/>
  <c r="K105" i="2"/>
  <c r="F105" i="2"/>
  <c r="E105" i="2"/>
  <c r="G105" i="2" s="1"/>
  <c r="K104" i="2"/>
  <c r="F104" i="2"/>
  <c r="E104" i="2"/>
  <c r="G104" i="2" s="1"/>
  <c r="K103" i="2"/>
  <c r="F103" i="2"/>
  <c r="E103" i="2"/>
  <c r="G103" i="2" s="1"/>
  <c r="K102" i="2"/>
  <c r="F102" i="2"/>
  <c r="E102" i="2"/>
  <c r="G102" i="2" s="1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G98" i="2" s="1"/>
  <c r="K97" i="2"/>
  <c r="F97" i="2"/>
  <c r="E97" i="2"/>
  <c r="G97" i="2" s="1"/>
  <c r="K96" i="2"/>
  <c r="F96" i="2"/>
  <c r="E27" i="3" s="1"/>
  <c r="E96" i="2"/>
  <c r="K95" i="2"/>
  <c r="F95" i="2"/>
  <c r="E95" i="2"/>
  <c r="K94" i="2"/>
  <c r="F94" i="2"/>
  <c r="E94" i="2"/>
  <c r="G94" i="2" s="1"/>
  <c r="K93" i="2"/>
  <c r="F93" i="2"/>
  <c r="E93" i="2"/>
  <c r="G93" i="2" s="1"/>
  <c r="K92" i="2"/>
  <c r="F92" i="2"/>
  <c r="E92" i="2"/>
  <c r="K91" i="2"/>
  <c r="F91" i="2"/>
  <c r="E91" i="2"/>
  <c r="G91" i="2" s="1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G87" i="2" s="1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G81" i="2" s="1"/>
  <c r="K80" i="2"/>
  <c r="F80" i="2"/>
  <c r="E80" i="2"/>
  <c r="G80" i="2" s="1"/>
  <c r="K79" i="2"/>
  <c r="F79" i="2"/>
  <c r="E79" i="2"/>
  <c r="G79" i="2" s="1"/>
  <c r="K78" i="2"/>
  <c r="F78" i="2"/>
  <c r="E78" i="2"/>
  <c r="G78" i="2" s="1"/>
  <c r="K77" i="2"/>
  <c r="E77" i="2"/>
  <c r="G77" i="2" s="1"/>
  <c r="K76" i="2"/>
  <c r="F76" i="2"/>
  <c r="E76" i="2"/>
  <c r="K75" i="2"/>
  <c r="F75" i="2"/>
  <c r="E75" i="2"/>
  <c r="K74" i="2"/>
  <c r="F74" i="2"/>
  <c r="E74" i="2"/>
  <c r="G74" i="2" s="1"/>
  <c r="K73" i="2"/>
  <c r="F73" i="2"/>
  <c r="E73" i="2"/>
  <c r="G73" i="2" s="1"/>
  <c r="K72" i="2"/>
  <c r="F72" i="2"/>
  <c r="E72" i="2"/>
  <c r="G72" i="2" s="1"/>
  <c r="K71" i="2"/>
  <c r="F71" i="2"/>
  <c r="E71" i="2"/>
  <c r="K70" i="2"/>
  <c r="F70" i="2"/>
  <c r="E70" i="2"/>
  <c r="G70" i="2" s="1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G66" i="2" s="1"/>
  <c r="K65" i="2"/>
  <c r="F65" i="2"/>
  <c r="E65" i="2"/>
  <c r="G65" i="2" s="1"/>
  <c r="K64" i="2"/>
  <c r="F64" i="2"/>
  <c r="E64" i="2"/>
  <c r="K63" i="2"/>
  <c r="F63" i="2"/>
  <c r="E63" i="2"/>
  <c r="G63" i="2" s="1"/>
  <c r="K62" i="2"/>
  <c r="F62" i="2"/>
  <c r="E62" i="2"/>
  <c r="G62" i="2" s="1"/>
  <c r="K61" i="2"/>
  <c r="F61" i="2"/>
  <c r="E61" i="2"/>
  <c r="K60" i="2"/>
  <c r="F60" i="2"/>
  <c r="E60" i="2"/>
  <c r="K59" i="2"/>
  <c r="F59" i="2"/>
  <c r="E59" i="2"/>
  <c r="G59" i="2" s="1"/>
  <c r="K58" i="2"/>
  <c r="F58" i="2"/>
  <c r="E58" i="2"/>
  <c r="K57" i="2"/>
  <c r="F57" i="2"/>
  <c r="E57" i="2"/>
  <c r="G57" i="2" s="1"/>
  <c r="K56" i="2"/>
  <c r="F56" i="2"/>
  <c r="E56" i="2"/>
  <c r="G56" i="2" s="1"/>
  <c r="K55" i="2"/>
  <c r="F55" i="2"/>
  <c r="E55" i="2"/>
  <c r="K54" i="2"/>
  <c r="F54" i="2"/>
  <c r="E54" i="2"/>
  <c r="G54" i="2" s="1"/>
  <c r="K53" i="2"/>
  <c r="F53" i="2"/>
  <c r="E53" i="2"/>
  <c r="K52" i="2"/>
  <c r="F52" i="2"/>
  <c r="E52" i="2"/>
  <c r="K51" i="2"/>
  <c r="F51" i="2"/>
  <c r="E51" i="2"/>
  <c r="G51" i="2" s="1"/>
  <c r="K50" i="2"/>
  <c r="F50" i="2"/>
  <c r="E32" i="3" s="1"/>
  <c r="E50" i="2"/>
  <c r="K49" i="2"/>
  <c r="F49" i="2"/>
  <c r="E49" i="2"/>
  <c r="G49" i="2" s="1"/>
  <c r="K48" i="2"/>
  <c r="F48" i="2"/>
  <c r="E48" i="2"/>
  <c r="G48" i="2" s="1"/>
  <c r="K47" i="2"/>
  <c r="F47" i="2"/>
  <c r="E47" i="2"/>
  <c r="K46" i="2"/>
  <c r="F46" i="2"/>
  <c r="E46" i="2"/>
  <c r="G46" i="2" s="1"/>
  <c r="K45" i="2"/>
  <c r="F45" i="2"/>
  <c r="E31" i="3" s="1"/>
  <c r="E45" i="2"/>
  <c r="K44" i="2"/>
  <c r="F44" i="2"/>
  <c r="E30" i="3" s="1"/>
  <c r="E44" i="2"/>
  <c r="K43" i="2"/>
  <c r="F43" i="2"/>
  <c r="E43" i="2"/>
  <c r="G43" i="2" s="1"/>
  <c r="K42" i="2"/>
  <c r="F42" i="2"/>
  <c r="E42" i="2"/>
  <c r="G42" i="2" s="1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G38" i="2" s="1"/>
  <c r="K37" i="2"/>
  <c r="F37" i="2"/>
  <c r="E37" i="2"/>
  <c r="G37" i="2" s="1"/>
  <c r="K36" i="2"/>
  <c r="F36" i="2"/>
  <c r="E36" i="2"/>
  <c r="G36" i="2" s="1"/>
  <c r="K35" i="2"/>
  <c r="F35" i="2"/>
  <c r="E35" i="2"/>
  <c r="G35" i="2" s="1"/>
  <c r="K34" i="2"/>
  <c r="F34" i="2"/>
  <c r="E34" i="2"/>
  <c r="K33" i="2"/>
  <c r="F33" i="2"/>
  <c r="E33" i="2"/>
  <c r="K32" i="2"/>
  <c r="F32" i="2"/>
  <c r="E32" i="2"/>
  <c r="G32" i="2" s="1"/>
  <c r="K31" i="2"/>
  <c r="F31" i="2"/>
  <c r="E31" i="2"/>
  <c r="G31" i="2" s="1"/>
  <c r="K30" i="2"/>
  <c r="F30" i="2"/>
  <c r="E30" i="2"/>
  <c r="G30" i="2" s="1"/>
  <c r="K29" i="2"/>
  <c r="F29" i="2"/>
  <c r="E29" i="2"/>
  <c r="G29" i="2" s="1"/>
  <c r="K28" i="2"/>
  <c r="F28" i="2"/>
  <c r="E28" i="2"/>
  <c r="G28" i="2" s="1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G22" i="2" s="1"/>
  <c r="B22" i="2"/>
  <c r="K21" i="2"/>
  <c r="F21" i="2"/>
  <c r="E21" i="2"/>
  <c r="G21" i="2" s="1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G14" i="2" s="1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F11" i="3" l="1"/>
  <c r="F14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4" i="3"/>
  <c r="E10" i="3"/>
  <c r="E18" i="3"/>
  <c r="F161" i="2"/>
  <c r="E16" i="3" s="1"/>
  <c r="F162" i="2"/>
  <c r="E6" i="3" s="1"/>
  <c r="F160" i="2"/>
  <c r="E3" i="3" s="1"/>
  <c r="F163" i="2"/>
  <c r="E34" i="3" s="1"/>
  <c r="E156" i="2"/>
  <c r="D17" i="3" s="1"/>
  <c r="E155" i="2"/>
  <c r="E157" i="2"/>
  <c r="D12" i="3" s="1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E12" i="3" s="1"/>
  <c r="F155" i="2"/>
  <c r="E35" i="3" s="1"/>
  <c r="F156" i="2"/>
  <c r="E17" i="3" s="1"/>
  <c r="E160" i="2"/>
  <c r="E161" i="2"/>
  <c r="D16" i="3" s="1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23" i="3" s="1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E21" i="3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D4" i="3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29" i="3" l="1"/>
  <c r="F4" i="3"/>
  <c r="F16" i="3"/>
  <c r="F26" i="3"/>
  <c r="F33" i="3"/>
  <c r="B1" i="6" a="1"/>
  <c r="O2" i="6" a="1"/>
  <c r="O2" i="6" s="1"/>
  <c r="W2" i="6" a="1"/>
  <c r="W2" i="6" s="1"/>
  <c r="J2" i="6" a="1"/>
  <c r="J2" i="6" s="1"/>
  <c r="S2" i="6" a="1"/>
  <c r="S2" i="6" s="1"/>
  <c r="F8" i="3"/>
  <c r="F10" i="3"/>
  <c r="G32" i="3"/>
  <c r="J32" i="3" s="1"/>
  <c r="I32" i="3"/>
  <c r="H32" i="3"/>
  <c r="H31" i="3"/>
  <c r="G31" i="3"/>
  <c r="J31" i="3" s="1"/>
  <c r="I31" i="3"/>
  <c r="G30" i="3"/>
  <c r="J30" i="3" s="1"/>
  <c r="H30" i="3"/>
  <c r="I30" i="3"/>
  <c r="G173" i="2"/>
  <c r="I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F17" i="3"/>
  <c r="G159" i="2"/>
  <c r="F12" i="3"/>
  <c r="G161" i="2"/>
  <c r="G16" i="3" s="1"/>
  <c r="J16" i="3" s="1"/>
  <c r="F21" i="3"/>
  <c r="F7" i="3"/>
  <c r="F19" i="3"/>
  <c r="D35" i="3"/>
  <c r="F35" i="3" s="1"/>
  <c r="G155" i="2"/>
  <c r="D34" i="3"/>
  <c r="F34" i="3" s="1"/>
  <c r="G163" i="2"/>
  <c r="D36" i="3"/>
  <c r="F36" i="3" s="1"/>
  <c r="G169" i="2"/>
  <c r="G164" i="2"/>
  <c r="G168" i="2"/>
  <c r="H21" i="3" s="1"/>
  <c r="G167" i="2"/>
  <c r="G165" i="2"/>
  <c r="G170" i="2"/>
  <c r="H9" i="3" s="1"/>
  <c r="G172" i="2"/>
  <c r="F18" i="3"/>
  <c r="G156" i="2"/>
  <c r="G157" i="2"/>
  <c r="G158" i="2"/>
  <c r="D5" i="3"/>
  <c r="F5" i="3" s="1"/>
  <c r="G162" i="2"/>
  <c r="D6" i="3"/>
  <c r="F6" i="3" s="1"/>
  <c r="G160" i="2"/>
  <c r="D3" i="3"/>
  <c r="F3" i="3" s="1"/>
  <c r="G166" i="2"/>
  <c r="D23" i="3"/>
  <c r="F23" i="3" s="1"/>
  <c r="F9" i="3"/>
  <c r="F2" i="3"/>
  <c r="G27" i="3"/>
  <c r="J27" i="3" s="1"/>
  <c r="H27" i="3"/>
  <c r="I27" i="3"/>
  <c r="G6" i="3"/>
  <c r="J6" i="3" s="1"/>
  <c r="H6" i="3"/>
  <c r="I6" i="3"/>
  <c r="G21" i="3"/>
  <c r="J21" i="3" s="1"/>
  <c r="I21" i="3"/>
  <c r="G29" i="3"/>
  <c r="J29" i="3" s="1"/>
  <c r="H29" i="3"/>
  <c r="I29" i="3"/>
  <c r="G28" i="3"/>
  <c r="J28" i="3" s="1"/>
  <c r="H28" i="3"/>
  <c r="I28" i="3"/>
  <c r="H10" i="3"/>
  <c r="I10" i="3"/>
  <c r="G10" i="3"/>
  <c r="J10" i="3" s="1"/>
  <c r="G4" i="3"/>
  <c r="J4" i="3" s="1"/>
  <c r="H4" i="3"/>
  <c r="I4" i="3"/>
  <c r="G12" i="3"/>
  <c r="J12" i="3" s="1"/>
  <c r="H12" i="3"/>
  <c r="I12" i="3"/>
  <c r="G19" i="3"/>
  <c r="J19" i="3" s="1"/>
  <c r="H19" i="3"/>
  <c r="I19" i="3"/>
  <c r="G26" i="3"/>
  <c r="J26" i="3" s="1"/>
  <c r="H26" i="3"/>
  <c r="I26" i="3"/>
  <c r="I9" i="3"/>
  <c r="G9" i="3"/>
  <c r="J9" i="3" s="1"/>
  <c r="G20" i="3"/>
  <c r="J20" i="3" s="1"/>
  <c r="H20" i="3"/>
  <c r="I20" i="3"/>
  <c r="G2" i="3"/>
  <c r="H2" i="3"/>
  <c r="I2" i="3"/>
  <c r="G24" i="3"/>
  <c r="J24" i="3" s="1"/>
  <c r="H24" i="3"/>
  <c r="G18" i="3"/>
  <c r="J18" i="3" s="1"/>
  <c r="H18" i="3"/>
  <c r="I18" i="3"/>
  <c r="G17" i="3"/>
  <c r="J17" i="3" s="1"/>
  <c r="G3" i="3"/>
  <c r="J3" i="3" s="1"/>
  <c r="H3" i="3"/>
  <c r="I3" i="3"/>
  <c r="G5" i="3"/>
  <c r="J5" i="3" s="1"/>
  <c r="H5" i="3"/>
  <c r="I5" i="3"/>
  <c r="B1" i="6"/>
  <c r="L2" i="6" l="1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H15" i="3"/>
  <c r="I15" i="3"/>
  <c r="G7" i="3"/>
  <c r="J7" i="3" s="1"/>
  <c r="H7" i="3"/>
  <c r="I7" i="3"/>
  <c r="H25" i="3"/>
  <c r="I25" i="3"/>
  <c r="I17" i="3"/>
  <c r="H17" i="3"/>
  <c r="G23" i="3"/>
  <c r="J23" i="3" s="1"/>
  <c r="H23" i="3"/>
  <c r="I23" i="3"/>
  <c r="G33" i="3"/>
  <c r="J33" i="3" s="1"/>
  <c r="H33" i="3"/>
  <c r="I33" i="3"/>
  <c r="H16" i="3"/>
  <c r="I16" i="3"/>
  <c r="I35" i="3"/>
  <c r="H35" i="3"/>
  <c r="G35" i="3"/>
  <c r="J35" i="3" s="1"/>
  <c r="G34" i="3"/>
  <c r="J34" i="3" s="1"/>
  <c r="H34" i="3"/>
  <c r="I34" i="3"/>
  <c r="I36" i="3"/>
  <c r="G36" i="3"/>
  <c r="J36" i="3" s="1"/>
  <c r="H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<sst xmlns="http://schemas.openxmlformats.org/spreadsheetml/2006/main" count="521" uniqueCount="84">
  <si>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</si>
  <si>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</si>
  <si>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</si>
  <si>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</si>
  <si>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</si>
  <si>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</si>
  <si>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</si>
  <si>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</si>
  <si>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</si>
  <si>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</si>
  <si>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</si>
  <si>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</si>
  <si>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</si>
  <si>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</si>
  <si>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</si>
  <si>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</si>
  <si>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</si>
  <si>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</si>
  <si>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</si>
  <si>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</si>
  <si>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</si>
  <si>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</si>
  <si>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</si>
  <si>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</si>
  <si>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</si>
  <si>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</si>
  <si>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</si>
  <si>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</si>
  <si>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</si>
  <si>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</si>
  <si>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</si>
  <si>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</si>
  <si>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</si>
  <si>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</si>
  <si>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</si>
  <si>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</si>
  <si>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</si>
  <si>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</si>
  <si>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</si>
  <si>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</si>
  <si>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</si>
  <si>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</si>
  <si>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</si>
  <si>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</si>
  <si>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</si>
  <si>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</si>
  <si>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</si>
  <si>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</si>
  <si>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</si>
  <si>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</si>
  <si>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</si>
  <si>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</si>
  <si>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</si>
  <si>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</si>
  <si>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</si>
  <si>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</si>
  <si>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</si>
  <si>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</si>
  <si>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</si>
  <si>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</si>
  <si>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</si>
  <si>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</si>
  <si>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</si>
  <si>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</si>
  <si>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</si>
  <si>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</si>
  <si>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</si>
  <si>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</si>
  <si>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</si>
  <si>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</si>
  <si>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</si>
  <si>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</si>
  <si>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</si>
  <si>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</si>
  <si>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</si>
  <si>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</si>
  <si>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</si>
  <si>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NA</t>
  </si>
  <si>
    <t>Giosué</t>
  </si>
  <si>
    <t>Neil</t>
  </si>
  <si>
    <t>8-9</t>
  </si>
  <si>
    <t>6-6</t>
  </si>
  <si>
    <t>5-3</t>
  </si>
  <si>
    <t>%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</si>
</sst>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E16" sqref="E16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80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81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82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8"/>
  <sheetViews>
    <sheetView topLeftCell="A172" workbookViewId="0">
      <selection activeCell="H188" sqref="H188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88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78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79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78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"/>
  <sheetViews>
    <sheetView tabSelected="1" topLeftCell="A2" workbookViewId="0">
      <selection activeCell="K2" sqref="K2:K36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83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8</v>
      </c>
      <c r="D3">
        <f>SUMIF('Team Lineups'!C:C,A3,'Team Lineups'!E:E)</f>
        <v>42</v>
      </c>
      <c r="E3">
        <f>SUMIF('Team Lineups'!C:C,A3,'Team Lineups'!F:F)</f>
        <v>41</v>
      </c>
      <c r="F3">
        <f t="shared" si="0"/>
        <v>1</v>
      </c>
      <c r="G3">
        <f>COUNTIFS('Team Lineups'!C:C,A3,'Team Lineups'!G:G,"Win")</f>
        <v>4</v>
      </c>
      <c r="H3">
        <f>COUNTIFS('Team Lineups'!C:C,A3,'Team Lineups'!G:G,"Draw")</f>
        <v>2</v>
      </c>
      <c r="I3">
        <f>COUNTIFS('Team Lineups'!C:C,A3,'Team Lineups'!G:G,"Loss")</f>
        <v>2</v>
      </c>
      <c r="J3" s="3">
        <f t="shared" ref="J2:J27" si="3">G3/C3</f>
        <v>0.5</v>
      </c>
      <c r="K3" s="3">
        <f t="shared" ref="K3:K36" si="4">I3/C3</f>
        <v>0.25</v>
      </c>
      <c r="L3">
        <f>SUMIF('Team Lineups'!C:C,A3,'Team Lineups'!H:H)</f>
        <v>6</v>
      </c>
      <c r="M3">
        <f t="shared" si="1"/>
        <v>0.75</v>
      </c>
      <c r="N3">
        <f>SUMIF('Team Lineups'!C:C,A3,'Team Lineups'!I:I)</f>
        <v>4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6</v>
      </c>
      <c r="D4">
        <f>SUMIF('Team Lineups'!C:C,A4,'Team Lineups'!E:E)</f>
        <v>46</v>
      </c>
      <c r="E4">
        <f>SUMIF('Team Lineups'!C:C,A4,'Team Lineups'!F:F)</f>
        <v>42</v>
      </c>
      <c r="F4">
        <f t="shared" si="0"/>
        <v>4</v>
      </c>
      <c r="G4">
        <f>COUNTIFS('Team Lineups'!C:C,A4,'Team Lineups'!G:G,"Win")</f>
        <v>4</v>
      </c>
      <c r="H4">
        <f>COUNTIFS('Team Lineups'!C:C,A4,'Team Lineups'!G:G,"Draw")</f>
        <v>0</v>
      </c>
      <c r="I4">
        <f>COUNTIFS('Team Lineups'!C:C,A4,'Team Lineups'!G:G,"Loss")</f>
        <v>2</v>
      </c>
      <c r="J4" s="3">
        <f t="shared" si="3"/>
        <v>0.66666666666666663</v>
      </c>
      <c r="K4" s="3">
        <f t="shared" si="4"/>
        <v>0.33333333333333331</v>
      </c>
      <c r="L4">
        <f>SUMIF('Team Lineups'!C:C,A4,'Team Lineups'!H:H)</f>
        <v>1</v>
      </c>
      <c r="M4">
        <f t="shared" si="1"/>
        <v>0.16666666666666666</v>
      </c>
      <c r="N4">
        <f>SUMIF('Team Lineups'!C:C,A4,'Team Lineups'!I:I)</f>
        <v>1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9</v>
      </c>
      <c r="D5">
        <f>SUMIF('Team Lineups'!C:C,A5,'Team Lineups'!E:E)</f>
        <v>48</v>
      </c>
      <c r="E5">
        <f>SUMIF('Team Lineups'!C:C,A5,'Team Lineups'!F:F)</f>
        <v>62</v>
      </c>
      <c r="F5">
        <f t="shared" si="0"/>
        <v>-14</v>
      </c>
      <c r="G5">
        <f>COUNTIFS('Team Lineups'!C:C,A5,'Team Lineups'!G:G,"Win")</f>
        <v>1</v>
      </c>
      <c r="H5">
        <f>COUNTIFS('Team Lineups'!C:C,A5,'Team Lineups'!G:G,"Draw")</f>
        <v>2</v>
      </c>
      <c r="I5">
        <f>COUNTIFS('Team Lineups'!C:C,A5,'Team Lineups'!G:G,"Loss")</f>
        <v>6</v>
      </c>
      <c r="J5" s="3">
        <f t="shared" si="3"/>
        <v>0.1111111111111111</v>
      </c>
      <c r="K5" s="3">
        <f t="shared" si="4"/>
        <v>0.66666666666666663</v>
      </c>
      <c r="L5">
        <f>SUMIF('Team Lineups'!C:C,A5,'Team Lineups'!H:H)</f>
        <v>12</v>
      </c>
      <c r="M5">
        <f t="shared" si="1"/>
        <v>1.3333333333333333</v>
      </c>
      <c r="N5">
        <f>SUMIF('Team Lineups'!C:C,A5,'Team Lineups'!I:I)</f>
        <v>8</v>
      </c>
      <c r="O5">
        <f>COUNTIF(Matches!G:G,A5)</f>
        <v>1</v>
      </c>
      <c r="P5">
        <f t="shared" si="2"/>
        <v>0.1111111111111111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4</v>
      </c>
      <c r="D6">
        <f>SUMIF('Team Lineups'!C:C,A6,'Team Lineups'!E:E)</f>
        <v>26</v>
      </c>
      <c r="E6">
        <f>SUMIF('Team Lineups'!C:C,A6,'Team Lineups'!F:F)</f>
        <v>21</v>
      </c>
      <c r="F6">
        <f t="shared" si="0"/>
        <v>5</v>
      </c>
      <c r="G6">
        <f>COUNTIFS('Team Lineups'!C:C,A6,'Team Lineups'!G:G,"Win")</f>
        <v>3</v>
      </c>
      <c r="H6">
        <f>COUNTIFS('Team Lineups'!C:C,A6,'Team Lineups'!G:G,"Draw")</f>
        <v>1</v>
      </c>
      <c r="I6">
        <f>COUNTIFS('Team Lineups'!C:C,A6,'Team Lineups'!G:G,"Loss")</f>
        <v>0</v>
      </c>
      <c r="J6" s="3">
        <f t="shared" si="3"/>
        <v>0.75</v>
      </c>
      <c r="K6" s="3">
        <f t="shared" si="4"/>
        <v>0</v>
      </c>
      <c r="L6">
        <f>SUMIF('Team Lineups'!C:C,A6,'Team Lineups'!H:H)</f>
        <v>3</v>
      </c>
      <c r="M6">
        <f t="shared" si="1"/>
        <v>0.75</v>
      </c>
      <c r="N6">
        <f>SUMIF('Team Lineups'!C:C,A6,'Team Lineups'!I:I)</f>
        <v>2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13</v>
      </c>
      <c r="D7">
        <f>SUMIF('Team Lineups'!C:C,A7,'Team Lineups'!E:E)</f>
        <v>97</v>
      </c>
      <c r="E7">
        <f>SUMIF('Team Lineups'!C:C,A7,'Team Lineups'!F:F)</f>
        <v>108</v>
      </c>
      <c r="F7">
        <f t="shared" si="0"/>
        <v>-11</v>
      </c>
      <c r="G7">
        <f>COUNTIFS('Team Lineups'!C:C,A7,'Team Lineups'!G:G,"Win")</f>
        <v>4</v>
      </c>
      <c r="H7">
        <f>COUNTIFS('Team Lineups'!C:C,A7,'Team Lineups'!G:G,"Draw")</f>
        <v>2</v>
      </c>
      <c r="I7">
        <f>COUNTIFS('Team Lineups'!C:C,A7,'Team Lineups'!G:G,"Loss")</f>
        <v>6</v>
      </c>
      <c r="J7" s="3">
        <f t="shared" si="3"/>
        <v>0.30769230769230771</v>
      </c>
      <c r="K7" s="3">
        <f t="shared" si="4"/>
        <v>0.46153846153846156</v>
      </c>
      <c r="L7">
        <f>SUMIF('Team Lineups'!C:C,A7,'Team Lineups'!H:H)</f>
        <v>17</v>
      </c>
      <c r="M7">
        <f t="shared" si="1"/>
        <v>1.3076923076923077</v>
      </c>
      <c r="N7">
        <f>SUMIF('Team Lineups'!C:C,A7,'Team Lineups'!I:I)</f>
        <v>12</v>
      </c>
      <c r="O7">
        <f>COUNTIF(Matches!G:G,A7)</f>
        <v>0</v>
      </c>
      <c r="P7">
        <f t="shared" si="2"/>
        <v>0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12</v>
      </c>
      <c r="D8">
        <f>SUMIF('Team Lineups'!C:C,A8,'Team Lineups'!E:E)</f>
        <v>89</v>
      </c>
      <c r="E8">
        <f>SUMIF('Team Lineups'!C:C,A8,'Team Lineups'!F:F)</f>
        <v>77</v>
      </c>
      <c r="F8">
        <f t="shared" si="0"/>
        <v>12</v>
      </c>
      <c r="G8">
        <f>COUNTIFS('Team Lineups'!C:C,A8,'Team Lineups'!G:G,"Win")</f>
        <v>6</v>
      </c>
      <c r="H8">
        <f>COUNTIFS('Team Lineups'!C:C,A8,'Team Lineups'!G:G,"Draw")</f>
        <v>3</v>
      </c>
      <c r="I8">
        <f>COUNTIFS('Team Lineups'!C:C,A8,'Team Lineups'!G:G,"Loss")</f>
        <v>3</v>
      </c>
      <c r="J8" s="3">
        <f t="shared" si="3"/>
        <v>0.5</v>
      </c>
      <c r="K8" s="3">
        <f t="shared" si="4"/>
        <v>0.25</v>
      </c>
      <c r="L8">
        <f>SUMIF('Team Lineups'!C:C,A8,'Team Lineups'!H:H)</f>
        <v>27</v>
      </c>
      <c r="M8">
        <f t="shared" si="1"/>
        <v>2.25</v>
      </c>
      <c r="N8">
        <f>SUMIF('Team Lineups'!C:C,A8,'Team Lineups'!I:I)</f>
        <v>15</v>
      </c>
      <c r="O8">
        <f>COUNTIF(Matches!G:G,A8)</f>
        <v>2</v>
      </c>
      <c r="P8">
        <f t="shared" si="2"/>
        <v>0.16666666666666666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8</v>
      </c>
      <c r="D9">
        <f>SUMIF('Team Lineups'!C:C,A9,'Team Lineups'!E:E)</f>
        <v>43</v>
      </c>
      <c r="E9">
        <f>SUMIF('Team Lineups'!C:C,A9,'Team Lineups'!F:F)</f>
        <v>49</v>
      </c>
      <c r="F9">
        <f t="shared" si="0"/>
        <v>-6</v>
      </c>
      <c r="G9">
        <f>COUNTIFS('Team Lineups'!C:C,A9,'Team Lineups'!G:G,"Win")</f>
        <v>2</v>
      </c>
      <c r="H9">
        <f>COUNTIFS('Team Lineups'!C:C,A9,'Team Lineups'!G:G,"Draw")</f>
        <v>2</v>
      </c>
      <c r="I9">
        <f>COUNTIFS('Team Lineups'!C:C,A9,'Team Lineups'!G:G,"Loss")</f>
        <v>4</v>
      </c>
      <c r="J9" s="3">
        <f t="shared" si="3"/>
        <v>0.25</v>
      </c>
      <c r="K9" s="3">
        <f t="shared" si="4"/>
        <v>0.5</v>
      </c>
      <c r="L9">
        <f>SUMIF('Team Lineups'!C:C,A9,'Team Lineups'!H:H)</f>
        <v>4</v>
      </c>
      <c r="M9">
        <f t="shared" si="1"/>
        <v>0.5</v>
      </c>
      <c r="N9">
        <f>SUMIF('Team Lineups'!C:C,A9,'Team Lineups'!I:I)</f>
        <v>3</v>
      </c>
      <c r="O9">
        <f>COUNTIF(Matches!G:G,A9)</f>
        <v>1</v>
      </c>
      <c r="P9">
        <f t="shared" si="2"/>
        <v>0.125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7</v>
      </c>
      <c r="D10">
        <f>SUMIF('Team Lineups'!C:C,A10,'Team Lineups'!E:E)</f>
        <v>38</v>
      </c>
      <c r="E10">
        <f>SUMIF('Team Lineups'!C:C,A10,'Team Lineups'!F:F)</f>
        <v>37</v>
      </c>
      <c r="F10">
        <f t="shared" si="0"/>
        <v>1</v>
      </c>
      <c r="G10">
        <f>COUNTIFS('Team Lineups'!C:C,A10,'Team Lineups'!G:G,"Win")</f>
        <v>3</v>
      </c>
      <c r="H10">
        <f>COUNTIFS('Team Lineups'!C:C,A10,'Team Lineups'!G:G,"Draw")</f>
        <v>1</v>
      </c>
      <c r="I10">
        <f>COUNTIFS('Team Lineups'!C:C,A10,'Team Lineups'!G:G,"Loss")</f>
        <v>3</v>
      </c>
      <c r="J10" s="3">
        <f t="shared" si="3"/>
        <v>0.42857142857142855</v>
      </c>
      <c r="K10" s="3">
        <f t="shared" si="4"/>
        <v>0.42857142857142855</v>
      </c>
      <c r="L10">
        <f>SUMIF('Team Lineups'!C:C,A10,'Team Lineups'!H:H)</f>
        <v>9</v>
      </c>
      <c r="M10">
        <f t="shared" si="1"/>
        <v>1.2857142857142858</v>
      </c>
      <c r="N10">
        <f>SUMIF('Team Lineups'!C:C,A10,'Team Lineups'!I:I)</f>
        <v>8</v>
      </c>
      <c r="O10">
        <f>COUNTIF(Matches!G:G,A10)</f>
        <v>1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10</v>
      </c>
      <c r="D12">
        <f>SUMIF('Team Lineups'!C:C,A12,'Team Lineups'!E:E)</f>
        <v>69</v>
      </c>
      <c r="E12">
        <f>SUMIF('Team Lineups'!C:C,A12,'Team Lineups'!F:F)</f>
        <v>77</v>
      </c>
      <c r="F12">
        <f t="shared" si="0"/>
        <v>-8</v>
      </c>
      <c r="G12">
        <f>COUNTIFS('Team Lineups'!C:C,A12,'Team Lineups'!G:G,"Win")</f>
        <v>3</v>
      </c>
      <c r="H12">
        <f>COUNTIFS('Team Lineups'!C:C,A12,'Team Lineups'!G:G,"Draw")</f>
        <v>0</v>
      </c>
      <c r="I12">
        <f>COUNTIFS('Team Lineups'!C:C,A12,'Team Lineups'!G:G,"Loss")</f>
        <v>7</v>
      </c>
      <c r="J12" s="3">
        <f t="shared" si="3"/>
        <v>0.3</v>
      </c>
      <c r="K12" s="3">
        <f t="shared" si="4"/>
        <v>0.7</v>
      </c>
      <c r="L12">
        <f>SUMIF('Team Lineups'!C:C,A12,'Team Lineups'!H:H)</f>
        <v>17</v>
      </c>
      <c r="M12">
        <f t="shared" si="1"/>
        <v>1.7</v>
      </c>
      <c r="N12">
        <f>SUMIF('Team Lineups'!C:C,A12,'Team Lineups'!I:I)</f>
        <v>6</v>
      </c>
      <c r="O12">
        <f>COUNTIF(Matches!G:G,A12)</f>
        <v>1</v>
      </c>
      <c r="P12">
        <f t="shared" si="2"/>
        <v>0.1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0</v>
      </c>
      <c r="D14">
        <f>SUMIF('Team Lineups'!C:C,A14,'Team Lineups'!E:E)</f>
        <v>0</v>
      </c>
      <c r="E14">
        <f>SUMIF('Team Lineups'!C:C,A14,'Team Lineups'!F:F)</f>
        <v>0</v>
      </c>
      <c r="F14">
        <f t="shared" si="0"/>
        <v>0</v>
      </c>
      <c r="G14">
        <f>COUNTIFS('Team Lineups'!C:C,A14,'Team Lineups'!G:G,"Win")</f>
        <v>0</v>
      </c>
      <c r="H14">
        <f>COUNTIFS('Team Lineups'!C:C,A14,'Team Lineups'!G:G,"Draw")</f>
        <v>0</v>
      </c>
      <c r="I14">
        <f>COUNTIFS('Team Lineups'!C:C,A14,'Team Lineups'!G:G,"Loss")</f>
        <v>0</v>
      </c>
      <c r="J14" s="3" t="e">
        <f t="shared" si="3"/>
        <v>#DIV/0!</v>
      </c>
      <c r="K14" s="3" t="e">
        <f t="shared" si="4"/>
        <v>#DIV/0!</v>
      </c>
      <c r="L14">
        <f>SUMIF('Team Lineups'!C:C,A14,'Team Lineups'!H:H)</f>
        <v>0</v>
      </c>
      <c r="M14" t="e">
        <f t="shared" si="1"/>
        <v>#DIV/0!</v>
      </c>
      <c r="N14">
        <f>SUMIF('Team Lineups'!C:C,A14,'Team Lineups'!I:I)</f>
        <v>0</v>
      </c>
      <c r="O14">
        <f>COUNTIF(Matches!G:G,A14)</f>
        <v>0</v>
      </c>
      <c r="P14" t="e">
        <f t="shared" si="2"/>
        <v>#DIV/0!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3</v>
      </c>
      <c r="D15">
        <f>SUMIF('Team Lineups'!C:C,A15,'Team Lineups'!E:E)</f>
        <v>18</v>
      </c>
      <c r="E15">
        <f>SUMIF('Team Lineups'!C:C,A15,'Team Lineups'!F:F)</f>
        <v>18</v>
      </c>
      <c r="F15">
        <f t="shared" si="0"/>
        <v>0</v>
      </c>
      <c r="G15">
        <f>COUNTIFS('Team Lineups'!C:C,A15,'Team Lineups'!G:G,"Win")</f>
        <v>1</v>
      </c>
      <c r="H15">
        <f>COUNTIFS('Team Lineups'!C:C,A15,'Team Lineups'!G:G,"Draw")</f>
        <v>1</v>
      </c>
      <c r="I15">
        <f>COUNTIFS('Team Lineups'!C:C,A15,'Team Lineups'!G:G,"Loss")</f>
        <v>1</v>
      </c>
      <c r="J15" s="3">
        <f t="shared" si="3"/>
        <v>0.33333333333333331</v>
      </c>
      <c r="K15" s="3">
        <f t="shared" si="4"/>
        <v>0.33333333333333331</v>
      </c>
      <c r="L15">
        <f>SUMIF('Team Lineups'!C:C,A15,'Team Lineups'!H:H)</f>
        <v>1</v>
      </c>
      <c r="M15">
        <f t="shared" si="1"/>
        <v>0.33333333333333331</v>
      </c>
      <c r="N15">
        <f>SUMIF('Team Lineups'!C:C,A15,'Team Lineups'!I:I)</f>
        <v>1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10</v>
      </c>
      <c r="D16">
        <f>SUMIF('Team Lineups'!C:C,A16,'Team Lineups'!E:E)</f>
        <v>54</v>
      </c>
      <c r="E16">
        <f>SUMIF('Team Lineups'!C:C,A16,'Team Lineups'!F:F)</f>
        <v>58</v>
      </c>
      <c r="F16">
        <f t="shared" si="0"/>
        <v>-4</v>
      </c>
      <c r="G16">
        <f>COUNTIFS('Team Lineups'!C:C,A16,'Team Lineups'!G:G,"Win")</f>
        <v>3</v>
      </c>
      <c r="H16">
        <f>COUNTIFS('Team Lineups'!C:C,A16,'Team Lineups'!G:G,"Draw")</f>
        <v>2</v>
      </c>
      <c r="I16">
        <f>COUNTIFS('Team Lineups'!C:C,A16,'Team Lineups'!G:G,"Loss")</f>
        <v>5</v>
      </c>
      <c r="J16" s="3">
        <f t="shared" si="3"/>
        <v>0.3</v>
      </c>
      <c r="K16" s="3">
        <f t="shared" si="4"/>
        <v>0.5</v>
      </c>
      <c r="L16">
        <f>SUMIF('Team Lineups'!C:C,A16,'Team Lineups'!H:H)</f>
        <v>5</v>
      </c>
      <c r="M16">
        <f t="shared" si="1"/>
        <v>0.5</v>
      </c>
      <c r="N16">
        <f>SUMIF('Team Lineups'!C:C,A16,'Team Lineups'!I:I)</f>
        <v>1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9</v>
      </c>
      <c r="D17">
        <f>SUMIF('Team Lineups'!C:C,A17,'Team Lineups'!E:E)</f>
        <v>53</v>
      </c>
      <c r="E17">
        <f>SUMIF('Team Lineups'!C:C,A17,'Team Lineups'!F:F)</f>
        <v>51</v>
      </c>
      <c r="F17">
        <f t="shared" si="0"/>
        <v>2</v>
      </c>
      <c r="G17">
        <f>COUNTIFS('Team Lineups'!C:C,A17,'Team Lineups'!G:G,"Win")</f>
        <v>4</v>
      </c>
      <c r="H17">
        <f>COUNTIFS('Team Lineups'!C:C,A17,'Team Lineups'!G:G,"Draw")</f>
        <v>2</v>
      </c>
      <c r="I17">
        <f>COUNTIFS('Team Lineups'!C:C,A17,'Team Lineups'!G:G,"Loss")</f>
        <v>3</v>
      </c>
      <c r="J17" s="3">
        <f t="shared" si="3"/>
        <v>0.44444444444444442</v>
      </c>
      <c r="K17" s="3">
        <f t="shared" si="4"/>
        <v>0.33333333333333331</v>
      </c>
      <c r="L17">
        <f>SUMIF('Team Lineups'!C:C,A17,'Team Lineups'!H:H)</f>
        <v>2</v>
      </c>
      <c r="M17">
        <f t="shared" si="1"/>
        <v>0.22222222222222221</v>
      </c>
      <c r="N17">
        <f>SUMIF('Team Lineups'!C:C,A17,'Team Lineups'!I:I)</f>
        <v>5</v>
      </c>
      <c r="O17">
        <f>COUNTIF(Matches!G:G,A17)</f>
        <v>0</v>
      </c>
      <c r="P17">
        <f t="shared" si="2"/>
        <v>0</v>
      </c>
      <c r="Q17">
        <f>SUMIF('Team Lineups'!C:C,A17,'Team Lineups'!J:J)</f>
        <v>0</v>
      </c>
    </row>
    <row r="18" spans="1:17" x14ac:dyDescent="0.35">
      <c r="A18" t="s">
        <v>21</v>
      </c>
      <c r="C18">
        <f>COUNTIF('Team Lineups'!C:C,A18)</f>
        <v>11</v>
      </c>
      <c r="D18">
        <f>SUMIF('Team Lineups'!C:C,A18,'Team Lineups'!E:E)</f>
        <v>82</v>
      </c>
      <c r="E18">
        <f>SUMIF('Team Lineups'!C:C,A18,'Team Lineups'!F:F)</f>
        <v>83</v>
      </c>
      <c r="F18">
        <f t="shared" si="0"/>
        <v>-1</v>
      </c>
      <c r="G18">
        <f>COUNTIFS('Team Lineups'!C:C,A18,'Team Lineups'!G:G,"Win")</f>
        <v>5</v>
      </c>
      <c r="H18">
        <f>COUNTIFS('Team Lineups'!C:C,A18,'Team Lineups'!G:G,"Draw")</f>
        <v>1</v>
      </c>
      <c r="I18">
        <f>COUNTIFS('Team Lineups'!C:C,A18,'Team Lineups'!G:G,"Loss")</f>
        <v>5</v>
      </c>
      <c r="J18" s="3">
        <f t="shared" si="3"/>
        <v>0.45454545454545453</v>
      </c>
      <c r="K18" s="3">
        <f t="shared" si="4"/>
        <v>0.45454545454545453</v>
      </c>
      <c r="L18">
        <f>SUMIF('Team Lineups'!C:C,A18,'Team Lineups'!H:H)</f>
        <v>8</v>
      </c>
      <c r="M18">
        <f t="shared" si="1"/>
        <v>0.72727272727272729</v>
      </c>
      <c r="N18">
        <f>SUMIF('Team Lineups'!C:C,A18,'Team Lineups'!I:I)</f>
        <v>4</v>
      </c>
      <c r="O18">
        <f>COUNTIF(Matches!G:G,A18)</f>
        <v>1</v>
      </c>
      <c r="P18">
        <f t="shared" si="2"/>
        <v>9.0909090909090912E-2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4</v>
      </c>
      <c r="D21">
        <f>SUMIF('Team Lineups'!C:C,A21,'Team Lineups'!E:E)</f>
        <v>23</v>
      </c>
      <c r="E21">
        <f>SUMIF('Team Lineups'!C:C,A21,'Team Lineups'!F:F)</f>
        <v>27</v>
      </c>
      <c r="F21">
        <f t="shared" si="0"/>
        <v>-4</v>
      </c>
      <c r="G21">
        <f>COUNTIFS('Team Lineups'!C:C,A21,'Team Lineups'!G:G,"Win")</f>
        <v>0</v>
      </c>
      <c r="H21">
        <f>COUNTIFS('Team Lineups'!C:C,A21,'Team Lineups'!G:G,"Draw")</f>
        <v>1</v>
      </c>
      <c r="I21">
        <f>COUNTIFS('Team Lineups'!C:C,A21,'Team Lineups'!G:G,"Loss")</f>
        <v>3</v>
      </c>
      <c r="J21" s="3">
        <f t="shared" si="3"/>
        <v>0</v>
      </c>
      <c r="K21" s="3">
        <f t="shared" si="4"/>
        <v>0.75</v>
      </c>
      <c r="L21">
        <f>SUMIF('Team Lineups'!C:C,A21,'Team Lineups'!H:H)</f>
        <v>2</v>
      </c>
      <c r="M21">
        <f t="shared" si="1"/>
        <v>0.5</v>
      </c>
      <c r="N21">
        <f>SUMIF('Team Lineups'!C:C,A21,'Team Lineups'!I:I)</f>
        <v>3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11</v>
      </c>
      <c r="D23">
        <f>SUMIF('Team Lineups'!C:C,A23,'Team Lineups'!E:E)</f>
        <v>71</v>
      </c>
      <c r="E23">
        <f>SUMIF('Team Lineups'!C:C,A23,'Team Lineups'!F:F)</f>
        <v>68</v>
      </c>
      <c r="F23">
        <f t="shared" si="0"/>
        <v>3</v>
      </c>
      <c r="G23">
        <f>COUNTIFS('Team Lineups'!C:C,A23,'Team Lineups'!G:G,"Win")</f>
        <v>5</v>
      </c>
      <c r="H23">
        <f>COUNTIFS('Team Lineups'!C:C,A23,'Team Lineups'!G:G,"Draw")</f>
        <v>3</v>
      </c>
      <c r="I23">
        <f>COUNTIFS('Team Lineups'!C:C,A23,'Team Lineups'!G:G,"Loss")</f>
        <v>3</v>
      </c>
      <c r="J23" s="3">
        <f t="shared" si="3"/>
        <v>0.45454545454545453</v>
      </c>
      <c r="K23" s="3">
        <f t="shared" si="4"/>
        <v>0.27272727272727271</v>
      </c>
      <c r="L23">
        <f>SUMIF('Team Lineups'!C:C,A23,'Team Lineups'!H:H)</f>
        <v>12</v>
      </c>
      <c r="M23">
        <f t="shared" si="1"/>
        <v>1.0909090909090908</v>
      </c>
      <c r="N23">
        <f>SUMIF('Team Lineups'!C:C,A23,'Team Lineups'!I:I)</f>
        <v>2</v>
      </c>
      <c r="O23">
        <f>COUNTIF(Matches!G:G,A23)</f>
        <v>2</v>
      </c>
      <c r="P23">
        <f t="shared" si="2"/>
        <v>0.18181818181818182</v>
      </c>
      <c r="Q23">
        <f>SUMIF('Team Lineups'!C:C,A23,'Team Lineups'!J:J)</f>
        <v>0</v>
      </c>
    </row>
    <row r="24" spans="1:17" x14ac:dyDescent="0.35">
      <c r="A24" t="s">
        <v>25</v>
      </c>
      <c r="C24">
        <f>COUNTIF('Team Lineups'!C:C,A24)</f>
        <v>13</v>
      </c>
      <c r="D24">
        <f>SUMIF('Team Lineups'!C:C,A24,'Team Lineups'!E:E)</f>
        <v>83</v>
      </c>
      <c r="E24">
        <f>SUMIF('Team Lineups'!C:C,A24,'Team Lineups'!F:F)</f>
        <v>79</v>
      </c>
      <c r="F24">
        <f t="shared" si="0"/>
        <v>4</v>
      </c>
      <c r="G24">
        <f>COUNTIFS('Team Lineups'!C:C,A24,'Team Lineups'!G:G,"Win")</f>
        <v>4</v>
      </c>
      <c r="H24">
        <f>COUNTIFS('Team Lineups'!C:C,A24,'Team Lineups'!G:G,"Draw")</f>
        <v>3</v>
      </c>
      <c r="I24">
        <f>COUNTIFS('Team Lineups'!C:C,A24,'Team Lineups'!G:G,"Loss")</f>
        <v>6</v>
      </c>
      <c r="J24" s="3">
        <f t="shared" si="3"/>
        <v>0.30769230769230771</v>
      </c>
      <c r="K24" s="3">
        <f t="shared" si="4"/>
        <v>0.46153846153846156</v>
      </c>
      <c r="L24">
        <f>SUMIF('Team Lineups'!C:C,A24,'Team Lineups'!H:H)</f>
        <v>7</v>
      </c>
      <c r="M24">
        <f t="shared" si="1"/>
        <v>0.53846153846153844</v>
      </c>
      <c r="N24">
        <f>SUMIF('Team Lineups'!C:C,A24,'Team Lineups'!I:I)</f>
        <v>7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12</v>
      </c>
      <c r="D25">
        <f>SUMIF('Team Lineups'!C:C,A25,'Team Lineups'!E:E)</f>
        <v>87</v>
      </c>
      <c r="E25">
        <f>SUMIF('Team Lineups'!C:C,A25,'Team Lineups'!F:F)</f>
        <v>77</v>
      </c>
      <c r="F25">
        <f t="shared" si="0"/>
        <v>10</v>
      </c>
      <c r="G25">
        <f>COUNTIFS('Team Lineups'!C:C,A25,'Team Lineups'!G:G,"Win")</f>
        <v>7</v>
      </c>
      <c r="H25">
        <f>COUNTIFS('Team Lineups'!C:C,A25,'Team Lineups'!G:G,"Draw")</f>
        <v>2</v>
      </c>
      <c r="I25">
        <f>COUNTIFS('Team Lineups'!C:C,A25,'Team Lineups'!G:G,"Loss")</f>
        <v>3</v>
      </c>
      <c r="J25" s="3">
        <f t="shared" si="3"/>
        <v>0.58333333333333337</v>
      </c>
      <c r="K25" s="3">
        <f t="shared" si="4"/>
        <v>0.25</v>
      </c>
      <c r="L25">
        <f>SUMIF('Team Lineups'!C:C,A25,'Team Lineups'!H:H)</f>
        <v>17</v>
      </c>
      <c r="M25">
        <f t="shared" si="1"/>
        <v>1.4166666666666667</v>
      </c>
      <c r="N25">
        <f>SUMIF('Team Lineups'!C:C,A25,'Team Lineups'!I:I)</f>
        <v>6</v>
      </c>
      <c r="O25">
        <f>COUNTIF(Matches!G:G,A25)</f>
        <v>1</v>
      </c>
      <c r="P25">
        <f t="shared" si="2"/>
        <v>8.3333333333333329E-2</v>
      </c>
      <c r="Q25">
        <f>SUMIF('Team Lineups'!C:C,A25,'Team Lineups'!J:J)</f>
        <v>1</v>
      </c>
    </row>
    <row r="26" spans="1:17" x14ac:dyDescent="0.35">
      <c r="A26" t="s">
        <v>54</v>
      </c>
      <c r="C26">
        <f>COUNTIF('Team Lineups'!C:C,A26)</f>
        <v>6</v>
      </c>
      <c r="D26">
        <f>SUMIF('Team Lineups'!C:C,A26,'Team Lineups'!E:E)</f>
        <v>29</v>
      </c>
      <c r="E26">
        <f>SUMIF('Team Lineups'!C:C,A26,'Team Lineups'!F:F)</f>
        <v>33</v>
      </c>
      <c r="F26">
        <f t="shared" si="0"/>
        <v>-4</v>
      </c>
      <c r="G26">
        <f>COUNTIFS('Team Lineups'!C:C,A26,'Team Lineups'!G:G,"Win")</f>
        <v>2</v>
      </c>
      <c r="H26">
        <f>COUNTIFS('Team Lineups'!C:C,A26,'Team Lineups'!G:G,"Draw")</f>
        <v>0</v>
      </c>
      <c r="I26">
        <f>COUNTIFS('Team Lineups'!C:C,A26,'Team Lineups'!G:G,"Loss")</f>
        <v>4</v>
      </c>
      <c r="J26" s="3">
        <f t="shared" si="3"/>
        <v>0.33333333333333331</v>
      </c>
      <c r="K26" s="3">
        <f t="shared" si="4"/>
        <v>0.66666666666666663</v>
      </c>
      <c r="L26">
        <f>SUMIF('Team Lineups'!C:C,A26,'Team Lineups'!H:H)</f>
        <v>0</v>
      </c>
      <c r="M26">
        <f t="shared" si="1"/>
        <v>0</v>
      </c>
      <c r="N26">
        <f>SUMIF('Team Lineups'!C:C,A26,'Team Lineups'!I:I)</f>
        <v>2</v>
      </c>
      <c r="O26">
        <f>COUNTIF(Matches!G:G,A26)</f>
        <v>1</v>
      </c>
      <c r="P26">
        <f t="shared" si="2"/>
        <v>0.16666666666666666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8</v>
      </c>
      <c r="D33">
        <f>SUMIF('Team Lineups'!C:C,A33,'Team Lineups'!E:E)</f>
        <v>58</v>
      </c>
      <c r="E33">
        <f>SUMIF('Team Lineups'!C:C,A33,'Team Lineups'!F:F)</f>
        <v>53</v>
      </c>
      <c r="F33">
        <f t="shared" si="5"/>
        <v>5</v>
      </c>
      <c r="G33">
        <f>COUNTIFS('Team Lineups'!C:C,A33,'Team Lineups'!G:G,"Win")</f>
        <v>5</v>
      </c>
      <c r="H33">
        <f>COUNTIFS('Team Lineups'!C:C,A33,'Team Lineups'!G:G,"Draw")</f>
        <v>1</v>
      </c>
      <c r="I33">
        <f>COUNTIFS('Team Lineups'!C:C,A33,'Team Lineups'!G:G,"Loss")</f>
        <v>2</v>
      </c>
      <c r="J33" s="3">
        <f t="shared" si="6"/>
        <v>0.625</v>
      </c>
      <c r="K33" s="3">
        <f t="shared" si="4"/>
        <v>0.25</v>
      </c>
      <c r="L33">
        <f>SUMIF('Team Lineups'!C:C,A33,'Team Lineups'!H:H)</f>
        <v>27</v>
      </c>
      <c r="M33">
        <f t="shared" si="7"/>
        <v>3.375</v>
      </c>
      <c r="N33">
        <f>SUMIF('Team Lineups'!C:C,A33,'Team Lineups'!I:I)</f>
        <v>10</v>
      </c>
      <c r="O33">
        <f>COUNTIF(Matches!G:G,A33)</f>
        <v>1</v>
      </c>
      <c r="P33">
        <f t="shared" si="8"/>
        <v>0.125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3</v>
      </c>
      <c r="D34">
        <f>SUMIF('Team Lineups'!C:C,A34,'Team Lineups'!E:E)</f>
        <v>18</v>
      </c>
      <c r="E34">
        <f>SUMIF('Team Lineups'!C:C,A34,'Team Lineups'!F:F)</f>
        <v>16</v>
      </c>
      <c r="F34">
        <f t="shared" si="5"/>
        <v>2</v>
      </c>
      <c r="G34">
        <f>COUNTIFS('Team Lineups'!C:C,A34,'Team Lineups'!G:G,"Win")</f>
        <v>2</v>
      </c>
      <c r="H34">
        <f>COUNTIFS('Team Lineups'!C:C,A34,'Team Lineups'!G:G,"Draw")</f>
        <v>0</v>
      </c>
      <c r="I34">
        <f>COUNTIFS('Team Lineups'!C:C,A34,'Team Lineups'!G:G,"Loss")</f>
        <v>1</v>
      </c>
      <c r="J34" s="3">
        <f t="shared" si="6"/>
        <v>0.66666666666666663</v>
      </c>
      <c r="K34" s="3">
        <f t="shared" si="4"/>
        <v>0.33333333333333331</v>
      </c>
      <c r="L34">
        <f>SUMIF('Team Lineups'!C:C,A34,'Team Lineups'!H:H)</f>
        <v>3</v>
      </c>
      <c r="M34">
        <f t="shared" si="7"/>
        <v>1</v>
      </c>
      <c r="N34">
        <f>SUMIF('Team Lineups'!C:C,A34,'Team Lineups'!I:I)</f>
        <v>2</v>
      </c>
      <c r="O34">
        <f>COUNTIF(Matches!G:G,A34)</f>
        <v>1</v>
      </c>
      <c r="P34">
        <f t="shared" si="8"/>
        <v>0.33333333333333331</v>
      </c>
      <c r="Q34">
        <f>SUMIF('Team Lineups'!C:C,A34,'Team Lineups'!J:J)</f>
        <v>0</v>
      </c>
    </row>
    <row r="35" spans="1:17" x14ac:dyDescent="0.35">
      <c r="A35" t="s">
        <v>78</v>
      </c>
      <c r="C35">
        <f>COUNTIF('Team Lineups'!C:C,A35)</f>
        <v>2</v>
      </c>
      <c r="D35">
        <f>SUMIF('Team Lineups'!C:C,A35,'Team Lineups'!E:E)</f>
        <v>11</v>
      </c>
      <c r="E35">
        <f>SUMIF('Team Lineups'!C:C,A35,'Team Lineups'!F:F)</f>
        <v>14</v>
      </c>
      <c r="F35">
        <f t="shared" ref="F35" si="9">D35-E35</f>
        <v>-3</v>
      </c>
      <c r="G35">
        <f>COUNTIFS('Team Lineups'!C:C,A35,'Team Lineups'!G:G,"Win")</f>
        <v>0</v>
      </c>
      <c r="H35">
        <f>COUNTIFS('Team Lineups'!C:C,A35,'Team Lineups'!G:G,"Draw")</f>
        <v>0</v>
      </c>
      <c r="I35">
        <f>COUNTIFS('Team Lineups'!C:C,A35,'Team Lineups'!G:G,"Loss")</f>
        <v>2</v>
      </c>
      <c r="J35" s="3">
        <f t="shared" ref="J35" si="10">G35/C35</f>
        <v>0</v>
      </c>
      <c r="K35" s="3">
        <f t="shared" si="4"/>
        <v>1</v>
      </c>
      <c r="L35">
        <f>SUMIF('Team Lineups'!C:C,A35,'Team Lineups'!H:H)</f>
        <v>0</v>
      </c>
      <c r="M35">
        <f t="shared" ref="M35" si="11">L35/C35</f>
        <v>0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79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33"/>
  <sheetViews>
    <sheetView workbookViewId="0">
      <selection activeCell="AE33" sqref="AE33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33">_xlfn.UNIQUE('Team Lineups'!C2:C500)</f>
        <v>Gioele</v>
      </c>
      <c r="B2" t="s">
        <v>77</v>
      </c>
      <c r="C2" cm="1">
        <f t="array" ref="C2">SUMPRODUCT(('Team Lineups'!$K$2:$K$2000&lt;&gt;"")*('Team Lineups'!$C$2:$C$2000=$A2)*COUNTIFS('Team Lineups'!$K$2:$K$2000,'Team Lineups'!$K$2:$K$2000,'Team Lineups'!$C$2:$C$2000,C$1))</f>
        <v>5</v>
      </c>
      <c r="D2" cm="1">
        <f t="array" ref="D2">SUMPRODUCT(('Team Lineups'!$K$2:$K$2000&lt;&gt;"")*('Team Lineups'!$C$2:$C$2000=$A2)*COUNTIFS('Team Lineups'!$K$2:$K$2000,'Team Lineups'!$K$2:$K$2000,'Team Lineups'!$C$2:$C$2000,D$1))</f>
        <v>3</v>
      </c>
      <c r="E2" cm="1">
        <f t="array" ref="E2">SUMPRODUCT(('Team Lineups'!$K$2:$K$2000&lt;&gt;"")*('Team Lineups'!$C$2:$C$2000=$A2)*COUNTIFS('Team Lineups'!$K$2:$K$2000,'Team Lineups'!$K$2:$K$2000,'Team Lineups'!$C$2:$C$2000,E$1))</f>
        <v>4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3</v>
      </c>
      <c r="H2" cm="1">
        <f t="array" ref="H2">SUMPRODUCT(('Team Lineups'!$K$2:$K$2000&lt;&gt;"")*('Team Lineups'!$C$2:$C$2000=$A2)*COUNTIFS('Team Lineups'!$K$2:$K$2000,'Team Lineups'!$K$2:$K$2000,'Team Lineups'!$C$2:$C$2000,H$1))</f>
        <v>3</v>
      </c>
      <c r="I2" cm="1">
        <f t="array" ref="I2">SUMPRODUCT(('Team Lineups'!$K$2:$K$2000&lt;&gt;"")*('Team Lineups'!$C$2:$C$2000=$A2)*COUNTIFS('Team Lineups'!$K$2:$K$2000,'Team Lineups'!$K$2:$K$2000,'Team Lineups'!$C$2:$C$2000,I$1))</f>
        <v>4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2</v>
      </c>
      <c r="M2" cm="1">
        <f t="array" ref="M2">SUMPRODUCT(('Team Lineups'!$K$2:$K$2000&lt;&gt;"")*('Team Lineups'!$C$2:$C$2000=$A2)*COUNTIFS('Team Lineups'!$K$2:$K$2000,'Team Lineups'!$K$2:$K$2000,'Team Lineups'!$C$2:$C$2000,M$1))</f>
        <v>4</v>
      </c>
      <c r="N2" cm="1">
        <f t="array" ref="N2">SUMPRODUCT(('Team Lineups'!$K$2:$K$2000&lt;&gt;"")*('Team Lineups'!$C$2:$C$2000=$A2)*COUNTIFS('Team Lineups'!$K$2:$K$2000,'Team Lineups'!$K$2:$K$2000,'Team Lineups'!$C$2:$C$2000,N$1))</f>
        <v>4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3</v>
      </c>
      <c r="R2" cm="1">
        <f t="array" ref="R2">SUMPRODUCT(('Team Lineups'!$K$2:$K$2000&lt;&gt;"")*('Team Lineups'!$C$2:$C$2000=$A2)*COUNTIFS('Team Lineups'!$K$2:$K$2000,'Team Lineups'!$K$2:$K$2000,'Team Lineups'!$C$2:$C$2000,R$1))</f>
        <v>0</v>
      </c>
      <c r="S2" cm="1">
        <f t="array" ref="S2">SUMPRODUCT(('Team Lineups'!$K$2:$K$2000&lt;&gt;"")*('Team Lineups'!$C$2:$C$2000=$A2)*COUNTIFS('Team Lineups'!$K$2:$K$2000,'Team Lineups'!$K$2:$K$2000,'Team Lineups'!$C$2:$C$2000,S$1))</f>
        <v>1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1</v>
      </c>
      <c r="AA2" cm="1">
        <f t="array" ref="AA2">SUMPRODUCT(('Team Lineups'!$K$2:$K$2000&lt;&gt;"")*('Team Lineups'!$C$2:$C$2000=$A2)*COUNTIFS('Team Lineups'!$K$2:$K$2000,'Team Lineups'!$K$2:$K$2000,'Team Lineups'!$C$2:$C$2000,AA$1))</f>
        <v>2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2</v>
      </c>
      <c r="AE2" cm="1">
        <f t="array" ref="AE2">SUMPRODUCT(('Team Lineups'!$K$2:$K$2000&lt;&gt;"")*('Team Lineups'!$C$2:$C$2000=$A2)*COUNTIFS('Team Lineups'!$K$2:$K$2000,'Team Lineups'!$K$2:$K$2000,'Team Lineups'!$C$2:$C$2000,AE$1))</f>
        <v>1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5</v>
      </c>
      <c r="C3" t="s">
        <v>77</v>
      </c>
      <c r="D3" cm="1">
        <f t="array" ref="D3">SUMPRODUCT(('Team Lineups'!$K$2:$K$2000&lt;&gt;"")*('Team Lineups'!$C$2:$C$2000=$A3)*COUNTIFS('Team Lineups'!$K$2:$K$2000,'Team Lineups'!$K$2:$K$2000,'Team Lineups'!$C$2:$C$2000,D$1))</f>
        <v>4</v>
      </c>
      <c r="E3" cm="1">
        <f t="array" ref="E3">SUMPRODUCT(('Team Lineups'!$K$2:$K$2000&lt;&gt;"")*('Team Lineups'!$C$2:$C$2000=$A3)*COUNTIFS('Team Lineups'!$K$2:$K$2000,'Team Lineups'!$K$2:$K$2000,'Team Lineups'!$C$2:$C$2000,E$1))</f>
        <v>5</v>
      </c>
      <c r="F3" cm="1">
        <f t="array" ref="F3">SUMPRODUCT(('Team Lineups'!$K$2:$K$2000&lt;&gt;"")*('Team Lineups'!$C$2:$C$2000=$A3)*COUNTIFS('Team Lineups'!$K$2:$K$2000,'Team Lineups'!$K$2:$K$2000,'Team Lineups'!$C$2:$C$2000,F$1))</f>
        <v>2</v>
      </c>
      <c r="G3" cm="1">
        <f t="array" ref="G3">SUMPRODUCT(('Team Lineups'!$K$2:$K$2000&lt;&gt;"")*('Team Lineups'!$C$2:$C$2000=$A3)*COUNTIFS('Team Lineups'!$K$2:$K$2000,'Team Lineups'!$K$2:$K$2000,'Team Lineups'!$C$2:$C$2000,G$1))</f>
        <v>3</v>
      </c>
      <c r="H3" cm="1">
        <f t="array" ref="H3">SUMPRODUCT(('Team Lineups'!$K$2:$K$2000&lt;&gt;"")*('Team Lineups'!$C$2:$C$2000=$A3)*COUNTIFS('Team Lineups'!$K$2:$K$2000,'Team Lineups'!$K$2:$K$2000,'Team Lineups'!$C$2:$C$2000,H$1))</f>
        <v>2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1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2</v>
      </c>
      <c r="R3" cm="1">
        <f t="array" ref="R3">SUMPRODUCT(('Team Lineups'!$K$2:$K$2000&lt;&gt;"")*('Team Lineups'!$C$2:$C$2000=$A3)*COUNTIFS('Team Lineups'!$K$2:$K$2000,'Team Lineups'!$K$2:$K$2000,'Team Lineups'!$C$2:$C$2000,R$1))</f>
        <v>0</v>
      </c>
      <c r="S3" cm="1">
        <f t="array" ref="S3">SUMPRODUCT(('Team Lineups'!$K$2:$K$2000&lt;&gt;"")*('Team Lineups'!$C$2:$C$2000=$A3)*COUNTIFS('Team Lineups'!$K$2:$K$2000,'Team Lineups'!$K$2:$K$2000,'Team Lineups'!$C$2:$C$2000,S$1))</f>
        <v>0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3</v>
      </c>
      <c r="AB3" cm="1">
        <f t="array" ref="AB3">SUMPRODUCT(('Team Lineups'!$K$2:$K$2000&lt;&gt;"")*('Team Lineups'!$C$2:$C$2000=$A3)*COUNTIFS('Team Lineups'!$K$2:$K$2000,'Team Lineups'!$K$2:$K$2000,'Team Lineups'!$C$2:$C$2000,AB$1))</f>
        <v>2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3</v>
      </c>
      <c r="C4" cm="1">
        <f t="array" ref="C4">SUMPRODUCT(('Team Lineups'!$K$2:$K$2000&lt;&gt;"")*('Team Lineups'!$C$2:$C$2000=$A4)*COUNTIFS('Team Lineups'!$K$2:$K$2000,'Team Lineups'!$K$2:$K$2000,'Team Lineups'!$C$2:$C$2000,C$1))</f>
        <v>4</v>
      </c>
      <c r="D4" t="s">
        <v>77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6</v>
      </c>
      <c r="G4" cm="1">
        <f t="array" ref="G4">SUMPRODUCT(('Team Lineups'!$K$2:$K$2000&lt;&gt;"")*('Team Lineups'!$C$2:$C$2000=$A4)*COUNTIFS('Team Lineups'!$K$2:$K$2000,'Team Lineups'!$K$2:$K$2000,'Team Lineups'!$C$2:$C$2000,G$1))</f>
        <v>1</v>
      </c>
      <c r="H4" cm="1">
        <f t="array" ref="H4">SUMPRODUCT(('Team Lineups'!$K$2:$K$2000&lt;&gt;"")*('Team Lineups'!$C$2:$C$2000=$A4)*COUNTIFS('Team Lineups'!$K$2:$K$2000,'Team Lineups'!$K$2:$K$2000,'Team Lineups'!$C$2:$C$2000,H$1))</f>
        <v>3</v>
      </c>
      <c r="I4" cm="1">
        <f t="array" ref="I4">SUMPRODUCT(('Team Lineups'!$K$2:$K$2000&lt;&gt;"")*('Team Lineups'!$C$2:$C$2000=$A4)*COUNTIFS('Team Lineups'!$K$2:$K$2000,'Team Lineups'!$K$2:$K$2000,'Team Lineups'!$C$2:$C$2000,I$1))</f>
        <v>4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6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5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3</v>
      </c>
      <c r="R4" cm="1">
        <f t="array" ref="R4">SUMPRODUCT(('Team Lineups'!$K$2:$K$2000&lt;&gt;"")*('Team Lineups'!$C$2:$C$2000=$A4)*COUNTIFS('Team Lineups'!$K$2:$K$2000,'Team Lineups'!$K$2:$K$2000,'Team Lineups'!$C$2:$C$2000,R$1))</f>
        <v>2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0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1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4</v>
      </c>
      <c r="C5" cm="1">
        <f t="array" ref="C5">SUMPRODUCT(('Team Lineups'!$K$2:$K$2000&lt;&gt;"")*('Team Lineups'!$C$2:$C$2000=$A5)*COUNTIFS('Team Lineups'!$K$2:$K$2000,'Team Lineups'!$K$2:$K$2000,'Team Lineups'!$C$2:$C$2000,C$1))</f>
        <v>5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t="s">
        <v>77</v>
      </c>
      <c r="F5" cm="1">
        <f t="array" ref="F5">SUMPRODUCT(('Team Lineups'!$K$2:$K$2000&lt;&gt;"")*('Team Lineups'!$C$2:$C$2000=$A5)*COUNTIFS('Team Lineups'!$K$2:$K$2000,'Team Lineups'!$K$2:$K$2000,'Team Lineups'!$C$2:$C$2000,F$1))</f>
        <v>5</v>
      </c>
      <c r="G5" cm="1">
        <f t="array" ref="G5">SUMPRODUCT(('Team Lineups'!$K$2:$K$2000&lt;&gt;"")*('Team Lineups'!$C$2:$C$2000=$A5)*COUNTIFS('Team Lineups'!$K$2:$K$2000,'Team Lineups'!$K$2:$K$2000,'Team Lineups'!$C$2:$C$2000,G$1))</f>
        <v>3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2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2</v>
      </c>
      <c r="N5" cm="1">
        <f t="array" ref="N5">SUMPRODUCT(('Team Lineups'!$K$2:$K$2000&lt;&gt;"")*('Team Lineups'!$C$2:$C$2000=$A5)*COUNTIFS('Team Lineups'!$K$2:$K$2000,'Team Lineups'!$K$2:$K$2000,'Team Lineups'!$C$2:$C$2000,N$1))</f>
        <v>3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2</v>
      </c>
      <c r="R5" cm="1">
        <f t="array" ref="R5">SUMPRODUCT(('Team Lineups'!$K$2:$K$2000&lt;&gt;"")*('Team Lineups'!$C$2:$C$2000=$A5)*COUNTIFS('Team Lineups'!$K$2:$K$2000,'Team Lineups'!$K$2:$K$2000,'Team Lineups'!$C$2:$C$2000,R$1))</f>
        <v>1</v>
      </c>
      <c r="S5" cm="1">
        <f t="array" ref="S5">SUMPRODUCT(('Team Lineups'!$K$2:$K$2000&lt;&gt;"")*('Team Lineups'!$C$2:$C$2000=$A5)*COUNTIFS('Team Lineups'!$K$2:$K$2000,'Team Lineups'!$K$2:$K$2000,'Team Lineups'!$C$2:$C$2000,S$1))</f>
        <v>1</v>
      </c>
      <c r="T5" cm="1">
        <f t="array" ref="T5">SUMPRODUCT(('Team Lineups'!$K$2:$K$2000&lt;&gt;"")*('Team Lineups'!$C$2:$C$2000=$A5)*COUNTIFS('Team Lineups'!$K$2:$K$2000,'Team Lineups'!$K$2:$K$2000,'Team Lineups'!$C$2:$C$2000,T$1))</f>
        <v>0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0</v>
      </c>
      <c r="AA5" cm="1">
        <f t="array" ref="AA5">SUMPRODUCT(('Team Lineups'!$K$2:$K$2000&lt;&gt;"")*('Team Lineups'!$C$2:$C$2000=$A5)*COUNTIFS('Team Lineups'!$K$2:$K$2000,'Team Lineups'!$K$2:$K$2000,'Team Lineups'!$C$2:$C$2000,AA$1))</f>
        <v>6</v>
      </c>
      <c r="AB5" cm="1">
        <f t="array" ref="AB5">SUMPRODUCT(('Team Lineups'!$K$2:$K$2000&lt;&gt;"")*('Team Lineups'!$C$2:$C$2000=$A5)*COUNTIFS('Team Lineups'!$K$2:$K$2000,'Team Lineups'!$K$2:$K$2000,'Team Lineups'!$C$2:$C$2000,AB$1))</f>
        <v>1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0</v>
      </c>
      <c r="AE5" cm="1">
        <f t="array" ref="AE5">SUMPRODUCT(('Team Lineups'!$K$2:$K$2000&lt;&gt;"")*('Team Lineups'!$C$2:$C$2000=$A5)*COUNTIFS('Team Lineups'!$K$2:$K$2000,'Team Lineups'!$K$2:$K$2000,'Team Lineups'!$C$2:$C$2000,AE$1))</f>
        <v>1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2</v>
      </c>
      <c r="D6" cm="1">
        <f t="array" ref="D6">SUMPRODUCT(('Team Lineups'!$K$2:$K$2000&lt;&gt;"")*('Team Lineups'!$C$2:$C$2000=$A6)*COUNTIFS('Team Lineups'!$K$2:$K$2000,'Team Lineups'!$K$2:$K$2000,'Team Lineups'!$C$2:$C$2000,D$1))</f>
        <v>6</v>
      </c>
      <c r="E6" cm="1">
        <f t="array" ref="E6">SUMPRODUCT(('Team Lineups'!$K$2:$K$2000&lt;&gt;"")*('Team Lineups'!$C$2:$C$2000=$A6)*COUNTIFS('Team Lineups'!$K$2:$K$2000,'Team Lineups'!$K$2:$K$2000,'Team Lineups'!$C$2:$C$2000,E$1))</f>
        <v>5</v>
      </c>
      <c r="F6" t="s">
        <v>77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2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5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3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3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3</v>
      </c>
      <c r="C7" cm="1">
        <f t="array" ref="C7">SUMPRODUCT(('Team Lineups'!$K$2:$K$2000&lt;&gt;"")*('Team Lineups'!$C$2:$C$2000=$A7)*COUNTIFS('Team Lineups'!$K$2:$K$2000,'Team Lineups'!$K$2:$K$2000,'Team Lineups'!$C$2:$C$2000,C$1))</f>
        <v>3</v>
      </c>
      <c r="D7" cm="1">
        <f t="array" ref="D7">SUMPRODUCT(('Team Lineups'!$K$2:$K$2000&lt;&gt;"")*('Team Lineups'!$C$2:$C$2000=$A7)*COUNTIFS('Team Lineups'!$K$2:$K$2000,'Team Lineups'!$K$2:$K$2000,'Team Lineups'!$C$2:$C$2000,D$1))</f>
        <v>1</v>
      </c>
      <c r="E7" cm="1">
        <f t="array" ref="E7">SUMPRODUCT(('Team Lineups'!$K$2:$K$2000&lt;&gt;"")*('Team Lineups'!$C$2:$C$2000=$A7)*COUNTIFS('Team Lineups'!$K$2:$K$2000,'Team Lineups'!$K$2:$K$2000,'Team Lineups'!$C$2:$C$2000,E$1))</f>
        <v>3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t="s">
        <v>77</v>
      </c>
      <c r="H7" cm="1">
        <f t="array" ref="H7">SUMPRODUCT(('Team Lineups'!$K$2:$K$2000&lt;&gt;"")*('Team Lineups'!$C$2:$C$2000=$A7)*COUNTIFS('Team Lineups'!$K$2:$K$2000,'Team Lineups'!$K$2:$K$2000,'Team Lineups'!$C$2:$C$2000,H$1))</f>
        <v>4</v>
      </c>
      <c r="I7" cm="1">
        <f t="array" ref="I7">SUMPRODUCT(('Team Lineups'!$K$2:$K$2000&lt;&gt;"")*('Team Lineups'!$C$2:$C$2000=$A7)*COUNTIFS('Team Lineups'!$K$2:$K$2000,'Team Lineups'!$K$2:$K$2000,'Team Lineups'!$C$2:$C$2000,I$1))</f>
        <v>6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7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0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2</v>
      </c>
      <c r="R7" cm="1">
        <f t="array" ref="R7">SUMPRODUCT(('Team Lineups'!$K$2:$K$2000&lt;&gt;"")*('Team Lineups'!$C$2:$C$2000=$A7)*COUNTIFS('Team Lineups'!$K$2:$K$2000,'Team Lineups'!$K$2:$K$2000,'Team Lineups'!$C$2:$C$2000,R$1))</f>
        <v>2</v>
      </c>
      <c r="S7" cm="1">
        <f t="array" ref="S7">SUMPRODUCT(('Team Lineups'!$K$2:$K$2000&lt;&gt;"")*('Team Lineups'!$C$2:$C$2000=$A7)*COUNTIFS('Team Lineups'!$K$2:$K$2000,'Team Lineups'!$K$2:$K$2000,'Team Lineups'!$C$2:$C$2000,S$1))</f>
        <v>3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2</v>
      </c>
      <c r="AA7" cm="1">
        <f t="array" ref="AA7">SUMPRODUCT(('Team Lineups'!$K$2:$K$2000&lt;&gt;"")*('Team Lineups'!$C$2:$C$2000=$A7)*COUNTIFS('Team Lineups'!$K$2:$K$2000,'Team Lineups'!$K$2:$K$2000,'Team Lineups'!$C$2:$C$2000,AA$1))</f>
        <v>4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2</v>
      </c>
      <c r="AE7" cm="1">
        <f t="array" ref="AE7">SUMPRODUCT(('Team Lineups'!$K$2:$K$2000&lt;&gt;"")*('Team Lineups'!$C$2:$C$2000=$A7)*COUNTIFS('Team Lineups'!$K$2:$K$2000,'Team Lineups'!$K$2:$K$2000,'Team Lineups'!$C$2:$C$2000,AE$1))</f>
        <v>0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3</v>
      </c>
      <c r="C8" cm="1">
        <f t="array" ref="C8">SUMPRODUCT(('Team Lineups'!$K$2:$K$2000&lt;&gt;"")*('Team Lineups'!$C$2:$C$2000=$A8)*COUNTIFS('Team Lineups'!$K$2:$K$2000,'Team Lineups'!$K$2:$K$2000,'Team Lineups'!$C$2:$C$2000,C$1))</f>
        <v>2</v>
      </c>
      <c r="D8" cm="1">
        <f t="array" ref="D8">SUMPRODUCT(('Team Lineups'!$K$2:$K$2000&lt;&gt;"")*('Team Lineups'!$C$2:$C$2000=$A8)*COUNTIFS('Team Lineups'!$K$2:$K$2000,'Team Lineups'!$K$2:$K$2000,'Team Lineups'!$C$2:$C$2000,D$1))</f>
        <v>3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2</v>
      </c>
      <c r="G8" cm="1">
        <f t="array" ref="G8">SUMPRODUCT(('Team Lineups'!$K$2:$K$2000&lt;&gt;"")*('Team Lineups'!$C$2:$C$2000=$A8)*COUNTIFS('Team Lineups'!$K$2:$K$2000,'Team Lineups'!$K$2:$K$2000,'Team Lineups'!$C$2:$C$2000,G$1))</f>
        <v>4</v>
      </c>
      <c r="H8" t="s">
        <v>77</v>
      </c>
      <c r="I8" cm="1">
        <f t="array" ref="I8">SUMPRODUCT(('Team Lineups'!$K$2:$K$2000&lt;&gt;"")*('Team Lineups'!$C$2:$C$2000=$A8)*COUNTIFS('Team Lineups'!$K$2:$K$2000,'Team Lineups'!$K$2:$K$2000,'Team Lineups'!$C$2:$C$2000,I$1))</f>
        <v>6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1</v>
      </c>
      <c r="M8" cm="1">
        <f t="array" ref="M8">SUMPRODUCT(('Team Lineups'!$K$2:$K$2000&lt;&gt;"")*('Team Lineups'!$C$2:$C$2000=$A8)*COUNTIFS('Team Lineups'!$K$2:$K$2000,'Team Lineups'!$K$2:$K$2000,'Team Lineups'!$C$2:$C$2000,M$1))</f>
        <v>4</v>
      </c>
      <c r="N8" cm="1">
        <f t="array" ref="N8">SUMPRODUCT(('Team Lineups'!$K$2:$K$2000&lt;&gt;"")*('Team Lineups'!$C$2:$C$2000=$A8)*COUNTIFS('Team Lineups'!$K$2:$K$2000,'Team Lineups'!$K$2:$K$2000,'Team Lineups'!$C$2:$C$2000,N$1))</f>
        <v>3</v>
      </c>
      <c r="O8" cm="1">
        <f t="array" ref="O8">SUMPRODUCT(('Team Lineups'!$K$2:$K$2000&lt;&gt;"")*('Team Lineups'!$C$2:$C$2000=$A8)*COUNTIFS('Team Lineups'!$K$2:$K$2000,'Team Lineups'!$K$2:$K$2000,'Team Lineups'!$C$2:$C$2000,O$1))</f>
        <v>4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5</v>
      </c>
      <c r="R8" cm="1">
        <f t="array" ref="R8">SUMPRODUCT(('Team Lineups'!$K$2:$K$2000&lt;&gt;"")*('Team Lineups'!$C$2:$C$2000=$A8)*COUNTIFS('Team Lineups'!$K$2:$K$2000,'Team Lineups'!$K$2:$K$2000,'Team Lineups'!$C$2:$C$2000,R$1))</f>
        <v>3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1</v>
      </c>
      <c r="AB8" cm="1">
        <f t="array" ref="AB8">SUMPRODUCT(('Team Lineups'!$K$2:$K$2000&lt;&gt;"")*('Team Lineups'!$C$2:$C$2000=$A8)*COUNTIFS('Team Lineups'!$K$2:$K$2000,'Team Lineups'!$K$2:$K$2000,'Team Lineups'!$C$2:$C$2000,AB$1))</f>
        <v>3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2</v>
      </c>
      <c r="AE8" cm="1">
        <f t="array" ref="AE8">SUMPRODUCT(('Team Lineups'!$K$2:$K$2000&lt;&gt;"")*('Team Lineups'!$C$2:$C$2000=$A8)*COUNTIFS('Team Lineups'!$K$2:$K$2000,'Team Lineups'!$K$2:$K$2000,'Team Lineups'!$C$2:$C$2000,AE$1))</f>
        <v>1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4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4</v>
      </c>
      <c r="E9" cm="1">
        <f t="array" ref="E9">SUMPRODUCT(('Team Lineups'!$K$2:$K$2000&lt;&gt;"")*('Team Lineups'!$C$2:$C$2000=$A9)*COUNTIFS('Team Lineups'!$K$2:$K$2000,'Team Lineups'!$K$2:$K$2000,'Team Lineups'!$C$2:$C$2000,E$1))</f>
        <v>2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6</v>
      </c>
      <c r="H9" cm="1">
        <f t="array" ref="H9">SUMPRODUCT(('Team Lineups'!$K$2:$K$2000&lt;&gt;"")*('Team Lineups'!$C$2:$C$2000=$A9)*COUNTIFS('Team Lineups'!$K$2:$K$2000,'Team Lineups'!$K$2:$K$2000,'Team Lineups'!$C$2:$C$2000,H$1))</f>
        <v>6</v>
      </c>
      <c r="I9" t="s">
        <v>77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4</v>
      </c>
      <c r="M9" cm="1">
        <f t="array" ref="M9">SUMPRODUCT(('Team Lineups'!$K$2:$K$2000&lt;&gt;"")*('Team Lineups'!$C$2:$C$2000=$A9)*COUNTIFS('Team Lineups'!$K$2:$K$2000,'Team Lineups'!$K$2:$K$2000,'Team Lineups'!$C$2:$C$2000,M$1))</f>
        <v>5</v>
      </c>
      <c r="N9" cm="1">
        <f t="array" ref="N9">SUMPRODUCT(('Team Lineups'!$K$2:$K$2000&lt;&gt;"")*('Team Lineups'!$C$2:$C$2000=$A9)*COUNTIFS('Team Lineups'!$K$2:$K$2000,'Team Lineups'!$K$2:$K$2000,'Team Lineups'!$C$2:$C$2000,N$1))</f>
        <v>3</v>
      </c>
      <c r="O9" cm="1">
        <f t="array" ref="O9">SUMPRODUCT(('Team Lineups'!$K$2:$K$2000&lt;&gt;"")*('Team Lineups'!$C$2:$C$2000=$A9)*COUNTIFS('Team Lineups'!$K$2:$K$2000,'Team Lineups'!$K$2:$K$2000,'Team Lineups'!$C$2:$C$2000,O$1))</f>
        <v>2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4</v>
      </c>
      <c r="R9" cm="1">
        <f t="array" ref="R9">SUMPRODUCT(('Team Lineups'!$K$2:$K$2000&lt;&gt;"")*('Team Lineups'!$C$2:$C$2000=$A9)*COUNTIFS('Team Lineups'!$K$2:$K$2000,'Team Lineups'!$K$2:$K$2000,'Team Lineups'!$C$2:$C$2000,R$1))</f>
        <v>3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1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3</v>
      </c>
      <c r="AA9" cm="1">
        <f t="array" ref="AA9">SUMPRODUCT(('Team Lineups'!$K$2:$K$2000&lt;&gt;"")*('Team Lineups'!$C$2:$C$2000=$A9)*COUNTIFS('Team Lineups'!$K$2:$K$2000,'Team Lineups'!$K$2:$K$2000,'Team Lineups'!$C$2:$C$2000,AA$1))</f>
        <v>3</v>
      </c>
      <c r="AB9" cm="1">
        <f t="array" ref="AB9">SUMPRODUCT(('Team Lineups'!$K$2:$K$2000&lt;&gt;"")*('Team Lineups'!$C$2:$C$2000=$A9)*COUNTIFS('Team Lineups'!$K$2:$K$2000,'Team Lineups'!$K$2:$K$2000,'Team Lineups'!$C$2:$C$2000,AB$1))</f>
        <v>1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2</v>
      </c>
      <c r="AE9" cm="1">
        <f t="array" ref="AE9">SUMPRODUCT(('Team Lineups'!$K$2:$K$2000&lt;&gt;"")*('Team Lineups'!$C$2:$C$2000=$A9)*COUNTIFS('Team Lineups'!$K$2:$K$2000,'Team Lineups'!$K$2:$K$2000,'Team Lineups'!$C$2:$C$2000,AE$1))</f>
        <v>0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t="s">
        <v>77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t="s">
        <v>77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2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6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5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1</v>
      </c>
      <c r="I12" cm="1">
        <f t="array" ref="I12">SUMPRODUCT(('Team Lineups'!$K$2:$K$2000&lt;&gt;"")*('Team Lineups'!$C$2:$C$2000=$A12)*COUNTIFS('Team Lineups'!$K$2:$K$2000,'Team Lineups'!$K$2:$K$2000,'Team Lineups'!$C$2:$C$2000,I$1))</f>
        <v>4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t="s">
        <v>77</v>
      </c>
      <c r="M12" cm="1">
        <f t="array" ref="M12">SUMPRODUCT(('Team Lineups'!$K$2:$K$2000&lt;&gt;"")*('Team Lineups'!$C$2:$C$2000=$A12)*COUNTIFS('Team Lineups'!$K$2:$K$2000,'Team Lineups'!$K$2:$K$2000,'Team Lineups'!$C$2:$C$2000,M$1))</f>
        <v>4</v>
      </c>
      <c r="N12" cm="1">
        <f t="array" ref="N12">SUMPRODUCT(('Team Lineups'!$K$2:$K$2000&lt;&gt;"")*('Team Lineups'!$C$2:$C$2000=$A12)*COUNTIFS('Team Lineups'!$K$2:$K$2000,'Team Lineups'!$K$2:$K$2000,'Team Lineups'!$C$2:$C$2000,N$1))</f>
        <v>4</v>
      </c>
      <c r="O12" cm="1">
        <f t="array" ref="O12">SUMPRODUCT(('Team Lineups'!$K$2:$K$2000&lt;&gt;"")*('Team Lineups'!$C$2:$C$2000=$A12)*COUNTIFS('Team Lineups'!$K$2:$K$2000,'Team Lineups'!$K$2:$K$2000,'Team Lineups'!$C$2:$C$2000,O$1))</f>
        <v>2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2</v>
      </c>
      <c r="S12" cm="1">
        <f t="array" ref="S12">SUMPRODUCT(('Team Lineups'!$K$2:$K$2000&lt;&gt;"")*('Team Lineups'!$C$2:$C$2000=$A12)*COUNTIFS('Team Lineups'!$K$2:$K$2000,'Team Lineups'!$K$2:$K$2000,'Team Lineups'!$C$2:$C$2000,S$1))</f>
        <v>4</v>
      </c>
      <c r="T12" cm="1">
        <f t="array" ref="T12">SUMPRODUCT(('Team Lineups'!$K$2:$K$2000&lt;&gt;"")*('Team Lineups'!$C$2:$C$2000=$A12)*COUNTIFS('Team Lineups'!$K$2:$K$2000,'Team Lineups'!$K$2:$K$2000,'Team Lineups'!$C$2:$C$2000,T$1))</f>
        <v>1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3</v>
      </c>
      <c r="AB12" cm="1">
        <f t="array" ref="AB12">SUMPRODUCT(('Team Lineups'!$K$2:$K$2000&lt;&gt;"")*('Team Lineups'!$C$2:$C$2000=$A12)*COUNTIFS('Team Lineups'!$K$2:$K$2000,'Team Lineups'!$K$2:$K$2000,'Team Lineups'!$C$2:$C$2000,AB$1))</f>
        <v>2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1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4</v>
      </c>
      <c r="C13" cm="1">
        <f t="array" ref="C13">SUMPRODUCT(('Team Lineups'!$K$2:$K$2000&lt;&gt;"")*('Team Lineups'!$C$2:$C$2000=$A13)*COUNTIFS('Team Lineups'!$K$2:$K$2000,'Team Lineups'!$K$2:$K$2000,'Team Lineups'!$C$2:$C$2000,C$1))</f>
        <v>1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2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7</v>
      </c>
      <c r="H13" cm="1">
        <f t="array" ref="H13">SUMPRODUCT(('Team Lineups'!$K$2:$K$2000&lt;&gt;"")*('Team Lineups'!$C$2:$C$2000=$A13)*COUNTIFS('Team Lineups'!$K$2:$K$2000,'Team Lineups'!$K$2:$K$2000,'Team Lineups'!$C$2:$C$2000,H$1))</f>
        <v>4</v>
      </c>
      <c r="I13" cm="1">
        <f t="array" ref="I13">SUMPRODUCT(('Team Lineups'!$K$2:$K$2000&lt;&gt;"")*('Team Lineups'!$C$2:$C$2000=$A13)*COUNTIFS('Team Lineups'!$K$2:$K$2000,'Team Lineups'!$K$2:$K$2000,'Team Lineups'!$C$2:$C$2000,I$1))</f>
        <v>5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4</v>
      </c>
      <c r="M13" t="s">
        <v>77</v>
      </c>
      <c r="N13" cm="1">
        <f t="array" ref="N13">SUMPRODUCT(('Team Lineups'!$K$2:$K$2000&lt;&gt;"")*('Team Lineups'!$C$2:$C$2000=$A13)*COUNTIFS('Team Lineups'!$K$2:$K$2000,'Team Lineups'!$K$2:$K$2000,'Team Lineups'!$C$2:$C$2000,N$1))</f>
        <v>4</v>
      </c>
      <c r="O13" cm="1">
        <f t="array" ref="O13">SUMPRODUCT(('Team Lineups'!$K$2:$K$2000&lt;&gt;"")*('Team Lineups'!$C$2:$C$2000=$A13)*COUNTIFS('Team Lineups'!$K$2:$K$2000,'Team Lineups'!$K$2:$K$2000,'Team Lineups'!$C$2:$C$2000,O$1))</f>
        <v>2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3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3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4</v>
      </c>
      <c r="AA13" cm="1">
        <f t="array" ref="AA13">SUMPRODUCT(('Team Lineups'!$K$2:$K$2000&lt;&gt;"")*('Team Lineups'!$C$2:$C$2000=$A13)*COUNTIFS('Team Lineups'!$K$2:$K$2000,'Team Lineups'!$K$2:$K$2000,'Team Lineups'!$C$2:$C$2000,AA$1))</f>
        <v>3</v>
      </c>
      <c r="AB13" cm="1">
        <f t="array" ref="AB13">SUMPRODUCT(('Team Lineups'!$K$2:$K$2000&lt;&gt;"")*('Team Lineups'!$C$2:$C$2000=$A13)*COUNTIFS('Team Lineups'!$K$2:$K$2000,'Team Lineups'!$K$2:$K$2000,'Team Lineups'!$C$2:$C$2000,AB$1))</f>
        <v>1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2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4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5</v>
      </c>
      <c r="E14" cm="1">
        <f t="array" ref="E14">SUMPRODUCT(('Team Lineups'!$K$2:$K$2000&lt;&gt;"")*('Team Lineups'!$C$2:$C$2000=$A14)*COUNTIFS('Team Lineups'!$K$2:$K$2000,'Team Lineups'!$K$2:$K$2000,'Team Lineups'!$C$2:$C$2000,E$1))</f>
        <v>3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3</v>
      </c>
      <c r="I14" cm="1">
        <f t="array" ref="I14">SUMPRODUCT(('Team Lineups'!$K$2:$K$2000&lt;&gt;"")*('Team Lineups'!$C$2:$C$2000=$A14)*COUNTIFS('Team Lineups'!$K$2:$K$2000,'Team Lineups'!$K$2:$K$2000,'Team Lineups'!$C$2:$C$2000,I$1))</f>
        <v>3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4</v>
      </c>
      <c r="M14" cm="1">
        <f t="array" ref="M14">SUMPRODUCT(('Team Lineups'!$K$2:$K$2000&lt;&gt;"")*('Team Lineups'!$C$2:$C$2000=$A14)*COUNTIFS('Team Lineups'!$K$2:$K$2000,'Team Lineups'!$K$2:$K$2000,'Team Lineups'!$C$2:$C$2000,M$1))</f>
        <v>4</v>
      </c>
      <c r="N14" t="s">
        <v>77</v>
      </c>
      <c r="O14" cm="1">
        <f t="array" ref="O14">SUMPRODUCT(('Team Lineups'!$K$2:$K$2000&lt;&gt;"")*('Team Lineups'!$C$2:$C$2000=$A14)*COUNTIFS('Team Lineups'!$K$2:$K$2000,'Team Lineups'!$K$2:$K$2000,'Team Lineups'!$C$2:$C$2000,O$1))</f>
        <v>2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2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1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1</v>
      </c>
      <c r="AB14" cm="1">
        <f t="array" ref="AB14">SUMPRODUCT(('Team Lineups'!$K$2:$K$2000&lt;&gt;"")*('Team Lineups'!$C$2:$C$2000=$A14)*COUNTIFS('Team Lineups'!$K$2:$K$2000,'Team Lineups'!$K$2:$K$2000,'Team Lineups'!$C$2:$C$2000,AB$1))</f>
        <v>1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0</v>
      </c>
      <c r="H15" cm="1">
        <f t="array" ref="H15">SUMPRODUCT(('Team Lineups'!$K$2:$K$2000&lt;&gt;"")*('Team Lineups'!$C$2:$C$2000=$A15)*COUNTIFS('Team Lineups'!$K$2:$K$2000,'Team Lineups'!$K$2:$K$2000,'Team Lineups'!$C$2:$C$2000,H$1))</f>
        <v>4</v>
      </c>
      <c r="I15" cm="1">
        <f t="array" ref="I15">SUMPRODUCT(('Team Lineups'!$K$2:$K$2000&lt;&gt;"")*('Team Lineups'!$C$2:$C$2000=$A15)*COUNTIFS('Team Lineups'!$K$2:$K$2000,'Team Lineups'!$K$2:$K$2000,'Team Lineups'!$C$2:$C$2000,I$1))</f>
        <v>2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2</v>
      </c>
      <c r="M15" cm="1">
        <f t="array" ref="M15">SUMPRODUCT(('Team Lineups'!$K$2:$K$2000&lt;&gt;"")*('Team Lineups'!$C$2:$C$2000=$A15)*COUNTIFS('Team Lineups'!$K$2:$K$2000,'Team Lineups'!$K$2:$K$2000,'Team Lineups'!$C$2:$C$2000,M$1))</f>
        <v>2</v>
      </c>
      <c r="N15" cm="1">
        <f t="array" ref="N15">SUMPRODUCT(('Team Lineups'!$K$2:$K$2000&lt;&gt;"")*('Team Lineups'!$C$2:$C$2000=$A15)*COUNTIFS('Team Lineups'!$K$2:$K$2000,'Team Lineups'!$K$2:$K$2000,'Team Lineups'!$C$2:$C$2000,N$1))</f>
        <v>2</v>
      </c>
      <c r="O15" t="s">
        <v>77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4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1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1</v>
      </c>
      <c r="AB15" cm="1">
        <f t="array" ref="AB15">SUMPRODUCT(('Team Lineups'!$K$2:$K$2000&lt;&gt;"")*('Team Lineups'!$C$2:$C$2000=$A15)*COUNTIFS('Team Lineups'!$K$2:$K$2000,'Team Lineups'!$K$2:$K$2000,'Team Lineups'!$C$2:$C$2000,AB$1))</f>
        <v>1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1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t="s">
        <v>77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</row>
    <row r="17" spans="1:3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3</v>
      </c>
      <c r="C17" cm="1">
        <f t="array" ref="C17">SUMPRODUCT(('Team Lineups'!$K$2:$K$2000&lt;&gt;"")*('Team Lineups'!$C$2:$C$2000=$A17)*COUNTIFS('Team Lineups'!$K$2:$K$2000,'Team Lineups'!$K$2:$K$2000,'Team Lineups'!$C$2:$C$2000,C$1))</f>
        <v>2</v>
      </c>
      <c r="D17" cm="1">
        <f t="array" ref="D17">SUMPRODUCT(('Team Lineups'!$K$2:$K$2000&lt;&gt;"")*('Team Lineups'!$C$2:$C$2000=$A17)*COUNTIFS('Team Lineups'!$K$2:$K$2000,'Team Lineups'!$K$2:$K$2000,'Team Lineups'!$C$2:$C$2000,D$1))</f>
        <v>3</v>
      </c>
      <c r="E17" cm="1">
        <f t="array" ref="E17">SUMPRODUCT(('Team Lineups'!$K$2:$K$2000&lt;&gt;"")*('Team Lineups'!$C$2:$C$2000=$A17)*COUNTIFS('Team Lineups'!$K$2:$K$2000,'Team Lineups'!$K$2:$K$2000,'Team Lineups'!$C$2:$C$2000,E$1))</f>
        <v>2</v>
      </c>
      <c r="F17" cm="1">
        <f t="array" ref="F17">SUMPRODUCT(('Team Lineups'!$K$2:$K$2000&lt;&gt;"")*('Team Lineups'!$C$2:$C$2000=$A17)*COUNTIFS('Team Lineups'!$K$2:$K$2000,'Team Lineups'!$K$2:$K$2000,'Team Lineups'!$C$2:$C$2000,F$1))</f>
        <v>3</v>
      </c>
      <c r="G17" cm="1">
        <f t="array" ref="G17">SUMPRODUCT(('Team Lineups'!$K$2:$K$2000&lt;&gt;"")*('Team Lineups'!$C$2:$C$2000=$A17)*COUNTIFS('Team Lineups'!$K$2:$K$2000,'Team Lineups'!$K$2:$K$2000,'Team Lineups'!$C$2:$C$2000,G$1))</f>
        <v>2</v>
      </c>
      <c r="H17" cm="1">
        <f t="array" ref="H17">SUMPRODUCT(('Team Lineups'!$K$2:$K$2000&lt;&gt;"")*('Team Lineups'!$C$2:$C$2000=$A17)*COUNTIFS('Team Lineups'!$K$2:$K$2000,'Team Lineups'!$K$2:$K$2000,'Team Lineups'!$C$2:$C$2000,H$1))</f>
        <v>5</v>
      </c>
      <c r="I17" cm="1">
        <f t="array" ref="I17">SUMPRODUCT(('Team Lineups'!$K$2:$K$2000&lt;&gt;"")*('Team Lineups'!$C$2:$C$2000=$A17)*COUNTIFS('Team Lineups'!$K$2:$K$2000,'Team Lineups'!$K$2:$K$2000,'Team Lineups'!$C$2:$C$2000,I$1))</f>
        <v>4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3</v>
      </c>
      <c r="N17" cm="1">
        <f t="array" ref="N17">SUMPRODUCT(('Team Lineups'!$K$2:$K$2000&lt;&gt;"")*('Team Lineups'!$C$2:$C$2000=$A17)*COUNTIFS('Team Lineups'!$K$2:$K$2000,'Team Lineups'!$K$2:$K$2000,'Team Lineups'!$C$2:$C$2000,N$1))</f>
        <v>2</v>
      </c>
      <c r="O17" cm="1">
        <f t="array" ref="O17">SUMPRODUCT(('Team Lineups'!$K$2:$K$2000&lt;&gt;"")*('Team Lineups'!$C$2:$C$2000=$A17)*COUNTIFS('Team Lineups'!$K$2:$K$2000,'Team Lineups'!$K$2:$K$2000,'Team Lineups'!$C$2:$C$2000,O$1))</f>
        <v>4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t="s">
        <v>77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3</v>
      </c>
      <c r="T17" cm="1">
        <f t="array" ref="T17">SUMPRODUCT(('Team Lineups'!$K$2:$K$2000&lt;&gt;"")*('Team Lineups'!$C$2:$C$2000=$A17)*COUNTIFS('Team Lineups'!$K$2:$K$2000,'Team Lineups'!$K$2:$K$2000,'Team Lineups'!$C$2:$C$2000,T$1))</f>
        <v>1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1</v>
      </c>
      <c r="AA17" cm="1">
        <f t="array" ref="AA17">SUMPRODUCT(('Team Lineups'!$K$2:$K$2000&lt;&gt;"")*('Team Lineups'!$C$2:$C$2000=$A17)*COUNTIFS('Team Lineups'!$K$2:$K$2000,'Team Lineups'!$K$2:$K$2000,'Team Lineups'!$C$2:$C$2000,AA$1))</f>
        <v>2</v>
      </c>
      <c r="AB17" cm="1">
        <f t="array" ref="AB17">SUMPRODUCT(('Team Lineups'!$K$2:$K$2000&lt;&gt;"")*('Team Lineups'!$C$2:$C$2000=$A17)*COUNTIFS('Team Lineups'!$K$2:$K$2000,'Team Lineups'!$K$2:$K$2000,'Team Lineups'!$C$2:$C$2000,AB$1))</f>
        <v>0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0</v>
      </c>
      <c r="AE17" cm="1">
        <f t="array" ref="AE17">SUMPRODUCT(('Team Lineups'!$K$2:$K$2000&lt;&gt;"")*('Team Lineups'!$C$2:$C$2000=$A17)*COUNTIFS('Team Lineups'!$K$2:$K$2000,'Team Lineups'!$K$2:$K$2000,'Team Lineups'!$C$2:$C$2000,AE$1))</f>
        <v>2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</row>
    <row r="18" spans="1:3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0</v>
      </c>
      <c r="C18" cm="1">
        <f t="array" ref="C18">SUMPRODUCT(('Team Lineups'!$K$2:$K$2000&lt;&gt;"")*('Team Lineups'!$C$2:$C$2000=$A18)*COUNTIFS('Team Lineups'!$K$2:$K$2000,'Team Lineups'!$K$2:$K$2000,'Team Lineups'!$C$2:$C$2000,C$1))</f>
        <v>0</v>
      </c>
      <c r="D18" cm="1">
        <f t="array" ref="D18">SUMPRODUCT(('Team Lineups'!$K$2:$K$2000&lt;&gt;"")*('Team Lineups'!$C$2:$C$2000=$A18)*COUNTIFS('Team Lineups'!$K$2:$K$2000,'Team Lineups'!$K$2:$K$2000,'Team Lineups'!$C$2:$C$2000,D$1))</f>
        <v>2</v>
      </c>
      <c r="E18" cm="1">
        <f t="array" ref="E18">SUMPRODUCT(('Team Lineups'!$K$2:$K$2000&lt;&gt;"")*('Team Lineups'!$C$2:$C$2000=$A18)*COUNTIFS('Team Lineups'!$K$2:$K$2000,'Team Lineups'!$K$2:$K$2000,'Team Lineups'!$C$2:$C$2000,E$1))</f>
        <v>1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2</v>
      </c>
      <c r="H18" cm="1">
        <f t="array" ref="H18">SUMPRODUCT(('Team Lineups'!$K$2:$K$2000&lt;&gt;"")*('Team Lineups'!$C$2:$C$2000=$A18)*COUNTIFS('Team Lineups'!$K$2:$K$2000,'Team Lineups'!$K$2:$K$2000,'Team Lineups'!$C$2:$C$2000,H$1))</f>
        <v>3</v>
      </c>
      <c r="I18" cm="1">
        <f t="array" ref="I18">SUMPRODUCT(('Team Lineups'!$K$2:$K$2000&lt;&gt;"")*('Team Lineups'!$C$2:$C$2000=$A18)*COUNTIFS('Team Lineups'!$K$2:$K$2000,'Team Lineups'!$K$2:$K$2000,'Team Lineups'!$C$2:$C$2000,I$1))</f>
        <v>3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2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t="s">
        <v>77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2</v>
      </c>
      <c r="AA18" cm="1">
        <f t="array" ref="AA18">SUMPRODUCT(('Team Lineups'!$K$2:$K$2000&lt;&gt;"")*('Team Lineups'!$C$2:$C$2000=$A18)*COUNTIFS('Team Lineups'!$K$2:$K$2000,'Team Lineups'!$K$2:$K$2000,'Team Lineups'!$C$2:$C$2000,AA$1))</f>
        <v>2</v>
      </c>
      <c r="AB18" cm="1">
        <f t="array" ref="AB18">SUMPRODUCT(('Team Lineups'!$K$2:$K$2000&lt;&gt;"")*('Team Lineups'!$C$2:$C$2000=$A18)*COUNTIFS('Team Lineups'!$K$2:$K$2000,'Team Lineups'!$K$2:$K$2000,'Team Lineups'!$C$2:$C$2000,AB$1))</f>
        <v>1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0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</row>
    <row r="19" spans="1:3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1</v>
      </c>
      <c r="C19" cm="1">
        <f t="array" ref="C19">SUMPRODUCT(('Team Lineups'!$K$2:$K$2000&lt;&gt;"")*('Team Lineups'!$C$2:$C$2000=$A19)*COUNTIFS('Team Lineups'!$K$2:$K$2000,'Team Lineups'!$K$2:$K$2000,'Team Lineups'!$C$2:$C$2000,C$1))</f>
        <v>0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1</v>
      </c>
      <c r="F19" cm="1">
        <f t="array" ref="F19">SUMPRODUCT(('Team Lineups'!$K$2:$K$2000&lt;&gt;"")*('Team Lineups'!$C$2:$C$2000=$A19)*COUNTIFS('Team Lineups'!$K$2:$K$2000,'Team Lineups'!$K$2:$K$2000,'Team Lineups'!$C$2:$C$2000,F$1))</f>
        <v>3</v>
      </c>
      <c r="G19" cm="1">
        <f t="array" ref="G19">SUMPRODUCT(('Team Lineups'!$K$2:$K$2000&lt;&gt;"")*('Team Lineups'!$C$2:$C$2000=$A19)*COUNTIFS('Team Lineups'!$K$2:$K$2000,'Team Lineups'!$K$2:$K$2000,'Team Lineups'!$C$2:$C$2000,G$1))</f>
        <v>3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4</v>
      </c>
      <c r="M19" cm="1">
        <f t="array" ref="M19">SUMPRODUCT(('Team Lineups'!$K$2:$K$2000&lt;&gt;"")*('Team Lineups'!$C$2:$C$2000=$A19)*COUNTIFS('Team Lineups'!$K$2:$K$2000,'Team Lineups'!$K$2:$K$2000,'Team Lineups'!$C$2:$C$2000,M$1))</f>
        <v>3</v>
      </c>
      <c r="N19" cm="1">
        <f t="array" ref="N19">SUMPRODUCT(('Team Lineups'!$K$2:$K$2000&lt;&gt;"")*('Team Lineups'!$C$2:$C$2000=$A19)*COUNTIFS('Team Lineups'!$K$2:$K$2000,'Team Lineups'!$K$2:$K$2000,'Team Lineups'!$C$2:$C$2000,N$1))</f>
        <v>1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3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t="s">
        <v>77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2</v>
      </c>
      <c r="AB19" cm="1">
        <f t="array" ref="AB19">SUMPRODUCT(('Team Lineups'!$K$2:$K$2000&lt;&gt;"")*('Team Lineups'!$C$2:$C$2000=$A19)*COUNTIFS('Team Lineups'!$K$2:$K$2000,'Team Lineups'!$K$2:$K$2000,'Team Lineups'!$C$2:$C$2000,AB$1))</f>
        <v>2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</row>
    <row r="20" spans="1:3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0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1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1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1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1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t="s">
        <v>77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0</v>
      </c>
      <c r="AB20" cm="1">
        <f t="array" ref="AB20">SUMPRODUCT(('Team Lineups'!$K$2:$K$2000&lt;&gt;"")*('Team Lineups'!$C$2:$C$2000=$A20)*COUNTIFS('Team Lineups'!$K$2:$K$2000,'Team Lineups'!$K$2:$K$2000,'Team Lineups'!$C$2:$C$2000,AB$1))</f>
        <v>0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0</v>
      </c>
      <c r="AE20" cm="1">
        <f t="array" ref="AE20">SUMPRODUCT(('Team Lineups'!$K$2:$K$2000&lt;&gt;"")*('Team Lineups'!$C$2:$C$2000=$A20)*COUNTIFS('Team Lineups'!$K$2:$K$2000,'Team Lineups'!$K$2:$K$2000,'Team Lineups'!$C$2:$C$2000,AE$1))</f>
        <v>1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</row>
    <row r="21" spans="1:3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t="s">
        <v>77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</row>
    <row r="22" spans="1:3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t="s">
        <v>77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</row>
    <row r="23" spans="1:3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t="s">
        <v>77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</row>
    <row r="24" spans="1:3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t="s">
        <v>77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</row>
    <row r="25" spans="1:3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t="s">
        <v>77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</row>
    <row r="26" spans="1:3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1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0</v>
      </c>
      <c r="E26" cm="1">
        <f t="array" ref="E26">SUMPRODUCT(('Team Lineups'!$K$2:$K$2000&lt;&gt;"")*('Team Lineups'!$C$2:$C$2000=$A26)*COUNTIFS('Team Lineups'!$K$2:$K$2000,'Team Lineups'!$K$2:$K$2000,'Team Lineups'!$C$2:$C$2000,E$1))</f>
        <v>0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2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3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4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1</v>
      </c>
      <c r="R26" cm="1">
        <f t="array" ref="R26">SUMPRODUCT(('Team Lineups'!$K$2:$K$2000&lt;&gt;"")*('Team Lineups'!$C$2:$C$2000=$A26)*COUNTIFS('Team Lineups'!$K$2:$K$2000,'Team Lineups'!$K$2:$K$2000,'Team Lineups'!$C$2:$C$2000,R$1))</f>
        <v>2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t="s">
        <v>77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</row>
    <row r="27" spans="1:3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2</v>
      </c>
      <c r="C27" cm="1">
        <f t="array" ref="C27">SUMPRODUCT(('Team Lineups'!$K$2:$K$2000&lt;&gt;"")*('Team Lineups'!$C$2:$C$2000=$A27)*COUNTIFS('Team Lineups'!$K$2:$K$2000,'Team Lineups'!$K$2:$K$2000,'Team Lineups'!$C$2:$C$2000,C$1))</f>
        <v>3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6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4</v>
      </c>
      <c r="H27" cm="1">
        <f t="array" ref="H27">SUMPRODUCT(('Team Lineups'!$K$2:$K$2000&lt;&gt;"")*('Team Lineups'!$C$2:$C$2000=$A27)*COUNTIFS('Team Lineups'!$K$2:$K$2000,'Team Lineups'!$K$2:$K$2000,'Team Lineups'!$C$2:$C$2000,H$1))</f>
        <v>1</v>
      </c>
      <c r="I27" cm="1">
        <f t="array" ref="I27">SUMPRODUCT(('Team Lineups'!$K$2:$K$2000&lt;&gt;"")*('Team Lineups'!$C$2:$C$2000=$A27)*COUNTIFS('Team Lineups'!$K$2:$K$2000,'Team Lineups'!$K$2:$K$2000,'Team Lineups'!$C$2:$C$2000,I$1))</f>
        <v>3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3</v>
      </c>
      <c r="M27" cm="1">
        <f t="array" ref="M27">SUMPRODUCT(('Team Lineups'!$K$2:$K$2000&lt;&gt;"")*('Team Lineups'!$C$2:$C$2000=$A27)*COUNTIFS('Team Lineups'!$K$2:$K$2000,'Team Lineups'!$K$2:$K$2000,'Team Lineups'!$C$2:$C$2000,M$1))</f>
        <v>3</v>
      </c>
      <c r="N27" cm="1">
        <f t="array" ref="N27">SUMPRODUCT(('Team Lineups'!$K$2:$K$2000&lt;&gt;"")*('Team Lineups'!$C$2:$C$2000=$A27)*COUNTIFS('Team Lineups'!$K$2:$K$2000,'Team Lineups'!$K$2:$K$2000,'Team Lineups'!$C$2:$C$2000,N$1))</f>
        <v>1</v>
      </c>
      <c r="O27" cm="1">
        <f t="array" ref="O27">SUMPRODUCT(('Team Lineups'!$K$2:$K$2000&lt;&gt;"")*('Team Lineups'!$C$2:$C$2000=$A27)*COUNTIFS('Team Lineups'!$K$2:$K$2000,'Team Lineups'!$K$2:$K$2000,'Team Lineups'!$C$2:$C$2000,O$1))</f>
        <v>1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2</v>
      </c>
      <c r="R27" cm="1">
        <f t="array" ref="R27">SUMPRODUCT(('Team Lineups'!$K$2:$K$2000&lt;&gt;"")*('Team Lineups'!$C$2:$C$2000=$A27)*COUNTIFS('Team Lineups'!$K$2:$K$2000,'Team Lineups'!$K$2:$K$2000,'Team Lineups'!$C$2:$C$2000,R$1))</f>
        <v>2</v>
      </c>
      <c r="S27" cm="1">
        <f t="array" ref="S27">SUMPRODUCT(('Team Lineups'!$K$2:$K$2000&lt;&gt;"")*('Team Lineups'!$C$2:$C$2000=$A27)*COUNTIFS('Team Lineups'!$K$2:$K$2000,'Team Lineups'!$K$2:$K$2000,'Team Lineups'!$C$2:$C$2000,S$1))</f>
        <v>2</v>
      </c>
      <c r="T27" cm="1">
        <f t="array" ref="T27">SUMPRODUCT(('Team Lineups'!$K$2:$K$2000&lt;&gt;"")*('Team Lineups'!$C$2:$C$2000=$A27)*COUNTIFS('Team Lineups'!$K$2:$K$2000,'Team Lineups'!$K$2:$K$2000,'Team Lineups'!$C$2:$C$2000,T$1))</f>
        <v>0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t="s">
        <v>77</v>
      </c>
      <c r="AB27" cm="1">
        <f t="array" ref="AB27">SUMPRODUCT(('Team Lineups'!$K$2:$K$2000&lt;&gt;"")*('Team Lineups'!$C$2:$C$2000=$A27)*COUNTIFS('Team Lineups'!$K$2:$K$2000,'Team Lineups'!$K$2:$K$2000,'Team Lineups'!$C$2:$C$2000,AB$1))</f>
        <v>2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0</v>
      </c>
      <c r="AE27" cm="1">
        <f t="array" ref="AE27">SUMPRODUCT(('Team Lineups'!$K$2:$K$2000&lt;&gt;"")*('Team Lineups'!$C$2:$C$2000=$A27)*COUNTIFS('Team Lineups'!$K$2:$K$2000,'Team Lineups'!$K$2:$K$2000,'Team Lineups'!$C$2:$C$2000,AE$1))</f>
        <v>1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</row>
    <row r="28" spans="1:3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2</v>
      </c>
      <c r="D28" cm="1">
        <f t="array" ref="D28">SUMPRODUCT(('Team Lineups'!$K$2:$K$2000&lt;&gt;"")*('Team Lineups'!$C$2:$C$2000=$A28)*COUNTIFS('Team Lineups'!$K$2:$K$2000,'Team Lineups'!$K$2:$K$2000,'Team Lineups'!$C$2:$C$2000,D$1))</f>
        <v>1</v>
      </c>
      <c r="E28" cm="1">
        <f t="array" ref="E28">SUMPRODUCT(('Team Lineups'!$K$2:$K$2000&lt;&gt;"")*('Team Lineups'!$C$2:$C$2000=$A28)*COUNTIFS('Team Lineups'!$K$2:$K$2000,'Team Lineups'!$K$2:$K$2000,'Team Lineups'!$C$2:$C$2000,E$1))</f>
        <v>1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3</v>
      </c>
      <c r="I28" cm="1">
        <f t="array" ref="I28">SUMPRODUCT(('Team Lineups'!$K$2:$K$2000&lt;&gt;"")*('Team Lineups'!$C$2:$C$2000=$A28)*COUNTIFS('Team Lineups'!$K$2:$K$2000,'Team Lineups'!$K$2:$K$2000,'Team Lineups'!$C$2:$C$2000,I$1))</f>
        <v>1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2</v>
      </c>
      <c r="M28" cm="1">
        <f t="array" ref="M28">SUMPRODUCT(('Team Lineups'!$K$2:$K$2000&lt;&gt;"")*('Team Lineups'!$C$2:$C$2000=$A28)*COUNTIFS('Team Lineups'!$K$2:$K$2000,'Team Lineups'!$K$2:$K$2000,'Team Lineups'!$C$2:$C$2000,M$1))</f>
        <v>1</v>
      </c>
      <c r="N28" cm="1">
        <f t="array" ref="N28">SUMPRODUCT(('Team Lineups'!$K$2:$K$2000&lt;&gt;"")*('Team Lineups'!$C$2:$C$2000=$A28)*COUNTIFS('Team Lineups'!$K$2:$K$2000,'Team Lineups'!$K$2:$K$2000,'Team Lineups'!$C$2:$C$2000,N$1))</f>
        <v>1</v>
      </c>
      <c r="O28" cm="1">
        <f t="array" ref="O28">SUMPRODUCT(('Team Lineups'!$K$2:$K$2000&lt;&gt;"")*('Team Lineups'!$C$2:$C$2000=$A28)*COUNTIFS('Team Lineups'!$K$2:$K$2000,'Team Lineups'!$K$2:$K$2000,'Team Lineups'!$C$2:$C$2000,O$1))</f>
        <v>1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0</v>
      </c>
      <c r="R28" cm="1">
        <f t="array" ref="R28">SUMPRODUCT(('Team Lineups'!$K$2:$K$2000&lt;&gt;"")*('Team Lineups'!$C$2:$C$2000=$A28)*COUNTIFS('Team Lineups'!$K$2:$K$2000,'Team Lineups'!$K$2:$K$2000,'Team Lineups'!$C$2:$C$2000,R$1))</f>
        <v>1</v>
      </c>
      <c r="S28" cm="1">
        <f t="array" ref="S28">SUMPRODUCT(('Team Lineups'!$K$2:$K$2000&lt;&gt;"")*('Team Lineups'!$C$2:$C$2000=$A28)*COUNTIFS('Team Lineups'!$K$2:$K$2000,'Team Lineups'!$K$2:$K$2000,'Team Lineups'!$C$2:$C$2000,S$1))</f>
        <v>2</v>
      </c>
      <c r="T28" cm="1">
        <f t="array" ref="T28">SUMPRODUCT(('Team Lineups'!$K$2:$K$2000&lt;&gt;"")*('Team Lineups'!$C$2:$C$2000=$A28)*COUNTIFS('Team Lineups'!$K$2:$K$2000,'Team Lineups'!$K$2:$K$2000,'Team Lineups'!$C$2:$C$2000,T$1))</f>
        <v>0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2</v>
      </c>
      <c r="AB28" t="s">
        <v>77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1</v>
      </c>
      <c r="AE28" cm="1">
        <f t="array" ref="AE28">SUMPRODUCT(('Team Lineups'!$K$2:$K$2000&lt;&gt;"")*('Team Lineups'!$C$2:$C$2000=$A28)*COUNTIFS('Team Lineups'!$K$2:$K$2000,'Team Lineups'!$K$2:$K$2000,'Team Lineups'!$C$2:$C$2000,AE$1))</f>
        <v>0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</row>
    <row r="29" spans="1:3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t="s">
        <v>77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</row>
    <row r="30" spans="1:3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2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0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2</v>
      </c>
      <c r="H30" cm="1">
        <f t="array" ref="H30">SUMPRODUCT(('Team Lineups'!$K$2:$K$2000&lt;&gt;"")*('Team Lineups'!$C$2:$C$2000=$A30)*COUNTIFS('Team Lineups'!$K$2:$K$2000,'Team Lineups'!$K$2:$K$2000,'Team Lineups'!$C$2:$C$2000,H$1))</f>
        <v>2</v>
      </c>
      <c r="I30" cm="1">
        <f t="array" ref="I30">SUMPRODUCT(('Team Lineups'!$K$2:$K$2000&lt;&gt;"")*('Team Lineups'!$C$2:$C$2000=$A30)*COUNTIFS('Team Lineups'!$K$2:$K$2000,'Team Lineups'!$K$2:$K$2000,'Team Lineups'!$C$2:$C$2000,I$1))</f>
        <v>2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1</v>
      </c>
      <c r="M30" cm="1">
        <f t="array" ref="M30">SUMPRODUCT(('Team Lineups'!$K$2:$K$2000&lt;&gt;"")*('Team Lineups'!$C$2:$C$2000=$A30)*COUNTIFS('Team Lineups'!$K$2:$K$2000,'Team Lineups'!$K$2:$K$2000,'Team Lineups'!$C$2:$C$2000,M$1))</f>
        <v>2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1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0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0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0</v>
      </c>
      <c r="AB30" cm="1">
        <f t="array" ref="AB30">SUMPRODUCT(('Team Lineups'!$K$2:$K$2000&lt;&gt;"")*('Team Lineups'!$C$2:$C$2000=$A30)*COUNTIFS('Team Lineups'!$K$2:$K$2000,'Team Lineups'!$K$2:$K$2000,'Team Lineups'!$C$2:$C$2000,AB$1))</f>
        <v>1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t="s">
        <v>77</v>
      </c>
      <c r="AE30" cm="1">
        <f t="array" ref="AE30">SUMPRODUCT(('Team Lineups'!$K$2:$K$2000&lt;&gt;"")*('Team Lineups'!$C$2:$C$2000=$A30)*COUNTIFS('Team Lineups'!$K$2:$K$2000,'Team Lineups'!$K$2:$K$2000,'Team Lineups'!$C$2:$C$2000,AE$1))</f>
        <v>0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</row>
    <row r="31" spans="1:3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1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1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0</v>
      </c>
      <c r="H31" cm="1">
        <f t="array" ref="H31">SUMPRODUCT(('Team Lineups'!$K$2:$K$2000&lt;&gt;"")*('Team Lineups'!$C$2:$C$2000=$A31)*COUNTIFS('Team Lineups'!$K$2:$K$2000,'Team Lineups'!$K$2:$K$2000,'Team Lineups'!$C$2:$C$2000,H$1))</f>
        <v>1</v>
      </c>
      <c r="I31" cm="1">
        <f t="array" ref="I31">SUMPRODUCT(('Team Lineups'!$K$2:$K$2000&lt;&gt;"")*('Team Lineups'!$C$2:$C$2000=$A31)*COUNTIFS('Team Lineups'!$K$2:$K$2000,'Team Lineups'!$K$2:$K$2000,'Team Lineups'!$C$2:$C$2000,I$1))</f>
        <v>0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2</v>
      </c>
      <c r="R31" cm="1">
        <f t="array" ref="R31">SUMPRODUCT(('Team Lineups'!$K$2:$K$2000&lt;&gt;"")*('Team Lineups'!$C$2:$C$2000=$A31)*COUNTIFS('Team Lineups'!$K$2:$K$2000,'Team Lineups'!$K$2:$K$2000,'Team Lineups'!$C$2:$C$2000,R$1))</f>
        <v>0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1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1</v>
      </c>
      <c r="AB31" cm="1">
        <f t="array" ref="AB31">SUMPRODUCT(('Team Lineups'!$K$2:$K$2000&lt;&gt;"")*('Team Lineups'!$C$2:$C$2000=$A31)*COUNTIFS('Team Lineups'!$K$2:$K$2000,'Team Lineups'!$K$2:$K$2000,'Team Lineups'!$C$2:$C$2000,AB$1))</f>
        <v>0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0</v>
      </c>
      <c r="AE31" t="s">
        <v>77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</row>
    <row r="32" spans="1:3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t="s">
        <v>77</v>
      </c>
    </row>
    <row r="33" spans="1:1" x14ac:dyDescent="0.35">
      <c r="A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2026-03-01T16:41:41Z</dcterms:modified>
</cp:coreProperties>
</file>