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AD003EC2-3587-4279-98B0-C322DD7B196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1" i="2" l="1"/>
  <c r="F541" i="2"/>
  <c r="G541" i="2"/>
  <c r="E542" i="2"/>
  <c r="F542" i="2"/>
  <c r="G542" i="2"/>
  <c r="E543" i="2"/>
  <c r="F543" i="2"/>
  <c r="G543" i="2"/>
  <c r="E544" i="2"/>
  <c r="G544" i="2" s="1"/>
  <c r="F544" i="2"/>
  <c r="E545" i="2"/>
  <c r="F545" i="2"/>
  <c r="G545" i="2"/>
  <c r="E546" i="2"/>
  <c r="F546" i="2"/>
  <c r="G546" i="2" s="1"/>
  <c r="E547" i="2"/>
  <c r="F547" i="2"/>
  <c r="G547" i="2" s="1"/>
  <c r="E548" i="2"/>
  <c r="F548" i="2"/>
  <c r="G548" i="2" s="1"/>
  <c r="E549" i="2"/>
  <c r="F549" i="2"/>
  <c r="G549" i="2"/>
  <c r="E550" i="2"/>
  <c r="F550" i="2"/>
  <c r="G550" i="2" s="1"/>
  <c r="E551" i="2"/>
  <c r="G551" i="2" s="1"/>
  <c r="F551" i="2"/>
  <c r="E552" i="2"/>
  <c r="G552" i="2" s="1"/>
  <c r="F552" i="2"/>
  <c r="E553" i="2"/>
  <c r="G553" i="2" s="1"/>
  <c r="F553" i="2"/>
  <c r="E554" i="2"/>
  <c r="G554" i="2" s="1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G530" i="2" s="1"/>
  <c r="E531" i="2"/>
  <c r="F531" i="2"/>
  <c r="E532" i="2"/>
  <c r="F532" i="2"/>
  <c r="E533" i="2"/>
  <c r="F533" i="2"/>
  <c r="G533" i="2" s="1"/>
  <c r="E534" i="2"/>
  <c r="F534" i="2"/>
  <c r="G534" i="2" s="1"/>
  <c r="E535" i="2"/>
  <c r="F535" i="2"/>
  <c r="G535" i="2" s="1"/>
  <c r="E536" i="2"/>
  <c r="F536" i="2"/>
  <c r="G536" i="2" s="1"/>
  <c r="E537" i="2"/>
  <c r="F537" i="2"/>
  <c r="E538" i="2"/>
  <c r="F538" i="2"/>
  <c r="G538" i="2" s="1"/>
  <c r="E539" i="2"/>
  <c r="F539" i="2"/>
  <c r="E540" i="2"/>
  <c r="F540" i="2"/>
  <c r="K527" i="2"/>
  <c r="E47" i="1"/>
  <c r="F47" i="1"/>
  <c r="C49" i="3"/>
  <c r="D49" i="3"/>
  <c r="E49" i="3"/>
  <c r="L49" i="3"/>
  <c r="N49" i="3"/>
  <c r="O49" i="3"/>
  <c r="Q49" i="3"/>
  <c r="A2" i="6" a="1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G507" i="2"/>
  <c r="E508" i="2"/>
  <c r="F508" i="2"/>
  <c r="G508" i="2" s="1"/>
  <c r="E509" i="2"/>
  <c r="F509" i="2"/>
  <c r="G509" i="2" s="1"/>
  <c r="E510" i="2"/>
  <c r="F510" i="2"/>
  <c r="G510" i="2" s="1"/>
  <c r="E511" i="2"/>
  <c r="F511" i="2"/>
  <c r="G511" i="2" s="1"/>
  <c r="E512" i="2"/>
  <c r="F512" i="2"/>
  <c r="E513" i="2"/>
  <c r="F513" i="2"/>
  <c r="G513" i="2"/>
  <c r="E514" i="2"/>
  <c r="F514" i="2"/>
  <c r="E515" i="2"/>
  <c r="F515" i="2"/>
  <c r="G515" i="2" s="1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G524" i="2"/>
  <c r="E525" i="2"/>
  <c r="F525" i="2"/>
  <c r="E526" i="2"/>
  <c r="F526" i="2"/>
  <c r="G526" i="2" s="1"/>
  <c r="C48" i="3"/>
  <c r="D48" i="3"/>
  <c r="E48" i="3"/>
  <c r="L48" i="3"/>
  <c r="N48" i="3"/>
  <c r="O48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7" i="3"/>
  <c r="L47" i="3"/>
  <c r="N47" i="3"/>
  <c r="O47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46" i="3"/>
  <c r="L46" i="3"/>
  <c r="N46" i="3"/>
  <c r="O46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G431" i="2" s="1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31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528" i="2" l="1"/>
  <c r="G540" i="2"/>
  <c r="G532" i="2"/>
  <c r="G537" i="2"/>
  <c r="H48" i="3"/>
  <c r="G48" i="3"/>
  <c r="J48" i="3" s="1"/>
  <c r="I48" i="3"/>
  <c r="K48" i="3" s="1"/>
  <c r="G527" i="2"/>
  <c r="G531" i="2"/>
  <c r="G529" i="2"/>
  <c r="G539" i="2"/>
  <c r="H49" i="3"/>
  <c r="G49" i="3"/>
  <c r="J49" i="3" s="1"/>
  <c r="I49" i="3"/>
  <c r="K49" i="3" s="1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30" i="3"/>
  <c r="P49" i="3"/>
  <c r="M49" i="3"/>
  <c r="F49" i="3"/>
  <c r="F48" i="3"/>
  <c r="M48" i="3"/>
  <c r="P48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7" i="3"/>
  <c r="G476" i="2"/>
  <c r="D47" i="3"/>
  <c r="G494" i="2"/>
  <c r="G475" i="2"/>
  <c r="M47" i="3"/>
  <c r="P47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46" i="3"/>
  <c r="G417" i="2"/>
  <c r="D46" i="3"/>
  <c r="G418" i="2"/>
  <c r="E22" i="3"/>
  <c r="D22" i="3"/>
  <c r="G128" i="2"/>
  <c r="G80" i="2"/>
  <c r="P46" i="3"/>
  <c r="M46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G199" i="2"/>
  <c r="G175" i="2"/>
  <c r="G79" i="2"/>
  <c r="G180" i="2"/>
  <c r="E234" i="2"/>
  <c r="F241" i="2"/>
  <c r="E235" i="2"/>
  <c r="D39" i="3" s="1"/>
  <c r="F240" i="2"/>
  <c r="F242" i="2"/>
  <c r="E40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G68" i="2"/>
  <c r="G50" i="2"/>
  <c r="D32" i="3"/>
  <c r="F32" i="3" s="1"/>
  <c r="G45" i="2"/>
  <c r="D31" i="3"/>
  <c r="F31" i="3" s="1"/>
  <c r="G44" i="2"/>
  <c r="D30" i="3"/>
  <c r="G76" i="2"/>
  <c r="G136" i="2"/>
  <c r="G92" i="2"/>
  <c r="G83" i="2"/>
  <c r="G53" i="2"/>
  <c r="G95" i="2"/>
  <c r="G82" i="2"/>
  <c r="E29" i="3"/>
  <c r="E10" i="3"/>
  <c r="F161" i="2"/>
  <c r="F162" i="2"/>
  <c r="F160" i="2"/>
  <c r="E3" i="3" s="1"/>
  <c r="F163" i="2"/>
  <c r="E34" i="3" s="1"/>
  <c r="E156" i="2"/>
  <c r="E155" i="2"/>
  <c r="E157" i="2"/>
  <c r="E158" i="2"/>
  <c r="E159" i="2"/>
  <c r="F164" i="2"/>
  <c r="E26" i="3" s="1"/>
  <c r="E163" i="2"/>
  <c r="E162" i="2"/>
  <c r="E164" i="2"/>
  <c r="D26" i="3" s="1"/>
  <c r="F159" i="2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E167" i="2"/>
  <c r="D19" i="3" s="1"/>
  <c r="F171" i="2"/>
  <c r="E25" i="3" s="1"/>
  <c r="F174" i="2"/>
  <c r="E15" i="3" s="1"/>
  <c r="E165" i="2"/>
  <c r="F166" i="2"/>
  <c r="E173" i="2"/>
  <c r="F165" i="2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G6" i="2"/>
  <c r="G5" i="2"/>
  <c r="G4" i="2"/>
  <c r="G3" i="2"/>
  <c r="G2" i="2"/>
  <c r="H46" i="3" l="1"/>
  <c r="G46" i="3"/>
  <c r="J46" i="3" s="1"/>
  <c r="I46" i="3"/>
  <c r="K46" i="3" s="1"/>
  <c r="F47" i="3"/>
  <c r="F30" i="3"/>
  <c r="I11" i="3"/>
  <c r="K11" i="3" s="1"/>
  <c r="H11" i="3"/>
  <c r="G11" i="3"/>
  <c r="J11" i="3" s="1"/>
  <c r="G47" i="3"/>
  <c r="J47" i="3" s="1"/>
  <c r="H47" i="3"/>
  <c r="I47" i="3"/>
  <c r="K47" i="3" s="1"/>
  <c r="G399" i="2"/>
  <c r="G391" i="2"/>
  <c r="G392" i="2"/>
  <c r="D44" i="3"/>
  <c r="E44" i="3"/>
  <c r="G395" i="2"/>
  <c r="G396" i="2"/>
  <c r="G398" i="2"/>
  <c r="G400" i="2"/>
  <c r="F46" i="3"/>
  <c r="F22" i="3"/>
  <c r="G394" i="2"/>
  <c r="G18" i="3" s="1"/>
  <c r="J18" i="3" s="1"/>
  <c r="D41" i="3"/>
  <c r="D4" i="3"/>
  <c r="D14" i="3"/>
  <c r="E14" i="3"/>
  <c r="E41" i="3"/>
  <c r="D42" i="3"/>
  <c r="E18" i="3"/>
  <c r="D33" i="3"/>
  <c r="E33" i="3"/>
  <c r="D21" i="3"/>
  <c r="D7" i="3"/>
  <c r="E7" i="3"/>
  <c r="E21" i="3"/>
  <c r="D18" i="3"/>
  <c r="H22" i="3"/>
  <c r="G22" i="3"/>
  <c r="J22" i="3" s="1"/>
  <c r="I22" i="3"/>
  <c r="K22" i="3" s="1"/>
  <c r="G393" i="2"/>
  <c r="G397" i="2"/>
  <c r="G401" i="2"/>
  <c r="G402" i="2"/>
  <c r="F45" i="3"/>
  <c r="I45" i="3"/>
  <c r="K45" i="3" s="1"/>
  <c r="G45" i="3"/>
  <c r="J45" i="3" s="1"/>
  <c r="H45" i="3"/>
  <c r="F43" i="3"/>
  <c r="I43" i="3"/>
  <c r="K43" i="3" s="1"/>
  <c r="G43" i="3"/>
  <c r="J43" i="3" s="1"/>
  <c r="H43" i="3"/>
  <c r="F38" i="3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G237" i="2"/>
  <c r="E39" i="3"/>
  <c r="F39" i="3" s="1"/>
  <c r="G235" i="2"/>
  <c r="E17" i="3"/>
  <c r="D12" i="3"/>
  <c r="D16" i="3"/>
  <c r="G234" i="2"/>
  <c r="E4" i="3"/>
  <c r="H38" i="3"/>
  <c r="I38" i="3"/>
  <c r="K38" i="3" s="1"/>
  <c r="G38" i="3"/>
  <c r="J38" i="3" s="1"/>
  <c r="F40" i="3"/>
  <c r="F29" i="3"/>
  <c r="F26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19" i="3"/>
  <c r="D35" i="3"/>
  <c r="G155" i="2"/>
  <c r="D34" i="3"/>
  <c r="F34" i="3" s="1"/>
  <c r="G163" i="2"/>
  <c r="D36" i="3"/>
  <c r="F36" i="3" s="1"/>
  <c r="G169" i="2"/>
  <c r="G164" i="2"/>
  <c r="G168" i="2"/>
  <c r="G167" i="2"/>
  <c r="G19" i="3" s="1"/>
  <c r="J19" i="3" s="1"/>
  <c r="G165" i="2"/>
  <c r="G170" i="2"/>
  <c r="G172" i="2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H18" i="3"/>
  <c r="I18" i="3"/>
  <c r="K18" i="3" s="1"/>
  <c r="AV10" i="6" l="1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42" i="3"/>
  <c r="I14" i="3"/>
  <c r="K14" i="3" s="1"/>
  <c r="F41" i="3"/>
  <c r="H14" i="3"/>
  <c r="G14" i="3"/>
  <c r="J14" i="3" s="1"/>
  <c r="I41" i="3"/>
  <c r="K41" i="3" s="1"/>
  <c r="H41" i="3"/>
  <c r="G41" i="3"/>
  <c r="J41" i="3" s="1"/>
  <c r="H44" i="3"/>
  <c r="F14" i="3"/>
  <c r="I44" i="3"/>
  <c r="K44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44" i="3"/>
  <c r="J44" i="3" s="1"/>
  <c r="F44" i="3"/>
  <c r="F33" i="3"/>
  <c r="F21" i="3"/>
  <c r="F7" i="3"/>
  <c r="F18" i="3"/>
  <c r="F4" i="3"/>
  <c r="G21" i="3"/>
  <c r="J21" i="3" s="1"/>
  <c r="G5" i="3"/>
  <c r="J5" i="3" s="1"/>
  <c r="I5" i="3"/>
  <c r="K5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17" i="3"/>
  <c r="J17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W2" i="6" a="1"/>
  <c r="S2" i="6" a="1"/>
  <c r="J2" i="6" a="1"/>
  <c r="B42" i="6" s="1" a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<sst xmlns="http://schemas.openxmlformats.org/spreadsheetml/2006/main" count="1331" uniqueCount="123">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</sst>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topLeftCell="A38" workbookViewId="0">
      <selection activeCell="C48" sqref="C48:Q49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21</v>
      </c>
      <c r="D4">
        <f>SUMIF('Team Lineups'!C:C,A4,'Team Lineups'!E:E)</f>
        <v>156</v>
      </c>
      <c r="E4">
        <f>SUMIF('Team Lineups'!C:C,A4,'Team Lineups'!F:F)</f>
        <v>162</v>
      </c>
      <c r="F4">
        <f t="shared" si="0"/>
        <v>-6</v>
      </c>
      <c r="G4">
        <f>COUNTIFS('Team Lineups'!C:C,A4,'Team Lineups'!G:G,"Win")</f>
        <v>8</v>
      </c>
      <c r="H4">
        <f>COUNTIFS('Team Lineups'!C:C,A4,'Team Lineups'!G:G,"Draw")</f>
        <v>4</v>
      </c>
      <c r="I4">
        <f>COUNTIFS('Team Lineups'!C:C,A4,'Team Lineups'!G:G,"Loss")</f>
        <v>9</v>
      </c>
      <c r="J4" s="3">
        <f t="shared" si="3"/>
        <v>0.38095238095238093</v>
      </c>
      <c r="K4" s="3">
        <f t="shared" si="4"/>
        <v>0.42857142857142855</v>
      </c>
      <c r="L4">
        <f>SUMIF('Team Lineups'!C:C,A4,'Team Lineups'!H:H)</f>
        <v>13</v>
      </c>
      <c r="M4">
        <f t="shared" si="1"/>
        <v>0.61904761904761907</v>
      </c>
      <c r="N4">
        <f>SUMIF('Team Lineups'!C:C,A4,'Team Lineups'!I:I)</f>
        <v>7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22</v>
      </c>
      <c r="D5">
        <f>SUMIF('Team Lineups'!C:C,A5,'Team Lineups'!E:E)</f>
        <v>138</v>
      </c>
      <c r="E5">
        <f>SUMIF('Team Lineups'!C:C,A5,'Team Lineups'!F:F)</f>
        <v>159</v>
      </c>
      <c r="F5">
        <f t="shared" si="0"/>
        <v>-21</v>
      </c>
      <c r="G5">
        <f>COUNTIFS('Team Lineups'!C:C,A5,'Team Lineups'!G:G,"Win")</f>
        <v>6</v>
      </c>
      <c r="H5">
        <f>COUNTIFS('Team Lineups'!C:C,A5,'Team Lineups'!G:G,"Draw")</f>
        <v>3</v>
      </c>
      <c r="I5">
        <f>COUNTIFS('Team Lineups'!C:C,A5,'Team Lineups'!G:G,"Loss")</f>
        <v>13</v>
      </c>
      <c r="J5" s="3">
        <f t="shared" si="3"/>
        <v>0.27272727272727271</v>
      </c>
      <c r="K5" s="3">
        <f t="shared" si="4"/>
        <v>0.59090909090909094</v>
      </c>
      <c r="L5">
        <f>SUMIF('Team Lineups'!C:C,A5,'Team Lineups'!H:H)</f>
        <v>34</v>
      </c>
      <c r="M5">
        <f t="shared" si="1"/>
        <v>1.5454545454545454</v>
      </c>
      <c r="N5">
        <f>SUMIF('Team Lineups'!C:C,A5,'Team Lineups'!I:I)</f>
        <v>24</v>
      </c>
      <c r="O5">
        <f>COUNTIF(Matches!G:G,A5)</f>
        <v>3</v>
      </c>
      <c r="P5">
        <f t="shared" si="2"/>
        <v>0.13636363636363635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19</v>
      </c>
      <c r="D6">
        <f>SUMIF('Team Lineups'!C:C,A6,'Team Lineups'!E:E)</f>
        <v>130</v>
      </c>
      <c r="E6">
        <f>SUMIF('Team Lineups'!C:C,A6,'Team Lineups'!F:F)</f>
        <v>123</v>
      </c>
      <c r="F6">
        <f t="shared" si="0"/>
        <v>7</v>
      </c>
      <c r="G6">
        <f>COUNTIFS('Team Lineups'!C:C,A6,'Team Lineups'!G:G,"Win")</f>
        <v>8</v>
      </c>
      <c r="H6">
        <f>COUNTIFS('Team Lineups'!C:C,A6,'Team Lineups'!G:G,"Draw")</f>
        <v>6</v>
      </c>
      <c r="I6">
        <f>COUNTIFS('Team Lineups'!C:C,A6,'Team Lineups'!G:G,"Loss")</f>
        <v>5</v>
      </c>
      <c r="J6" s="3">
        <f t="shared" si="3"/>
        <v>0.42105263157894735</v>
      </c>
      <c r="K6" s="3">
        <f t="shared" si="4"/>
        <v>0.26315789473684209</v>
      </c>
      <c r="L6">
        <f>SUMIF('Team Lineups'!C:C,A6,'Team Lineups'!H:H)</f>
        <v>27</v>
      </c>
      <c r="M6">
        <f t="shared" si="1"/>
        <v>1.4210526315789473</v>
      </c>
      <c r="N6">
        <f>SUMIF('Team Lineups'!C:C,A6,'Team Lineups'!I:I)</f>
        <v>9</v>
      </c>
      <c r="O6">
        <f>COUNTIF(Matches!G:G,A6)</f>
        <v>1</v>
      </c>
      <c r="P6">
        <f t="shared" si="2"/>
        <v>5.2631578947368418E-2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29</v>
      </c>
      <c r="D7">
        <f>SUMIF('Team Lineups'!C:C,A7,'Team Lineups'!E:E)</f>
        <v>198</v>
      </c>
      <c r="E7">
        <f>SUMIF('Team Lineups'!C:C,A7,'Team Lineups'!F:F)</f>
        <v>218</v>
      </c>
      <c r="F7">
        <f t="shared" si="0"/>
        <v>-20</v>
      </c>
      <c r="G7">
        <f>COUNTIFS('Team Lineups'!C:C,A7,'Team Lineups'!G:G,"Win")</f>
        <v>10</v>
      </c>
      <c r="H7">
        <f>COUNTIFS('Team Lineups'!C:C,A7,'Team Lineups'!G:G,"Draw")</f>
        <v>4</v>
      </c>
      <c r="I7">
        <f>COUNTIFS('Team Lineups'!C:C,A7,'Team Lineups'!G:G,"Loss")</f>
        <v>14</v>
      </c>
      <c r="J7" s="3">
        <f t="shared" si="3"/>
        <v>0.34482758620689657</v>
      </c>
      <c r="K7" s="3">
        <f t="shared" si="4"/>
        <v>0.48275862068965519</v>
      </c>
      <c r="L7">
        <f>SUMIF('Team Lineups'!C:C,A7,'Team Lineups'!H:H)</f>
        <v>33</v>
      </c>
      <c r="M7">
        <f t="shared" si="1"/>
        <v>1.1379310344827587</v>
      </c>
      <c r="N7">
        <f>SUMIF('Team Lineups'!C:C,A7,'Team Lineups'!I:I)</f>
        <v>31</v>
      </c>
      <c r="O7">
        <f>COUNTIF(Matches!G:G,A7)</f>
        <v>3</v>
      </c>
      <c r="P7">
        <f t="shared" si="2"/>
        <v>0.10344827586206896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24</v>
      </c>
      <c r="D8">
        <f>SUMIF('Team Lineups'!C:C,A8,'Team Lineups'!E:E)</f>
        <v>178</v>
      </c>
      <c r="E8">
        <f>SUMIF('Team Lineups'!C:C,A8,'Team Lineups'!F:F)</f>
        <v>172</v>
      </c>
      <c r="F8">
        <f t="shared" si="0"/>
        <v>6</v>
      </c>
      <c r="G8">
        <f>COUNTIFS('Team Lineups'!C:C,A8,'Team Lineups'!G:G,"Win")</f>
        <v>11</v>
      </c>
      <c r="H8">
        <f>COUNTIFS('Team Lineups'!C:C,A8,'Team Lineups'!G:G,"Draw")</f>
        <v>5</v>
      </c>
      <c r="I8">
        <f>COUNTIFS('Team Lineups'!C:C,A8,'Team Lineups'!G:G,"Loss")</f>
        <v>8</v>
      </c>
      <c r="J8" s="3">
        <f t="shared" si="3"/>
        <v>0.45833333333333331</v>
      </c>
      <c r="K8" s="3">
        <f t="shared" si="4"/>
        <v>0.33333333333333331</v>
      </c>
      <c r="L8">
        <f>SUMIF('Team Lineups'!C:C,A8,'Team Lineups'!H:H)</f>
        <v>49</v>
      </c>
      <c r="M8">
        <f t="shared" si="1"/>
        <v>2.0416666666666665</v>
      </c>
      <c r="N8">
        <f>SUMIF('Team Lineups'!C:C,A8,'Team Lineups'!I:I)</f>
        <v>31</v>
      </c>
      <c r="O8">
        <f>COUNTIF(Matches!G:G,A8)</f>
        <v>7</v>
      </c>
      <c r="P8">
        <f t="shared" si="2"/>
        <v>0.29166666666666669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20</v>
      </c>
      <c r="D9">
        <f>SUMIF('Team Lineups'!C:C,A9,'Team Lineups'!E:E)</f>
        <v>108</v>
      </c>
      <c r="E9">
        <f>SUMIF('Team Lineups'!C:C,A9,'Team Lineups'!F:F)</f>
        <v>122</v>
      </c>
      <c r="F9">
        <f t="shared" si="0"/>
        <v>-14</v>
      </c>
      <c r="G9">
        <f>COUNTIFS('Team Lineups'!C:C,A9,'Team Lineups'!G:G,"Win")</f>
        <v>6</v>
      </c>
      <c r="H9">
        <f>COUNTIFS('Team Lineups'!C:C,A9,'Team Lineups'!G:G,"Draw")</f>
        <v>4</v>
      </c>
      <c r="I9">
        <f>COUNTIFS('Team Lineups'!C:C,A9,'Team Lineups'!G:G,"Loss")</f>
        <v>10</v>
      </c>
      <c r="J9" s="3">
        <f t="shared" si="3"/>
        <v>0.3</v>
      </c>
      <c r="K9" s="3">
        <f t="shared" si="4"/>
        <v>0.5</v>
      </c>
      <c r="L9">
        <f>SUMIF('Team Lineups'!C:C,A9,'Team Lineups'!H:H)</f>
        <v>12</v>
      </c>
      <c r="M9">
        <f t="shared" si="1"/>
        <v>0.6</v>
      </c>
      <c r="N9">
        <f>SUMIF('Team Lineups'!C:C,A9,'Team Lineups'!I:I)</f>
        <v>6</v>
      </c>
      <c r="O9">
        <f>COUNTIF(Matches!G:G,A9)</f>
        <v>1</v>
      </c>
      <c r="P9">
        <f t="shared" si="2"/>
        <v>0.05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3</v>
      </c>
      <c r="D11">
        <f>SUMIF('Team Lineups'!C:C,A11,'Team Lineups'!E:E)</f>
        <v>29</v>
      </c>
      <c r="E11">
        <f>SUMIF('Team Lineups'!C:C,A11,'Team Lineups'!F:F)</f>
        <v>17</v>
      </c>
      <c r="F11">
        <f t="shared" si="0"/>
        <v>12</v>
      </c>
      <c r="G11">
        <f>COUNTIFS('Team Lineups'!C:C,A11,'Team Lineups'!G:G,"Win")</f>
        <v>3</v>
      </c>
      <c r="H11">
        <f>COUNTIFS('Team Lineups'!C:C,A11,'Team Lineups'!G:G,"Draw")</f>
        <v>0</v>
      </c>
      <c r="I11">
        <f>COUNTIFS('Team Lineups'!C:C,A11,'Team Lineups'!G:G,"Loss")</f>
        <v>0</v>
      </c>
      <c r="J11" s="3">
        <f t="shared" si="3"/>
        <v>1</v>
      </c>
      <c r="K11" s="3">
        <f t="shared" si="4"/>
        <v>0</v>
      </c>
      <c r="L11">
        <f>SUMIF('Team Lineups'!C:C,A11,'Team Lineups'!H:H)</f>
        <v>2</v>
      </c>
      <c r="M11">
        <f t="shared" si="1"/>
        <v>0.66666666666666663</v>
      </c>
      <c r="N11">
        <f>SUMIF('Team Lineups'!C:C,A11,'Team Lineups'!I:I)</f>
        <v>1</v>
      </c>
      <c r="O11">
        <f>COUNTIF(Matches!G:G,A11)</f>
        <v>0</v>
      </c>
      <c r="P11">
        <f t="shared" si="2"/>
        <v>0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29</v>
      </c>
      <c r="D12">
        <f>SUMIF('Team Lineups'!C:C,A12,'Team Lineups'!E:E)</f>
        <v>210</v>
      </c>
      <c r="E12">
        <f>SUMIF('Team Lineups'!C:C,A12,'Team Lineups'!F:F)</f>
        <v>205</v>
      </c>
      <c r="F12">
        <f t="shared" si="0"/>
        <v>5</v>
      </c>
      <c r="G12">
        <f>COUNTIFS('Team Lineups'!C:C,A12,'Team Lineups'!G:G,"Win")</f>
        <v>11</v>
      </c>
      <c r="H12">
        <f>COUNTIFS('Team Lineups'!C:C,A12,'Team Lineups'!G:G,"Draw")</f>
        <v>3</v>
      </c>
      <c r="I12">
        <f>COUNTIFS('Team Lineups'!C:C,A12,'Team Lineups'!G:G,"Loss")</f>
        <v>15</v>
      </c>
      <c r="J12" s="3">
        <f t="shared" si="3"/>
        <v>0.37931034482758619</v>
      </c>
      <c r="K12" s="3">
        <f t="shared" si="4"/>
        <v>0.51724137931034486</v>
      </c>
      <c r="L12">
        <f>SUMIF('Team Lineups'!C:C,A12,'Team Lineups'!H:H)</f>
        <v>49</v>
      </c>
      <c r="M12">
        <f t="shared" si="1"/>
        <v>1.6896551724137931</v>
      </c>
      <c r="N12">
        <f>SUMIF('Team Lineups'!C:C,A12,'Team Lineups'!I:I)</f>
        <v>23</v>
      </c>
      <c r="O12">
        <f>COUNTIF(Matches!G:G,A12)</f>
        <v>1</v>
      </c>
      <c r="P12">
        <f t="shared" si="2"/>
        <v>3.4482758620689655E-2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10</v>
      </c>
      <c r="D15">
        <f>SUMIF('Team Lineups'!C:C,A15,'Team Lineups'!E:E)</f>
        <v>74</v>
      </c>
      <c r="E15">
        <f>SUMIF('Team Lineups'!C:C,A15,'Team Lineups'!F:F)</f>
        <v>53</v>
      </c>
      <c r="F15">
        <f t="shared" si="0"/>
        <v>21</v>
      </c>
      <c r="G15">
        <f>COUNTIFS('Team Lineups'!C:C,A15,'Team Lineups'!G:G,"Win")</f>
        <v>5</v>
      </c>
      <c r="H15">
        <f>COUNTIFS('Team Lineups'!C:C,A15,'Team Lineups'!G:G,"Draw")</f>
        <v>3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</v>
      </c>
      <c r="L15">
        <f>SUMIF('Team Lineups'!C:C,A15,'Team Lineups'!H:H)</f>
        <v>5</v>
      </c>
      <c r="M15">
        <f t="shared" si="1"/>
        <v>0.5</v>
      </c>
      <c r="N15">
        <f>SUMIF('Team Lineups'!C:C,A15,'Team Lineups'!I:I)</f>
        <v>8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23</v>
      </c>
      <c r="D16">
        <f>SUMIF('Team Lineups'!C:C,A16,'Team Lineups'!E:E)</f>
        <v>134</v>
      </c>
      <c r="E16">
        <f>SUMIF('Team Lineups'!C:C,A16,'Team Lineups'!F:F)</f>
        <v>146</v>
      </c>
      <c r="F16">
        <f t="shared" si="0"/>
        <v>-12</v>
      </c>
      <c r="G16">
        <f>COUNTIFS('Team Lineups'!C:C,A16,'Team Lineups'!G:G,"Win")</f>
        <v>7</v>
      </c>
      <c r="H16">
        <f>COUNTIFS('Team Lineups'!C:C,A16,'Team Lineups'!G:G,"Draw")</f>
        <v>5</v>
      </c>
      <c r="I16">
        <f>COUNTIFS('Team Lineups'!C:C,A16,'Team Lineups'!G:G,"Loss")</f>
        <v>11</v>
      </c>
      <c r="J16" s="3">
        <f t="shared" si="3"/>
        <v>0.30434782608695654</v>
      </c>
      <c r="K16" s="3">
        <f t="shared" si="4"/>
        <v>0.47826086956521741</v>
      </c>
      <c r="L16">
        <f>SUMIF('Team Lineups'!C:C,A16,'Team Lineups'!H:H)</f>
        <v>11</v>
      </c>
      <c r="M16">
        <f t="shared" si="1"/>
        <v>0.47826086956521741</v>
      </c>
      <c r="N16">
        <f>SUMIF('Team Lineups'!C:C,A16,'Team Lineups'!I:I)</f>
        <v>7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25</v>
      </c>
      <c r="D17">
        <f>SUMIF('Team Lineups'!C:C,A17,'Team Lineups'!E:E)</f>
        <v>165</v>
      </c>
      <c r="E17">
        <f>SUMIF('Team Lineups'!C:C,A17,'Team Lineups'!F:F)</f>
        <v>157</v>
      </c>
      <c r="F17">
        <f t="shared" si="0"/>
        <v>8</v>
      </c>
      <c r="G17">
        <f>COUNTIFS('Team Lineups'!C:C,A17,'Team Lineups'!G:G,"Win")</f>
        <v>12</v>
      </c>
      <c r="H17">
        <f>COUNTIFS('Team Lineups'!C:C,A17,'Team Lineups'!G:G,"Draw")</f>
        <v>5</v>
      </c>
      <c r="I17">
        <f>COUNTIFS('Team Lineups'!C:C,A17,'Team Lineups'!G:G,"Loss")</f>
        <v>8</v>
      </c>
      <c r="J17" s="3">
        <f t="shared" si="3"/>
        <v>0.48</v>
      </c>
      <c r="K17" s="3">
        <f t="shared" si="4"/>
        <v>0.32</v>
      </c>
      <c r="L17">
        <f>SUMIF('Team Lineups'!C:C,A17,'Team Lineups'!H:H)</f>
        <v>16</v>
      </c>
      <c r="M17">
        <f t="shared" si="1"/>
        <v>0.64</v>
      </c>
      <c r="N17">
        <f>SUMIF('Team Lineups'!C:C,A17,'Team Lineups'!I:I)</f>
        <v>21</v>
      </c>
      <c r="O17">
        <f>COUNTIF(Matches!G:G,A17)</f>
        <v>1</v>
      </c>
      <c r="P17">
        <f t="shared" si="2"/>
        <v>0.04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25</v>
      </c>
      <c r="D18">
        <f>SUMIF('Team Lineups'!C:C,A18,'Team Lineups'!E:E)</f>
        <v>185</v>
      </c>
      <c r="E18">
        <f>SUMIF('Team Lineups'!C:C,A18,'Team Lineups'!F:F)</f>
        <v>201</v>
      </c>
      <c r="F18">
        <f t="shared" si="0"/>
        <v>-16</v>
      </c>
      <c r="G18">
        <f>COUNTIFS('Team Lineups'!C:C,A18,'Team Lineups'!G:G,"Win")</f>
        <v>10</v>
      </c>
      <c r="H18">
        <f>COUNTIFS('Team Lineups'!C:C,A18,'Team Lineups'!G:G,"Draw")</f>
        <v>4</v>
      </c>
      <c r="I18">
        <f>COUNTIFS('Team Lineups'!C:C,A18,'Team Lineups'!G:G,"Loss")</f>
        <v>11</v>
      </c>
      <c r="J18" s="3">
        <f t="shared" si="3"/>
        <v>0.4</v>
      </c>
      <c r="K18" s="3">
        <f t="shared" si="4"/>
        <v>0.44</v>
      </c>
      <c r="L18">
        <f>SUMIF('Team Lineups'!C:C,A18,'Team Lineups'!H:H)</f>
        <v>17</v>
      </c>
      <c r="M18">
        <f t="shared" si="1"/>
        <v>0.68</v>
      </c>
      <c r="N18">
        <f>SUMIF('Team Lineups'!C:C,A18,'Team Lineups'!I:I)</f>
        <v>11</v>
      </c>
      <c r="O18">
        <f>COUNTIF(Matches!G:G,A18)</f>
        <v>1</v>
      </c>
      <c r="P18">
        <f t="shared" si="2"/>
        <v>0.04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10</v>
      </c>
      <c r="D21">
        <f>SUMIF('Team Lineups'!C:C,A21,'Team Lineups'!E:E)</f>
        <v>73</v>
      </c>
      <c r="E21">
        <f>SUMIF('Team Lineups'!C:C,A21,'Team Lineups'!F:F)</f>
        <v>84</v>
      </c>
      <c r="F21">
        <f t="shared" si="0"/>
        <v>-11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6</v>
      </c>
      <c r="J21" s="3">
        <f t="shared" si="3"/>
        <v>0.3</v>
      </c>
      <c r="K21" s="3">
        <f t="shared" si="4"/>
        <v>0.6</v>
      </c>
      <c r="L21">
        <f>SUMIF('Team Lineups'!C:C,A21,'Team Lineups'!H:H)</f>
        <v>6</v>
      </c>
      <c r="M21">
        <f t="shared" si="1"/>
        <v>0.6</v>
      </c>
      <c r="N21">
        <f>SUMIF('Team Lineups'!C:C,A21,'Team Lineups'!I:I)</f>
        <v>15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6</v>
      </c>
      <c r="D22">
        <f>SUMIF('Team Lineups'!C:C,A22,'Team Lineups'!E:E)</f>
        <v>38</v>
      </c>
      <c r="E22">
        <f>SUMIF('Team Lineups'!C:C,A22,'Team Lineups'!F:F)</f>
        <v>61</v>
      </c>
      <c r="F22">
        <f t="shared" si="0"/>
        <v>-23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6</v>
      </c>
      <c r="J22" s="3">
        <f t="shared" si="3"/>
        <v>0</v>
      </c>
      <c r="K22" s="3">
        <f t="shared" si="4"/>
        <v>1</v>
      </c>
      <c r="L22">
        <f>SUMIF('Team Lineups'!C:C,A22,'Team Lineups'!H:H)</f>
        <v>10</v>
      </c>
      <c r="M22">
        <f t="shared" si="1"/>
        <v>1.6666666666666667</v>
      </c>
      <c r="N22">
        <f>SUMIF('Team Lineups'!C:C,A22,'Team Lineups'!I:I)</f>
        <v>6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31</v>
      </c>
      <c r="D23">
        <f>SUMIF('Team Lineups'!C:C,A23,'Team Lineups'!E:E)</f>
        <v>225</v>
      </c>
      <c r="E23">
        <f>SUMIF('Team Lineups'!C:C,A23,'Team Lineups'!F:F)</f>
        <v>189</v>
      </c>
      <c r="F23">
        <f t="shared" si="0"/>
        <v>36</v>
      </c>
      <c r="G23">
        <f>COUNTIFS('Team Lineups'!C:C,A23,'Team Lineups'!G:G,"Win")</f>
        <v>16</v>
      </c>
      <c r="H23">
        <f>COUNTIFS('Team Lineups'!C:C,A23,'Team Lineups'!G:G,"Draw")</f>
        <v>5</v>
      </c>
      <c r="I23">
        <f>COUNTIFS('Team Lineups'!C:C,A23,'Team Lineups'!G:G,"Loss")</f>
        <v>10</v>
      </c>
      <c r="J23" s="3">
        <f t="shared" si="3"/>
        <v>0.5161290322580645</v>
      </c>
      <c r="K23" s="3">
        <f t="shared" si="4"/>
        <v>0.32258064516129031</v>
      </c>
      <c r="L23">
        <f>SUMIF('Team Lineups'!C:C,A23,'Team Lineups'!H:H)</f>
        <v>50</v>
      </c>
      <c r="M23">
        <f t="shared" si="1"/>
        <v>1.6129032258064515</v>
      </c>
      <c r="N23">
        <f>SUMIF('Team Lineups'!C:C,A23,'Team Lineups'!I:I)</f>
        <v>17</v>
      </c>
      <c r="O23">
        <f>COUNTIF(Matches!G:G,A23)</f>
        <v>6</v>
      </c>
      <c r="P23">
        <f t="shared" si="2"/>
        <v>0.19354838709677419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29</v>
      </c>
      <c r="D24">
        <f>SUMIF('Team Lineups'!C:C,A24,'Team Lineups'!E:E)</f>
        <v>192</v>
      </c>
      <c r="E24">
        <f>SUMIF('Team Lineups'!C:C,A24,'Team Lineups'!F:F)</f>
        <v>199</v>
      </c>
      <c r="F24">
        <f t="shared" si="0"/>
        <v>-7</v>
      </c>
      <c r="G24">
        <f>COUNTIFS('Team Lineups'!C:C,A24,'Team Lineups'!G:G,"Win")</f>
        <v>11</v>
      </c>
      <c r="H24">
        <f>COUNTIFS('Team Lineups'!C:C,A24,'Team Lineups'!G:G,"Draw")</f>
        <v>5</v>
      </c>
      <c r="I24">
        <f>COUNTIFS('Team Lineups'!C:C,A24,'Team Lineups'!G:G,"Loss")</f>
        <v>13</v>
      </c>
      <c r="J24" s="3">
        <f t="shared" si="3"/>
        <v>0.37931034482758619</v>
      </c>
      <c r="K24" s="3">
        <f t="shared" si="4"/>
        <v>0.44827586206896552</v>
      </c>
      <c r="L24">
        <f>SUMIF('Team Lineups'!C:C,A24,'Team Lineups'!H:H)</f>
        <v>17</v>
      </c>
      <c r="M24">
        <f t="shared" si="1"/>
        <v>0.58620689655172409</v>
      </c>
      <c r="N24">
        <f>SUMIF('Team Lineups'!C:C,A24,'Team Lineups'!I:I)</f>
        <v>12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28</v>
      </c>
      <c r="D25">
        <f>SUMIF('Team Lineups'!C:C,A25,'Team Lineups'!E:E)</f>
        <v>200</v>
      </c>
      <c r="E25">
        <f>SUMIF('Team Lineups'!C:C,A25,'Team Lineups'!F:F)</f>
        <v>184</v>
      </c>
      <c r="F25">
        <f t="shared" si="0"/>
        <v>16</v>
      </c>
      <c r="G25">
        <f>COUNTIFS('Team Lineups'!C:C,A25,'Team Lineups'!G:G,"Win")</f>
        <v>15</v>
      </c>
      <c r="H25">
        <f>COUNTIFS('Team Lineups'!C:C,A25,'Team Lineups'!G:G,"Draw")</f>
        <v>4</v>
      </c>
      <c r="I25">
        <f>COUNTIFS('Team Lineups'!C:C,A25,'Team Lineups'!G:G,"Loss")</f>
        <v>9</v>
      </c>
      <c r="J25" s="3">
        <f t="shared" si="3"/>
        <v>0.5357142857142857</v>
      </c>
      <c r="K25" s="3">
        <f t="shared" si="4"/>
        <v>0.32142857142857145</v>
      </c>
      <c r="L25">
        <f>SUMIF('Team Lineups'!C:C,A25,'Team Lineups'!H:H)</f>
        <v>36</v>
      </c>
      <c r="M25">
        <f t="shared" si="1"/>
        <v>1.2857142857142858</v>
      </c>
      <c r="N25">
        <f>SUMIF('Team Lineups'!C:C,A25,'Team Lineups'!I:I)</f>
        <v>16</v>
      </c>
      <c r="O25">
        <f>COUNTIF(Matches!G:G,A25)</f>
        <v>2</v>
      </c>
      <c r="P25">
        <f t="shared" si="2"/>
        <v>7.1428571428571425E-2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14</v>
      </c>
      <c r="D26">
        <f>SUMIF('Team Lineups'!C:C,A26,'Team Lineups'!E:E)</f>
        <v>68</v>
      </c>
      <c r="E26">
        <f>SUMIF('Team Lineups'!C:C,A26,'Team Lineups'!F:F)</f>
        <v>80</v>
      </c>
      <c r="F26">
        <f t="shared" si="0"/>
        <v>-12</v>
      </c>
      <c r="G26">
        <f>COUNTIFS('Team Lineups'!C:C,A26,'Team Lineups'!G:G,"Win")</f>
        <v>4</v>
      </c>
      <c r="H26">
        <f>COUNTIFS('Team Lineups'!C:C,A26,'Team Lineups'!G:G,"Draw")</f>
        <v>2</v>
      </c>
      <c r="I26">
        <f>COUNTIFS('Team Lineups'!C:C,A26,'Team Lineups'!G:G,"Loss")</f>
        <v>8</v>
      </c>
      <c r="J26" s="3">
        <f t="shared" si="3"/>
        <v>0.2857142857142857</v>
      </c>
      <c r="K26" s="3">
        <f t="shared" si="4"/>
        <v>0.5714285714285714</v>
      </c>
      <c r="L26">
        <f>SUMIF('Team Lineups'!C:C,A26,'Team Lineups'!H:H)</f>
        <v>6</v>
      </c>
      <c r="M26">
        <f t="shared" si="1"/>
        <v>0.42857142857142855</v>
      </c>
      <c r="N26">
        <f>SUMIF('Team Lineups'!C:C,A26,'Team Lineups'!I:I)</f>
        <v>7</v>
      </c>
      <c r="O26">
        <f>COUNTIF(Matches!G:G,A26)</f>
        <v>2</v>
      </c>
      <c r="P26">
        <f t="shared" si="2"/>
        <v>0.14285714285714285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2</v>
      </c>
      <c r="D30">
        <f>SUMIF('Team Lineups'!C:C,A30,'Team Lineups'!E:E)</f>
        <v>23</v>
      </c>
      <c r="E30">
        <f>SUMIF('Team Lineups'!C:C,A30,'Team Lineups'!F:F)</f>
        <v>26</v>
      </c>
      <c r="F30">
        <f t="shared" si="5"/>
        <v>-3</v>
      </c>
      <c r="G30">
        <f>COUNTIFS('Team Lineups'!C:C,A30,'Team Lineups'!G:G,"Win")</f>
        <v>1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0.5</v>
      </c>
      <c r="K30" s="3">
        <f t="shared" si="4"/>
        <v>0.5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26</v>
      </c>
      <c r="D33">
        <f>SUMIF('Team Lineups'!C:C,A33,'Team Lineups'!E:E)</f>
        <v>179</v>
      </c>
      <c r="E33">
        <f>SUMIF('Team Lineups'!C:C,A33,'Team Lineups'!F:F)</f>
        <v>196</v>
      </c>
      <c r="F33">
        <f t="shared" si="5"/>
        <v>-17</v>
      </c>
      <c r="G33">
        <f>COUNTIFS('Team Lineups'!C:C,A33,'Team Lineups'!G:G,"Win")</f>
        <v>11</v>
      </c>
      <c r="H33">
        <f>COUNTIFS('Team Lineups'!C:C,A33,'Team Lineups'!G:G,"Draw")</f>
        <v>4</v>
      </c>
      <c r="I33">
        <f>COUNTIFS('Team Lineups'!C:C,A33,'Team Lineups'!G:G,"Loss")</f>
        <v>11</v>
      </c>
      <c r="J33" s="3">
        <f t="shared" si="6"/>
        <v>0.42307692307692307</v>
      </c>
      <c r="K33" s="3">
        <f t="shared" si="4"/>
        <v>0.42307692307692307</v>
      </c>
      <c r="L33">
        <f>SUMIF('Team Lineups'!C:C,A33,'Team Lineups'!H:H)</f>
        <v>60</v>
      </c>
      <c r="M33">
        <f t="shared" si="7"/>
        <v>2.3076923076923075</v>
      </c>
      <c r="N33">
        <f>SUMIF('Team Lineups'!C:C,A33,'Team Lineups'!I:I)</f>
        <v>26</v>
      </c>
      <c r="O33">
        <f>COUNTIF(Matches!G:G,A33)</f>
        <v>2</v>
      </c>
      <c r="P33">
        <f t="shared" si="8"/>
        <v>7.6923076923076927E-2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14</v>
      </c>
      <c r="D34">
        <f>SUMIF('Team Lineups'!C:C,A34,'Team Lineups'!E:E)</f>
        <v>105</v>
      </c>
      <c r="E34">
        <f>SUMIF('Team Lineups'!C:C,A34,'Team Lineups'!F:F)</f>
        <v>85</v>
      </c>
      <c r="F34">
        <f t="shared" si="5"/>
        <v>20</v>
      </c>
      <c r="G34">
        <f>COUNTIFS('Team Lineups'!C:C,A34,'Team Lineups'!G:G,"Win")</f>
        <v>9</v>
      </c>
      <c r="H34">
        <f>COUNTIFS('Team Lineups'!C:C,A34,'Team Lineups'!G:G,"Draw")</f>
        <v>1</v>
      </c>
      <c r="I34">
        <f>COUNTIFS('Team Lineups'!C:C,A34,'Team Lineups'!G:G,"Loss")</f>
        <v>4</v>
      </c>
      <c r="J34" s="3">
        <f t="shared" si="6"/>
        <v>0.6428571428571429</v>
      </c>
      <c r="K34" s="3">
        <f t="shared" si="4"/>
        <v>0.2857142857142857</v>
      </c>
      <c r="L34">
        <f>SUMIF('Team Lineups'!C:C,A34,'Team Lineups'!H:H)</f>
        <v>23</v>
      </c>
      <c r="M34">
        <f t="shared" si="7"/>
        <v>1.6428571428571428</v>
      </c>
      <c r="N34">
        <f>SUMIF('Team Lineups'!C:C,A34,'Team Lineups'!I:I)</f>
        <v>14</v>
      </c>
      <c r="O34">
        <f>COUNTIF(Matches!G:G,A34)</f>
        <v>2</v>
      </c>
      <c r="P34">
        <f t="shared" si="8"/>
        <v>0.14285714285714285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11</v>
      </c>
      <c r="D37">
        <f>SUMIF('Team Lineups'!C:C,A37,'Team Lineups'!E:E)</f>
        <v>64</v>
      </c>
      <c r="E37">
        <f>SUMIF('Team Lineups'!C:C,A37,'Team Lineups'!F:F)</f>
        <v>70</v>
      </c>
      <c r="F37">
        <f t="shared" ref="F37:F42" si="17">D37-E37</f>
        <v>-6</v>
      </c>
      <c r="G37">
        <f>COUNTIFS('Team Lineups'!C:C,A37,'Team Lineups'!G:G,"Win")</f>
        <v>5</v>
      </c>
      <c r="H37">
        <f>COUNTIFS('Team Lineups'!C:C,A37,'Team Lineups'!G:G,"Draw")</f>
        <v>2</v>
      </c>
      <c r="I37">
        <f>COUNTIFS('Team Lineups'!C:C,A37,'Team Lineups'!G:G,"Loss")</f>
        <v>4</v>
      </c>
      <c r="J37" s="3">
        <f t="shared" ref="J37:J42" si="18">G37/C37</f>
        <v>0.45454545454545453</v>
      </c>
      <c r="K37" s="3">
        <f t="shared" ref="K37:K42" si="19">I37/C37</f>
        <v>0.36363636363636365</v>
      </c>
      <c r="L37">
        <f>SUMIF('Team Lineups'!C:C,A37,'Team Lineups'!H:H)</f>
        <v>8</v>
      </c>
      <c r="M37">
        <f t="shared" ref="M37:M42" si="20">L37/C37</f>
        <v>0.72727272727272729</v>
      </c>
      <c r="N37">
        <f>SUMIF('Team Lineups'!C:C,A37,'Team Lineups'!I:I)</f>
        <v>10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3</v>
      </c>
      <c r="D38">
        <f>SUMIF('Team Lineups'!C:C,A38,'Team Lineups'!E:E)</f>
        <v>17</v>
      </c>
      <c r="E38">
        <f>SUMIF('Team Lineups'!C:C,A38,'Team Lineups'!F:F)</f>
        <v>15</v>
      </c>
      <c r="F38">
        <f t="shared" si="17"/>
        <v>2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1</v>
      </c>
      <c r="J38" s="3">
        <f t="shared" si="18"/>
        <v>0.66666666666666663</v>
      </c>
      <c r="K38" s="3">
        <f t="shared" si="19"/>
        <v>0.33333333333333331</v>
      </c>
      <c r="L38">
        <f>SUMIF('Team Lineups'!C:C,A38,'Team Lineups'!H:H)</f>
        <v>5</v>
      </c>
      <c r="M38">
        <f t="shared" si="20"/>
        <v>1.6666666666666667</v>
      </c>
      <c r="N38">
        <f>SUMIF('Team Lineups'!C:C,A38,'Team Lineups'!I:I)</f>
        <v>0</v>
      </c>
      <c r="O38">
        <f>COUNTIF(Matches!G:G,A38)</f>
        <v>2</v>
      </c>
      <c r="P38">
        <f t="shared" si="21"/>
        <v>0.66666666666666663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18</v>
      </c>
      <c r="D41">
        <f>SUMIF('Team Lineups'!C:C,A41,'Team Lineups'!E:E)</f>
        <v>126</v>
      </c>
      <c r="E41">
        <f>SUMIF('Team Lineups'!C:C,A41,'Team Lineups'!F:F)</f>
        <v>136</v>
      </c>
      <c r="F41">
        <f t="shared" si="17"/>
        <v>-10</v>
      </c>
      <c r="G41">
        <f>COUNTIFS('Team Lineups'!C:C,A41,'Team Lineups'!G:G,"Win")</f>
        <v>6</v>
      </c>
      <c r="H41">
        <f>COUNTIFS('Team Lineups'!C:C,A41,'Team Lineups'!G:G,"Draw")</f>
        <v>3</v>
      </c>
      <c r="I41">
        <f>COUNTIFS('Team Lineups'!C:C,A41,'Team Lineups'!G:G,"Loss")</f>
        <v>9</v>
      </c>
      <c r="J41" s="3">
        <f t="shared" si="18"/>
        <v>0.33333333333333331</v>
      </c>
      <c r="K41" s="3">
        <f t="shared" si="19"/>
        <v>0.5</v>
      </c>
      <c r="L41">
        <f>SUMIF('Team Lineups'!C:C,A41,'Team Lineups'!H:H)</f>
        <v>14</v>
      </c>
      <c r="M41">
        <f t="shared" si="20"/>
        <v>0.77777777777777779</v>
      </c>
      <c r="N41">
        <f>SUMIF('Team Lineups'!C:C,A41,'Team Lineups'!I:I)</f>
        <v>6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19</v>
      </c>
      <c r="D42">
        <f>SUMIF('Team Lineups'!C:C,A42,'Team Lineups'!E:E)</f>
        <v>149</v>
      </c>
      <c r="E42">
        <f>SUMIF('Team Lineups'!C:C,A42,'Team Lineups'!F:F)</f>
        <v>141</v>
      </c>
      <c r="F42">
        <f t="shared" si="17"/>
        <v>8</v>
      </c>
      <c r="G42">
        <f>COUNTIFS('Team Lineups'!C:C,A42,'Team Lineups'!G:G,"Win")</f>
        <v>9</v>
      </c>
      <c r="H42">
        <f>COUNTIFS('Team Lineups'!C:C,A42,'Team Lineups'!G:G,"Draw")</f>
        <v>3</v>
      </c>
      <c r="I42">
        <f>COUNTIFS('Team Lineups'!C:C,A42,'Team Lineups'!G:G,"Loss")</f>
        <v>7</v>
      </c>
      <c r="J42" s="3">
        <f t="shared" si="18"/>
        <v>0.47368421052631576</v>
      </c>
      <c r="K42" s="3">
        <f t="shared" si="19"/>
        <v>0.36842105263157893</v>
      </c>
      <c r="L42">
        <f>SUMIF('Team Lineups'!C:C,A42,'Team Lineups'!H:H)</f>
        <v>47</v>
      </c>
      <c r="M42">
        <f t="shared" si="20"/>
        <v>2.4736842105263159</v>
      </c>
      <c r="N42">
        <f>SUMIF('Team Lineups'!C:C,A42,'Team Lineups'!I:I)</f>
        <v>18</v>
      </c>
      <c r="O42">
        <f>COUNTIF(Matches!G:G,A42)</f>
        <v>1</v>
      </c>
      <c r="P42">
        <f t="shared" si="21"/>
        <v>5.2631578947368418E-2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8</v>
      </c>
      <c r="D44">
        <f>SUMIF('Team Lineups'!C:C,A44,'Team Lineups'!E:E)</f>
        <v>85</v>
      </c>
      <c r="E44">
        <f>SUMIF('Team Lineups'!C:C,A44,'Team Lineups'!F:F)</f>
        <v>64</v>
      </c>
      <c r="F44">
        <f t="shared" ref="F44" si="27">D44-E44</f>
        <v>21</v>
      </c>
      <c r="G44">
        <f>COUNTIFS('Team Lineups'!C:C,A44,'Team Lineups'!G:G,"Win")</f>
        <v>6</v>
      </c>
      <c r="H44">
        <f>COUNTIFS('Team Lineups'!C:C,A44,'Team Lineups'!G:G,"Draw")</f>
        <v>0</v>
      </c>
      <c r="I44">
        <f>COUNTIFS('Team Lineups'!C:C,A44,'Team Lineups'!G:G,"Loss")</f>
        <v>2</v>
      </c>
      <c r="J44" s="3">
        <f t="shared" ref="J44" si="28">G44/C44</f>
        <v>0.75</v>
      </c>
      <c r="K44" s="3">
        <f t="shared" ref="K44" si="29">I44/C44</f>
        <v>0.25</v>
      </c>
      <c r="L44">
        <f>SUMIF('Team Lineups'!C:C,A44,'Team Lineups'!H:H)</f>
        <v>22</v>
      </c>
      <c r="M44">
        <f t="shared" ref="M44" si="30">L44/C44</f>
        <v>2.75</v>
      </c>
      <c r="N44">
        <f>SUMIF('Team Lineups'!C:C,A44,'Team Lineups'!I:I)</f>
        <v>14</v>
      </c>
      <c r="O44">
        <f>COUNTIF(Matches!G:G,A44)</f>
        <v>2</v>
      </c>
      <c r="P44">
        <f t="shared" ref="P44" si="31">O44/C44</f>
        <v>0.25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11</v>
      </c>
      <c r="D45">
        <f>SUMIF('Team Lineups'!C:C,A45,'Team Lineups'!E:E)</f>
        <v>66</v>
      </c>
      <c r="E45">
        <f>SUMIF('Team Lineups'!C:C,A45,'Team Lineups'!F:F)</f>
        <v>76</v>
      </c>
      <c r="F45">
        <f t="shared" ref="F45" si="32">D45-E45</f>
        <v>-10</v>
      </c>
      <c r="G45">
        <f>COUNTIFS('Team Lineups'!C:C,A45,'Team Lineups'!G:G,"Win")</f>
        <v>4</v>
      </c>
      <c r="H45">
        <f>COUNTIFS('Team Lineups'!C:C,A45,'Team Lineups'!G:G,"Draw")</f>
        <v>1</v>
      </c>
      <c r="I45">
        <f>COUNTIFS('Team Lineups'!C:C,A45,'Team Lineups'!G:G,"Loss")</f>
        <v>6</v>
      </c>
      <c r="J45" s="3">
        <f t="shared" ref="J45" si="33">G45/C45</f>
        <v>0.36363636363636365</v>
      </c>
      <c r="K45" s="3">
        <f t="shared" ref="K45" si="34">I45/C45</f>
        <v>0.54545454545454541</v>
      </c>
      <c r="L45">
        <f>SUMIF('Team Lineups'!C:C,A45,'Team Lineups'!H:H)</f>
        <v>4</v>
      </c>
      <c r="M45">
        <f t="shared" ref="M45" si="35">L45/C45</f>
        <v>0.36363636363636365</v>
      </c>
      <c r="N45">
        <f>SUMIF('Team Lineups'!C:C,A45,'Team Lineups'!I:I)</f>
        <v>1</v>
      </c>
      <c r="O45">
        <f>COUNTIF(Matches!G:G,A45)</f>
        <v>3</v>
      </c>
      <c r="P45">
        <f t="shared" ref="P45" si="36">O45/C45</f>
        <v>0.27272727272727271</v>
      </c>
      <c r="Q45">
        <f>SUMIF('Team Lineups'!C:C,A45,'Team Lineups'!J:J)</f>
        <v>0</v>
      </c>
    </row>
    <row r="46" spans="1:17" x14ac:dyDescent="0.35">
      <c r="A46" t="s">
        <v>111</v>
      </c>
      <c r="C46">
        <f>COUNTIF('Team Lineups'!C:C,A46)</f>
        <v>1</v>
      </c>
      <c r="D46">
        <f>SUMIF('Team Lineups'!C:C,A46,'Team Lineups'!E:E)</f>
        <v>7</v>
      </c>
      <c r="E46">
        <f>SUMIF('Team Lineups'!C:C,A46,'Team Lineups'!F:F)</f>
        <v>9</v>
      </c>
      <c r="F46">
        <f t="shared" ref="F46" si="37">D46-E46</f>
        <v>-2</v>
      </c>
      <c r="G46">
        <f>COUNTIFS('Team Lineups'!C:C,A46,'Team Lineups'!G:G,"Win")</f>
        <v>0</v>
      </c>
      <c r="H46">
        <f>COUNTIFS('Team Lineups'!C:C,A46,'Team Lineups'!G:G,"Draw")</f>
        <v>0</v>
      </c>
      <c r="I46">
        <f>COUNTIFS('Team Lineups'!C:C,A46,'Team Lineups'!G:G,"Loss")</f>
        <v>1</v>
      </c>
      <c r="J46" s="3">
        <f t="shared" ref="J46" si="38">G46/C46</f>
        <v>0</v>
      </c>
      <c r="K46" s="3">
        <f t="shared" ref="K46" si="39">I46/C46</f>
        <v>1</v>
      </c>
      <c r="L46">
        <f>SUMIF('Team Lineups'!C:C,A46,'Team Lineups'!H:H)</f>
        <v>1</v>
      </c>
      <c r="M46">
        <f t="shared" ref="M46" si="40">L46/C46</f>
        <v>1</v>
      </c>
      <c r="N46">
        <f>SUMIF('Team Lineups'!C:C,A46,'Team Lineups'!I:I)</f>
        <v>1</v>
      </c>
      <c r="O46">
        <f>COUNTIF(Matches!G:G,A46)</f>
        <v>0</v>
      </c>
      <c r="P46">
        <f t="shared" ref="P46" si="41">O46/C46</f>
        <v>0</v>
      </c>
      <c r="Q46">
        <f>SUMIF('Team Lineups'!C:C,A46,'Team Lineups'!J:J)</f>
        <v>0</v>
      </c>
    </row>
    <row r="47" spans="1:17" x14ac:dyDescent="0.35">
      <c r="A47" t="s">
        <v>116</v>
      </c>
      <c r="C47">
        <f>COUNTIF('Team Lineups'!C:C,A47)</f>
        <v>1</v>
      </c>
      <c r="D47">
        <f>SUMIF('Team Lineups'!C:C,A47,'Team Lineups'!E:E)</f>
        <v>12</v>
      </c>
      <c r="E47">
        <f>SUMIF('Team Lineups'!C:C,A47,'Team Lineups'!F:F)</f>
        <v>6</v>
      </c>
      <c r="F47">
        <f t="shared" ref="F47" si="42">D47-E47</f>
        <v>6</v>
      </c>
      <c r="G47">
        <f>COUNTIFS('Team Lineups'!C:C,A47,'Team Lineups'!G:G,"Win")</f>
        <v>1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ref="J47" si="43">G47/C47</f>
        <v>1</v>
      </c>
      <c r="K47" s="3">
        <f t="shared" ref="K47" si="44">I47/C47</f>
        <v>0</v>
      </c>
      <c r="L47">
        <f>SUMIF('Team Lineups'!C:C,A47,'Team Lineups'!H:H)</f>
        <v>1</v>
      </c>
      <c r="M47">
        <f t="shared" ref="M47" si="45">L47/C47</f>
        <v>1</v>
      </c>
      <c r="N47">
        <f>SUMIF('Team Lineups'!C:C,A47,'Team Lineups'!I:I)</f>
        <v>0</v>
      </c>
      <c r="O47">
        <f>COUNTIF(Matches!G:G,A47)</f>
        <v>0</v>
      </c>
      <c r="P47">
        <f t="shared" ref="P47" si="46">O47/C47</f>
        <v>0</v>
      </c>
      <c r="Q47">
        <f>SUMIF('Team Lineups'!C:C,A47,'Team Lineups'!J:J)</f>
        <v>0</v>
      </c>
    </row>
    <row r="48" spans="1:17" x14ac:dyDescent="0.35">
      <c r="A48" t="s">
        <v>120</v>
      </c>
      <c r="C48">
        <f>COUNTIF('Team Lineups'!C:C,A48)</f>
        <v>1</v>
      </c>
      <c r="D48">
        <f>SUMIF('Team Lineups'!C:C,A48,'Team Lineups'!E:E)</f>
        <v>14</v>
      </c>
      <c r="E48">
        <f>SUMIF('Team Lineups'!C:C,A48,'Team Lineups'!F:F)</f>
        <v>8</v>
      </c>
      <c r="F48">
        <f t="shared" ref="F48" si="47">D48-E48</f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ref="J48" si="48">G48/C48</f>
        <v>1</v>
      </c>
      <c r="K48" s="3">
        <f t="shared" ref="K48" si="49">I48/C48</f>
        <v>0</v>
      </c>
      <c r="L48">
        <f>SUMIF('Team Lineups'!C:C,A48,'Team Lineups'!H:H)</f>
        <v>2</v>
      </c>
      <c r="M48">
        <f t="shared" ref="M48" si="50">L48/C48</f>
        <v>2</v>
      </c>
      <c r="N48">
        <f>SUMIF('Team Lineups'!C:C,A48,'Team Lineups'!I:I)</f>
        <v>4</v>
      </c>
      <c r="O48">
        <f>COUNTIF(Matches!G:G,A48)</f>
        <v>0</v>
      </c>
      <c r="P48">
        <f t="shared" ref="P48" si="51">O48/C48</f>
        <v>0</v>
      </c>
      <c r="Q48">
        <f>SUMIF('Team Lineups'!C:C,A48,'Team Lineups'!J:J)</f>
        <v>0</v>
      </c>
    </row>
    <row r="49" spans="1:17" x14ac:dyDescent="0.35">
      <c r="A49" t="s">
        <v>121</v>
      </c>
      <c r="C49">
        <f>COUNTIF('Team Lineups'!C:C,A49)</f>
        <v>2</v>
      </c>
      <c r="D49">
        <f>SUMIF('Team Lineups'!C:C,A49,'Team Lineups'!E:E)</f>
        <v>14</v>
      </c>
      <c r="E49">
        <f>SUMIF('Team Lineups'!C:C,A49,'Team Lineups'!F:F)</f>
        <v>10</v>
      </c>
      <c r="F49">
        <f t="shared" ref="F49" si="52">D49-E49</f>
        <v>4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1</v>
      </c>
      <c r="J49" s="3">
        <f t="shared" ref="J49" si="53">G49/C49</f>
        <v>0.5</v>
      </c>
      <c r="K49" s="3">
        <f t="shared" ref="K49" si="54">I49/C49</f>
        <v>0.5</v>
      </c>
      <c r="L49">
        <f>SUMIF('Team Lineups'!C:C,A49,'Team Lineups'!H:H)</f>
        <v>5</v>
      </c>
      <c r="M49">
        <f t="shared" ref="M49" si="55">L49/C49</f>
        <v>2.5</v>
      </c>
      <c r="N49">
        <f>SUMIF('Team Lineups'!C:C,A49,'Team Lineups'!I:I)</f>
        <v>0</v>
      </c>
      <c r="O49">
        <f>COUNTIF(Matches!G:G,A49)</f>
        <v>1</v>
      </c>
      <c r="P49">
        <f t="shared" ref="P49" si="56">O49/C49</f>
        <v>0.5</v>
      </c>
      <c r="Q49">
        <f>SUMIF('Team Lineups'!C:C,A49,'Team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3" workbookViewId="0">
      <selection activeCell="D49" sqref="D49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4"/>
  <sheetViews>
    <sheetView tabSelected="1" topLeftCell="A539" workbookViewId="0">
      <selection activeCell="H555" sqref="H555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54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46234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46235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46236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46237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46238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46239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46240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46241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46242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46243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46244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46245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46246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9"/>
  <sheetViews>
    <sheetView topLeftCell="AF37" workbookViewId="0">
      <selection activeCell="AW50" sqref="AW50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9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22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8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7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10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4</v>
      </c>
      <c r="M2" cm="1">
        <f t="array" ref="M2">SUMPRODUCT(('Team Lineups'!$K$2:$K$2000&lt;&gt;"")*('Team Lineups'!$C$2:$C$2000=$A2)*COUNTIFS('Team Lineups'!$K$2:$K$2000,'Team Lineups'!$K$2:$K$2000,'Team Lineups'!$C$2:$C$2000,M$1))</f>
        <v>6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5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6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7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1</v>
      </c>
      <c r="AV2" cm="1">
        <f t="array" ref="AV2">SUMPRODUCT(('Team Lineups'!$K$2:$K$2000&lt;&gt;"")*('Team Lineups'!$C$2:$C$2000=$A2)*COUNTIFS('Team Lineups'!$K$2:$K$2000,'Team Lineups'!$K$2:$K$2000,'Team Lineups'!$C$2:$C$2000,AV$1))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8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24</v>
      </c>
      <c r="E4" cm="1">
        <f t="array" ref="E4">SUMPRODUCT(('Team Lineups'!$K$2:$K$2000&lt;&gt;"")*('Team Lineups'!$C$2:$C$2000=$A4)*COUNTIFS('Team Lineups'!$K$2:$K$2000,'Team Lineups'!$K$2:$K$2000,'Team Lineups'!$C$2:$C$2000,E$1))</f>
        <v>7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3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5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5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4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4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4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1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1</v>
      </c>
      <c r="AV4" cm="1">
        <f t="array" ref="AV4">SUMPRODUCT(('Team Lineups'!$K$2:$K$2000&lt;&gt;"")*('Team Lineups'!$C$2:$C$2000=$A4)*COUNTIFS('Team Lineups'!$K$2:$K$2000,'Team Lineups'!$K$2:$K$2000,'Team Lineups'!$C$2:$C$2000,AV$1))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7</v>
      </c>
      <c r="E5" cm="1">
        <f t="array" ref="E5">SUMPRODUCT(('Team Lineups'!$K$2:$K$2000&lt;&gt;"")*('Team Lineups'!$C$2:$C$2000=$A5)*COUNTIFS('Team Lineups'!$K$2:$K$2000,'Team Lineups'!$K$2:$K$2000,'Team Lineups'!$C$2:$C$2000,E$1))</f>
        <v>25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9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5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3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7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4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8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  <c r="AQ5" cm="1">
        <f t="array" ref="AQ5">SUMPRODUCT(('Team Lineups'!$K$2:$K$2000&lt;&gt;"")*('Team Lineups'!$C$2:$C$2000=$A5)*COUNTIFS('Team Lineups'!$K$2:$K$2000,'Team Lineups'!$K$2:$K$2000,'Team Lineups'!$C$2:$C$2000,AQ$1))</f>
        <v>2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1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25</v>
      </c>
      <c r="G6" cm="1">
        <f t="array" ref="G6">SUMPRODUCT(('Team Lineups'!$K$2:$K$2000&lt;&gt;"")*('Team Lineups'!$C$2:$C$2000=$A6)*COUNTIFS('Team Lineups'!$K$2:$K$2000,'Team Lineups'!$K$2:$K$2000,'Team Lineups'!$C$2:$C$2000,G$1))</f>
        <v>5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10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1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7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3</v>
      </c>
      <c r="E7" cm="1">
        <f t="array" ref="E7">SUMPRODUCT(('Team Lineups'!$K$2:$K$2000&lt;&gt;"")*('Team Lineups'!$C$2:$C$2000=$A7)*COUNTIFS('Team Lineups'!$K$2:$K$2000,'Team Lineups'!$K$2:$K$2000,'Team Lineups'!$C$2:$C$2000,E$1))</f>
        <v>9</v>
      </c>
      <c r="F7" cm="1">
        <f t="array" ref="F7">SUMPRODUCT(('Team Lineups'!$K$2:$K$2000&lt;&gt;"")*('Team Lineups'!$C$2:$C$2000=$A7)*COUNTIFS('Team Lineups'!$K$2:$K$2000,'Team Lineups'!$K$2:$K$2000,'Team Lineups'!$C$2:$C$2000,F$1))</f>
        <v>5</v>
      </c>
      <c r="G7" cm="1">
        <f t="array" ref="G7">SUMPRODUCT(('Team Lineups'!$K$2:$K$2000&lt;&gt;"")*('Team Lineups'!$C$2:$C$2000=$A7)*COUNTIFS('Team Lineups'!$K$2:$K$2000,'Team Lineups'!$K$2:$K$2000,'Team Lineups'!$C$2:$C$2000,G$1))</f>
        <v>31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9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7</v>
      </c>
      <c r="M7" cm="1">
        <f t="array" ref="M7">SUMPRODUCT(('Team Lineups'!$K$2:$K$2000&lt;&gt;"")*('Team Lineups'!$C$2:$C$2000=$A7)*COUNTIFS('Team Lineups'!$K$2:$K$2000,'Team Lineups'!$K$2:$K$2000,'Team Lineups'!$C$2:$C$2000,M$1))</f>
        <v>12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3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7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10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6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3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3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7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2</v>
      </c>
      <c r="AV7" cm="1">
        <f t="array" ref="AV7">SUMPRODUCT(('Team Lineups'!$K$2:$K$2000&lt;&gt;"")*('Team Lineups'!$C$2:$C$2000=$A7)*COUNTIFS('Team Lineups'!$K$2:$K$2000,'Team Lineups'!$K$2:$K$2000,'Team Lineups'!$C$2:$C$2000,AV$1))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23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9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7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4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2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2</v>
      </c>
      <c r="AQ8" cm="1">
        <f t="array" ref="AQ8">SUMPRODUCT(('Team Lineups'!$K$2:$K$2000&lt;&gt;"")*('Team Lineups'!$C$2:$C$2000=$A8)*COUNTIFS('Team Lineups'!$K$2:$K$2000,'Team Lineups'!$K$2:$K$2000,'Team Lineups'!$C$2:$C$2000,AQ$1))</f>
        <v>1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10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5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9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29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8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10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1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4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1</v>
      </c>
      <c r="AV9" cm="1">
        <f t="array" ref="AV9">SUMPRODUCT(('Team Lineups'!$K$2:$K$2000&lt;&gt;"")*('Team Lineups'!$C$2:$C$2000=$A9)*COUNTIFS('Team Lineups'!$K$2:$K$2000,'Team Lineups'!$K$2:$K$2000,'Team Lineups'!$C$2:$C$2000,AV$1))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4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10</v>
      </c>
      <c r="G12" cm="1">
        <f t="array" ref="G12">SUMPRODUCT(('Team Lineups'!$K$2:$K$2000&lt;&gt;"")*('Team Lineups'!$C$2:$C$2000=$A12)*COUNTIFS('Team Lineups'!$K$2:$K$2000,'Team Lineups'!$K$2:$K$2000,'Team Lineups'!$C$2:$C$2000,G$1))</f>
        <v>7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28</v>
      </c>
      <c r="M12" cm="1">
        <f t="array" ref="M12">SUMPRODUCT(('Team Lineups'!$K$2:$K$2000&lt;&gt;"")*('Team Lineups'!$C$2:$C$2000=$A12)*COUNTIFS('Team Lineups'!$K$2:$K$2000,'Team Lineups'!$K$2:$K$2000,'Team Lineups'!$C$2:$C$2000,M$1))</f>
        <v>9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8</v>
      </c>
      <c r="R12" cm="1">
        <f t="array" ref="R12">SUMPRODUCT(('Team Lineups'!$K$2:$K$2000&lt;&gt;"")*('Team Lineups'!$C$2:$C$2000=$A12)*COUNTIFS('Team Lineups'!$K$2:$K$2000,'Team Lineups'!$K$2:$K$2000,'Team Lineups'!$C$2:$C$2000,R$1))</f>
        <v>5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8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5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6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3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0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6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12</v>
      </c>
      <c r="H13" cm="1">
        <f t="array" ref="H13">SUMPRODUCT(('Team Lineups'!$K$2:$K$2000&lt;&gt;"")*('Team Lineups'!$C$2:$C$2000=$A13)*COUNTIFS('Team Lineups'!$K$2:$K$2000,'Team Lineups'!$K$2:$K$2000,'Team Lineups'!$C$2:$C$2000,H$1))</f>
        <v>9</v>
      </c>
      <c r="I13" cm="1">
        <f t="array" ref="I13">SUMPRODUCT(('Team Lineups'!$K$2:$K$2000&lt;&gt;"")*('Team Lineups'!$C$2:$C$2000=$A13)*COUNTIFS('Team Lineups'!$K$2:$K$2000,'Team Lineups'!$K$2:$K$2000,'Team Lineups'!$C$2:$C$2000,I$1))</f>
        <v>8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9</v>
      </c>
      <c r="M13" cm="1">
        <f t="array" ref="M13">SUMPRODUCT(('Team Lineups'!$K$2:$K$2000&lt;&gt;"")*('Team Lineups'!$C$2:$C$2000=$A13)*COUNTIFS('Team Lineups'!$K$2:$K$2000,'Team Lineups'!$K$2:$K$2000,'Team Lineups'!$C$2:$C$2000,M$1))</f>
        <v>29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8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7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5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5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2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0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0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5</v>
      </c>
      <c r="E15" cm="1">
        <f t="array" ref="E15">SUMPRODUCT(('Team Lineups'!$K$2:$K$2000&lt;&gt;"")*('Team Lineups'!$C$2:$C$2000=$A15)*COUNTIFS('Team Lineups'!$K$2:$K$2000,'Team Lineups'!$K$2:$K$2000,'Team Lineups'!$C$2:$C$2000,E$1))</f>
        <v>3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3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14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9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4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1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2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1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1</v>
      </c>
      <c r="AV15" cm="1">
        <f t="array" ref="AV15">SUMPRODUCT(('Team Lineups'!$K$2:$K$2000&lt;&gt;"")*('Team Lineups'!$C$2:$C$2000=$A15)*COUNTIFS('Team Lineups'!$K$2:$K$2000,'Team Lineups'!$K$2:$K$2000,'Team Lineups'!$C$2:$C$2000,AV$1))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0</v>
      </c>
      <c r="AV16" cm="1">
        <f t="array" ref="AV16">SUMPRODUCT(('Team Lineups'!$K$2:$K$2000&lt;&gt;"")*('Team Lineups'!$C$2:$C$2000=$A16)*COUNTIFS('Team Lineups'!$K$2:$K$2000,'Team Lineups'!$K$2:$K$2000,'Team Lineups'!$C$2:$C$2000,AV$1))</f>
        <v>0</v>
      </c>
    </row>
    <row r="17" spans="1:48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5</v>
      </c>
      <c r="E17" cm="1">
        <f t="array" ref="E17">SUMPRODUCT(('Team Lineups'!$K$2:$K$2000&lt;&gt;"")*('Team Lineups'!$C$2:$C$2000=$A17)*COUNTIFS('Team Lineups'!$K$2:$K$2000,'Team Lineups'!$K$2:$K$2000,'Team Lineups'!$C$2:$C$2000,E$1))</f>
        <v>7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8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9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29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3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3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5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4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2</v>
      </c>
      <c r="AQ17" cm="1">
        <f t="array" ref="AQ17">SUMPRODUCT(('Team Lineups'!$K$2:$K$2000&lt;&gt;"")*('Team Lineups'!$C$2:$C$2000=$A17)*COUNTIFS('Team Lineups'!$K$2:$K$2000,'Team Lineups'!$K$2:$K$2000,'Team Lineups'!$C$2:$C$2000,AQ$1))</f>
        <v>2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0</v>
      </c>
      <c r="AV17" cm="1">
        <f t="array" ref="AV17">SUMPRODUCT(('Team Lineups'!$K$2:$K$2000&lt;&gt;"")*('Team Lineups'!$C$2:$C$2000=$A17)*COUNTIFS('Team Lineups'!$K$2:$K$2000,'Team Lineups'!$K$2:$K$2000,'Team Lineups'!$C$2:$C$2000,AV$1))</f>
        <v>0</v>
      </c>
    </row>
    <row r="18" spans="1:48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5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7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5</v>
      </c>
      <c r="M18" cm="1">
        <f t="array" ref="M18">SUMPRODUCT(('Team Lineups'!$K$2:$K$2000&lt;&gt;"")*('Team Lineups'!$C$2:$C$2000=$A18)*COUNTIFS('Team Lineups'!$K$2:$K$2000,'Team Lineups'!$K$2:$K$2000,'Team Lineups'!$C$2:$C$2000,M$1))</f>
        <v>8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21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7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4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2</v>
      </c>
      <c r="AQ18" cm="1">
        <f t="array" ref="AQ18">SUMPRODUCT(('Team Lineups'!$K$2:$K$2000&lt;&gt;"")*('Team Lineups'!$C$2:$C$2000=$A18)*COUNTIFS('Team Lineups'!$K$2:$K$2000,'Team Lineups'!$K$2:$K$2000,'Team Lineups'!$C$2:$C$2000,AQ$1))</f>
        <v>1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0</v>
      </c>
    </row>
    <row r="19" spans="1:48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</row>
    <row r="20" spans="1:48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</row>
    <row r="21" spans="1:48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</row>
    <row r="22" spans="1:48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</row>
    <row r="23" spans="1:48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</row>
    <row r="24" spans="1:48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</row>
    <row r="25" spans="1:48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</row>
    <row r="26" spans="1:48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3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10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0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0</v>
      </c>
    </row>
    <row r="27" spans="1:48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6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4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10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10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8</v>
      </c>
      <c r="M27" cm="1">
        <f t="array" ref="M27">SUMPRODUCT(('Team Lineups'!$K$2:$K$2000&lt;&gt;"")*('Team Lineups'!$C$2:$C$2000=$A27)*COUNTIFS('Team Lineups'!$K$2:$K$2000,'Team Lineups'!$K$2:$K$2000,'Team Lineups'!$C$2:$C$2000,M$1))</f>
        <v>7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4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7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26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9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1</v>
      </c>
      <c r="AV27" cm="1">
        <f t="array" ref="AV27">SUMPRODUCT(('Team Lineups'!$K$2:$K$2000&lt;&gt;"")*('Team Lineups'!$C$2:$C$2000=$A27)*COUNTIFS('Team Lineups'!$K$2:$K$2000,'Team Lineups'!$K$2:$K$2000,'Team Lineups'!$C$2:$C$2000,AV$1))</f>
        <v>0</v>
      </c>
    </row>
    <row r="28" spans="1:48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7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</row>
    <row r="29" spans="1:48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</row>
    <row r="30" spans="1:48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1</v>
      </c>
      <c r="G30" cm="1">
        <f t="array" ref="G30">SUMPRODUCT(('Team Lineups'!$K$2:$K$2000&lt;&gt;"")*('Team Lineups'!$C$2:$C$2000=$A30)*COUNTIFS('Team Lineups'!$K$2:$K$2000,'Team Lineups'!$K$2:$K$2000,'Team Lineups'!$C$2:$C$2000,G$1))</f>
        <v>6</v>
      </c>
      <c r="H30" cm="1">
        <f t="array" ref="H30">SUMPRODUCT(('Team Lineups'!$K$2:$K$2000&lt;&gt;"")*('Team Lineups'!$C$2:$C$2000=$A30)*COUNTIFS('Team Lineups'!$K$2:$K$2000,'Team Lineups'!$K$2:$K$2000,'Team Lineups'!$C$2:$C$2000,H$1))</f>
        <v>4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5</v>
      </c>
      <c r="M30" cm="1">
        <f t="array" ref="M30">SUMPRODUCT(('Team Lineups'!$K$2:$K$2000&lt;&gt;"")*('Team Lineups'!$C$2:$C$2000=$A30)*COUNTIFS('Team Lineups'!$K$2:$K$2000,'Team Lineups'!$K$2:$K$2000,'Team Lineups'!$C$2:$C$2000,M$1))</f>
        <v>5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14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4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3</v>
      </c>
      <c r="AQ30" cm="1">
        <f t="array" ref="AQ30">SUMPRODUCT(('Team Lineups'!$K$2:$K$2000&lt;&gt;"")*('Team Lineups'!$C$2:$C$2000=$A30)*COUNTIFS('Team Lineups'!$K$2:$K$2000,'Team Lineups'!$K$2:$K$2000,'Team Lineups'!$C$2:$C$2000,AQ$1))</f>
        <v>1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0</v>
      </c>
      <c r="AV30" cm="1">
        <f t="array" ref="AV30">SUMPRODUCT(('Team Lineups'!$K$2:$K$2000&lt;&gt;"")*('Team Lineups'!$C$2:$C$2000=$A30)*COUNTIFS('Team Lineups'!$K$2:$K$2000,'Team Lineups'!$K$2:$K$2000,'Team Lineups'!$C$2:$C$2000,AV$1))</f>
        <v>1</v>
      </c>
    </row>
    <row r="31" spans="1:48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</row>
    <row r="32" spans="1:48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</row>
    <row r="33" spans="1:48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4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3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1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1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3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11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1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4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</row>
    <row r="34" spans="1:48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</row>
    <row r="35" spans="1:48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</row>
    <row r="36" spans="1:48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7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4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3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6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2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5</v>
      </c>
      <c r="R36" cm="1">
        <f t="array" ref="R36">SUMPRODUCT(('Team Lineups'!$K$2:$K$2000&lt;&gt;"")*('Team Lineups'!$C$2:$C$2000=$A36)*COUNTIFS('Team Lineups'!$K$2:$K$2000,'Team Lineups'!$K$2:$K$2000,'Team Lineups'!$C$2:$C$2000,R$1))</f>
        <v>4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9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18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4</v>
      </c>
      <c r="AQ36" cm="1">
        <f t="array" ref="AQ36">SUMPRODUCT(('Team Lineups'!$K$2:$K$2000&lt;&gt;"")*('Team Lineups'!$C$2:$C$2000=$A36)*COUNTIFS('Team Lineups'!$K$2:$K$2000,'Team Lineups'!$K$2:$K$2000,'Team Lineups'!$C$2:$C$2000,AQ$1))</f>
        <v>2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1</v>
      </c>
      <c r="AV36" cm="1">
        <f t="array" ref="AV36">SUMPRODUCT(('Team Lineups'!$K$2:$K$2000&lt;&gt;"")*('Team Lineups'!$C$2:$C$2000=$A36)*COUNTIFS('Team Lineups'!$K$2:$K$2000,'Team Lineups'!$K$2:$K$2000,'Team Lineups'!$C$2:$C$2000,AV$1))</f>
        <v>0</v>
      </c>
    </row>
    <row r="37" spans="1:48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</row>
    <row r="38" spans="1:48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4</v>
      </c>
      <c r="E38" cm="1">
        <f t="array" ref="E38">SUMPRODUCT(('Team Lineups'!$K$2:$K$2000&lt;&gt;"")*('Team Lineups'!$C$2:$C$2000=$A38)*COUNTIFS('Team Lineups'!$K$2:$K$2000,'Team Lineups'!$K$2:$K$2000,'Team Lineups'!$C$2:$C$2000,E$1))</f>
        <v>8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7</v>
      </c>
      <c r="H38" cm="1">
        <f t="array" ref="H38">SUMPRODUCT(('Team Lineups'!$K$2:$K$2000&lt;&gt;"")*('Team Lineups'!$C$2:$C$2000=$A38)*COUNTIFS('Team Lineups'!$K$2:$K$2000,'Team Lineups'!$K$2:$K$2000,'Team Lineups'!$C$2:$C$2000,H$1))</f>
        <v>2</v>
      </c>
      <c r="I38" cm="1">
        <f t="array" ref="I38">SUMPRODUCT(('Team Lineups'!$K$2:$K$2000&lt;&gt;"")*('Team Lineups'!$C$2:$C$2000=$A38)*COUNTIFS('Team Lineups'!$K$2:$K$2000,'Team Lineups'!$K$2:$K$2000,'Team Lineups'!$C$2:$C$2000,I$1))</f>
        <v>4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5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1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4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4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1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19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5</v>
      </c>
      <c r="AQ38" cm="1">
        <f t="array" ref="AQ38">SUMPRODUCT(('Team Lineups'!$K$2:$K$2000&lt;&gt;"")*('Team Lineups'!$C$2:$C$2000=$A38)*COUNTIFS('Team Lineups'!$K$2:$K$2000,'Team Lineups'!$K$2:$K$2000,'Team Lineups'!$C$2:$C$2000,AQ$1))</f>
        <v>3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2</v>
      </c>
    </row>
    <row r="39" spans="1:48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</row>
    <row r="40" spans="1:48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</row>
    <row r="41" spans="1:48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</row>
    <row r="42" spans="1:48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2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2</v>
      </c>
      <c r="R42" cm="1">
        <f t="array" ref="R42">SUMPRODUCT(('Team Lineups'!$K$2:$K$2000&lt;&gt;"")*('Team Lineups'!$C$2:$C$2000=$A42)*COUNTIFS('Team Lineups'!$K$2:$K$2000,'Team Lineups'!$K$2:$K$2000,'Team Lineups'!$C$2:$C$2000,R$1))</f>
        <v>2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3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4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4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5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11</v>
      </c>
      <c r="AQ42" cm="1">
        <f t="array" ref="AQ42">SUMPRODUCT(('Team Lineups'!$K$2:$K$2000&lt;&gt;"")*('Team Lineups'!$C$2:$C$2000=$A42)*COUNTIFS('Team Lineups'!$K$2:$K$2000,'Team Lineups'!$K$2:$K$2000,'Team Lineups'!$C$2:$C$2000,AQ$1))</f>
        <v>2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1</v>
      </c>
    </row>
    <row r="43" spans="1:48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1</v>
      </c>
      <c r="E43" cm="1">
        <f t="array" ref="E43">SUMPRODUCT(('Team Lineups'!$K$2:$K$2000&lt;&gt;"")*('Team Lineups'!$C$2:$C$2000=$A43)*COUNTIFS('Team Lineups'!$K$2:$K$2000,'Team Lineups'!$K$2:$K$2000,'Team Lineups'!$C$2:$C$2000,E$1))</f>
        <v>2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1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3</v>
      </c>
      <c r="M43" cm="1">
        <f t="array" ref="M43">SUMPRODUCT(('Team Lineups'!$K$2:$K$2000&lt;&gt;"")*('Team Lineups'!$C$2:$C$2000=$A43)*COUNTIFS('Team Lineups'!$K$2:$K$2000,'Team Lineups'!$K$2:$K$2000,'Team Lineups'!$C$2:$C$2000,M$1))</f>
        <v>2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2</v>
      </c>
      <c r="R43" cm="1">
        <f t="array" ref="R43">SUMPRODUCT(('Team Lineups'!$K$2:$K$2000&lt;&gt;"")*('Team Lineups'!$C$2:$C$2000=$A43)*COUNTIFS('Team Lineups'!$K$2:$K$2000,'Team Lineups'!$K$2:$K$2000,'Team Lineups'!$C$2:$C$2000,R$1))</f>
        <v>1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0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1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2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3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2</v>
      </c>
      <c r="AQ43" cm="1">
        <f t="array" ref="AQ43">SUMPRODUCT(('Team Lineups'!$K$2:$K$2000&lt;&gt;"")*('Team Lineups'!$C$2:$C$2000=$A43)*COUNTIFS('Team Lineups'!$K$2:$K$2000,'Team Lineups'!$K$2:$K$2000,'Team Lineups'!$C$2:$C$2000,AQ$1))</f>
        <v>6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0</v>
      </c>
      <c r="AV43" cm="1">
        <f t="array" ref="AV43">SUMPRODUCT(('Team Lineups'!$K$2:$K$2000&lt;&gt;"")*('Team Lineups'!$C$2:$C$2000=$A43)*COUNTIFS('Team Lineups'!$K$2:$K$2000,'Team Lineups'!$K$2:$K$2000,'Team Lineups'!$C$2:$C$2000,AV$1))</f>
        <v>1</v>
      </c>
    </row>
    <row r="44" spans="1:48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</row>
    <row r="45" spans="1:48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</row>
    <row r="46" spans="1:48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</row>
    <row r="47" spans="1:48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1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1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2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1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0</v>
      </c>
      <c r="M47" cm="1">
        <f t="array" ref="M47">SUMPRODUCT(('Team Lineups'!$K$2:$K$2000&lt;&gt;"")*('Team Lineups'!$C$2:$C$2000=$A47)*COUNTIFS('Team Lineups'!$K$2:$K$2000,'Team Lineups'!$K$2:$K$2000,'Team Lineups'!$C$2:$C$2000,M$1))</f>
        <v>0</v>
      </c>
      <c r="N47" cm="1">
        <f t="array" ref="N47">SUMPRODUCT(('Team Lineups'!$K$2:$K$2000&lt;&gt;"")*('Team Lineups'!$C$2:$C$2000=$A47)*COUNTIFS('Team Lineups'!$K$2:$K$2000,'Team Lineups'!$K$2:$K$2000,'Team Lineups'!$C$2:$C$2000,N$1))</f>
        <v>0</v>
      </c>
      <c r="O47" cm="1">
        <f t="array" ref="O47">SUMPRODUCT(('Team Lineups'!$K$2:$K$2000&lt;&gt;"")*('Team Lineups'!$C$2:$C$2000=$A47)*COUNTIFS('Team Lineups'!$K$2:$K$2000,'Team Lineups'!$K$2:$K$2000,'Team Lineups'!$C$2:$C$2000,O$1))</f>
        <v>1</v>
      </c>
      <c r="P47" cm="1">
        <f t="array" ref="P47">SUMPRODUCT(('Team Lineups'!$K$2:$K$2000&lt;&gt;"")*('Team Lineups'!$C$2:$C$2000=$A47)*COUNTIFS('Team Lineups'!$K$2:$K$2000,'Team Lineups'!$K$2:$K$2000,'Team Lineups'!$C$2:$C$2000,P$1))</f>
        <v>0</v>
      </c>
      <c r="Q47" cm="1">
        <f t="array" ref="Q47">SUMPRODUCT(('Team Lineups'!$K$2:$K$2000&lt;&gt;"")*('Team Lineups'!$C$2:$C$2000=$A47)*COUNTIFS('Team Lineups'!$K$2:$K$2000,'Team Lineups'!$K$2:$K$2000,'Team Lineups'!$C$2:$C$2000,Q$1))</f>
        <v>0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1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0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1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0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3</v>
      </c>
      <c r="AV47" cm="1">
        <f t="array" ref="AV47">SUMPRODUCT(('Team Lineups'!$K$2:$K$2000&lt;&gt;"")*('Team Lineups'!$C$2:$C$2000=$A47)*COUNTIFS('Team Lineups'!$K$2:$K$2000,'Team Lineups'!$K$2:$K$2000,'Team Lineups'!$C$2:$C$2000,AV$1))</f>
        <v>1</v>
      </c>
    </row>
    <row r="48" spans="1:48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0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0</v>
      </c>
      <c r="E48" cm="1">
        <f t="array" ref="E48">SUMPRODUCT(('Team Lineups'!$K$2:$K$2000&lt;&gt;"")*('Team Lineups'!$C$2:$C$2000=$A48)*COUNTIFS('Team Lineups'!$K$2:$K$2000,'Team Lineups'!$K$2:$K$2000,'Team Lineups'!$C$2:$C$2000,E$1))</f>
        <v>1</v>
      </c>
      <c r="F48" cm="1">
        <f t="array" ref="F48">SUMPRODUCT(('Team Lineups'!$K$2:$K$2000&lt;&gt;"")*('Team Lineups'!$C$2:$C$2000=$A48)*COUNTIFS('Team Lineups'!$K$2:$K$2000,'Team Lineups'!$K$2:$K$2000,'Team Lineups'!$C$2:$C$2000,F$1))</f>
        <v>0</v>
      </c>
      <c r="G48" cm="1">
        <f t="array" ref="G48">SUMPRODUCT(('Team Lineups'!$K$2:$K$2000&lt;&gt;"")*('Team Lineups'!$C$2:$C$2000=$A48)*COUNTIFS('Team Lineups'!$K$2:$K$2000,'Team Lineups'!$K$2:$K$2000,'Team Lineups'!$C$2:$C$2000,G$1))</f>
        <v>1</v>
      </c>
      <c r="H48" cm="1">
        <f t="array" ref="H48">SUMPRODUCT(('Team Lineups'!$K$2:$K$2000&lt;&gt;"")*('Team Lineups'!$C$2:$C$2000=$A48)*COUNTIFS('Team Lineups'!$K$2:$K$2000,'Team Lineups'!$K$2:$K$2000,'Team Lineups'!$C$2:$C$2000,H$1))</f>
        <v>1</v>
      </c>
      <c r="I48" cm="1">
        <f t="array" ref="I48">SUMPRODUCT(('Team Lineups'!$K$2:$K$2000&lt;&gt;"")*('Team Lineups'!$C$2:$C$2000=$A48)*COUNTIFS('Team Lineups'!$K$2:$K$2000,'Team Lineups'!$K$2:$K$2000,'Team Lineups'!$C$2:$C$2000,I$1))</f>
        <v>1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0</v>
      </c>
      <c r="P48" cm="1">
        <f t="array" ref="P48">SUMPRODUCT(('Team Lineups'!$K$2:$K$2000&lt;&gt;"")*('Team Lineups'!$C$2:$C$2000=$A48)*COUNTIFS('Team Lineups'!$K$2:$K$2000,'Team Lineups'!$K$2:$K$2000,'Team Lineups'!$C$2:$C$2000,P$1))</f>
        <v>0</v>
      </c>
      <c r="Q48" cm="1">
        <f t="array" ref="Q48">SUMPRODUCT(('Team Lineups'!$K$2:$K$2000&lt;&gt;"")*('Team Lineups'!$C$2:$C$2000=$A48)*COUNTIFS('Team Lineups'!$K$2:$K$2000,'Team Lineups'!$K$2:$K$2000,'Team Lineups'!$C$2:$C$2000,Q$1))</f>
        <v>0</v>
      </c>
      <c r="R48" cm="1">
        <f t="array" ref="R48">SUMPRODUCT(('Team Lineups'!$K$2:$K$2000&lt;&gt;"")*('Team Lineups'!$C$2:$C$2000=$A48)*COUNTIFS('Team Lineups'!$K$2:$K$2000,'Team Lineups'!$K$2:$K$2000,'Team Lineups'!$C$2:$C$2000,R$1))</f>
        <v>0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0</v>
      </c>
      <c r="AA48" cm="1">
        <f t="array" ref="AA48">SUMPRODUCT(('Team Lineups'!$K$2:$K$2000&lt;&gt;"")*('Team Lineups'!$C$2:$C$2000=$A48)*COUNTIFS('Team Lineups'!$K$2:$K$2000,'Team Lineups'!$K$2:$K$2000,'Team Lineups'!$C$2:$C$2000,AA$1))</f>
        <v>0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1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0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2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1</v>
      </c>
      <c r="AQ48" cm="1">
        <f t="array" ref="AQ48">SUMPRODUCT(('Team Lineups'!$K$2:$K$2000&lt;&gt;"")*('Team Lineups'!$C$2:$C$2000=$A48)*COUNTIFS('Team Lineups'!$K$2:$K$2000,'Team Lineups'!$K$2:$K$2000,'Team Lineups'!$C$2:$C$2000,AQ$1))</f>
        <v>1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1</v>
      </c>
      <c r="AV48" cm="1">
        <f t="array" ref="AV48">SUMPRODUCT(('Team Lineups'!$K$2:$K$2000&lt;&gt;"")*('Team Lineups'!$C$2:$C$2000=$A48)*COUNTIFS('Team Lineups'!$K$2:$K$2000,'Team Lineups'!$K$2:$K$2000,'Team Lineups'!$C$2:$C$2000,AV$1))</f>
        <v>2</v>
      </c>
    </row>
    <row r="49" spans="1:1" x14ac:dyDescent="0.35">
      <c r="A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2026-08-03T14:28:02Z</dcterms:modified>
</cp:coreProperties>
</file>